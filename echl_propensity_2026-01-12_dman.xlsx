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600330522\Downloads\"/>
    </mc:Choice>
  </mc:AlternateContent>
  <xr:revisionPtr revIDLastSave="0" documentId="8_{E03D2CC5-5F3E-47D2-8323-77766D757BE2}" xr6:coauthVersionLast="47" xr6:coauthVersionMax="47" xr10:uidLastSave="{00000000-0000-0000-0000-000000000000}"/>
  <bookViews>
    <workbookView xWindow="25080" yWindow="-525" windowWidth="29040" windowHeight="15720" xr2:uid="{00000000-000D-0000-FFFF-FFFF00000000}"/>
  </bookViews>
  <sheets>
    <sheet name="INFO" sheetId="3" r:id="rId1"/>
    <sheet name="ppg_ui" sheetId="4" r:id="rId2"/>
    <sheet name="ppg_plus_minus_ui" sheetId="5" r:id="rId3"/>
    <sheet name="ppg" sheetId="1" r:id="rId4"/>
    <sheet name="ppg_plus_minus" sheetId="2" r:id="rId5"/>
  </sheets>
  <definedNames>
    <definedName name="_xlnm._FilterDatabase" localSheetId="3" hidden="1">ppg!$A$1:$V$2056</definedName>
    <definedName name="_xlnm._FilterDatabase" localSheetId="4" hidden="1">ppg_plus_minus!$A$1:$V$2056</definedName>
    <definedName name="_xlnm._FilterDatabase" localSheetId="2" hidden="1">ppg_plus_minus_ui!$A$16:$V$2071</definedName>
    <definedName name="_xlnm._FilterDatabase" localSheetId="1" hidden="1">ppg_ui!$A$16:$V$2071</definedName>
    <definedName name="Slicer_echl_projection">#N/A</definedName>
    <definedName name="Slicer_echl_projection1">#N/A</definedName>
    <definedName name="Slicer_league">#N/A</definedName>
    <definedName name="Slicer_league1">#N/A</definedName>
    <definedName name="Slicer_szn_no">#N/A</definedName>
    <definedName name="Slicer_szn_no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53" i="1" l="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J1168" i="4"/>
  <c r="J1167" i="4"/>
  <c r="J1166" i="4"/>
  <c r="J1165" i="4"/>
  <c r="J1164" i="4"/>
  <c r="J1163" i="4"/>
  <c r="J1162" i="4"/>
  <c r="J1161" i="4"/>
  <c r="J1160" i="4"/>
  <c r="J1159" i="4"/>
  <c r="J1158" i="4"/>
  <c r="J1157" i="4"/>
  <c r="J1156" i="4"/>
  <c r="J1155" i="4"/>
  <c r="J1154" i="4"/>
  <c r="J1153" i="4"/>
  <c r="J1152" i="4"/>
  <c r="J1151" i="4"/>
  <c r="J1150" i="4"/>
  <c r="J1149" i="4"/>
  <c r="J1148" i="4"/>
  <c r="J1147" i="4"/>
  <c r="J1146" i="4"/>
  <c r="J1145" i="4"/>
  <c r="J1144" i="4"/>
  <c r="J1143" i="4"/>
  <c r="J1142" i="4"/>
  <c r="J1141" i="4"/>
  <c r="J1140" i="4"/>
  <c r="J1139" i="4"/>
  <c r="J1138" i="4"/>
  <c r="J1137" i="4"/>
  <c r="J1136" i="4"/>
  <c r="J1135" i="4"/>
  <c r="J1134" i="4"/>
  <c r="J1133" i="4"/>
  <c r="J1132" i="4"/>
  <c r="J1131" i="4"/>
  <c r="J1130" i="4"/>
  <c r="J1129" i="4"/>
  <c r="J1128" i="4"/>
  <c r="J1127" i="4"/>
  <c r="J1126" i="4"/>
  <c r="J1125" i="4"/>
  <c r="J1124" i="4"/>
  <c r="J1123" i="4"/>
  <c r="J1122" i="4"/>
  <c r="J1121" i="4"/>
  <c r="J1120" i="4"/>
  <c r="J1119" i="4"/>
  <c r="J1118" i="4"/>
  <c r="J1117" i="4"/>
  <c r="J1116" i="4"/>
  <c r="J1115" i="4"/>
  <c r="J1114" i="4"/>
  <c r="J1113" i="4"/>
  <c r="J1112" i="4"/>
  <c r="J1111" i="4"/>
  <c r="J1110" i="4"/>
  <c r="J1109" i="4"/>
  <c r="J1108" i="4"/>
  <c r="J1107" i="4"/>
  <c r="J1106" i="4"/>
  <c r="J1105" i="4"/>
  <c r="J1104" i="4"/>
  <c r="J1103" i="4"/>
  <c r="J1102" i="4"/>
  <c r="J1101" i="4"/>
  <c r="J1100" i="4"/>
  <c r="J1099" i="4"/>
  <c r="J1098" i="4"/>
  <c r="J1097" i="4"/>
  <c r="J1096" i="4"/>
  <c r="J1095" i="4"/>
  <c r="J1094" i="4"/>
  <c r="J1093" i="4"/>
  <c r="J1092" i="4"/>
  <c r="J1091" i="4"/>
  <c r="J1090" i="4"/>
  <c r="J1089" i="4"/>
  <c r="J1088" i="4"/>
  <c r="J1087" i="4"/>
  <c r="J1086" i="4"/>
  <c r="J1085" i="4"/>
  <c r="J1084" i="4"/>
  <c r="J1083" i="4"/>
  <c r="J1082" i="4"/>
  <c r="J1081" i="4"/>
  <c r="J1080" i="4"/>
  <c r="J1079" i="4"/>
  <c r="J1078" i="4"/>
  <c r="J1077" i="4"/>
  <c r="J1076" i="4"/>
  <c r="J1075" i="4"/>
  <c r="J1074" i="4"/>
  <c r="J1073" i="4"/>
  <c r="J1072" i="4"/>
  <c r="J1071" i="4"/>
  <c r="J1070" i="4"/>
  <c r="J1069" i="4"/>
  <c r="J1068" i="4"/>
  <c r="J1067" i="4"/>
  <c r="J1066" i="4"/>
  <c r="J1065" i="4"/>
  <c r="J1064" i="4"/>
  <c r="J1063" i="4"/>
  <c r="J1062" i="4"/>
  <c r="J1061" i="4"/>
  <c r="J1060" i="4"/>
  <c r="J1059" i="4"/>
  <c r="J1058" i="4"/>
  <c r="J1057" i="4"/>
  <c r="J1056" i="4"/>
  <c r="J1055" i="4"/>
  <c r="J1054" i="4"/>
  <c r="J1053" i="4"/>
  <c r="J1052" i="4"/>
  <c r="J1051" i="4"/>
  <c r="J1050" i="4"/>
  <c r="J1049" i="4"/>
  <c r="J1048" i="4"/>
  <c r="J1047" i="4"/>
  <c r="J1046" i="4"/>
  <c r="J1045" i="4"/>
  <c r="J1044" i="4"/>
  <c r="J1043" i="4"/>
  <c r="J1042" i="4"/>
  <c r="J1041" i="4"/>
  <c r="J1040" i="4"/>
  <c r="J1039" i="4"/>
  <c r="J1038" i="4"/>
  <c r="J1037" i="4"/>
  <c r="J1036" i="4"/>
  <c r="J1035" i="4"/>
  <c r="J1034" i="4"/>
  <c r="J1033" i="4"/>
  <c r="J1032" i="4"/>
  <c r="J1031" i="4"/>
  <c r="J1030" i="4"/>
  <c r="J1029" i="4"/>
  <c r="J1028" i="4"/>
  <c r="J1027" i="4"/>
  <c r="J1026" i="4"/>
  <c r="J1025" i="4"/>
  <c r="J1024" i="4"/>
  <c r="J1023" i="4"/>
  <c r="J1022" i="4"/>
  <c r="J1021" i="4"/>
  <c r="J1020" i="4"/>
  <c r="J1019" i="4"/>
  <c r="J1018" i="4"/>
  <c r="J1017" i="4"/>
  <c r="J1016" i="4"/>
  <c r="J1015" i="4"/>
  <c r="J1014" i="4"/>
  <c r="J1013" i="4"/>
  <c r="J1012" i="4"/>
  <c r="J1011" i="4"/>
  <c r="J1010" i="4"/>
  <c r="J1009" i="4"/>
  <c r="J1008" i="4"/>
  <c r="J1007" i="4"/>
  <c r="J1006" i="4"/>
  <c r="J1005" i="4"/>
  <c r="J1004" i="4"/>
  <c r="J1003" i="4"/>
  <c r="J1002" i="4"/>
  <c r="J1001" i="4"/>
  <c r="J1000" i="4"/>
  <c r="J999" i="4"/>
  <c r="J998" i="4"/>
  <c r="J997" i="4"/>
  <c r="J996" i="4"/>
  <c r="J995" i="4"/>
  <c r="J994" i="4"/>
  <c r="J993" i="4"/>
  <c r="J992" i="4"/>
  <c r="J991" i="4"/>
  <c r="J990" i="4"/>
  <c r="J989" i="4"/>
  <c r="J988" i="4"/>
  <c r="J987" i="4"/>
  <c r="J986" i="4"/>
  <c r="J985" i="4"/>
  <c r="J984" i="4"/>
  <c r="J983" i="4"/>
  <c r="J982" i="4"/>
  <c r="J981" i="4"/>
  <c r="J980" i="4"/>
  <c r="J979" i="4"/>
  <c r="J978" i="4"/>
  <c r="J977" i="4"/>
  <c r="J976" i="4"/>
  <c r="J975" i="4"/>
  <c r="J974" i="4"/>
  <c r="J973" i="4"/>
  <c r="J972" i="4"/>
  <c r="J971" i="4"/>
  <c r="J970" i="4"/>
  <c r="J969" i="4"/>
  <c r="J968" i="4"/>
  <c r="J967" i="4"/>
  <c r="J966" i="4"/>
  <c r="J965" i="4"/>
  <c r="J964" i="4"/>
  <c r="J963" i="4"/>
  <c r="J962" i="4"/>
  <c r="J961" i="4"/>
  <c r="J960" i="4"/>
  <c r="J959" i="4"/>
  <c r="J958" i="4"/>
  <c r="J957" i="4"/>
  <c r="J956" i="4"/>
  <c r="J955" i="4"/>
  <c r="J954" i="4"/>
  <c r="J953" i="4"/>
  <c r="J952" i="4"/>
  <c r="J951" i="4"/>
  <c r="J950" i="4"/>
  <c r="J949" i="4"/>
  <c r="J948" i="4"/>
  <c r="J947" i="4"/>
  <c r="J946" i="4"/>
  <c r="J945" i="4"/>
  <c r="J944" i="4"/>
  <c r="J943" i="4"/>
  <c r="J942" i="4"/>
  <c r="J941" i="4"/>
  <c r="J940" i="4"/>
  <c r="J939" i="4"/>
  <c r="J938" i="4"/>
  <c r="J937" i="4"/>
  <c r="J936" i="4"/>
  <c r="J935" i="4"/>
  <c r="J934" i="4"/>
  <c r="J933" i="4"/>
  <c r="J932" i="4"/>
  <c r="J931" i="4"/>
  <c r="J930" i="4"/>
  <c r="J929" i="4"/>
  <c r="J928" i="4"/>
  <c r="J927" i="4"/>
  <c r="J926" i="4"/>
  <c r="J925" i="4"/>
  <c r="J924" i="4"/>
  <c r="J923" i="4"/>
  <c r="J922" i="4"/>
  <c r="J921" i="4"/>
  <c r="J920" i="4"/>
  <c r="J919" i="4"/>
  <c r="J918" i="4"/>
  <c r="J917" i="4"/>
  <c r="J916" i="4"/>
  <c r="J915" i="4"/>
  <c r="J914" i="4"/>
  <c r="J913" i="4"/>
  <c r="J912" i="4"/>
  <c r="J911" i="4"/>
  <c r="J910" i="4"/>
  <c r="J909" i="4"/>
  <c r="J908" i="4"/>
  <c r="J907" i="4"/>
  <c r="J906" i="4"/>
  <c r="J905" i="4"/>
  <c r="J904" i="4"/>
  <c r="J903" i="4"/>
  <c r="J902" i="4"/>
  <c r="J901" i="4"/>
  <c r="J900" i="4"/>
  <c r="J899" i="4"/>
  <c r="J898" i="4"/>
  <c r="J897" i="4"/>
  <c r="J896" i="4"/>
  <c r="J895" i="4"/>
  <c r="J894" i="4"/>
  <c r="J893" i="4"/>
  <c r="J892" i="4"/>
  <c r="J891" i="4"/>
  <c r="J890" i="4"/>
  <c r="J889" i="4"/>
  <c r="J888" i="4"/>
  <c r="J887" i="4"/>
  <c r="J886" i="4"/>
  <c r="J885" i="4"/>
  <c r="J884" i="4"/>
  <c r="J883" i="4"/>
  <c r="J882" i="4"/>
  <c r="J881" i="4"/>
  <c r="J880" i="4"/>
  <c r="J879" i="4"/>
  <c r="J878" i="4"/>
  <c r="J877" i="4"/>
  <c r="J876" i="4"/>
  <c r="J875" i="4"/>
  <c r="J874" i="4"/>
  <c r="J873" i="4"/>
  <c r="J872" i="4"/>
  <c r="J871" i="4"/>
  <c r="J870" i="4"/>
  <c r="J869" i="4"/>
  <c r="J868" i="4"/>
  <c r="J867" i="4"/>
  <c r="J866" i="4"/>
  <c r="J865" i="4"/>
  <c r="J864" i="4"/>
  <c r="J863" i="4"/>
  <c r="J862" i="4"/>
  <c r="J861" i="4"/>
  <c r="J860" i="4"/>
  <c r="J859" i="4"/>
  <c r="J858" i="4"/>
  <c r="J857" i="4"/>
  <c r="J856" i="4"/>
  <c r="J855" i="4"/>
  <c r="J854" i="4"/>
  <c r="J853" i="4"/>
  <c r="J852" i="4"/>
  <c r="J851" i="4"/>
  <c r="J850" i="4"/>
  <c r="J849" i="4"/>
  <c r="J848" i="4"/>
  <c r="J847" i="4"/>
  <c r="J846" i="4"/>
  <c r="J845" i="4"/>
  <c r="J844" i="4"/>
  <c r="J843" i="4"/>
  <c r="J842" i="4"/>
  <c r="J841" i="4"/>
  <c r="J840" i="4"/>
  <c r="J839" i="4"/>
  <c r="J838" i="4"/>
  <c r="J837" i="4"/>
  <c r="J836" i="4"/>
  <c r="J835" i="4"/>
  <c r="J834" i="4"/>
  <c r="J833" i="4"/>
  <c r="J832" i="4"/>
  <c r="J831" i="4"/>
  <c r="J830" i="4"/>
  <c r="J829" i="4"/>
  <c r="J828" i="4"/>
  <c r="J827" i="4"/>
  <c r="J826" i="4"/>
  <c r="J825" i="4"/>
  <c r="J824" i="4"/>
  <c r="J823" i="4"/>
  <c r="J822" i="4"/>
  <c r="J821" i="4"/>
  <c r="J820" i="4"/>
  <c r="J819" i="4"/>
  <c r="J818" i="4"/>
  <c r="J817" i="4"/>
  <c r="J816" i="4"/>
  <c r="J815" i="4"/>
  <c r="J814" i="4"/>
  <c r="J813" i="4"/>
  <c r="J812" i="4"/>
  <c r="J811" i="4"/>
  <c r="J810" i="4"/>
  <c r="J809" i="4"/>
  <c r="J808" i="4"/>
  <c r="J807" i="4"/>
  <c r="J806" i="4"/>
  <c r="J805" i="4"/>
  <c r="J804" i="4"/>
  <c r="J803" i="4"/>
  <c r="J802" i="4"/>
  <c r="J801" i="4"/>
  <c r="J800" i="4"/>
  <c r="J799" i="4"/>
  <c r="J798" i="4"/>
  <c r="J797" i="4"/>
  <c r="J796" i="4"/>
  <c r="J795" i="4"/>
  <c r="J794" i="4"/>
  <c r="J793" i="4"/>
  <c r="J792" i="4"/>
  <c r="J791" i="4"/>
  <c r="J790" i="4"/>
  <c r="J789" i="4"/>
  <c r="J788" i="4"/>
  <c r="J787" i="4"/>
  <c r="J786" i="4"/>
  <c r="J785" i="4"/>
  <c r="J784" i="4"/>
  <c r="J783" i="4"/>
  <c r="J782" i="4"/>
  <c r="J781" i="4"/>
  <c r="J780" i="4"/>
  <c r="J779" i="4"/>
  <c r="J778" i="4"/>
  <c r="J777" i="4"/>
  <c r="J776" i="4"/>
  <c r="J775" i="4"/>
  <c r="J774" i="4"/>
  <c r="J773" i="4"/>
  <c r="J772" i="4"/>
  <c r="J771" i="4"/>
  <c r="J770" i="4"/>
  <c r="J769" i="4"/>
  <c r="J768" i="4"/>
  <c r="J767" i="4"/>
  <c r="J766" i="4"/>
  <c r="J765" i="4"/>
  <c r="J764" i="4"/>
  <c r="J763" i="4"/>
  <c r="J762" i="4"/>
  <c r="J761" i="4"/>
  <c r="J760" i="4"/>
  <c r="J759" i="4"/>
  <c r="J758" i="4"/>
  <c r="J757" i="4"/>
  <c r="J756" i="4"/>
  <c r="J755" i="4"/>
  <c r="J754" i="4"/>
  <c r="J753" i="4"/>
  <c r="J752" i="4"/>
  <c r="J751" i="4"/>
  <c r="J750" i="4"/>
  <c r="J749" i="4"/>
  <c r="J748" i="4"/>
  <c r="J747" i="4"/>
  <c r="J746" i="4"/>
  <c r="J745" i="4"/>
  <c r="J744" i="4"/>
  <c r="J743" i="4"/>
  <c r="J742" i="4"/>
  <c r="J741" i="4"/>
  <c r="J740" i="4"/>
  <c r="J739" i="4"/>
  <c r="J738" i="4"/>
  <c r="J737" i="4"/>
  <c r="J736" i="4"/>
  <c r="J735" i="4"/>
  <c r="J734" i="4"/>
  <c r="J733" i="4"/>
  <c r="J732" i="4"/>
  <c r="J731" i="4"/>
  <c r="J730" i="4"/>
  <c r="J729" i="4"/>
  <c r="J728" i="4"/>
  <c r="J727" i="4"/>
  <c r="J726" i="4"/>
  <c r="J725" i="4"/>
  <c r="J724" i="4"/>
  <c r="J723" i="4"/>
  <c r="J722" i="4"/>
  <c r="J721" i="4"/>
  <c r="J720" i="4"/>
  <c r="J719" i="4"/>
  <c r="J718" i="4"/>
  <c r="J717" i="4"/>
  <c r="J716" i="4"/>
  <c r="J715" i="4"/>
  <c r="J714" i="4"/>
  <c r="J713" i="4"/>
  <c r="J712" i="4"/>
  <c r="J711" i="4"/>
  <c r="J710" i="4"/>
  <c r="J709" i="4"/>
  <c r="J708" i="4"/>
  <c r="J707" i="4"/>
  <c r="J706" i="4"/>
  <c r="J705" i="4"/>
  <c r="J704" i="4"/>
  <c r="J703" i="4"/>
  <c r="J702" i="4"/>
  <c r="J701" i="4"/>
  <c r="J700" i="4"/>
  <c r="J699" i="4"/>
  <c r="J698" i="4"/>
  <c r="J697" i="4"/>
  <c r="J696" i="4"/>
  <c r="J695" i="4"/>
  <c r="J694" i="4"/>
  <c r="J693" i="4"/>
  <c r="J692" i="4"/>
  <c r="J691" i="4"/>
  <c r="J690" i="4"/>
  <c r="J689" i="4"/>
  <c r="J688" i="4"/>
  <c r="J687" i="4"/>
  <c r="J686" i="4"/>
  <c r="J685" i="4"/>
  <c r="J684" i="4"/>
  <c r="J683" i="4"/>
  <c r="J682" i="4"/>
  <c r="J681" i="4"/>
  <c r="J680" i="4"/>
  <c r="J679" i="4"/>
  <c r="J678" i="4"/>
  <c r="J677" i="4"/>
  <c r="J676" i="4"/>
  <c r="J675" i="4"/>
  <c r="J674" i="4"/>
  <c r="J673" i="4"/>
  <c r="J672" i="4"/>
  <c r="J671" i="4"/>
  <c r="J670" i="4"/>
  <c r="J669" i="4"/>
  <c r="J668" i="4"/>
  <c r="J667" i="4"/>
  <c r="J666" i="4"/>
  <c r="J665" i="4"/>
  <c r="J664" i="4"/>
  <c r="J663" i="4"/>
  <c r="J662" i="4"/>
  <c r="J661" i="4"/>
  <c r="J660" i="4"/>
  <c r="J659" i="4"/>
  <c r="J658" i="4"/>
  <c r="J657" i="4"/>
  <c r="J656" i="4"/>
  <c r="J655" i="4"/>
  <c r="J654" i="4"/>
  <c r="J653" i="4"/>
  <c r="J652" i="4"/>
  <c r="J651" i="4"/>
  <c r="J650" i="4"/>
  <c r="J649" i="4"/>
  <c r="J648" i="4"/>
  <c r="J647" i="4"/>
  <c r="J646" i="4"/>
  <c r="J645" i="4"/>
  <c r="J644" i="4"/>
  <c r="J643" i="4"/>
  <c r="J642" i="4"/>
  <c r="J641" i="4"/>
  <c r="J640" i="4"/>
  <c r="J639" i="4"/>
  <c r="J638" i="4"/>
  <c r="J637" i="4"/>
  <c r="J636" i="4"/>
  <c r="J635" i="4"/>
  <c r="J634" i="4"/>
  <c r="J633" i="4"/>
  <c r="J632" i="4"/>
  <c r="J631" i="4"/>
  <c r="J630" i="4"/>
  <c r="J629" i="4"/>
  <c r="J628" i="4"/>
  <c r="J627" i="4"/>
  <c r="J626" i="4"/>
  <c r="J625" i="4"/>
  <c r="J624" i="4"/>
  <c r="J623" i="4"/>
  <c r="J622" i="4"/>
  <c r="J621" i="4"/>
  <c r="J620" i="4"/>
  <c r="J619" i="4"/>
  <c r="J618" i="4"/>
  <c r="J617" i="4"/>
  <c r="J616" i="4"/>
  <c r="J615" i="4"/>
  <c r="J614" i="4"/>
  <c r="J613" i="4"/>
  <c r="J612" i="4"/>
  <c r="J611" i="4"/>
  <c r="J610" i="4"/>
  <c r="J609" i="4"/>
  <c r="J608" i="4"/>
  <c r="J607" i="4"/>
  <c r="J606" i="4"/>
  <c r="J605" i="4"/>
  <c r="J604" i="4"/>
  <c r="J603" i="4"/>
  <c r="J602" i="4"/>
  <c r="J601" i="4"/>
  <c r="J600" i="4"/>
  <c r="J599" i="4"/>
  <c r="J598" i="4"/>
  <c r="J597" i="4"/>
  <c r="J596" i="4"/>
  <c r="J595" i="4"/>
  <c r="J594" i="4"/>
  <c r="J593" i="4"/>
  <c r="J592" i="4"/>
  <c r="J591" i="4"/>
  <c r="J590" i="4"/>
  <c r="J589" i="4"/>
  <c r="J588" i="4"/>
  <c r="J587" i="4"/>
  <c r="J586" i="4"/>
  <c r="J585" i="4"/>
  <c r="J584" i="4"/>
  <c r="J583" i="4"/>
  <c r="J582" i="4"/>
  <c r="J581" i="4"/>
  <c r="J580" i="4"/>
  <c r="J579" i="4"/>
  <c r="J578" i="4"/>
  <c r="J577" i="4"/>
  <c r="J576" i="4"/>
  <c r="J575" i="4"/>
  <c r="J574" i="4"/>
  <c r="J573" i="4"/>
  <c r="J572" i="4"/>
  <c r="J571" i="4"/>
  <c r="J570" i="4"/>
  <c r="J569" i="4"/>
  <c r="J568" i="4"/>
  <c r="J567" i="4"/>
  <c r="J566" i="4"/>
  <c r="J565" i="4"/>
  <c r="J564" i="4"/>
  <c r="J563" i="4"/>
  <c r="J562" i="4"/>
  <c r="J561" i="4"/>
  <c r="J560" i="4"/>
  <c r="J559" i="4"/>
  <c r="J558" i="4"/>
  <c r="J557" i="4"/>
  <c r="J556" i="4"/>
  <c r="J555" i="4"/>
  <c r="J554" i="4"/>
  <c r="J553" i="4"/>
  <c r="J552" i="4"/>
  <c r="J551" i="4"/>
  <c r="J550" i="4"/>
  <c r="J549" i="4"/>
  <c r="J548" i="4"/>
  <c r="J547" i="4"/>
  <c r="J546" i="4"/>
  <c r="J545" i="4"/>
  <c r="J544" i="4"/>
  <c r="J543" i="4"/>
  <c r="J542" i="4"/>
  <c r="J541" i="4"/>
  <c r="J540" i="4"/>
  <c r="J539" i="4"/>
  <c r="J538" i="4"/>
  <c r="J537" i="4"/>
  <c r="J536" i="4"/>
  <c r="J535" i="4"/>
  <c r="J534" i="4"/>
  <c r="J533" i="4"/>
  <c r="J532" i="4"/>
  <c r="J531" i="4"/>
  <c r="J530" i="4"/>
  <c r="J529" i="4"/>
  <c r="J528" i="4"/>
  <c r="J527" i="4"/>
  <c r="J526" i="4"/>
  <c r="J525" i="4"/>
  <c r="J524" i="4"/>
  <c r="J523" i="4"/>
  <c r="J522" i="4"/>
  <c r="J521" i="4"/>
  <c r="J520" i="4"/>
  <c r="J519" i="4"/>
  <c r="J518" i="4"/>
  <c r="J517" i="4"/>
  <c r="J516" i="4"/>
  <c r="J515" i="4"/>
  <c r="J514" i="4"/>
  <c r="J513" i="4"/>
  <c r="J512" i="4"/>
  <c r="J511" i="4"/>
  <c r="J510" i="4"/>
  <c r="J509" i="4"/>
  <c r="J508" i="4"/>
  <c r="J507" i="4"/>
  <c r="J506" i="4"/>
  <c r="J505" i="4"/>
  <c r="J504" i="4"/>
  <c r="J503" i="4"/>
  <c r="J502" i="4"/>
  <c r="J501" i="4"/>
  <c r="J500" i="4"/>
  <c r="J499" i="4"/>
  <c r="J498" i="4"/>
  <c r="J497" i="4"/>
  <c r="J496" i="4"/>
  <c r="J495" i="4"/>
  <c r="J494" i="4"/>
  <c r="J493" i="4"/>
  <c r="J492" i="4"/>
  <c r="J491" i="4"/>
  <c r="J490" i="4"/>
  <c r="J489" i="4"/>
  <c r="J488" i="4"/>
  <c r="J487" i="4"/>
  <c r="J486" i="4"/>
  <c r="J485" i="4"/>
  <c r="J484" i="4"/>
  <c r="J483" i="4"/>
  <c r="J482" i="4"/>
  <c r="J481" i="4"/>
  <c r="J480" i="4"/>
  <c r="J479" i="4"/>
  <c r="J478" i="4"/>
  <c r="J477" i="4"/>
  <c r="J476" i="4"/>
  <c r="J475" i="4"/>
  <c r="J474" i="4"/>
  <c r="J473" i="4"/>
  <c r="J472" i="4"/>
  <c r="J471" i="4"/>
  <c r="J470" i="4"/>
  <c r="J469" i="4"/>
  <c r="J468" i="4"/>
  <c r="J467" i="4"/>
  <c r="J466" i="4"/>
  <c r="J465" i="4"/>
  <c r="J464" i="4"/>
  <c r="J463" i="4"/>
  <c r="J462" i="4"/>
  <c r="J461" i="4"/>
  <c r="J460" i="4"/>
  <c r="J459" i="4"/>
  <c r="J458" i="4"/>
  <c r="J457" i="4"/>
  <c r="J456" i="4"/>
  <c r="J455" i="4"/>
  <c r="J454" i="4"/>
  <c r="J453" i="4"/>
  <c r="J452" i="4"/>
  <c r="J451" i="4"/>
  <c r="J450" i="4"/>
  <c r="J449" i="4"/>
  <c r="J448" i="4"/>
  <c r="J447" i="4"/>
  <c r="J446" i="4"/>
  <c r="J445" i="4"/>
  <c r="J444" i="4"/>
  <c r="J443" i="4"/>
  <c r="J442" i="4"/>
  <c r="J441" i="4"/>
  <c r="J440" i="4"/>
  <c r="J439" i="4"/>
  <c r="J438" i="4"/>
  <c r="J437" i="4"/>
  <c r="J436" i="4"/>
  <c r="J435" i="4"/>
  <c r="J434" i="4"/>
  <c r="J433" i="4"/>
  <c r="J432" i="4"/>
  <c r="J431" i="4"/>
  <c r="J430" i="4"/>
  <c r="J429" i="4"/>
  <c r="J428" i="4"/>
  <c r="J427" i="4"/>
  <c r="J426" i="4"/>
  <c r="J425" i="4"/>
  <c r="J424" i="4"/>
  <c r="J423" i="4"/>
  <c r="J422" i="4"/>
  <c r="J421" i="4"/>
  <c r="J420" i="4"/>
  <c r="J419" i="4"/>
  <c r="J418" i="4"/>
  <c r="J417" i="4"/>
  <c r="J416" i="4"/>
  <c r="J415" i="4"/>
  <c r="J414" i="4"/>
  <c r="J413" i="4"/>
  <c r="J412" i="4"/>
  <c r="J411" i="4"/>
  <c r="J410" i="4"/>
  <c r="J409" i="4"/>
  <c r="J408" i="4"/>
  <c r="J407" i="4"/>
  <c r="J406" i="4"/>
  <c r="J405" i="4"/>
  <c r="J404" i="4"/>
  <c r="J403" i="4"/>
  <c r="J402" i="4"/>
  <c r="J401" i="4"/>
  <c r="J400" i="4"/>
  <c r="J399" i="4"/>
  <c r="J398" i="4"/>
  <c r="J397" i="4"/>
  <c r="J396" i="4"/>
  <c r="J395" i="4"/>
  <c r="J394" i="4"/>
  <c r="J393" i="4"/>
  <c r="J392" i="4"/>
  <c r="J391" i="4"/>
  <c r="J390" i="4"/>
  <c r="J389" i="4"/>
  <c r="J388" i="4"/>
  <c r="J387" i="4"/>
  <c r="J386" i="4"/>
  <c r="J385" i="4"/>
  <c r="J384" i="4"/>
  <c r="J383" i="4"/>
  <c r="J382" i="4"/>
  <c r="J381" i="4"/>
  <c r="J380" i="4"/>
  <c r="J379" i="4"/>
  <c r="J378" i="4"/>
  <c r="J377" i="4"/>
  <c r="J376" i="4"/>
  <c r="J375" i="4"/>
  <c r="J374" i="4"/>
  <c r="J373" i="4"/>
  <c r="J372" i="4"/>
  <c r="J371" i="4"/>
  <c r="J370" i="4"/>
  <c r="J369" i="4"/>
  <c r="J368" i="4"/>
  <c r="J367" i="4"/>
  <c r="J366" i="4"/>
  <c r="J365" i="4"/>
  <c r="J364" i="4"/>
  <c r="J363" i="4"/>
  <c r="J362" i="4"/>
  <c r="J361" i="4"/>
  <c r="J360" i="4"/>
  <c r="J359" i="4"/>
  <c r="J358" i="4"/>
  <c r="J357" i="4"/>
  <c r="J356" i="4"/>
  <c r="J355" i="4"/>
  <c r="J354" i="4"/>
  <c r="J353" i="4"/>
  <c r="J352" i="4"/>
  <c r="J351" i="4"/>
  <c r="J350" i="4"/>
  <c r="J349" i="4"/>
  <c r="J348" i="4"/>
  <c r="J347" i="4"/>
  <c r="J346" i="4"/>
  <c r="J345" i="4"/>
  <c r="J344" i="4"/>
  <c r="J343" i="4"/>
  <c r="J342" i="4"/>
  <c r="J341" i="4"/>
  <c r="J340" i="4"/>
  <c r="J339" i="4"/>
  <c r="J338" i="4"/>
  <c r="J337" i="4"/>
  <c r="J336" i="4"/>
  <c r="J335" i="4"/>
  <c r="J334" i="4"/>
  <c r="J333" i="4"/>
  <c r="J332" i="4"/>
  <c r="J331" i="4"/>
  <c r="J330" i="4"/>
  <c r="J329" i="4"/>
  <c r="J328" i="4"/>
  <c r="J327" i="4"/>
  <c r="J326" i="4"/>
  <c r="J325" i="4"/>
  <c r="J324" i="4"/>
  <c r="J323" i="4"/>
  <c r="J322" i="4"/>
  <c r="J321" i="4"/>
  <c r="J320" i="4"/>
  <c r="J319" i="4"/>
  <c r="J318" i="4"/>
  <c r="J317" i="4"/>
  <c r="J316" i="4"/>
  <c r="J315" i="4"/>
  <c r="J314" i="4"/>
  <c r="J313" i="4"/>
  <c r="J312" i="4"/>
  <c r="J311" i="4"/>
  <c r="J310" i="4"/>
  <c r="J309" i="4"/>
  <c r="J308" i="4"/>
  <c r="J307" i="4"/>
  <c r="J306" i="4"/>
  <c r="J305" i="4"/>
  <c r="J304" i="4"/>
  <c r="J303" i="4"/>
  <c r="J302" i="4"/>
  <c r="J301" i="4"/>
  <c r="J300" i="4"/>
  <c r="J299" i="4"/>
  <c r="J298" i="4"/>
  <c r="J297" i="4"/>
  <c r="J296" i="4"/>
  <c r="J295" i="4"/>
  <c r="J294" i="4"/>
  <c r="J293" i="4"/>
  <c r="J292" i="4"/>
  <c r="J291" i="4"/>
  <c r="J290" i="4"/>
  <c r="J289" i="4"/>
  <c r="J288" i="4"/>
  <c r="J287" i="4"/>
  <c r="J286" i="4"/>
  <c r="J285" i="4"/>
  <c r="J284" i="4"/>
  <c r="J283" i="4"/>
  <c r="J282" i="4"/>
  <c r="J281" i="4"/>
  <c r="J280" i="4"/>
  <c r="J279" i="4"/>
  <c r="J278" i="4"/>
  <c r="J277" i="4"/>
  <c r="J276" i="4"/>
  <c r="J275" i="4"/>
  <c r="J274" i="4"/>
  <c r="J273" i="4"/>
  <c r="J272" i="4"/>
  <c r="J271" i="4"/>
  <c r="J270" i="4"/>
  <c r="J269" i="4"/>
  <c r="J268" i="4"/>
  <c r="J267" i="4"/>
  <c r="J266" i="4"/>
  <c r="J265" i="4"/>
  <c r="J264" i="4"/>
  <c r="J263" i="4"/>
  <c r="J262" i="4"/>
  <c r="J261" i="4"/>
  <c r="J260" i="4"/>
  <c r="J259" i="4"/>
  <c r="J258" i="4"/>
  <c r="J257" i="4"/>
  <c r="J256" i="4"/>
  <c r="J255" i="4"/>
  <c r="J254" i="4"/>
  <c r="J253" i="4"/>
  <c r="J252" i="4"/>
  <c r="J251" i="4"/>
  <c r="J250" i="4"/>
  <c r="J249" i="4"/>
  <c r="J248" i="4"/>
  <c r="J247" i="4"/>
  <c r="J246" i="4"/>
  <c r="J245" i="4"/>
  <c r="J244" i="4"/>
  <c r="J243" i="4"/>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168" i="5"/>
  <c r="J1167" i="5"/>
  <c r="J1166" i="5"/>
  <c r="J1165" i="5"/>
  <c r="J1164" i="5"/>
  <c r="J1163" i="5"/>
  <c r="J1162" i="5"/>
  <c r="J1161" i="5"/>
  <c r="J1160" i="5"/>
  <c r="J1159" i="5"/>
  <c r="J1158" i="5"/>
  <c r="J1157" i="5"/>
  <c r="J1156" i="5"/>
  <c r="J1155" i="5"/>
  <c r="J1154" i="5"/>
  <c r="J1153" i="5"/>
  <c r="J1152" i="5"/>
  <c r="J1151" i="5"/>
  <c r="J1150" i="5"/>
  <c r="J1149" i="5"/>
  <c r="J1148" i="5"/>
  <c r="J1147" i="5"/>
  <c r="J1146" i="5"/>
  <c r="J1145" i="5"/>
  <c r="J1144" i="5"/>
  <c r="J1143" i="5"/>
  <c r="J1142" i="5"/>
  <c r="J1141" i="5"/>
  <c r="J1140" i="5"/>
  <c r="J1139" i="5"/>
  <c r="J1138" i="5"/>
  <c r="J1137" i="5"/>
  <c r="J1136" i="5"/>
  <c r="J1135" i="5"/>
  <c r="J1134" i="5"/>
  <c r="J1133" i="5"/>
  <c r="J1132" i="5"/>
  <c r="J1131" i="5"/>
  <c r="J1130" i="5"/>
  <c r="J1129" i="5"/>
  <c r="J1128" i="5"/>
  <c r="J1127" i="5"/>
  <c r="J1126" i="5"/>
  <c r="J1125" i="5"/>
  <c r="J1124" i="5"/>
  <c r="J1123" i="5"/>
  <c r="J1122" i="5"/>
  <c r="J1121" i="5"/>
  <c r="J1120" i="5"/>
  <c r="J1119" i="5"/>
  <c r="J1118" i="5"/>
  <c r="J1117" i="5"/>
  <c r="J1116" i="5"/>
  <c r="J1115" i="5"/>
  <c r="J1114" i="5"/>
  <c r="J1113" i="5"/>
  <c r="J1112" i="5"/>
  <c r="J1111" i="5"/>
  <c r="J1110" i="5"/>
  <c r="J1109" i="5"/>
  <c r="J1108" i="5"/>
  <c r="J1107" i="5"/>
  <c r="J1106" i="5"/>
  <c r="J1105" i="5"/>
  <c r="J1104" i="5"/>
  <c r="J1103" i="5"/>
  <c r="J1102" i="5"/>
  <c r="J1101" i="5"/>
  <c r="J1100" i="5"/>
  <c r="J1099" i="5"/>
  <c r="J1098" i="5"/>
  <c r="J1097" i="5"/>
  <c r="J1096" i="5"/>
  <c r="J1095" i="5"/>
  <c r="J1094" i="5"/>
  <c r="J1093" i="5"/>
  <c r="J1092" i="5"/>
  <c r="J1091" i="5"/>
  <c r="J1090" i="5"/>
  <c r="J1089" i="5"/>
  <c r="J1088" i="5"/>
  <c r="J1087" i="5"/>
  <c r="J1086" i="5"/>
  <c r="J1085" i="5"/>
  <c r="J1084" i="5"/>
  <c r="J1083" i="5"/>
  <c r="J1082" i="5"/>
  <c r="J1081" i="5"/>
  <c r="J1080" i="5"/>
  <c r="J1079" i="5"/>
  <c r="J1078" i="5"/>
  <c r="J1077" i="5"/>
  <c r="J1076" i="5"/>
  <c r="J1075" i="5"/>
  <c r="J1074" i="5"/>
  <c r="J1073" i="5"/>
  <c r="J1072" i="5"/>
  <c r="J1071" i="5"/>
  <c r="J1070" i="5"/>
  <c r="J1069" i="5"/>
  <c r="J1068" i="5"/>
  <c r="J1067" i="5"/>
  <c r="J1066" i="5"/>
  <c r="J1065" i="5"/>
  <c r="J1064" i="5"/>
  <c r="J1063" i="5"/>
  <c r="J1062" i="5"/>
  <c r="J1061" i="5"/>
  <c r="J1060" i="5"/>
  <c r="J1059" i="5"/>
  <c r="J1058" i="5"/>
  <c r="J1057" i="5"/>
  <c r="J1056" i="5"/>
  <c r="J1055" i="5"/>
  <c r="J1054" i="5"/>
  <c r="J1053" i="5"/>
  <c r="J1052" i="5"/>
  <c r="J1051" i="5"/>
  <c r="J1050" i="5"/>
  <c r="J1049" i="5"/>
  <c r="J1048" i="5"/>
  <c r="J1047" i="5"/>
  <c r="J1046" i="5"/>
  <c r="J1045" i="5"/>
  <c r="J1044" i="5"/>
  <c r="J1043" i="5"/>
  <c r="J1042" i="5"/>
  <c r="J1041" i="5"/>
  <c r="J1040" i="5"/>
  <c r="J1039" i="5"/>
  <c r="J1038" i="5"/>
  <c r="J1037" i="5"/>
  <c r="J1036" i="5"/>
  <c r="J1035" i="5"/>
  <c r="J1034" i="5"/>
  <c r="J1033" i="5"/>
  <c r="J1032" i="5"/>
  <c r="J1031" i="5"/>
  <c r="J1030" i="5"/>
  <c r="J1029" i="5"/>
  <c r="J1028" i="5"/>
  <c r="J1027" i="5"/>
  <c r="J1026" i="5"/>
  <c r="J1025" i="5"/>
  <c r="J1024" i="5"/>
  <c r="J1023" i="5"/>
  <c r="J1022" i="5"/>
  <c r="J1021" i="5"/>
  <c r="J1020" i="5"/>
  <c r="J1019" i="5"/>
  <c r="J1018" i="5"/>
  <c r="J1017" i="5"/>
  <c r="J1016" i="5"/>
  <c r="J1015" i="5"/>
  <c r="J1014" i="5"/>
  <c r="J1013" i="5"/>
  <c r="J1012" i="5"/>
  <c r="J1011" i="5"/>
  <c r="J1010" i="5"/>
  <c r="J1009" i="5"/>
  <c r="J1008" i="5"/>
  <c r="J1007" i="5"/>
  <c r="J1006" i="5"/>
  <c r="J1005" i="5"/>
  <c r="J1004" i="5"/>
  <c r="J1003" i="5"/>
  <c r="J1002" i="5"/>
  <c r="J1001" i="5"/>
  <c r="J1000" i="5"/>
  <c r="J999" i="5"/>
  <c r="J998" i="5"/>
  <c r="J997" i="5"/>
  <c r="J996" i="5"/>
  <c r="J995" i="5"/>
  <c r="J994" i="5"/>
  <c r="J993" i="5"/>
  <c r="J992" i="5"/>
  <c r="J991" i="5"/>
  <c r="J990" i="5"/>
  <c r="J989" i="5"/>
  <c r="J988" i="5"/>
  <c r="J987" i="5"/>
  <c r="J986" i="5"/>
  <c r="J985" i="5"/>
  <c r="J984" i="5"/>
  <c r="J983" i="5"/>
  <c r="J982" i="5"/>
  <c r="J981" i="5"/>
  <c r="J980" i="5"/>
  <c r="J979" i="5"/>
  <c r="J978" i="5"/>
  <c r="J977" i="5"/>
  <c r="J976" i="5"/>
  <c r="J975" i="5"/>
  <c r="J974" i="5"/>
  <c r="J973" i="5"/>
  <c r="J972" i="5"/>
  <c r="J971" i="5"/>
  <c r="J970" i="5"/>
  <c r="J969" i="5"/>
  <c r="J968" i="5"/>
  <c r="J967" i="5"/>
  <c r="J966" i="5"/>
  <c r="J965" i="5"/>
  <c r="J964" i="5"/>
  <c r="J963" i="5"/>
  <c r="J962" i="5"/>
  <c r="J961" i="5"/>
  <c r="J960" i="5"/>
  <c r="J959" i="5"/>
  <c r="J958" i="5"/>
  <c r="J957" i="5"/>
  <c r="J956" i="5"/>
  <c r="J955" i="5"/>
  <c r="J954" i="5"/>
  <c r="J953" i="5"/>
  <c r="J952" i="5"/>
  <c r="J951" i="5"/>
  <c r="J950" i="5"/>
  <c r="J949" i="5"/>
  <c r="J948" i="5"/>
  <c r="J947" i="5"/>
  <c r="J946" i="5"/>
  <c r="J945" i="5"/>
  <c r="J944" i="5"/>
  <c r="J943" i="5"/>
  <c r="J942" i="5"/>
  <c r="J941" i="5"/>
  <c r="J940" i="5"/>
  <c r="J939" i="5"/>
  <c r="J938" i="5"/>
  <c r="J937" i="5"/>
  <c r="J936" i="5"/>
  <c r="J935" i="5"/>
  <c r="J934" i="5"/>
  <c r="J933" i="5"/>
  <c r="J932" i="5"/>
  <c r="J931" i="5"/>
  <c r="J930" i="5"/>
  <c r="J929" i="5"/>
  <c r="J928" i="5"/>
  <c r="J927" i="5"/>
  <c r="J926" i="5"/>
  <c r="J925" i="5"/>
  <c r="J924" i="5"/>
  <c r="J923" i="5"/>
  <c r="J922" i="5"/>
  <c r="J921" i="5"/>
  <c r="J920" i="5"/>
  <c r="J919" i="5"/>
  <c r="J918" i="5"/>
  <c r="J917" i="5"/>
  <c r="J916" i="5"/>
  <c r="J915" i="5"/>
  <c r="J914" i="5"/>
  <c r="J913" i="5"/>
  <c r="J912" i="5"/>
  <c r="J911" i="5"/>
  <c r="J910" i="5"/>
  <c r="J909" i="5"/>
  <c r="J908" i="5"/>
  <c r="J907" i="5"/>
  <c r="J906" i="5"/>
  <c r="J905" i="5"/>
  <c r="J904" i="5"/>
  <c r="J903" i="5"/>
  <c r="J902" i="5"/>
  <c r="J901" i="5"/>
  <c r="J900" i="5"/>
  <c r="J899" i="5"/>
  <c r="J898" i="5"/>
  <c r="J897" i="5"/>
  <c r="J896" i="5"/>
  <c r="J895" i="5"/>
  <c r="J894" i="5"/>
  <c r="J893" i="5"/>
  <c r="J892" i="5"/>
  <c r="J891" i="5"/>
  <c r="J890" i="5"/>
  <c r="J889" i="5"/>
  <c r="J888" i="5"/>
  <c r="J887" i="5"/>
  <c r="J886" i="5"/>
  <c r="J885" i="5"/>
  <c r="J884" i="5"/>
  <c r="J883" i="5"/>
  <c r="J882" i="5"/>
  <c r="J881" i="5"/>
  <c r="J880" i="5"/>
  <c r="J879" i="5"/>
  <c r="J878" i="5"/>
  <c r="J877" i="5"/>
  <c r="J876" i="5"/>
  <c r="J875" i="5"/>
  <c r="J874" i="5"/>
  <c r="J873" i="5"/>
  <c r="J872" i="5"/>
  <c r="J871" i="5"/>
  <c r="J870" i="5"/>
  <c r="J869" i="5"/>
  <c r="J868" i="5"/>
  <c r="J867" i="5"/>
  <c r="J866" i="5"/>
  <c r="J865" i="5"/>
  <c r="J864" i="5"/>
  <c r="J863" i="5"/>
  <c r="J862" i="5"/>
  <c r="J861" i="5"/>
  <c r="J860" i="5"/>
  <c r="J859" i="5"/>
  <c r="J858" i="5"/>
  <c r="J857" i="5"/>
  <c r="J856" i="5"/>
  <c r="J855" i="5"/>
  <c r="J854" i="5"/>
  <c r="J853" i="5"/>
  <c r="J852" i="5"/>
  <c r="J851" i="5"/>
  <c r="J850" i="5"/>
  <c r="J849" i="5"/>
  <c r="J848" i="5"/>
  <c r="J847" i="5"/>
  <c r="J846" i="5"/>
  <c r="J845" i="5"/>
  <c r="J844" i="5"/>
  <c r="J843" i="5"/>
  <c r="J842" i="5"/>
  <c r="J841" i="5"/>
  <c r="J840" i="5"/>
  <c r="J839" i="5"/>
  <c r="J838" i="5"/>
  <c r="J837" i="5"/>
  <c r="J836" i="5"/>
  <c r="J835" i="5"/>
  <c r="J834" i="5"/>
  <c r="J833" i="5"/>
  <c r="J832" i="5"/>
  <c r="J831" i="5"/>
  <c r="J830" i="5"/>
  <c r="J829" i="5"/>
  <c r="J828" i="5"/>
  <c r="J827" i="5"/>
  <c r="J826" i="5"/>
  <c r="J825" i="5"/>
  <c r="J824" i="5"/>
  <c r="J823" i="5"/>
  <c r="J822" i="5"/>
  <c r="J821" i="5"/>
  <c r="J820" i="5"/>
  <c r="J819" i="5"/>
  <c r="J818" i="5"/>
  <c r="J817" i="5"/>
  <c r="J816" i="5"/>
  <c r="J815" i="5"/>
  <c r="J814" i="5"/>
  <c r="J813" i="5"/>
  <c r="J812" i="5"/>
  <c r="J811" i="5"/>
  <c r="J810" i="5"/>
  <c r="J809" i="5"/>
  <c r="J808" i="5"/>
  <c r="J807" i="5"/>
  <c r="J806" i="5"/>
  <c r="J805" i="5"/>
  <c r="J804" i="5"/>
  <c r="J803" i="5"/>
  <c r="J802" i="5"/>
  <c r="J801" i="5"/>
  <c r="J800" i="5"/>
  <c r="J799" i="5"/>
  <c r="J798" i="5"/>
  <c r="J797" i="5"/>
  <c r="J796" i="5"/>
  <c r="J795" i="5"/>
  <c r="J794" i="5"/>
  <c r="J793" i="5"/>
  <c r="J792" i="5"/>
  <c r="J791" i="5"/>
  <c r="J790" i="5"/>
  <c r="J789" i="5"/>
  <c r="J788" i="5"/>
  <c r="J787" i="5"/>
  <c r="J786" i="5"/>
  <c r="J785" i="5"/>
  <c r="J784" i="5"/>
  <c r="J783" i="5"/>
  <c r="J782" i="5"/>
  <c r="J781" i="5"/>
  <c r="J780" i="5"/>
  <c r="J779" i="5"/>
  <c r="J778" i="5"/>
  <c r="J777" i="5"/>
  <c r="J776" i="5"/>
  <c r="J775" i="5"/>
  <c r="J774" i="5"/>
  <c r="J773" i="5"/>
  <c r="J772" i="5"/>
  <c r="J771" i="5"/>
  <c r="J770" i="5"/>
  <c r="J769" i="5"/>
  <c r="J768" i="5"/>
  <c r="J767" i="5"/>
  <c r="J766" i="5"/>
  <c r="J765" i="5"/>
  <c r="J764" i="5"/>
  <c r="J763" i="5"/>
  <c r="J762" i="5"/>
  <c r="J761" i="5"/>
  <c r="J760" i="5"/>
  <c r="J759" i="5"/>
  <c r="J758" i="5"/>
  <c r="J757" i="5"/>
  <c r="J756" i="5"/>
  <c r="J755" i="5"/>
  <c r="J754" i="5"/>
  <c r="J753" i="5"/>
  <c r="J752" i="5"/>
  <c r="J751" i="5"/>
  <c r="J750" i="5"/>
  <c r="J749" i="5"/>
  <c r="J748" i="5"/>
  <c r="J747" i="5"/>
  <c r="J746" i="5"/>
  <c r="J745" i="5"/>
  <c r="J744" i="5"/>
  <c r="J743" i="5"/>
  <c r="J742" i="5"/>
  <c r="J741" i="5"/>
  <c r="J740" i="5"/>
  <c r="J739" i="5"/>
  <c r="J738" i="5"/>
  <c r="J737" i="5"/>
  <c r="J736" i="5"/>
  <c r="J735" i="5"/>
  <c r="J734" i="5"/>
  <c r="J733" i="5"/>
  <c r="J732" i="5"/>
  <c r="J731" i="5"/>
  <c r="J730" i="5"/>
  <c r="J729" i="5"/>
  <c r="J728" i="5"/>
  <c r="J727" i="5"/>
  <c r="J726" i="5"/>
  <c r="J725" i="5"/>
  <c r="J724" i="5"/>
  <c r="J723" i="5"/>
  <c r="J722" i="5"/>
  <c r="J721" i="5"/>
  <c r="J720" i="5"/>
  <c r="J719" i="5"/>
  <c r="J718" i="5"/>
  <c r="J717" i="5"/>
  <c r="J716" i="5"/>
  <c r="J715" i="5"/>
  <c r="J714" i="5"/>
  <c r="J713" i="5"/>
  <c r="J712" i="5"/>
  <c r="J711" i="5"/>
  <c r="J710" i="5"/>
  <c r="J709" i="5"/>
  <c r="J708" i="5"/>
  <c r="J707" i="5"/>
  <c r="J706" i="5"/>
  <c r="J705" i="5"/>
  <c r="J704" i="5"/>
  <c r="J703" i="5"/>
  <c r="J702" i="5"/>
  <c r="J701" i="5"/>
  <c r="J700" i="5"/>
  <c r="J699" i="5"/>
  <c r="J698" i="5"/>
  <c r="J697" i="5"/>
  <c r="J696" i="5"/>
  <c r="J695" i="5"/>
  <c r="J694" i="5"/>
  <c r="J693" i="5"/>
  <c r="J692" i="5"/>
  <c r="J691" i="5"/>
  <c r="J690" i="5"/>
  <c r="J689" i="5"/>
  <c r="J688" i="5"/>
  <c r="J687" i="5"/>
  <c r="J686" i="5"/>
  <c r="J685" i="5"/>
  <c r="J684" i="5"/>
  <c r="J683" i="5"/>
  <c r="J682" i="5"/>
  <c r="J681" i="5"/>
  <c r="J680" i="5"/>
  <c r="J679" i="5"/>
  <c r="J678" i="5"/>
  <c r="J677" i="5"/>
  <c r="J676" i="5"/>
  <c r="J675" i="5"/>
  <c r="J674" i="5"/>
  <c r="J673" i="5"/>
  <c r="J672" i="5"/>
  <c r="J671" i="5"/>
  <c r="J670" i="5"/>
  <c r="J669" i="5"/>
  <c r="J668" i="5"/>
  <c r="J667" i="5"/>
  <c r="J666" i="5"/>
  <c r="J665" i="5"/>
  <c r="J664" i="5"/>
  <c r="J663" i="5"/>
  <c r="J662" i="5"/>
  <c r="J661" i="5"/>
  <c r="J660" i="5"/>
  <c r="J659" i="5"/>
  <c r="J658" i="5"/>
  <c r="J657" i="5"/>
  <c r="J656" i="5"/>
  <c r="J655" i="5"/>
  <c r="J654" i="5"/>
  <c r="J653" i="5"/>
  <c r="J652" i="5"/>
  <c r="J651" i="5"/>
  <c r="J650" i="5"/>
  <c r="J649" i="5"/>
  <c r="J648" i="5"/>
  <c r="J647" i="5"/>
  <c r="J646" i="5"/>
  <c r="J645" i="5"/>
  <c r="J644" i="5"/>
  <c r="J643" i="5"/>
  <c r="J642" i="5"/>
  <c r="J641" i="5"/>
  <c r="J640" i="5"/>
  <c r="J639" i="5"/>
  <c r="J638" i="5"/>
  <c r="J637" i="5"/>
  <c r="J636" i="5"/>
  <c r="J635" i="5"/>
  <c r="J634" i="5"/>
  <c r="J633" i="5"/>
  <c r="J632" i="5"/>
  <c r="J631" i="5"/>
  <c r="J630" i="5"/>
  <c r="J629" i="5"/>
  <c r="J628" i="5"/>
  <c r="J627" i="5"/>
  <c r="J626" i="5"/>
  <c r="J625" i="5"/>
  <c r="J624" i="5"/>
  <c r="J623" i="5"/>
  <c r="J622" i="5"/>
  <c r="J621" i="5"/>
  <c r="J620" i="5"/>
  <c r="J619" i="5"/>
  <c r="J618" i="5"/>
  <c r="J617" i="5"/>
  <c r="J616" i="5"/>
  <c r="J615" i="5"/>
  <c r="J614" i="5"/>
  <c r="J613" i="5"/>
  <c r="J612" i="5"/>
  <c r="J611" i="5"/>
  <c r="J610" i="5"/>
  <c r="J609" i="5"/>
  <c r="J608" i="5"/>
  <c r="J607" i="5"/>
  <c r="J606" i="5"/>
  <c r="J605" i="5"/>
  <c r="J604" i="5"/>
  <c r="J603" i="5"/>
  <c r="J602" i="5"/>
  <c r="J601" i="5"/>
  <c r="J600" i="5"/>
  <c r="J599" i="5"/>
  <c r="J598" i="5"/>
  <c r="J597" i="5"/>
  <c r="J596" i="5"/>
  <c r="J595" i="5"/>
  <c r="J594" i="5"/>
  <c r="J593" i="5"/>
  <c r="J592" i="5"/>
  <c r="J591" i="5"/>
  <c r="J590" i="5"/>
  <c r="J589" i="5"/>
  <c r="J588" i="5"/>
  <c r="J587" i="5"/>
  <c r="J586" i="5"/>
  <c r="J585" i="5"/>
  <c r="J584" i="5"/>
  <c r="J583" i="5"/>
  <c r="J582" i="5"/>
  <c r="J581" i="5"/>
  <c r="J580" i="5"/>
  <c r="J579" i="5"/>
  <c r="J578" i="5"/>
  <c r="J577" i="5"/>
  <c r="J576" i="5"/>
  <c r="J575" i="5"/>
  <c r="J574" i="5"/>
  <c r="J573" i="5"/>
  <c r="J572" i="5"/>
  <c r="J571" i="5"/>
  <c r="J570" i="5"/>
  <c r="J569" i="5"/>
  <c r="J568" i="5"/>
  <c r="J567" i="5"/>
  <c r="J566" i="5"/>
  <c r="J565" i="5"/>
  <c r="J564" i="5"/>
  <c r="J563" i="5"/>
  <c r="J562" i="5"/>
  <c r="J561" i="5"/>
  <c r="J560" i="5"/>
  <c r="J559" i="5"/>
  <c r="J558" i="5"/>
  <c r="J557" i="5"/>
  <c r="J556" i="5"/>
  <c r="J555" i="5"/>
  <c r="J554" i="5"/>
  <c r="J553" i="5"/>
  <c r="J552" i="5"/>
  <c r="J551" i="5"/>
  <c r="J550" i="5"/>
  <c r="J549" i="5"/>
  <c r="J548" i="5"/>
  <c r="J547" i="5"/>
  <c r="J546" i="5"/>
  <c r="J545" i="5"/>
  <c r="J544" i="5"/>
  <c r="J543" i="5"/>
  <c r="J542" i="5"/>
  <c r="J541" i="5"/>
  <c r="J540" i="5"/>
  <c r="J539" i="5"/>
  <c r="J538" i="5"/>
  <c r="J537" i="5"/>
  <c r="J536" i="5"/>
  <c r="J535" i="5"/>
  <c r="J534" i="5"/>
  <c r="J533" i="5"/>
  <c r="J532" i="5"/>
  <c r="J531" i="5"/>
  <c r="J530" i="5"/>
  <c r="J529" i="5"/>
  <c r="J528" i="5"/>
  <c r="J527" i="5"/>
  <c r="J526" i="5"/>
  <c r="J525" i="5"/>
  <c r="J524" i="5"/>
  <c r="J523" i="5"/>
  <c r="J522" i="5"/>
  <c r="J521" i="5"/>
  <c r="J520" i="5"/>
  <c r="J519" i="5"/>
  <c r="J518" i="5"/>
  <c r="J517" i="5"/>
  <c r="J516" i="5"/>
  <c r="J515" i="5"/>
  <c r="J514" i="5"/>
  <c r="J513" i="5"/>
  <c r="J512" i="5"/>
  <c r="J511" i="5"/>
  <c r="J510" i="5"/>
  <c r="J509" i="5"/>
  <c r="J508" i="5"/>
  <c r="J507" i="5"/>
  <c r="J506" i="5"/>
  <c r="J505" i="5"/>
  <c r="J504" i="5"/>
  <c r="J503" i="5"/>
  <c r="J502" i="5"/>
  <c r="J501" i="5"/>
  <c r="J500" i="5"/>
  <c r="J499" i="5"/>
  <c r="J498" i="5"/>
  <c r="J497" i="5"/>
  <c r="J496" i="5"/>
  <c r="J495" i="5"/>
  <c r="J494" i="5"/>
  <c r="J493" i="5"/>
  <c r="J492" i="5"/>
  <c r="J491" i="5"/>
  <c r="J490" i="5"/>
  <c r="J489" i="5"/>
  <c r="J488" i="5"/>
  <c r="J487" i="5"/>
  <c r="J486" i="5"/>
  <c r="J485" i="5"/>
  <c r="J484" i="5"/>
  <c r="J483" i="5"/>
  <c r="J482" i="5"/>
  <c r="J481" i="5"/>
  <c r="J480" i="5"/>
  <c r="J479" i="5"/>
  <c r="J478" i="5"/>
  <c r="J477" i="5"/>
  <c r="J476" i="5"/>
  <c r="J475" i="5"/>
  <c r="J474" i="5"/>
  <c r="J473" i="5"/>
  <c r="J472" i="5"/>
  <c r="J471" i="5"/>
  <c r="J470" i="5"/>
  <c r="J469" i="5"/>
  <c r="J468" i="5"/>
  <c r="J467" i="5"/>
  <c r="J466" i="5"/>
  <c r="J465" i="5"/>
  <c r="J464" i="5"/>
  <c r="J463" i="5"/>
  <c r="J462" i="5"/>
  <c r="J461" i="5"/>
  <c r="J460" i="5"/>
  <c r="J459" i="5"/>
  <c r="J458" i="5"/>
  <c r="J457" i="5"/>
  <c r="J456" i="5"/>
  <c r="J455" i="5"/>
  <c r="J454" i="5"/>
  <c r="J453" i="5"/>
  <c r="J452" i="5"/>
  <c r="J451" i="5"/>
  <c r="J450" i="5"/>
  <c r="J449" i="5"/>
  <c r="J448" i="5"/>
  <c r="J447" i="5"/>
  <c r="J446" i="5"/>
  <c r="J445" i="5"/>
  <c r="J444" i="5"/>
  <c r="J443" i="5"/>
  <c r="J442" i="5"/>
  <c r="J441" i="5"/>
  <c r="J440" i="5"/>
  <c r="J439" i="5"/>
  <c r="J438" i="5"/>
  <c r="J437" i="5"/>
  <c r="J436" i="5"/>
  <c r="J435" i="5"/>
  <c r="J434" i="5"/>
  <c r="J433" i="5"/>
  <c r="J432" i="5"/>
  <c r="J431" i="5"/>
  <c r="J430" i="5"/>
  <c r="J429" i="5"/>
  <c r="J428" i="5"/>
  <c r="J427" i="5"/>
  <c r="J426" i="5"/>
  <c r="J425" i="5"/>
  <c r="J424" i="5"/>
  <c r="J423" i="5"/>
  <c r="J422" i="5"/>
  <c r="J421" i="5"/>
  <c r="J420" i="5"/>
  <c r="J419" i="5"/>
  <c r="J418" i="5"/>
  <c r="J417" i="5"/>
  <c r="J416" i="5"/>
  <c r="J415" i="5"/>
  <c r="J414" i="5"/>
  <c r="J413" i="5"/>
  <c r="J412" i="5"/>
  <c r="J411" i="5"/>
  <c r="J410" i="5"/>
  <c r="J409" i="5"/>
  <c r="J408" i="5"/>
  <c r="J407" i="5"/>
  <c r="J406" i="5"/>
  <c r="J405" i="5"/>
  <c r="J404" i="5"/>
  <c r="J403" i="5"/>
  <c r="J402" i="5"/>
  <c r="J401" i="5"/>
  <c r="J400" i="5"/>
  <c r="J399" i="5"/>
  <c r="J398" i="5"/>
  <c r="J397" i="5"/>
  <c r="J396" i="5"/>
  <c r="J395" i="5"/>
  <c r="J394" i="5"/>
  <c r="J393" i="5"/>
  <c r="J392" i="5"/>
  <c r="J391" i="5"/>
  <c r="J390" i="5"/>
  <c r="J389" i="5"/>
  <c r="J388" i="5"/>
  <c r="J387" i="5"/>
  <c r="J386" i="5"/>
  <c r="J385" i="5"/>
  <c r="J384" i="5"/>
  <c r="J383" i="5"/>
  <c r="J382" i="5"/>
  <c r="J381" i="5"/>
  <c r="J380" i="5"/>
  <c r="J379" i="5"/>
  <c r="J378" i="5"/>
  <c r="J377" i="5"/>
  <c r="J376" i="5"/>
  <c r="J375" i="5"/>
  <c r="J374" i="5"/>
  <c r="J373" i="5"/>
  <c r="J372" i="5"/>
  <c r="J371" i="5"/>
  <c r="J370" i="5"/>
  <c r="J369" i="5"/>
  <c r="J368" i="5"/>
  <c r="J367" i="5"/>
  <c r="J366" i="5"/>
  <c r="J365" i="5"/>
  <c r="J364" i="5"/>
  <c r="J363" i="5"/>
  <c r="J362" i="5"/>
  <c r="J361" i="5"/>
  <c r="J360" i="5"/>
  <c r="J359" i="5"/>
  <c r="J358" i="5"/>
  <c r="J357" i="5"/>
  <c r="J356" i="5"/>
  <c r="J355" i="5"/>
  <c r="J354" i="5"/>
  <c r="J353" i="5"/>
  <c r="J352" i="5"/>
  <c r="J351" i="5"/>
  <c r="J350" i="5"/>
  <c r="J349" i="5"/>
  <c r="J348" i="5"/>
  <c r="J347" i="5"/>
  <c r="J346" i="5"/>
  <c r="J345" i="5"/>
  <c r="J344" i="5"/>
  <c r="J343" i="5"/>
  <c r="J342" i="5"/>
  <c r="J341" i="5"/>
  <c r="J340" i="5"/>
  <c r="J339" i="5"/>
  <c r="J338" i="5"/>
  <c r="J337" i="5"/>
  <c r="J336" i="5"/>
  <c r="J335" i="5"/>
  <c r="J334" i="5"/>
  <c r="J333" i="5"/>
  <c r="J332" i="5"/>
  <c r="J331" i="5"/>
  <c r="J330" i="5"/>
  <c r="J329" i="5"/>
  <c r="J328" i="5"/>
  <c r="J327" i="5"/>
  <c r="J326" i="5"/>
  <c r="J325" i="5"/>
  <c r="J324" i="5"/>
  <c r="J323" i="5"/>
  <c r="J322" i="5"/>
  <c r="J321" i="5"/>
  <c r="J320" i="5"/>
  <c r="J319" i="5"/>
  <c r="J318" i="5"/>
  <c r="J317" i="5"/>
  <c r="J316" i="5"/>
  <c r="J315" i="5"/>
  <c r="J314" i="5"/>
  <c r="J313" i="5"/>
  <c r="J312" i="5"/>
  <c r="J311" i="5"/>
  <c r="J310" i="5"/>
  <c r="J309" i="5"/>
  <c r="J308" i="5"/>
  <c r="J307" i="5"/>
  <c r="J306"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2" i="5"/>
  <c r="J251" i="5"/>
  <c r="J250" i="5"/>
  <c r="J249" i="5"/>
  <c r="J248" i="5"/>
  <c r="J247" i="5"/>
  <c r="J246" i="5"/>
  <c r="J245" i="5"/>
  <c r="J244" i="5"/>
  <c r="J243" i="5"/>
  <c r="J242" i="5"/>
  <c r="J241"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 r="J2071" i="5"/>
  <c r="J2070" i="5"/>
  <c r="J2069" i="5"/>
  <c r="J2068" i="5"/>
  <c r="J2067" i="5"/>
  <c r="J2066" i="5"/>
  <c r="J2065" i="5"/>
  <c r="J2064" i="5"/>
  <c r="J2063" i="5"/>
  <c r="J2062" i="5"/>
  <c r="J2061" i="5"/>
  <c r="J2060" i="5"/>
  <c r="J2059" i="5"/>
  <c r="J2058" i="5"/>
  <c r="J2057" i="5"/>
  <c r="J2056" i="5"/>
  <c r="J2055" i="5"/>
  <c r="J2054" i="5"/>
  <c r="J2053" i="5"/>
  <c r="J2052" i="5"/>
  <c r="J2051" i="5"/>
  <c r="J2050" i="5"/>
  <c r="J2049" i="5"/>
  <c r="J2048" i="5"/>
  <c r="J2047" i="5"/>
  <c r="J2046" i="5"/>
  <c r="J2045" i="5"/>
  <c r="J2044" i="5"/>
  <c r="J2043" i="5"/>
  <c r="J2042" i="5"/>
  <c r="J2041" i="5"/>
  <c r="J2040" i="5"/>
  <c r="J2039" i="5"/>
  <c r="J2038" i="5"/>
  <c r="J2037" i="5"/>
  <c r="J2036" i="5"/>
  <c r="J2035" i="5"/>
  <c r="J2034" i="5"/>
  <c r="J2033" i="5"/>
  <c r="J2032" i="5"/>
  <c r="J2031" i="5"/>
  <c r="J2030" i="5"/>
  <c r="J2029" i="5"/>
  <c r="J2028" i="5"/>
  <c r="J2027" i="5"/>
  <c r="J2026" i="5"/>
  <c r="J2025" i="5"/>
  <c r="J2024" i="5"/>
  <c r="J2023" i="5"/>
  <c r="J2022" i="5"/>
  <c r="J2021" i="5"/>
  <c r="J2020" i="5"/>
  <c r="J2019" i="5"/>
  <c r="J2018" i="5"/>
  <c r="J2017" i="5"/>
  <c r="J2016" i="5"/>
  <c r="J2015" i="5"/>
  <c r="J2014" i="5"/>
  <c r="J2013" i="5"/>
  <c r="J2012" i="5"/>
  <c r="J2011" i="5"/>
  <c r="J2010" i="5"/>
  <c r="J2009" i="5"/>
  <c r="J2008" i="5"/>
  <c r="J2007" i="5"/>
  <c r="J2006" i="5"/>
  <c r="J2005" i="5"/>
  <c r="J2004" i="5"/>
  <c r="J2003" i="5"/>
  <c r="J2002" i="5"/>
  <c r="J2001" i="5"/>
  <c r="J2000" i="5"/>
  <c r="J1999" i="5"/>
  <c r="J1998" i="5"/>
  <c r="J1997" i="5"/>
  <c r="J1996" i="5"/>
  <c r="J1995" i="5"/>
  <c r="J1994" i="5"/>
  <c r="J1993" i="5"/>
  <c r="J1992" i="5"/>
  <c r="J1991" i="5"/>
  <c r="J1990" i="5"/>
  <c r="J1989" i="5"/>
  <c r="J1988" i="5"/>
  <c r="J1987" i="5"/>
  <c r="J1986" i="5"/>
  <c r="J1985" i="5"/>
  <c r="J1984" i="5"/>
  <c r="J1983" i="5"/>
  <c r="J1982" i="5"/>
  <c r="J1981" i="5"/>
  <c r="J1980" i="5"/>
  <c r="J1979" i="5"/>
  <c r="J1978" i="5"/>
  <c r="J1977" i="5"/>
  <c r="J1976" i="5"/>
  <c r="J1975" i="5"/>
  <c r="J1974" i="5"/>
  <c r="J1973" i="5"/>
  <c r="J1972" i="5"/>
  <c r="J1971" i="5"/>
  <c r="J1970" i="5"/>
  <c r="J1969" i="5"/>
  <c r="J1968" i="5"/>
  <c r="J1967" i="5"/>
  <c r="J1966" i="5"/>
  <c r="J1965" i="5"/>
  <c r="J1964" i="5"/>
  <c r="J1963" i="5"/>
  <c r="J1962" i="5"/>
  <c r="J1961" i="5"/>
  <c r="J1960" i="5"/>
  <c r="J1959" i="5"/>
  <c r="J1958" i="5"/>
  <c r="J1957" i="5"/>
  <c r="J1956" i="5"/>
  <c r="J1955" i="5"/>
  <c r="J1954" i="5"/>
  <c r="J1953" i="5"/>
  <c r="J1952" i="5"/>
  <c r="J1951" i="5"/>
  <c r="J1950" i="5"/>
  <c r="J1949" i="5"/>
  <c r="J1948" i="5"/>
  <c r="J1947" i="5"/>
  <c r="J1946" i="5"/>
  <c r="J1945" i="5"/>
  <c r="J1944" i="5"/>
  <c r="J1943" i="5"/>
  <c r="J1942" i="5"/>
  <c r="J1941" i="5"/>
  <c r="J1940" i="5"/>
  <c r="J1939" i="5"/>
  <c r="J1938" i="5"/>
  <c r="J1937" i="5"/>
  <c r="J1936" i="5"/>
  <c r="J1935" i="5"/>
  <c r="J1934" i="5"/>
  <c r="J1933" i="5"/>
  <c r="J1932" i="5"/>
  <c r="J1931" i="5"/>
  <c r="J1930" i="5"/>
  <c r="J1929" i="5"/>
  <c r="J1928" i="5"/>
  <c r="J1927" i="5"/>
  <c r="J1926" i="5"/>
  <c r="J1925" i="5"/>
  <c r="J1924" i="5"/>
  <c r="J1923" i="5"/>
  <c r="J1922" i="5"/>
  <c r="J1921" i="5"/>
  <c r="J1920" i="5"/>
  <c r="J1919" i="5"/>
  <c r="J1918" i="5"/>
  <c r="J1917" i="5"/>
  <c r="J1916" i="5"/>
  <c r="J1915" i="5"/>
  <c r="J1914" i="5"/>
  <c r="J1913" i="5"/>
  <c r="J1912" i="5"/>
  <c r="J1911" i="5"/>
  <c r="J1910" i="5"/>
  <c r="J1909" i="5"/>
  <c r="J1908" i="5"/>
  <c r="J1907" i="5"/>
  <c r="J1906" i="5"/>
  <c r="J1905" i="5"/>
  <c r="J1904" i="5"/>
  <c r="J1903" i="5"/>
  <c r="J1902" i="5"/>
  <c r="J1901" i="5"/>
  <c r="J1900" i="5"/>
  <c r="J1899" i="5"/>
  <c r="J1898" i="5"/>
  <c r="J1897" i="5"/>
  <c r="J1896" i="5"/>
  <c r="J1895" i="5"/>
  <c r="J1894" i="5"/>
  <c r="J1893" i="5"/>
  <c r="J1892" i="5"/>
  <c r="J1891" i="5"/>
  <c r="J1890" i="5"/>
  <c r="J1889" i="5"/>
  <c r="J1888" i="5"/>
  <c r="J1887" i="5"/>
  <c r="J1886" i="5"/>
  <c r="J1885" i="5"/>
  <c r="J1884" i="5"/>
  <c r="J1883" i="5"/>
  <c r="J1882" i="5"/>
  <c r="J1881" i="5"/>
  <c r="J1880" i="5"/>
  <c r="J1879" i="5"/>
  <c r="J1878" i="5"/>
  <c r="J1877" i="5"/>
  <c r="J1876" i="5"/>
  <c r="J1875" i="5"/>
  <c r="J1874" i="5"/>
  <c r="J1873" i="5"/>
  <c r="J1872" i="5"/>
  <c r="J1871" i="5"/>
  <c r="J1870" i="5"/>
  <c r="J1869" i="5"/>
  <c r="J1868" i="5"/>
  <c r="J1867" i="5"/>
  <c r="J1866" i="5"/>
  <c r="J1865" i="5"/>
  <c r="J1864" i="5"/>
  <c r="J1863" i="5"/>
  <c r="J1862" i="5"/>
  <c r="J1861" i="5"/>
  <c r="J1860" i="5"/>
  <c r="J1859" i="5"/>
  <c r="J1858" i="5"/>
  <c r="J1857" i="5"/>
  <c r="J1856" i="5"/>
  <c r="J1855" i="5"/>
  <c r="J1854" i="5"/>
  <c r="J1853" i="5"/>
  <c r="J1852" i="5"/>
  <c r="J1851" i="5"/>
  <c r="J1850" i="5"/>
  <c r="J1849" i="5"/>
  <c r="J1848" i="5"/>
  <c r="J1847" i="5"/>
  <c r="J1846" i="5"/>
  <c r="J1845" i="5"/>
  <c r="J1844" i="5"/>
  <c r="J1843" i="5"/>
  <c r="J1842" i="5"/>
  <c r="J1841" i="5"/>
  <c r="J1840" i="5"/>
  <c r="J1839" i="5"/>
  <c r="J1838" i="5"/>
  <c r="J1837" i="5"/>
  <c r="J1836" i="5"/>
  <c r="J1835" i="5"/>
  <c r="J1834" i="5"/>
  <c r="J1833" i="5"/>
  <c r="J1832" i="5"/>
  <c r="J1831" i="5"/>
  <c r="J1830" i="5"/>
  <c r="J1829" i="5"/>
  <c r="J1828" i="5"/>
  <c r="J1827" i="5"/>
  <c r="J1826" i="5"/>
  <c r="J1825" i="5"/>
  <c r="J1824" i="5"/>
  <c r="J1823" i="5"/>
  <c r="J1822" i="5"/>
  <c r="J1821" i="5"/>
  <c r="J1820" i="5"/>
  <c r="J1819" i="5"/>
  <c r="J1818" i="5"/>
  <c r="J1817" i="5"/>
  <c r="J1816" i="5"/>
  <c r="J1815" i="5"/>
  <c r="J1814" i="5"/>
  <c r="J1813" i="5"/>
  <c r="J1812" i="5"/>
  <c r="J1811" i="5"/>
  <c r="J1810" i="5"/>
  <c r="J1809" i="5"/>
  <c r="J1808" i="5"/>
  <c r="J1807" i="5"/>
  <c r="J1806" i="5"/>
  <c r="J1805" i="5"/>
  <c r="J1804" i="5"/>
  <c r="J1803" i="5"/>
  <c r="J1802" i="5"/>
  <c r="J1801" i="5"/>
  <c r="J1800" i="5"/>
  <c r="J1799" i="5"/>
  <c r="J1798" i="5"/>
  <c r="J1797" i="5"/>
  <c r="J1796" i="5"/>
  <c r="J1795" i="5"/>
  <c r="J1794" i="5"/>
  <c r="J1793" i="5"/>
  <c r="J1792" i="5"/>
  <c r="J1791" i="5"/>
  <c r="J1790" i="5"/>
  <c r="J1789" i="5"/>
  <c r="J1788" i="5"/>
  <c r="J1787" i="5"/>
  <c r="J1786" i="5"/>
  <c r="J1785" i="5"/>
  <c r="J1784" i="5"/>
  <c r="J1783" i="5"/>
  <c r="J1782" i="5"/>
  <c r="J1781" i="5"/>
  <c r="J1780" i="5"/>
  <c r="J1779" i="5"/>
  <c r="J1778" i="5"/>
  <c r="J1777" i="5"/>
  <c r="J1776" i="5"/>
  <c r="J1775" i="5"/>
  <c r="J1774" i="5"/>
  <c r="J1773" i="5"/>
  <c r="J1772" i="5"/>
  <c r="J1771" i="5"/>
  <c r="J1770" i="5"/>
  <c r="J1769" i="5"/>
  <c r="J1768" i="5"/>
  <c r="J1767" i="5"/>
  <c r="J1766" i="5"/>
  <c r="J1765" i="5"/>
  <c r="J1764" i="5"/>
  <c r="J1763" i="5"/>
  <c r="J1762" i="5"/>
  <c r="J1761" i="5"/>
  <c r="J1760" i="5"/>
  <c r="J1759" i="5"/>
  <c r="J1758" i="5"/>
  <c r="J1757" i="5"/>
  <c r="J1756" i="5"/>
  <c r="J1755" i="5"/>
  <c r="J1754" i="5"/>
  <c r="J1753" i="5"/>
  <c r="J1752" i="5"/>
  <c r="J1751" i="5"/>
  <c r="J1750" i="5"/>
  <c r="J1749" i="5"/>
  <c r="J1748" i="5"/>
  <c r="J1747" i="5"/>
  <c r="J1746" i="5"/>
  <c r="J1745" i="5"/>
  <c r="J1744" i="5"/>
  <c r="J1743" i="5"/>
  <c r="J1742" i="5"/>
  <c r="J1741" i="5"/>
  <c r="J1740" i="5"/>
  <c r="J1739" i="5"/>
  <c r="J1738" i="5"/>
  <c r="J1737" i="5"/>
  <c r="J1736" i="5"/>
  <c r="J1735" i="5"/>
  <c r="J1734" i="5"/>
  <c r="J1733" i="5"/>
  <c r="J1732" i="5"/>
  <c r="J1731" i="5"/>
  <c r="J1730" i="5"/>
  <c r="J1729" i="5"/>
  <c r="J1728" i="5"/>
  <c r="J1727" i="5"/>
  <c r="J1726" i="5"/>
  <c r="J1725" i="5"/>
  <c r="J1724" i="5"/>
  <c r="J1723" i="5"/>
  <c r="J1722" i="5"/>
  <c r="J1721" i="5"/>
  <c r="J1720" i="5"/>
  <c r="J1719" i="5"/>
  <c r="J1718" i="5"/>
  <c r="J1717" i="5"/>
  <c r="J1716" i="5"/>
  <c r="J1715" i="5"/>
  <c r="J1714" i="5"/>
  <c r="J1713" i="5"/>
  <c r="J1712" i="5"/>
  <c r="J1711" i="5"/>
  <c r="J1710" i="5"/>
  <c r="J1709" i="5"/>
  <c r="J1708" i="5"/>
  <c r="J1707" i="5"/>
  <c r="J1706" i="5"/>
  <c r="J1705" i="5"/>
  <c r="J1704" i="5"/>
  <c r="J1703" i="5"/>
  <c r="J1702" i="5"/>
  <c r="J1701" i="5"/>
  <c r="J1700" i="5"/>
  <c r="J1699" i="5"/>
  <c r="J1698" i="5"/>
  <c r="J1697" i="5"/>
  <c r="J1696" i="5"/>
  <c r="J1695" i="5"/>
  <c r="J1694" i="5"/>
  <c r="J1693" i="5"/>
  <c r="J1692" i="5"/>
  <c r="J1691" i="5"/>
  <c r="J1690" i="5"/>
  <c r="J1689" i="5"/>
  <c r="J1688" i="5"/>
  <c r="J1687" i="5"/>
  <c r="J1686" i="5"/>
  <c r="J1685" i="5"/>
  <c r="J1684" i="5"/>
  <c r="J1683" i="5"/>
  <c r="J1682" i="5"/>
  <c r="J1681" i="5"/>
  <c r="J1680" i="5"/>
  <c r="J1679" i="5"/>
  <c r="J1678" i="5"/>
  <c r="J1677" i="5"/>
  <c r="J1676" i="5"/>
  <c r="J1675" i="5"/>
  <c r="J1674" i="5"/>
  <c r="J1673" i="5"/>
  <c r="J1672" i="5"/>
  <c r="J1671" i="5"/>
  <c r="J1670" i="5"/>
  <c r="J1669" i="5"/>
  <c r="J1668" i="5"/>
  <c r="J1667" i="5"/>
  <c r="J1666" i="5"/>
  <c r="J1665" i="5"/>
  <c r="J1664" i="5"/>
  <c r="J1663" i="5"/>
  <c r="J1662" i="5"/>
  <c r="J1661" i="5"/>
  <c r="J1660" i="5"/>
  <c r="J1659" i="5"/>
  <c r="J1658" i="5"/>
  <c r="J1657" i="5"/>
  <c r="J1656" i="5"/>
  <c r="J1655" i="5"/>
  <c r="J1654" i="5"/>
  <c r="J1653" i="5"/>
  <c r="J1652" i="5"/>
  <c r="J1651" i="5"/>
  <c r="J1650" i="5"/>
  <c r="J1649" i="5"/>
  <c r="J1648" i="5"/>
  <c r="J1647" i="5"/>
  <c r="J1646" i="5"/>
  <c r="J1645" i="5"/>
  <c r="J1644" i="5"/>
  <c r="J1643" i="5"/>
  <c r="J1642" i="5"/>
  <c r="J1641" i="5"/>
  <c r="J1640" i="5"/>
  <c r="J1639" i="5"/>
  <c r="J1638" i="5"/>
  <c r="J1637" i="5"/>
  <c r="J1636" i="5"/>
  <c r="J1635" i="5"/>
  <c r="J1634" i="5"/>
  <c r="J1633" i="5"/>
  <c r="J1632" i="5"/>
  <c r="J1631" i="5"/>
  <c r="J1630" i="5"/>
  <c r="J1629" i="5"/>
  <c r="J1628" i="5"/>
  <c r="J1627" i="5"/>
  <c r="J1626" i="5"/>
  <c r="J1625" i="5"/>
  <c r="J1624" i="5"/>
  <c r="J1623" i="5"/>
  <c r="J1622" i="5"/>
  <c r="J1621" i="5"/>
  <c r="J1620" i="5"/>
  <c r="J1619" i="5"/>
  <c r="J1618" i="5"/>
  <c r="J1617" i="5"/>
  <c r="J1616" i="5"/>
  <c r="J1615" i="5"/>
  <c r="J1614" i="5"/>
  <c r="J1613" i="5"/>
  <c r="J1612" i="5"/>
  <c r="J1611" i="5"/>
  <c r="J1610" i="5"/>
  <c r="J1609" i="5"/>
  <c r="J1608" i="5"/>
  <c r="J1607" i="5"/>
  <c r="J1606" i="5"/>
  <c r="J1605" i="5"/>
  <c r="J1604" i="5"/>
  <c r="J1603" i="5"/>
  <c r="J1602" i="5"/>
  <c r="J1601" i="5"/>
  <c r="J1600" i="5"/>
  <c r="J1599" i="5"/>
  <c r="J1598" i="5"/>
  <c r="J1597" i="5"/>
  <c r="J1596" i="5"/>
  <c r="J1595" i="5"/>
  <c r="J1594" i="5"/>
  <c r="J1593" i="5"/>
  <c r="J1592" i="5"/>
  <c r="J1591" i="5"/>
  <c r="J1590" i="5"/>
  <c r="J1589" i="5"/>
  <c r="J1588" i="5"/>
  <c r="J1587" i="5"/>
  <c r="J1586" i="5"/>
  <c r="J1585" i="5"/>
  <c r="J1584" i="5"/>
  <c r="J1583" i="5"/>
  <c r="J1582" i="5"/>
  <c r="J1581" i="5"/>
  <c r="J1580" i="5"/>
  <c r="J1579" i="5"/>
  <c r="J1578" i="5"/>
  <c r="J1577" i="5"/>
  <c r="J1576" i="5"/>
  <c r="J1575" i="5"/>
  <c r="J1574" i="5"/>
  <c r="J1573" i="5"/>
  <c r="J1572" i="5"/>
  <c r="J1571" i="5"/>
  <c r="J1570" i="5"/>
  <c r="J1569" i="5"/>
  <c r="J1568" i="5"/>
  <c r="J1567" i="5"/>
  <c r="J1566" i="5"/>
  <c r="J1565" i="5"/>
  <c r="J1564" i="5"/>
  <c r="J1563" i="5"/>
  <c r="J1562" i="5"/>
  <c r="J1561" i="5"/>
  <c r="J1560" i="5"/>
  <c r="J1559" i="5"/>
  <c r="J1558" i="5"/>
  <c r="J1557" i="5"/>
  <c r="J1556" i="5"/>
  <c r="J1555" i="5"/>
  <c r="J1554" i="5"/>
  <c r="J1553" i="5"/>
  <c r="J1552" i="5"/>
  <c r="J1551" i="5"/>
  <c r="J1550" i="5"/>
  <c r="J1549" i="5"/>
  <c r="J1548" i="5"/>
  <c r="J1547" i="5"/>
  <c r="J1546" i="5"/>
  <c r="J1545" i="5"/>
  <c r="J1544" i="5"/>
  <c r="J1543" i="5"/>
  <c r="J1542" i="5"/>
  <c r="J1541" i="5"/>
  <c r="J1540" i="5"/>
  <c r="J1539" i="5"/>
  <c r="J1538" i="5"/>
  <c r="J1537" i="5"/>
  <c r="J1536" i="5"/>
  <c r="J1535" i="5"/>
  <c r="J1534" i="5"/>
  <c r="J1533" i="5"/>
  <c r="J1532" i="5"/>
  <c r="J1531" i="5"/>
  <c r="J1530" i="5"/>
  <c r="J1529" i="5"/>
  <c r="J1528" i="5"/>
  <c r="J1527" i="5"/>
  <c r="J1526" i="5"/>
  <c r="J1525" i="5"/>
  <c r="J1524" i="5"/>
  <c r="J1523" i="5"/>
  <c r="J1522" i="5"/>
  <c r="J1521" i="5"/>
  <c r="J1520" i="5"/>
  <c r="J1519" i="5"/>
  <c r="J1518" i="5"/>
  <c r="J1517" i="5"/>
  <c r="J1516" i="5"/>
  <c r="J1515" i="5"/>
  <c r="J1514" i="5"/>
  <c r="J1513" i="5"/>
  <c r="J1512" i="5"/>
  <c r="J1511" i="5"/>
  <c r="J1510" i="5"/>
  <c r="J1509" i="5"/>
  <c r="J1508" i="5"/>
  <c r="J1507" i="5"/>
  <c r="J1506" i="5"/>
  <c r="J1505" i="5"/>
  <c r="J1504" i="5"/>
  <c r="J1503" i="5"/>
  <c r="J1502" i="5"/>
  <c r="J1501" i="5"/>
  <c r="J1500" i="5"/>
  <c r="J1499" i="5"/>
  <c r="J1498" i="5"/>
  <c r="J1497" i="5"/>
  <c r="J1496" i="5"/>
  <c r="J1495" i="5"/>
  <c r="J1494" i="5"/>
  <c r="J1493" i="5"/>
  <c r="J1492" i="5"/>
  <c r="J1491" i="5"/>
  <c r="J1490" i="5"/>
  <c r="J1489" i="5"/>
  <c r="J1488" i="5"/>
  <c r="J1487" i="5"/>
  <c r="J1486" i="5"/>
  <c r="J1485" i="5"/>
  <c r="J1484" i="5"/>
  <c r="J1483" i="5"/>
  <c r="J1482" i="5"/>
  <c r="J1481" i="5"/>
  <c r="J1480" i="5"/>
  <c r="J1479" i="5"/>
  <c r="J1478" i="5"/>
  <c r="J1477" i="5"/>
  <c r="J1476" i="5"/>
  <c r="J1475" i="5"/>
  <c r="J1474" i="5"/>
  <c r="J1473" i="5"/>
  <c r="J1472" i="5"/>
  <c r="J1471" i="5"/>
  <c r="J1470" i="5"/>
  <c r="J1469" i="5"/>
  <c r="J1468" i="5"/>
  <c r="J1467" i="5"/>
  <c r="J1466" i="5"/>
  <c r="J1465" i="5"/>
  <c r="J1464" i="5"/>
  <c r="J1463" i="5"/>
  <c r="J1462" i="5"/>
  <c r="J1461" i="5"/>
  <c r="J1460" i="5"/>
  <c r="J1459" i="5"/>
  <c r="J1458" i="5"/>
  <c r="J1457" i="5"/>
  <c r="J1456" i="5"/>
  <c r="J1455" i="5"/>
  <c r="J1454" i="5"/>
  <c r="J1453" i="5"/>
  <c r="J1452" i="5"/>
  <c r="J1451" i="5"/>
  <c r="J1450" i="5"/>
  <c r="J1449" i="5"/>
  <c r="J1448" i="5"/>
  <c r="J1447" i="5"/>
  <c r="J1446" i="5"/>
  <c r="J1445" i="5"/>
  <c r="J1444" i="5"/>
  <c r="J1443" i="5"/>
  <c r="J1442" i="5"/>
  <c r="J1441" i="5"/>
  <c r="J1440" i="5"/>
  <c r="J1439" i="5"/>
  <c r="J1438" i="5"/>
  <c r="J1437" i="5"/>
  <c r="J1436" i="5"/>
  <c r="J1435" i="5"/>
  <c r="J1434" i="5"/>
  <c r="J1433" i="5"/>
  <c r="J1432" i="5"/>
  <c r="J1431" i="5"/>
  <c r="J1430" i="5"/>
  <c r="J1429" i="5"/>
  <c r="J1428" i="5"/>
  <c r="J1427" i="5"/>
  <c r="J1426" i="5"/>
  <c r="J1425" i="5"/>
  <c r="J1424" i="5"/>
  <c r="J1423" i="5"/>
  <c r="J1422" i="5"/>
  <c r="J1421" i="5"/>
  <c r="J1420" i="5"/>
  <c r="J1419" i="5"/>
  <c r="J1418" i="5"/>
  <c r="J1417" i="5"/>
  <c r="J1416" i="5"/>
  <c r="J1415" i="5"/>
  <c r="J1414" i="5"/>
  <c r="J1413" i="5"/>
  <c r="J1412" i="5"/>
  <c r="J1411" i="5"/>
  <c r="J1410" i="5"/>
  <c r="J1409" i="5"/>
  <c r="J1408" i="5"/>
  <c r="J1407" i="5"/>
  <c r="J1406" i="5"/>
  <c r="J1405" i="5"/>
  <c r="J1404" i="5"/>
  <c r="J1403" i="5"/>
  <c r="J1402" i="5"/>
  <c r="J1401" i="5"/>
  <c r="J1400" i="5"/>
  <c r="J1399" i="5"/>
  <c r="J1398" i="5"/>
  <c r="J1397" i="5"/>
  <c r="J1396" i="5"/>
  <c r="J1395" i="5"/>
  <c r="J1394" i="5"/>
  <c r="J1393" i="5"/>
  <c r="J1392" i="5"/>
  <c r="J1391" i="5"/>
  <c r="J1390" i="5"/>
  <c r="J1389" i="5"/>
  <c r="J1388" i="5"/>
  <c r="J1387" i="5"/>
  <c r="J1386" i="5"/>
  <c r="J1385" i="5"/>
  <c r="J1384" i="5"/>
  <c r="J1383" i="5"/>
  <c r="J1382" i="5"/>
  <c r="J1381" i="5"/>
  <c r="J1380" i="5"/>
  <c r="J1379" i="5"/>
  <c r="J1378" i="5"/>
  <c r="J1377" i="5"/>
  <c r="J1376" i="5"/>
  <c r="J1375" i="5"/>
  <c r="J1374" i="5"/>
  <c r="J1373" i="5"/>
  <c r="J1372" i="5"/>
  <c r="J1371" i="5"/>
  <c r="J1370" i="5"/>
  <c r="J1369" i="5"/>
  <c r="J1368" i="5"/>
  <c r="J1367" i="5"/>
  <c r="J1366" i="5"/>
  <c r="J1365" i="5"/>
  <c r="J1364" i="5"/>
  <c r="J1363" i="5"/>
  <c r="J1362" i="5"/>
  <c r="J1361" i="5"/>
  <c r="J1360" i="5"/>
  <c r="J1359" i="5"/>
  <c r="J1358" i="5"/>
  <c r="J1357" i="5"/>
  <c r="J1356" i="5"/>
  <c r="J1355" i="5"/>
  <c r="J1354" i="5"/>
  <c r="J1353" i="5"/>
  <c r="J1352" i="5"/>
  <c r="J1351" i="5"/>
  <c r="J1350" i="5"/>
  <c r="J1349" i="5"/>
  <c r="J1348" i="5"/>
  <c r="J1347" i="5"/>
  <c r="J1346" i="5"/>
  <c r="J1345" i="5"/>
  <c r="J1344" i="5"/>
  <c r="J1343" i="5"/>
  <c r="J1342" i="5"/>
  <c r="J1341" i="5"/>
  <c r="J1340" i="5"/>
  <c r="J1339" i="5"/>
  <c r="J1338" i="5"/>
  <c r="J1337" i="5"/>
  <c r="J1336" i="5"/>
  <c r="J1335" i="5"/>
  <c r="J1334" i="5"/>
  <c r="J1333" i="5"/>
  <c r="J1332" i="5"/>
  <c r="J1331" i="5"/>
  <c r="J1330" i="5"/>
  <c r="J1329" i="5"/>
  <c r="J1328" i="5"/>
  <c r="J1327" i="5"/>
  <c r="J1326" i="5"/>
  <c r="J1325" i="5"/>
  <c r="J1324" i="5"/>
  <c r="J1323" i="5"/>
  <c r="J1322" i="5"/>
  <c r="J1321" i="5"/>
  <c r="J1320" i="5"/>
  <c r="J1319" i="5"/>
  <c r="J1318" i="5"/>
  <c r="J1317" i="5"/>
  <c r="J1316" i="5"/>
  <c r="J1315" i="5"/>
  <c r="J1314" i="5"/>
  <c r="J1313" i="5"/>
  <c r="J1312" i="5"/>
  <c r="J1311" i="5"/>
  <c r="J1310" i="5"/>
  <c r="J1309" i="5"/>
  <c r="J1308" i="5"/>
  <c r="J1307" i="5"/>
  <c r="J1306" i="5"/>
  <c r="J1305" i="5"/>
  <c r="J1304" i="5"/>
  <c r="J1303" i="5"/>
  <c r="J1302" i="5"/>
  <c r="J1301" i="5"/>
  <c r="J1300" i="5"/>
  <c r="J1299" i="5"/>
  <c r="J1298" i="5"/>
  <c r="J1297" i="5"/>
  <c r="J1296" i="5"/>
  <c r="J1295" i="5"/>
  <c r="J1294" i="5"/>
  <c r="J1293" i="5"/>
  <c r="J1292" i="5"/>
  <c r="J1291" i="5"/>
  <c r="J1290" i="5"/>
  <c r="J1289" i="5"/>
  <c r="J1288" i="5"/>
  <c r="J1287" i="5"/>
  <c r="J1286" i="5"/>
  <c r="J1285" i="5"/>
  <c r="J1284" i="5"/>
  <c r="J1283" i="5"/>
  <c r="J1282" i="5"/>
  <c r="J1281" i="5"/>
  <c r="J1280" i="5"/>
  <c r="J1279" i="5"/>
  <c r="J1278" i="5"/>
  <c r="J1277" i="5"/>
  <c r="J1276" i="5"/>
  <c r="J1275" i="5"/>
  <c r="J1274" i="5"/>
  <c r="J1273" i="5"/>
  <c r="J1272" i="5"/>
  <c r="J1271" i="5"/>
  <c r="J1270" i="5"/>
  <c r="J1269" i="5"/>
  <c r="J1268" i="5"/>
  <c r="J1267" i="5"/>
  <c r="J1266" i="5"/>
  <c r="J1265" i="5"/>
  <c r="J1264" i="5"/>
  <c r="J1263" i="5"/>
  <c r="J1262" i="5"/>
  <c r="J1261" i="5"/>
  <c r="J1260" i="5"/>
  <c r="J1259" i="5"/>
  <c r="J1258" i="5"/>
  <c r="J1257" i="5"/>
  <c r="J1256" i="5"/>
  <c r="J1255" i="5"/>
  <c r="J1254" i="5"/>
  <c r="J1253" i="5"/>
  <c r="J1252" i="5"/>
  <c r="J1251" i="5"/>
  <c r="J1250" i="5"/>
  <c r="J1249" i="5"/>
  <c r="J1248" i="5"/>
  <c r="J1247" i="5"/>
  <c r="J1246" i="5"/>
  <c r="J1245" i="5"/>
  <c r="J1244" i="5"/>
  <c r="J1243" i="5"/>
  <c r="J1242" i="5"/>
  <c r="J1241" i="5"/>
  <c r="J1240" i="5"/>
  <c r="J1239" i="5"/>
  <c r="J1238" i="5"/>
  <c r="J1237" i="5"/>
  <c r="J1236" i="5"/>
  <c r="J1235" i="5"/>
  <c r="J1234" i="5"/>
  <c r="J1233" i="5"/>
  <c r="J1232" i="5"/>
  <c r="J1231" i="5"/>
  <c r="J1230" i="5"/>
  <c r="J1229" i="5"/>
  <c r="J1228" i="5"/>
  <c r="J1227" i="5"/>
  <c r="J1226" i="5"/>
  <c r="J1225" i="5"/>
  <c r="J1224" i="5"/>
  <c r="J1223" i="5"/>
  <c r="J1222" i="5"/>
  <c r="J1221" i="5"/>
  <c r="J1220" i="5"/>
  <c r="J1219" i="5"/>
  <c r="J1218" i="5"/>
  <c r="J1217" i="5"/>
  <c r="J1216" i="5"/>
  <c r="J1215" i="5"/>
  <c r="J1214" i="5"/>
  <c r="J1213" i="5"/>
  <c r="J1212" i="5"/>
  <c r="J1211" i="5"/>
  <c r="J1210" i="5"/>
  <c r="J1209" i="5"/>
  <c r="J1208" i="5"/>
  <c r="J1207" i="5"/>
  <c r="J1206" i="5"/>
  <c r="J1205" i="5"/>
  <c r="J1204" i="5"/>
  <c r="J1203" i="5"/>
  <c r="J1202" i="5"/>
  <c r="J1201" i="5"/>
  <c r="J1200" i="5"/>
  <c r="J1199" i="5"/>
  <c r="J1198" i="5"/>
  <c r="J1197" i="5"/>
  <c r="J1196" i="5"/>
  <c r="J1195" i="5"/>
  <c r="J1194" i="5"/>
  <c r="J1193" i="5"/>
  <c r="J1192" i="5"/>
  <c r="J1191" i="5"/>
  <c r="J1190" i="5"/>
  <c r="J1189" i="5"/>
  <c r="J1188" i="5"/>
  <c r="J1187" i="5"/>
  <c r="J1186" i="5"/>
  <c r="J1185" i="5"/>
  <c r="J1184" i="5"/>
  <c r="J1183" i="5"/>
  <c r="J1182" i="5"/>
  <c r="J1181" i="5"/>
  <c r="J1180" i="5"/>
  <c r="J1179" i="5"/>
  <c r="J1178" i="5"/>
  <c r="J1177" i="5"/>
  <c r="J1176" i="5"/>
  <c r="J1175" i="5"/>
  <c r="J1174" i="5"/>
  <c r="J1173" i="5"/>
  <c r="J1172" i="5"/>
  <c r="J1171" i="5"/>
  <c r="J1170" i="5"/>
  <c r="J1169" i="5"/>
</calcChain>
</file>

<file path=xl/sharedStrings.xml><?xml version="1.0" encoding="utf-8"?>
<sst xmlns="http://schemas.openxmlformats.org/spreadsheetml/2006/main" count="60726" uniqueCount="2472">
  <si>
    <t>player</t>
  </si>
  <si>
    <t>team</t>
  </si>
  <si>
    <t>gp</t>
  </si>
  <si>
    <t>g</t>
  </si>
  <si>
    <t>a</t>
  </si>
  <si>
    <t>tp</t>
  </si>
  <si>
    <t>ppg</t>
  </si>
  <si>
    <t>pim</t>
  </si>
  <si>
    <t>+/-</t>
  </si>
  <si>
    <t>link</t>
  </si>
  <si>
    <t>season</t>
  </si>
  <si>
    <t>league</t>
  </si>
  <si>
    <t>position</t>
  </si>
  <si>
    <t>szn_no</t>
  </si>
  <si>
    <t>feeder_szns</t>
  </si>
  <si>
    <t>nhle_ppg</t>
  </si>
  <si>
    <t>echl_projection</t>
  </si>
  <si>
    <t>1st_liner_prob</t>
  </si>
  <si>
    <t>2nd_liner_prob</t>
  </si>
  <si>
    <t>bottom_six_two_way_prob</t>
  </si>
  <si>
    <t>checking_prob</t>
  </si>
  <si>
    <t>fringe_prob</t>
  </si>
  <si>
    <t>Arizona State Univ.</t>
  </si>
  <si>
    <t>12</t>
  </si>
  <si>
    <t>20</t>
  </si>
  <si>
    <t>32</t>
  </si>
  <si>
    <t>8</t>
  </si>
  <si>
    <t>2025-2026</t>
  </si>
  <si>
    <t>ncaa</t>
  </si>
  <si>
    <t>RW</t>
  </si>
  <si>
    <t>ncaa: 4</t>
  </si>
  <si>
    <t>1st_liner</t>
  </si>
  <si>
    <t>10</t>
  </si>
  <si>
    <t>21</t>
  </si>
  <si>
    <t>31</t>
  </si>
  <si>
    <t>F</t>
  </si>
  <si>
    <t>Max Plante (C)</t>
  </si>
  <si>
    <t>Univ. of Minnesota-Duluth</t>
  </si>
  <si>
    <t>16</t>
  </si>
  <si>
    <t>14</t>
  </si>
  <si>
    <t>30</t>
  </si>
  <si>
    <t>15</t>
  </si>
  <si>
    <t>C</t>
  </si>
  <si>
    <t>ncaa: 2</t>
  </si>
  <si>
    <t>Michigan Tech</t>
  </si>
  <si>
    <t>9</t>
  </si>
  <si>
    <t>29</t>
  </si>
  <si>
    <t>22</t>
  </si>
  <si>
    <t>RW/LW</t>
  </si>
  <si>
    <t>William Horcoff (C)</t>
  </si>
  <si>
    <t>Univ. of Michigan</t>
  </si>
  <si>
    <t>19</t>
  </si>
  <si>
    <t>28</t>
  </si>
  <si>
    <t>38</t>
  </si>
  <si>
    <t>Michael Hage (C)</t>
  </si>
  <si>
    <t>18</t>
  </si>
  <si>
    <t>T.J. Hughes (F)</t>
  </si>
  <si>
    <t>6</t>
  </si>
  <si>
    <t>Justin Poirier (RW)</t>
  </si>
  <si>
    <t>Univ. of Maine</t>
  </si>
  <si>
    <t>17</t>
  </si>
  <si>
    <t>27</t>
  </si>
  <si>
    <t>ncaa: 1, qmjhl: 3</t>
  </si>
  <si>
    <t>Alex Gaffney (C)</t>
  </si>
  <si>
    <t>Univ. of St. Thomas</t>
  </si>
  <si>
    <t>13</t>
  </si>
  <si>
    <t>4</t>
  </si>
  <si>
    <t>ncaa: 5</t>
  </si>
  <si>
    <t>Quinnipiac Univ.</t>
  </si>
  <si>
    <t>11</t>
  </si>
  <si>
    <t>LW/RW</t>
  </si>
  <si>
    <t>ncaa: 1</t>
  </si>
  <si>
    <t>Tyson Gross (RW)</t>
  </si>
  <si>
    <t>St. Cloud State Univ.</t>
  </si>
  <si>
    <t>ncaa: 3</t>
  </si>
  <si>
    <t>25</t>
  </si>
  <si>
    <t>C/LW</t>
  </si>
  <si>
    <t>Zam Plante (C)</t>
  </si>
  <si>
    <t>7</t>
  </si>
  <si>
    <t>2</t>
  </si>
  <si>
    <t>Penn State Univ.</t>
  </si>
  <si>
    <t>24</t>
  </si>
  <si>
    <t>Bemidji State Univ.</t>
  </si>
  <si>
    <t>Dartmouth College</t>
  </si>
  <si>
    <t>23</t>
  </si>
  <si>
    <t>Princeton Univ.</t>
  </si>
  <si>
    <t>Michigan State Univ.</t>
  </si>
  <si>
    <t>C/RW</t>
  </si>
  <si>
    <t>Air Force Academy</t>
  </si>
  <si>
    <t>Félix Trudeau (LW)</t>
  </si>
  <si>
    <t>Sacred Heart Univ.</t>
  </si>
  <si>
    <t>LW</t>
  </si>
  <si>
    <t>Lucas Wahlin (RW/LW)</t>
  </si>
  <si>
    <t>Austin Burnevik (RW/LW)</t>
  </si>
  <si>
    <t>Grant Slukynsky (C)</t>
  </si>
  <si>
    <t>Western Michigan Univ.</t>
  </si>
  <si>
    <t>5</t>
  </si>
  <si>
    <t>Brandon Buhr (F)</t>
  </si>
  <si>
    <t>Union College</t>
  </si>
  <si>
    <t>ncaa: 1, qmjhl: 5</t>
  </si>
  <si>
    <t>ncaa: 1, ohl: 3</t>
  </si>
  <si>
    <t>Northeastern Univ.</t>
  </si>
  <si>
    <t>Jack Musa (F)</t>
  </si>
  <si>
    <t>UMass</t>
  </si>
  <si>
    <t>Barrett Hall (C)</t>
  </si>
  <si>
    <t>Lucas Van Vliet (RW)</t>
  </si>
  <si>
    <t>Clarkson Univ.</t>
  </si>
  <si>
    <t>Jayson Shaugabay (C)</t>
  </si>
  <si>
    <t>Ben Strinden (C)</t>
  </si>
  <si>
    <t>Univ. of North Dakota</t>
  </si>
  <si>
    <t>William Whitelaw (C/RW)</t>
  </si>
  <si>
    <t>58</t>
  </si>
  <si>
    <t>Vaclav Nestrasil (RW)</t>
  </si>
  <si>
    <t>Minnesota State Univ. (Mankato)</t>
  </si>
  <si>
    <t>Lindenwood Univ.</t>
  </si>
  <si>
    <t>Tyler Cristall (F)</t>
  </si>
  <si>
    <t>St. Lawrence Univ.</t>
  </si>
  <si>
    <t>Parker Lindauer (F)</t>
  </si>
  <si>
    <t>Brodie Ziemer (RW/LW)</t>
  </si>
  <si>
    <t>Univ. of Minnesota</t>
  </si>
  <si>
    <t>Boston College</t>
  </si>
  <si>
    <t>Long Island Univ.</t>
  </si>
  <si>
    <t>C/W</t>
  </si>
  <si>
    <t>Brody Lamb (RW)</t>
  </si>
  <si>
    <t>Miami Univ. (Ohio)</t>
  </si>
  <si>
    <t>26</t>
  </si>
  <si>
    <t>Ben Muthersbaugh (LW)</t>
  </si>
  <si>
    <t>College of the Holy Cross</t>
  </si>
  <si>
    <t>Bowling Green State Univ.</t>
  </si>
  <si>
    <t>RW/C</t>
  </si>
  <si>
    <t>Merrimack College</t>
  </si>
  <si>
    <t>Army (U.S. Military Academy)</t>
  </si>
  <si>
    <t>0</t>
  </si>
  <si>
    <t>Jayden Perron (RW)</t>
  </si>
  <si>
    <t>Canisius College</t>
  </si>
  <si>
    <t>2nd_liner</t>
  </si>
  <si>
    <t>46</t>
  </si>
  <si>
    <t>ncaa: 1, whl: 3</t>
  </si>
  <si>
    <t>Gavin Morrissey (F)</t>
  </si>
  <si>
    <t>Univ. of Wisconsin</t>
  </si>
  <si>
    <t>3</t>
  </si>
  <si>
    <t>Cole Reschny (C/LW)</t>
  </si>
  <si>
    <t>Liam Valente (LW/C)</t>
  </si>
  <si>
    <t>LW/C</t>
  </si>
  <si>
    <t>Sam Harris (LW)</t>
  </si>
  <si>
    <t>Univ. of Denver</t>
  </si>
  <si>
    <t>Lake Superior State Univ.</t>
  </si>
  <si>
    <t>ncaa: 1, ohl: 4</t>
  </si>
  <si>
    <t>Augustana Univ.</t>
  </si>
  <si>
    <t>Adam Valentini (F)</t>
  </si>
  <si>
    <t>Ohio State Univ.</t>
  </si>
  <si>
    <t>Clarke Caswell (LW)</t>
  </si>
  <si>
    <t>ncaa: 1, whl: 4</t>
  </si>
  <si>
    <t>Josh Nadeau (RW/LW)</t>
  </si>
  <si>
    <t>Will Zellers (W/C)</t>
  </si>
  <si>
    <t>W/C</t>
  </si>
  <si>
    <t>Quinn Finley (LW)</t>
  </si>
  <si>
    <t>Michael Citara (RW)</t>
  </si>
  <si>
    <t>Univ. of Alaska-Fairbanks</t>
  </si>
  <si>
    <t>ncaa: 1, ohl: 6</t>
  </si>
  <si>
    <t>Ty Henricks (LW)</t>
  </si>
  <si>
    <t>Colorado College</t>
  </si>
  <si>
    <t>Bentley Univ.</t>
  </si>
  <si>
    <t>Providence College</t>
  </si>
  <si>
    <t>Miguel Marques (RW)</t>
  </si>
  <si>
    <t>Colgate Univ.</t>
  </si>
  <si>
    <t>Rieger Lorenz (LW/C)</t>
  </si>
  <si>
    <t>Harvard Univ.</t>
  </si>
  <si>
    <t>Ellis Rickwood (C)</t>
  </si>
  <si>
    <t>Dylan James (LW)</t>
  </si>
  <si>
    <t>Dillan Bentley (F)</t>
  </si>
  <si>
    <t>UMass-Lowell</t>
  </si>
  <si>
    <t>Christian Fitzgerald (F)</t>
  </si>
  <si>
    <t>Morgan Winters (F)</t>
  </si>
  <si>
    <t>Univ. of New Hampshire</t>
  </si>
  <si>
    <t>Jake Braccini (RW)</t>
  </si>
  <si>
    <t>Joshua Eernisse (F)</t>
  </si>
  <si>
    <t>Niagara Univ.</t>
  </si>
  <si>
    <t>34</t>
  </si>
  <si>
    <t>Sutter Muzzatti (F)</t>
  </si>
  <si>
    <t>Univ. of Notre Dame</t>
  </si>
  <si>
    <t>Nathan Pilling (C)</t>
  </si>
  <si>
    <t>ncaa: 1, ohl: 3, usports: 1</t>
  </si>
  <si>
    <t>Kaden Shahan (RW)</t>
  </si>
  <si>
    <t>Univ. of Connecticut</t>
  </si>
  <si>
    <t>Zachary Nehring (RW)</t>
  </si>
  <si>
    <t>L.J. Mooney (RW/C)</t>
  </si>
  <si>
    <t>39</t>
  </si>
  <si>
    <t>Zaccharya Wisdom (RW)</t>
  </si>
  <si>
    <t>Ferris State Univ.</t>
  </si>
  <si>
    <t>Evan Werner (F)</t>
  </si>
  <si>
    <t>Simon Tassy (F)</t>
  </si>
  <si>
    <t>Kyle Chyzowski (F)</t>
  </si>
  <si>
    <t>ncaa: 1, whl: 5</t>
  </si>
  <si>
    <t>Samu Salminen (C/LW)</t>
  </si>
  <si>
    <t>Boston Univ.</t>
  </si>
  <si>
    <t>Nick Ring (F)</t>
  </si>
  <si>
    <t>Beckett Hendrickson (C/LW)</t>
  </si>
  <si>
    <t>Mac Swanson (LW/C)</t>
  </si>
  <si>
    <t>James Reeder (RW)</t>
  </si>
  <si>
    <t>Cornell Univ.</t>
  </si>
  <si>
    <t>Luke Woodworth (C)</t>
  </si>
  <si>
    <t>Univ. of Nebraska-Omaha</t>
  </si>
  <si>
    <t>Ryan Tattle (F)</t>
  </si>
  <si>
    <t>Owen Fowler (LW)</t>
  </si>
  <si>
    <t>RIT (Rochester Inst. of Tech.)</t>
  </si>
  <si>
    <t>Alexandre Blais (LW/C)</t>
  </si>
  <si>
    <t>ncaa: 1, qmjhl: 4</t>
  </si>
  <si>
    <t>Callum Arnott (RW/C)</t>
  </si>
  <si>
    <t>Owen Michaels (F)</t>
  </si>
  <si>
    <t>Cole Knuble (C/RW)</t>
  </si>
  <si>
    <t>Nicholas Moldenhauer (C/RW)</t>
  </si>
  <si>
    <t>Max Scott (F)</t>
  </si>
  <si>
    <t>Oliver Tulk (C)</t>
  </si>
  <si>
    <t>Jack Galanek (C)</t>
  </si>
  <si>
    <t>Northern Michigan Univ.</t>
  </si>
  <si>
    <t>Blake Montgomery (LW)</t>
  </si>
  <si>
    <t>ncaa: 1, ohl: 1</t>
  </si>
  <si>
    <t>Rasmus Svartström (F)</t>
  </si>
  <si>
    <t>Carlin Dezainde (F)</t>
  </si>
  <si>
    <t>Malcolm Spence (LW)</t>
  </si>
  <si>
    <t>Ronan O'Donnell (RW)</t>
  </si>
  <si>
    <t>Yale Univ.</t>
  </si>
  <si>
    <t>Joey Muldowney (RW)</t>
  </si>
  <si>
    <t>Robert Morris Univ.</t>
  </si>
  <si>
    <t>Maxime Pellerin (C)</t>
  </si>
  <si>
    <t>Lucas Buzziol (C)</t>
  </si>
  <si>
    <t>Colby MacArthur (RW)</t>
  </si>
  <si>
    <t>Tabor Heaslip (F)</t>
  </si>
  <si>
    <t>Dalyn Wakely (C/RW)</t>
  </si>
  <si>
    <t>Charlie Russell (F)</t>
  </si>
  <si>
    <t>Javon Moore (LW)</t>
  </si>
  <si>
    <t>Jimmy Clark (LW/C)</t>
  </si>
  <si>
    <t>Jake Richard (RW/LW)</t>
  </si>
  <si>
    <t>Brown Univ.</t>
  </si>
  <si>
    <t>44</t>
  </si>
  <si>
    <t>Ryan O'Neill (F)</t>
  </si>
  <si>
    <t>Luc Wilson (F)</t>
  </si>
  <si>
    <t>RPI (Rensselaer Polytech. Inst.)</t>
  </si>
  <si>
    <t>Marcus Joughin (F)</t>
  </si>
  <si>
    <t>Danny Nelson (C/LW)</t>
  </si>
  <si>
    <t>Jason Ahearn (F)</t>
  </si>
  <si>
    <t>Filip Sitar (C)</t>
  </si>
  <si>
    <t>Ethan Gardula (LW)</t>
  </si>
  <si>
    <t>Jacob Newcombe (LW/C)</t>
  </si>
  <si>
    <t>fringe</t>
  </si>
  <si>
    <t>Cole McKinney (C)</t>
  </si>
  <si>
    <t>Peyton Platter (C/LW/RW)</t>
  </si>
  <si>
    <t>C/LW/RW</t>
  </si>
  <si>
    <t>Mike Murtagh (F)</t>
  </si>
  <si>
    <t>ncaa: 1, whl: 6</t>
  </si>
  <si>
    <t>Jake Fisher (C/LW)</t>
  </si>
  <si>
    <t>Sully Scholle (F)</t>
  </si>
  <si>
    <t>Hagen Burrows (C/W)</t>
  </si>
  <si>
    <t>Justin Mexico (F)</t>
  </si>
  <si>
    <t>Stonehill College</t>
  </si>
  <si>
    <t>Cayden Casey (F)</t>
  </si>
  <si>
    <t>Ollie Josephson (C)</t>
  </si>
  <si>
    <t>Bobby Cowan (F)</t>
  </si>
  <si>
    <t>Alex Laurenza (F)</t>
  </si>
  <si>
    <t>1</t>
  </si>
  <si>
    <t>Cooper Pierson (F)</t>
  </si>
  <si>
    <t>Matthew Romer (F)</t>
  </si>
  <si>
    <t>ncaa: 1, usports: 1, whl: 4</t>
  </si>
  <si>
    <t>Connor Smith (F)</t>
  </si>
  <si>
    <t>35</t>
  </si>
  <si>
    <t>Aidan Park (C/W)</t>
  </si>
  <si>
    <t>ncaa: 1, whl: 1</t>
  </si>
  <si>
    <t>Garrett Schifsky (C)</t>
  </si>
  <si>
    <t>33</t>
  </si>
  <si>
    <t>Noah Urness (F)</t>
  </si>
  <si>
    <t>Marcus Nguyen (RW)</t>
  </si>
  <si>
    <t>Daniel Alexander Jencko (C/LW)</t>
  </si>
  <si>
    <t>Mirko Buttazzoni (F)</t>
  </si>
  <si>
    <t>Thomas Pichette (C)</t>
  </si>
  <si>
    <t>Thomas Freel (C)</t>
  </si>
  <si>
    <t>Cole Brown (LW/RW)</t>
  </si>
  <si>
    <t>41</t>
  </si>
  <si>
    <t>Reid Pabich (C)</t>
  </si>
  <si>
    <t>Sean Tschigerl (LW)</t>
  </si>
  <si>
    <t>36</t>
  </si>
  <si>
    <t>Nate Hanley (C)</t>
  </si>
  <si>
    <t>Pano Fimis (C/RW)</t>
  </si>
  <si>
    <t>Nicholas Van Tassell (C)</t>
  </si>
  <si>
    <t>Stéphane Huard (C)</t>
  </si>
  <si>
    <t>ncaa: 1, qmjhl: 4, usports: 1</t>
  </si>
  <si>
    <t>Nolan Roed (C/LW)</t>
  </si>
  <si>
    <t>Colin Kessler (F)</t>
  </si>
  <si>
    <t>Univ. of Vermont</t>
  </si>
  <si>
    <t>Scout Truman (LW)</t>
  </si>
  <si>
    <t>Ryan Botterill (F)</t>
  </si>
  <si>
    <t>Michael DeAngelo (C)</t>
  </si>
  <si>
    <t>Filip Juříček (F)</t>
  </si>
  <si>
    <t>Kristian Epperson (LW)</t>
  </si>
  <si>
    <t>David Chen (F)</t>
  </si>
  <si>
    <t>Rylen Roersma (C)</t>
  </si>
  <si>
    <t>Félix Gagnon (RW)</t>
  </si>
  <si>
    <t>Jack Kernan (C)</t>
  </si>
  <si>
    <t>Riley Brueck (F)</t>
  </si>
  <si>
    <t>Brett Hyland (LW/C)</t>
  </si>
  <si>
    <t>40</t>
  </si>
  <si>
    <t>Cade Littler (C/RW)</t>
  </si>
  <si>
    <t>Jak Vaarwerk (C)</t>
  </si>
  <si>
    <t>ncaa: 1, qmjhl: 1</t>
  </si>
  <si>
    <t>Kieran Cebrian (F)</t>
  </si>
  <si>
    <t>Vasily Zelenov (RW/LW)</t>
  </si>
  <si>
    <t>Hunter Anderson (LW)</t>
  </si>
  <si>
    <t>Trevor Wong (C/LW)</t>
  </si>
  <si>
    <t>Ethan Whitcomb (RW/LW)</t>
  </si>
  <si>
    <t>Libor Nemec (RW/LW)</t>
  </si>
  <si>
    <t>Charlie Schoen (RW)</t>
  </si>
  <si>
    <t>Karter McNarland (F)</t>
  </si>
  <si>
    <t>Univ. of Alaska-Anchorage</t>
  </si>
  <si>
    <t>Mason Moe (C)</t>
  </si>
  <si>
    <t>Chase Dafoe (F)</t>
  </si>
  <si>
    <t>Jake Percival (F)</t>
  </si>
  <si>
    <t>Cody Croal (LW)</t>
  </si>
  <si>
    <t>Jérémy Loranger (C/RW)</t>
  </si>
  <si>
    <t>Tyler Wallace (C)</t>
  </si>
  <si>
    <t>Cameron MacDonald (C/W)</t>
  </si>
  <si>
    <t>Gavyn Thoreson (F)</t>
  </si>
  <si>
    <t>Anthony Galante (F)</t>
  </si>
  <si>
    <t>Tanner Ludtke (C)</t>
  </si>
  <si>
    <t>Brennan Ali (C/LW)</t>
  </si>
  <si>
    <t>Iiro Hakkarainen (LW/RW)</t>
  </si>
  <si>
    <t>Jaden Lipinski (C/RW)</t>
  </si>
  <si>
    <t>Kienan Draper (RW)</t>
  </si>
  <si>
    <t>Ryan Zaremba (F)</t>
  </si>
  <si>
    <t>Ryan Johnson (C)</t>
  </si>
  <si>
    <t>Adam Ingram (C)</t>
  </si>
  <si>
    <t>Gavin Bryant (C)</t>
  </si>
  <si>
    <t>Jonah Aegerter (C)</t>
  </si>
  <si>
    <t>Gunnar Thoreson (C)</t>
  </si>
  <si>
    <t>Tyler Rollwagen (F)</t>
  </si>
  <si>
    <t>Conor Cole (C)</t>
  </si>
  <si>
    <t>Teddy Lagerback (LW)</t>
  </si>
  <si>
    <t>Ray Fust (LW/RW)</t>
  </si>
  <si>
    <t>Grady Deering (C)</t>
  </si>
  <si>
    <t>Patrick Murphy (RW)</t>
  </si>
  <si>
    <t>Dylan Godbout (F)</t>
  </si>
  <si>
    <t>Sam Oliver (C)</t>
  </si>
  <si>
    <t>Brendan McMorrow (LW)</t>
  </si>
  <si>
    <t>Drew Sutton (F)</t>
  </si>
  <si>
    <t>Frank Ireland (F)</t>
  </si>
  <si>
    <t>Chris Delaney (C)</t>
  </si>
  <si>
    <t>Joel Lehtinen (F)</t>
  </si>
  <si>
    <t>Jack Reimann (F)</t>
  </si>
  <si>
    <t>Quinton Pepper (RW)</t>
  </si>
  <si>
    <t>Caige Sterzer (F)</t>
  </si>
  <si>
    <t>Isaac Tremblay (C)</t>
  </si>
  <si>
    <t>Donovan Frias (LW)</t>
  </si>
  <si>
    <t>Lukas Klecka (RW)</t>
  </si>
  <si>
    <t>Cole Melady (F)</t>
  </si>
  <si>
    <t>Joseph Grainda (LW)</t>
  </si>
  <si>
    <t>Tate Pritchard (F)</t>
  </si>
  <si>
    <t>Grant Ahcan (LW/RW)</t>
  </si>
  <si>
    <t>Daniel Shlaine (C)</t>
  </si>
  <si>
    <t>Micah Berger (LW)</t>
  </si>
  <si>
    <t>Samuel Huo (C)</t>
  </si>
  <si>
    <t>ncaa: 1, usports: 2, whl: 3</t>
  </si>
  <si>
    <t>Joshua Barnes (C)</t>
  </si>
  <si>
    <t>Sam LeDrew (RW)</t>
  </si>
  <si>
    <t>Mercyhurst Univ.</t>
  </si>
  <si>
    <t>Rainers Rullers (C)</t>
  </si>
  <si>
    <t>Will Gerrior (LW)</t>
  </si>
  <si>
    <t>Tyson Dyck (C)</t>
  </si>
  <si>
    <t>Braden Birnie (F)</t>
  </si>
  <si>
    <t>Erik Påhlsson (C/W)</t>
  </si>
  <si>
    <t>Ethan Bono (F)</t>
  </si>
  <si>
    <t>Tristan Fraser (F)</t>
  </si>
  <si>
    <t>Cy LeClerc (F)</t>
  </si>
  <si>
    <t>Billy Renfrew (F)</t>
  </si>
  <si>
    <t>Kyle Gaffney (F)</t>
  </si>
  <si>
    <t>Tye Spencer (F)</t>
  </si>
  <si>
    <t>Luc Laylin (F)</t>
  </si>
  <si>
    <t>Finn Brink (LW)</t>
  </si>
  <si>
    <t>Alexander Malinowski (LW/RW)</t>
  </si>
  <si>
    <t>Vitaly Levyy (F)</t>
  </si>
  <si>
    <t>Oskar Komarov (RW)</t>
  </si>
  <si>
    <t>Jacob Slipec (F)</t>
  </si>
  <si>
    <t>Myles Hilman (F)</t>
  </si>
  <si>
    <t>Samuel Huck (F)</t>
  </si>
  <si>
    <t>Jens Richards (F)</t>
  </si>
  <si>
    <t>Matteo Michels (W/C)</t>
  </si>
  <si>
    <t>Matthew Buckley (C/RW)</t>
  </si>
  <si>
    <t>Leo Chambers (C)</t>
  </si>
  <si>
    <t>Casy Laylin (F)</t>
  </si>
  <si>
    <t>Kyle Kukkonen (C/RW)</t>
  </si>
  <si>
    <t>Ryan Rosborough (F)</t>
  </si>
  <si>
    <t>Frankie Carogioiello (C)</t>
  </si>
  <si>
    <t>Reid Varkonyi (C)</t>
  </si>
  <si>
    <t>Ryan Kusler (F)</t>
  </si>
  <si>
    <t>Massimo Lombardi (C)</t>
  </si>
  <si>
    <t>Adam Pietila (F)</t>
  </si>
  <si>
    <t>Joshua Giuliani (F)</t>
  </si>
  <si>
    <t>Zachary Wagnon (F)</t>
  </si>
  <si>
    <t>Aiden Westin (F)</t>
  </si>
  <si>
    <t>Judah Makway (C)</t>
  </si>
  <si>
    <t>Cole Galata (F)</t>
  </si>
  <si>
    <t>Nicholas Beneteau (C/RW)</t>
  </si>
  <si>
    <t>Dovar Tinling (C)</t>
  </si>
  <si>
    <t>J.P. Turner (C)</t>
  </si>
  <si>
    <t>Cameron Briere (C)</t>
  </si>
  <si>
    <t>Mykhailo Danylov (F)</t>
  </si>
  <si>
    <t>James Shannon (F)</t>
  </si>
  <si>
    <t>Diego Buttazzoni (C/W)</t>
  </si>
  <si>
    <t>Blake Steenerson (F)</t>
  </si>
  <si>
    <t>Ethan Wolthers (F)</t>
  </si>
  <si>
    <t>David Klee (F)</t>
  </si>
  <si>
    <t>Anthony Menghini (F)</t>
  </si>
  <si>
    <t>Lee Parks (RW)</t>
  </si>
  <si>
    <t>Dimitry Kebreau (F)</t>
  </si>
  <si>
    <t>Verner Miettinen (C)</t>
  </si>
  <si>
    <t>Bruno Idzan (LW)</t>
  </si>
  <si>
    <t>Connor Eddy (C)</t>
  </si>
  <si>
    <t>Garrett Szydlowski (RW)</t>
  </si>
  <si>
    <t>Brady Milburn (C)</t>
  </si>
  <si>
    <t>Iisai Pesonen (C)</t>
  </si>
  <si>
    <t>Blake Bechen (F)</t>
  </si>
  <si>
    <t>Jagger Tapper (F)</t>
  </si>
  <si>
    <t>Dylan Contreras (F)</t>
  </si>
  <si>
    <t>Bo Cosman (F)</t>
  </si>
  <si>
    <t>David Andreychuk (C/LW)</t>
  </si>
  <si>
    <t>Max Strand (F)</t>
  </si>
  <si>
    <t>Attila Lippai (LW/RW)</t>
  </si>
  <si>
    <t>Jhett Larson (F)</t>
  </si>
  <si>
    <t>Carter Slaggert (LW/RW)</t>
  </si>
  <si>
    <t>45</t>
  </si>
  <si>
    <t>Tyler Young (RW)</t>
  </si>
  <si>
    <t>James Duerr (F)</t>
  </si>
  <si>
    <t>Beanie Richter (F)</t>
  </si>
  <si>
    <t>Cameron O'Neill (RW)</t>
  </si>
  <si>
    <t>Brady Hunter (C)</t>
  </si>
  <si>
    <t>Oren Shtrom (F)</t>
  </si>
  <si>
    <t>Cédrick Guindon (LW/C)</t>
  </si>
  <si>
    <t>Davis Borozinskis (LW)</t>
  </si>
  <si>
    <t>Dawson Good (F)</t>
  </si>
  <si>
    <t>Kristaps Skrastins (C)</t>
  </si>
  <si>
    <t>Cam Mitchell (LW)</t>
  </si>
  <si>
    <t>Jack Horbach (RW/C)</t>
  </si>
  <si>
    <t>Matthew Wilde (LW)</t>
  </si>
  <si>
    <t>Jake Bongo (F)</t>
  </si>
  <si>
    <t>Alfred Lindberg (C)</t>
  </si>
  <si>
    <t>Maddox Fleming (RW/LW)</t>
  </si>
  <si>
    <t>Jason Siedem (F)</t>
  </si>
  <si>
    <t>John Mittelstadt (F)</t>
  </si>
  <si>
    <t>Carter Korpi (F)</t>
  </si>
  <si>
    <t>Daniel Sambuco (F)</t>
  </si>
  <si>
    <t>Ethan Burroughs (RW)</t>
  </si>
  <si>
    <t>David Adaszynski (F)</t>
  </si>
  <si>
    <t>Jamison Sluys (F)</t>
  </si>
  <si>
    <t>Zach Filak (C)</t>
  </si>
  <si>
    <t>Owen Mehlenbacher (C)</t>
  </si>
  <si>
    <t>Thomas Sinclair (C)</t>
  </si>
  <si>
    <t>Cole Gordon (F)</t>
  </si>
  <si>
    <t>Joel Plante (F)</t>
  </si>
  <si>
    <t>Tom Molson (F)</t>
  </si>
  <si>
    <t>Justin Kerr (RW/C)</t>
  </si>
  <si>
    <t>Tyler MacKenzie (F)</t>
  </si>
  <si>
    <t>Tanyon Bajzer (RW)</t>
  </si>
  <si>
    <t>ncaa: 1, ohl: 4, usports: 1</t>
  </si>
  <si>
    <t>Luke Buss (F)</t>
  </si>
  <si>
    <t>Haden Kruse (F)</t>
  </si>
  <si>
    <t>Ben Anderson (F)</t>
  </si>
  <si>
    <t>Jack Rogers (F)</t>
  </si>
  <si>
    <t>Kyler Kovich (LW)</t>
  </si>
  <si>
    <t>Gabriel Westling (C/LW)</t>
  </si>
  <si>
    <t>Troy Pelton (C)</t>
  </si>
  <si>
    <t>Jake Bernadet (F)</t>
  </si>
  <si>
    <t>Ian Scherzer (C)</t>
  </si>
  <si>
    <t>Jérémi Tremblay (F)</t>
  </si>
  <si>
    <t>Daimon Gardner (C)</t>
  </si>
  <si>
    <t>Ryan MacPherson (C)</t>
  </si>
  <si>
    <t>Dashel Oliver (F)</t>
  </si>
  <si>
    <t>Jack Collins (F)</t>
  </si>
  <si>
    <t>Jake Gutwirth (F)</t>
  </si>
  <si>
    <t>Michael Schermerhorn (C/LW)</t>
  </si>
  <si>
    <t>Huston Karpman (F)</t>
  </si>
  <si>
    <t>William Lawson-Body (F)</t>
  </si>
  <si>
    <t>Brad McNeil (F)</t>
  </si>
  <si>
    <t>Connor DeTurris (F)</t>
  </si>
  <si>
    <t>Kalen Szeto (F)</t>
  </si>
  <si>
    <t>Luke Bibby (LW)</t>
  </si>
  <si>
    <t>William Belle (RW)</t>
  </si>
  <si>
    <t>Flint Firebirds</t>
  </si>
  <si>
    <t>ohl</t>
  </si>
  <si>
    <t>ohl: 4</t>
  </si>
  <si>
    <t>Kieron Walton (C/LW)</t>
  </si>
  <si>
    <t>Sudbury Wolves</t>
  </si>
  <si>
    <t>52</t>
  </si>
  <si>
    <t>Niagara IceDogs</t>
  </si>
  <si>
    <t>50</t>
  </si>
  <si>
    <t>ohl: 3</t>
  </si>
  <si>
    <t>Brantford Bulldogs</t>
  </si>
  <si>
    <t>ohl: 1</t>
  </si>
  <si>
    <t>Egor Barabanov (F)</t>
  </si>
  <si>
    <t>Saginaw Spirit</t>
  </si>
  <si>
    <t>49</t>
  </si>
  <si>
    <t>Owen Sound Attack</t>
  </si>
  <si>
    <t>48</t>
  </si>
  <si>
    <t>59</t>
  </si>
  <si>
    <t>ohl: 2</t>
  </si>
  <si>
    <t>Nikita Klepov (F)</t>
  </si>
  <si>
    <t>47</t>
  </si>
  <si>
    <t>Kitchener Rangers</t>
  </si>
  <si>
    <t>ncaa: 1, ohl: 2</t>
  </si>
  <si>
    <t>Dylan Edwards (F)</t>
  </si>
  <si>
    <t>totals</t>
  </si>
  <si>
    <t>ohl: 5</t>
  </si>
  <si>
    <t>Marco Mignosa (RW)</t>
  </si>
  <si>
    <t>Soo Greyhounds</t>
  </si>
  <si>
    <t>Nathan Villeneuve (C/LW)</t>
  </si>
  <si>
    <t>42</t>
  </si>
  <si>
    <t>43</t>
  </si>
  <si>
    <t>Michael Dec (C)</t>
  </si>
  <si>
    <t>Barrie Colts</t>
  </si>
  <si>
    <t>Joshua Avery (C)</t>
  </si>
  <si>
    <t>Gabriel Frasca (C)</t>
  </si>
  <si>
    <t>37</t>
  </si>
  <si>
    <t>Ethan Belchetz (LW)</t>
  </si>
  <si>
    <t>Windsor Spitfires</t>
  </si>
  <si>
    <t>Ottawa 67's</t>
  </si>
  <si>
    <t>Quinn McKenzie (C)</t>
  </si>
  <si>
    <t>Christopher Brown (C)</t>
  </si>
  <si>
    <t>Charlie Paquette (RW/C)</t>
  </si>
  <si>
    <t>Kevin He (LW)</t>
  </si>
  <si>
    <t>Peterborough Petes</t>
  </si>
  <si>
    <t>Guelph Storm</t>
  </si>
  <si>
    <t>Dima Zhilkin (RW)</t>
  </si>
  <si>
    <t>62</t>
  </si>
  <si>
    <t>Jordan Charron (RW)</t>
  </si>
  <si>
    <t>Oshawa Generals</t>
  </si>
  <si>
    <t>London Knights</t>
  </si>
  <si>
    <t>Liam Greentree (RW)</t>
  </si>
  <si>
    <t>Jack Nesbitt (C)</t>
  </si>
  <si>
    <t>Easton Walos (C)</t>
  </si>
  <si>
    <t>Sarnia Sting</t>
  </si>
  <si>
    <t>Jacob Battaglia (RW/LW)</t>
  </si>
  <si>
    <t>Tyler Hopkins (C/LW)</t>
  </si>
  <si>
    <t>Beckham Edwards (C)</t>
  </si>
  <si>
    <t>Mason Zebeski (LW)</t>
  </si>
  <si>
    <t>Sam O'Reilly (C/RW)</t>
  </si>
  <si>
    <t>Braidy Wassilyn (F)</t>
  </si>
  <si>
    <t>Ethan Garden (C)</t>
  </si>
  <si>
    <t>54</t>
  </si>
  <si>
    <t>Gabriel Chiarot (RW/LW)</t>
  </si>
  <si>
    <t>North Bay Battalion</t>
  </si>
  <si>
    <t>Alex Pharand (C/RW)</t>
  </si>
  <si>
    <t>Cole Davis (LW)</t>
  </si>
  <si>
    <t>Sebastien Gervais (C)</t>
  </si>
  <si>
    <t>Alex Mclean (F)</t>
  </si>
  <si>
    <t>Jacob Cloutier (RW)</t>
  </si>
  <si>
    <t>Jett Luchanko (C)</t>
  </si>
  <si>
    <t>Ihnat Pazii (LW)</t>
  </si>
  <si>
    <t>Beksultan Makysh (F)</t>
  </si>
  <si>
    <t>Ryan Brown (LW)</t>
  </si>
  <si>
    <t>Colin Fitzgerald (C)</t>
  </si>
  <si>
    <t>Jack Van Volsen (C)</t>
  </si>
  <si>
    <t>Carson Harmer (C)</t>
  </si>
  <si>
    <t>Travis Hayes (RW)</t>
  </si>
  <si>
    <t>Nicholas Sima (RW)</t>
  </si>
  <si>
    <t>Kingston Frontenacs</t>
  </si>
  <si>
    <t>Brampton Steelheads</t>
  </si>
  <si>
    <t>Jordan Bax (C)</t>
  </si>
  <si>
    <t>51</t>
  </si>
  <si>
    <t>Jack Dever (RW)</t>
  </si>
  <si>
    <t>Jeremy Martin (LW)</t>
  </si>
  <si>
    <t>Jean-Cristoph Lemieux (C)</t>
  </si>
  <si>
    <t>Noah Laus (F)</t>
  </si>
  <si>
    <t>Liam Beamish (C)</t>
  </si>
  <si>
    <t>Jan Chovan (C/RW)</t>
  </si>
  <si>
    <t>Ben Pickell (LW)</t>
  </si>
  <si>
    <t>Rowan Henderson (C)</t>
  </si>
  <si>
    <t>Caden Taylor (RW/LW)</t>
  </si>
  <si>
    <t>Aiden O'Donnell (F)</t>
  </si>
  <si>
    <t>Alex Misiak (F)</t>
  </si>
  <si>
    <t>Alessandro Di Iorio (C)</t>
  </si>
  <si>
    <t>A.J. Spellacy (RW/C)</t>
  </si>
  <si>
    <t>Erie Otters</t>
  </si>
  <si>
    <t>Caden Harvey (F)</t>
  </si>
  <si>
    <t>Sam McCue (LW/RW)</t>
  </si>
  <si>
    <t>Chase Coughlan (F)</t>
  </si>
  <si>
    <t>Brady Martin (C)</t>
  </si>
  <si>
    <t>Kaden Pitre (C)</t>
  </si>
  <si>
    <t>Layne Gallacher (C)</t>
  </si>
  <si>
    <t>Brody Pepoy (F)</t>
  </si>
  <si>
    <t>Blake Clayton (C)</t>
  </si>
  <si>
    <t>Brett Hammond (C)</t>
  </si>
  <si>
    <t>Wesley Royston (RW)</t>
  </si>
  <si>
    <t>57</t>
  </si>
  <si>
    <t>Chase Hull (F)</t>
  </si>
  <si>
    <t>Daniel Berehowsky (F)</t>
  </si>
  <si>
    <t>Matthew Manza (RW)</t>
  </si>
  <si>
    <t>Brady Smith (RW)</t>
  </si>
  <si>
    <t>Brady Smith (C)</t>
  </si>
  <si>
    <t>Tobias Zvolensky (LW)</t>
  </si>
  <si>
    <t>Logan Hawery (C)</t>
  </si>
  <si>
    <t>Vladimir Provorov (F)</t>
  </si>
  <si>
    <t>Noah Read (C/LW)</t>
  </si>
  <si>
    <t>Johnny McLaughlin (F)</t>
  </si>
  <si>
    <t>61</t>
  </si>
  <si>
    <t>Matthew Wang (LW/C)</t>
  </si>
  <si>
    <t>Ethan Dean (C)</t>
  </si>
  <si>
    <t>Ryan Kaczynski (F)</t>
  </si>
  <si>
    <t>Brayden Bennett (F)</t>
  </si>
  <si>
    <t>Hudson Chitaroni (C)</t>
  </si>
  <si>
    <t>Brenner Lammens (C)</t>
  </si>
  <si>
    <t>Kase Kamzik (F)</t>
  </si>
  <si>
    <t>Max Brocklehurst (LW)</t>
  </si>
  <si>
    <t>Jaxon Williams (RW)</t>
  </si>
  <si>
    <t>Ryan Hanrahan (F)</t>
  </si>
  <si>
    <t>Evan Headrick (C)</t>
  </si>
  <si>
    <t>Carson Andrew (RW)</t>
  </si>
  <si>
    <t>Nathan Gaymes (RW)</t>
  </si>
  <si>
    <t>Chase Gaughan (C)</t>
  </si>
  <si>
    <t>Charles Hilton (F)</t>
  </si>
  <si>
    <t>Liam Storch (F)</t>
  </si>
  <si>
    <t>Carson Hall (C)</t>
  </si>
  <si>
    <t>Tyler Challenger (LW)</t>
  </si>
  <si>
    <t>Gensen Geldart (F)</t>
  </si>
  <si>
    <t>ohl: 4, qmjhl: 1</t>
  </si>
  <si>
    <t>Shawn Costello (C)</t>
  </si>
  <si>
    <t>Cole Dubowsky (LW)</t>
  </si>
  <si>
    <t>Blake Arrowsmith (RW)</t>
  </si>
  <si>
    <t>Mason Walker (C/W)</t>
  </si>
  <si>
    <t>Trevor Theuer (C)</t>
  </si>
  <si>
    <t>Ryder Simpson (LW)</t>
  </si>
  <si>
    <t>Juraj Rausa (F)</t>
  </si>
  <si>
    <t>Miroslav Satan (C/LW)</t>
  </si>
  <si>
    <t>ohl: 1, qmjhl: 1</t>
  </si>
  <si>
    <t>Cameron Schmidt (RW)</t>
  </si>
  <si>
    <t>whl</t>
  </si>
  <si>
    <t>whl: 4</t>
  </si>
  <si>
    <t>Kamloops Blazers</t>
  </si>
  <si>
    <t>whl: 1</t>
  </si>
  <si>
    <t>Edmonton Oil Kings</t>
  </si>
  <si>
    <t>whl: 2</t>
  </si>
  <si>
    <t>Medicine Hat Tigers</t>
  </si>
  <si>
    <t>53</t>
  </si>
  <si>
    <t>whl: 3</t>
  </si>
  <si>
    <t>Portland Winterhawks</t>
  </si>
  <si>
    <t>Penticton Vees</t>
  </si>
  <si>
    <t>Shane Smith (F)</t>
  </si>
  <si>
    <t>whl: 6</t>
  </si>
  <si>
    <t>Prince George Cougars</t>
  </si>
  <si>
    <t>whl: 5</t>
  </si>
  <si>
    <t>Calgary Hitmen</t>
  </si>
  <si>
    <t>Brandon Wheat Kings</t>
  </si>
  <si>
    <t>Luke Cozens (F)</t>
  </si>
  <si>
    <t>Everett Silvertips</t>
  </si>
  <si>
    <t>Julien Maze (F)</t>
  </si>
  <si>
    <t>Prince Albert Raiders</t>
  </si>
  <si>
    <t>Logan Wormald (F)</t>
  </si>
  <si>
    <t>Kelowna Rockets</t>
  </si>
  <si>
    <t>Ty Halaburda (C)</t>
  </si>
  <si>
    <t>Brandon Gorzynski (LW)</t>
  </si>
  <si>
    <t>Roan Woodward (C)</t>
  </si>
  <si>
    <t>Victoria Royals</t>
  </si>
  <si>
    <t>Savin Virk (F)</t>
  </si>
  <si>
    <t>Tri-City Americans</t>
  </si>
  <si>
    <t>Moose Jaw Warriors</t>
  </si>
  <si>
    <t>Antonio Martorana (F)</t>
  </si>
  <si>
    <t>Seattle Thunderbirds</t>
  </si>
  <si>
    <t>Hayden Moore (F)</t>
  </si>
  <si>
    <t>Tyus Sparks (F)</t>
  </si>
  <si>
    <t>Connor Dale (F)</t>
  </si>
  <si>
    <t>Hunter Laing (C/RW)</t>
  </si>
  <si>
    <t>Saskatoon Blades</t>
  </si>
  <si>
    <t>Brock England (C)</t>
  </si>
  <si>
    <t>Matěj Pekař (C/W)</t>
  </si>
  <si>
    <t>Chase Harrington (F)</t>
  </si>
  <si>
    <t>Spokane Chiefs</t>
  </si>
  <si>
    <t>65</t>
  </si>
  <si>
    <t>Cooper Williams (F)</t>
  </si>
  <si>
    <t>Noah Kosick (C)</t>
  </si>
  <si>
    <t>Rowan Calvert (F)</t>
  </si>
  <si>
    <t>Regina Pats</t>
  </si>
  <si>
    <t>Mathis Preston (F)</t>
  </si>
  <si>
    <t>Gavin Garland (F)</t>
  </si>
  <si>
    <t>David Lewandowski (LW)</t>
  </si>
  <si>
    <t>Coster Dunn (C)</t>
  </si>
  <si>
    <t>Maddix McCagherty (F)</t>
  </si>
  <si>
    <t>Nolan Stewart (F)</t>
  </si>
  <si>
    <t>Luka Shcherbyna (F)</t>
  </si>
  <si>
    <t>Wenatchee Wild</t>
  </si>
  <si>
    <t>Hayden Harsanyi (F)</t>
  </si>
  <si>
    <t>Red Deer Rebels</t>
  </si>
  <si>
    <t>Aaron Obobaifo (C)</t>
  </si>
  <si>
    <t>Reggie Newman (RW)</t>
  </si>
  <si>
    <t>Mason Kraft (LW)</t>
  </si>
  <si>
    <t>Miles Cooper (C/LW)</t>
  </si>
  <si>
    <t>Heath Nelson (LW)</t>
  </si>
  <si>
    <t>Owen Berge (F)</t>
  </si>
  <si>
    <t>Jaxon Fuder (LW/C)</t>
  </si>
  <si>
    <t>Lethbridge Hurricanes</t>
  </si>
  <si>
    <t>Coco Armstrong (RW)</t>
  </si>
  <si>
    <t>Zac Olsen (F)</t>
  </si>
  <si>
    <t>Braeden Cootes (C/RW)</t>
  </si>
  <si>
    <t>Harrison Lodewyk (F)</t>
  </si>
  <si>
    <t>Dominik Petr (C/LW)</t>
  </si>
  <si>
    <t>Kayden Longley (F)</t>
  </si>
  <si>
    <t>Jakob Oreskovic (F)</t>
  </si>
  <si>
    <t>Vancouver Giants</t>
  </si>
  <si>
    <t>Sam Oremba (F)</t>
  </si>
  <si>
    <t>Owen Martin (C)</t>
  </si>
  <si>
    <t>Jake Gudelj (F)</t>
  </si>
  <si>
    <t>Ludovic Perreault (F)</t>
  </si>
  <si>
    <t>Joe Iginla (F)</t>
  </si>
  <si>
    <t>Zach Pantelakis (F)</t>
  </si>
  <si>
    <t>Swift Current Broncos</t>
  </si>
  <si>
    <t>Hudson Darby (F)</t>
  </si>
  <si>
    <t>Simon Lovsin (F)</t>
  </si>
  <si>
    <t>Ty Meunier (F)</t>
  </si>
  <si>
    <t>Adam Titlbach (C/LW)</t>
  </si>
  <si>
    <t>Anthony Wilson (F)</t>
  </si>
  <si>
    <t>Cohen Harris (F)</t>
  </si>
  <si>
    <t>69</t>
  </si>
  <si>
    <t>ohl: 2, whl: 1</t>
  </si>
  <si>
    <t>Tyler Parr (F)</t>
  </si>
  <si>
    <t>Poul Andersen (RW)</t>
  </si>
  <si>
    <t>Trae Wilke (F)</t>
  </si>
  <si>
    <t>Cruz Pavao (F)</t>
  </si>
  <si>
    <t>Kazden Mathies (F)</t>
  </si>
  <si>
    <t>Blake Vanek (RW)</t>
  </si>
  <si>
    <t>Stepan Kuryachenkov (F)</t>
  </si>
  <si>
    <t>Brody Gillespie (F)</t>
  </si>
  <si>
    <t>Caleb Matthews (F)</t>
  </si>
  <si>
    <t>Brett Olson (C)</t>
  </si>
  <si>
    <t>Crew Martinson (F)</t>
  </si>
  <si>
    <t>Brendan Rudolph (F)</t>
  </si>
  <si>
    <t>Tobias Tomik (C/RW)</t>
  </si>
  <si>
    <t>Aiden Grossklaus (F)</t>
  </si>
  <si>
    <t>Sawyer Mayes (C)</t>
  </si>
  <si>
    <t>Ashton Brown (F)</t>
  </si>
  <si>
    <t>Levi Benson (F)</t>
  </si>
  <si>
    <t>Jaxen Gauchier (F)</t>
  </si>
  <si>
    <t>Sawyer Dingman (F)</t>
  </si>
  <si>
    <t>67</t>
  </si>
  <si>
    <t>Cash Koch (F)</t>
  </si>
  <si>
    <t>56</t>
  </si>
  <si>
    <t>Parker Rondeau (F)</t>
  </si>
  <si>
    <t>Kalder Varga (F)</t>
  </si>
  <si>
    <t>Rui Han (F)</t>
  </si>
  <si>
    <t>Ethan Hughes (F)</t>
  </si>
  <si>
    <t>Nolan Caffey (F)</t>
  </si>
  <si>
    <t>Oli Chenier (F)</t>
  </si>
  <si>
    <t>Caelan Joudrey (F)</t>
  </si>
  <si>
    <t>Cameron Kuzma (C)</t>
  </si>
  <si>
    <t>Matthew Gard (C)</t>
  </si>
  <si>
    <t>Shaun Rios (F)</t>
  </si>
  <si>
    <t>Zane Saab (F)</t>
  </si>
  <si>
    <t>Blake Chorney (F)</t>
  </si>
  <si>
    <t>Dawson Seitz (F)</t>
  </si>
  <si>
    <t>Grady Martin (F)</t>
  </si>
  <si>
    <t>Colton Gerrior (C)</t>
  </si>
  <si>
    <t>Noah Milford (F)</t>
  </si>
  <si>
    <t>Gavin Burcar (F)</t>
  </si>
  <si>
    <t>Cole Temple (C/LW)</t>
  </si>
  <si>
    <t>Sam Elliott (F)</t>
  </si>
  <si>
    <t>64</t>
  </si>
  <si>
    <t>Gavin Clark (F)</t>
  </si>
  <si>
    <t>Leonardo Domenichelli (C/RW)</t>
  </si>
  <si>
    <t>Brayden Holberton (F)</t>
  </si>
  <si>
    <t>73</t>
  </si>
  <si>
    <t>Carter Moen (F)</t>
  </si>
  <si>
    <t>Mathias Silaban (F)</t>
  </si>
  <si>
    <t>Grady Wedman (F)</t>
  </si>
  <si>
    <t>Ethan Bibeau (F)</t>
  </si>
  <si>
    <t>Kanjyu Gojsic (F)</t>
  </si>
  <si>
    <t>Dustin Willhöft (F)</t>
  </si>
  <si>
    <t>Marcus Laraque (RW)</t>
  </si>
  <si>
    <t>Asanali Sarkenov (RW/LW)</t>
  </si>
  <si>
    <t>Tristen Buckley (F)</t>
  </si>
  <si>
    <t>Alexander Laing (F)</t>
  </si>
  <si>
    <t>Wyatt Danyleyko (C)</t>
  </si>
  <si>
    <t>Elias Pul (F)</t>
  </si>
  <si>
    <t>Zane Torre (F)</t>
  </si>
  <si>
    <t>David Krcal (LW)</t>
  </si>
  <si>
    <t>Brennan Brown (C)</t>
  </si>
  <si>
    <t>Patrick Sopiarz (C)</t>
  </si>
  <si>
    <t>Carter Kingerski (F)</t>
  </si>
  <si>
    <t>Eli McKamey (F)</t>
  </si>
  <si>
    <t>Tomas Racz (F)</t>
  </si>
  <si>
    <t>Kohen Lodge (F)</t>
  </si>
  <si>
    <t>Smyth Rebman (F)</t>
  </si>
  <si>
    <t>Jesse McKinnon (F)</t>
  </si>
  <si>
    <t>Jayden Oleskiw (F)</t>
  </si>
  <si>
    <t>Alexandre Andre (F)</t>
  </si>
  <si>
    <t>Ossie McIntyre (F)</t>
  </si>
  <si>
    <t>Jack Toogood (RW/LW)</t>
  </si>
  <si>
    <t>Mason Mykichuk (C)</t>
  </si>
  <si>
    <t>Torretto Marrelli (F)</t>
  </si>
  <si>
    <t>Benjamin Bowtell (LW)</t>
  </si>
  <si>
    <t>Luca Pura (F)</t>
  </si>
  <si>
    <t>Jacob Schwartz (F)</t>
  </si>
  <si>
    <t>Layne Schofield (F)</t>
  </si>
  <si>
    <t>Cruz Waltze (F)</t>
  </si>
  <si>
    <t>Brock Burch (C)</t>
  </si>
  <si>
    <t>Aidan Sexsmith (F)</t>
  </si>
  <si>
    <t>Tristan Mitchell-McEllhone (C)</t>
  </si>
  <si>
    <t>Logan Miller (F)</t>
  </si>
  <si>
    <t>Caden Cail (F)</t>
  </si>
  <si>
    <t>Philippe Veilleux (LW)</t>
  </si>
  <si>
    <t>Val-d'Or Foreurs</t>
  </si>
  <si>
    <t>qmjhl</t>
  </si>
  <si>
    <t>qmjhl: 3</t>
  </si>
  <si>
    <t>Newfoundland Regiment</t>
  </si>
  <si>
    <t>qmjhl: 5</t>
  </si>
  <si>
    <t>Chicoutimi Saguenéens</t>
  </si>
  <si>
    <t>qmjhl: 4</t>
  </si>
  <si>
    <t>Félix Lacerte (RW)</t>
  </si>
  <si>
    <t>Shawinigan Cataractes</t>
  </si>
  <si>
    <t>Rouyn-Noranda Huskies</t>
  </si>
  <si>
    <t>Maxime Coursol (RW)</t>
  </si>
  <si>
    <t>Alexei Vlasov (LW)</t>
  </si>
  <si>
    <t>Victoriaville Tigres</t>
  </si>
  <si>
    <t>qmjhl: 1</t>
  </si>
  <si>
    <t>Yegor Shilov (C)</t>
  </si>
  <si>
    <t>Blainville-Boisbriand Armada</t>
  </si>
  <si>
    <t>Nathan Brisson (LW)</t>
  </si>
  <si>
    <t>Moncton Wildcats</t>
  </si>
  <si>
    <t>Charlottetown Islanders</t>
  </si>
  <si>
    <t>Cape Breton Eagles</t>
  </si>
  <si>
    <t>Québec Remparts</t>
  </si>
  <si>
    <t>Halifax Mooseheads</t>
  </si>
  <si>
    <t>qmjhl: 2</t>
  </si>
  <si>
    <t>Drummondville Voltigeurs</t>
  </si>
  <si>
    <t>Olivier Groulx (LW)</t>
  </si>
  <si>
    <t>Saint John Sea Dogs</t>
  </si>
  <si>
    <t>Alexis Joseph (C)</t>
  </si>
  <si>
    <t>Louis-Charles Plourde (LW)</t>
  </si>
  <si>
    <t>Thomas Rousseau (RW)</t>
  </si>
  <si>
    <t>Sherbrooke Phoenix</t>
  </si>
  <si>
    <t>Mavrick Lachance (C)</t>
  </si>
  <si>
    <t>Chad Lygitsakos (C)</t>
  </si>
  <si>
    <t>Vince Elie (RW)</t>
  </si>
  <si>
    <t>Liam Lefebvre (C)</t>
  </si>
  <si>
    <t>Thomas Paquet (c)</t>
  </si>
  <si>
    <t>c</t>
  </si>
  <si>
    <t>Cole Chandler (C/LW)</t>
  </si>
  <si>
    <t>Dylan Rozzi (LW)</t>
  </si>
  <si>
    <t>Alexis Bourque (RW)</t>
  </si>
  <si>
    <t>Ilya Kolmakov (LW)</t>
  </si>
  <si>
    <t>Florent Houle (RW)</t>
  </si>
  <si>
    <t>Alexander Donovan (RW)</t>
  </si>
  <si>
    <t>Alexis Michaud (RW)</t>
  </si>
  <si>
    <t>Lou Lévesque (LW)</t>
  </si>
  <si>
    <t>Enzo Lottin (C)</t>
  </si>
  <si>
    <t>Gatineau Olympiques</t>
  </si>
  <si>
    <t>Robin Benoit (RW)</t>
  </si>
  <si>
    <t>Samuel Fiala (C)</t>
  </si>
  <si>
    <t>Jiří Klíma (LW)</t>
  </si>
  <si>
    <t>Elias Schneider (C)</t>
  </si>
  <si>
    <t>Raoul Boilard (C/LW)</t>
  </si>
  <si>
    <t>Zachary Morin (LW)</t>
  </si>
  <si>
    <t>Angelo Fullerton (LW)</t>
  </si>
  <si>
    <t>Rimouski Océanic</t>
  </si>
  <si>
    <t>Benjamin Oliver (C)</t>
  </si>
  <si>
    <t>Kornei Korneyev (RW)</t>
  </si>
  <si>
    <t>Kyle Powers (C)</t>
  </si>
  <si>
    <t>Gleb Semyonov (C/RW)</t>
  </si>
  <si>
    <t>Jayden Plouffe (LW)</t>
  </si>
  <si>
    <t>Loïk Gariepy (C)</t>
  </si>
  <si>
    <t>Maxime Côté (LW)</t>
  </si>
  <si>
    <t>William Yared (C)</t>
  </si>
  <si>
    <t>Baie-Comeau Drakkar</t>
  </si>
  <si>
    <t>Jérémy Leroux (C)</t>
  </si>
  <si>
    <t>Rafael Cloutier (LW)</t>
  </si>
  <si>
    <t>Olivier Dubois (LW)</t>
  </si>
  <si>
    <t>Elliot Dubé (C)</t>
  </si>
  <si>
    <t>Jordan Forget (RW)</t>
  </si>
  <si>
    <t>Mathias Bourque (LW)</t>
  </si>
  <si>
    <t>Olivers Murnieks (C)</t>
  </si>
  <si>
    <t>Brayden Besner (LW)</t>
  </si>
  <si>
    <t>Alix Durocher (C)</t>
  </si>
  <si>
    <t>Loïc Poirier (LW)</t>
  </si>
  <si>
    <t>Adam Cavallin (LW)</t>
  </si>
  <si>
    <t>ohl: 2, qmjhl: 2</t>
  </si>
  <si>
    <t>Matthew Krayer (LW)</t>
  </si>
  <si>
    <t>Brogan McNeil (RW)</t>
  </si>
  <si>
    <t>Chad Bellemare (RW)</t>
  </si>
  <si>
    <t>Jordan Labelle (LW)</t>
  </si>
  <si>
    <t>Jacob Lachance (C)</t>
  </si>
  <si>
    <t>Josh Demers (LW)</t>
  </si>
  <si>
    <t>Samuel Rochon (LW)</t>
  </si>
  <si>
    <t>Jérémy Belleau (C)</t>
  </si>
  <si>
    <t>Jabez Seymour (RW)</t>
  </si>
  <si>
    <t>Kody Dupuis (C)</t>
  </si>
  <si>
    <t>Jacob Beaulieu (RW)</t>
  </si>
  <si>
    <t>Justin Gendron (RW)</t>
  </si>
  <si>
    <t>Egan Beveridge (RW)</t>
  </si>
  <si>
    <t>Natan Éthier (LW)</t>
  </si>
  <si>
    <t>Martins Klaucans (LW)</t>
  </si>
  <si>
    <t>Félix Ouellet (RW)</t>
  </si>
  <si>
    <t>ohl: 2, qmjhl: 1</t>
  </si>
  <si>
    <t>Lev Gaponov (C)</t>
  </si>
  <si>
    <t>Nolann Héroux (C)</t>
  </si>
  <si>
    <t>Xavier Sabourin (RW)</t>
  </si>
  <si>
    <t>Antoine L'Italien (RW)</t>
  </si>
  <si>
    <t>Maxime Lambert (C)</t>
  </si>
  <si>
    <t>Deryk Lemaire (C)</t>
  </si>
  <si>
    <t>Lynden Larsen (LW)</t>
  </si>
  <si>
    <t>Alexis Gauthier (C)</t>
  </si>
  <si>
    <t>Samuel Boyer (LW)</t>
  </si>
  <si>
    <t>Matys St-Gelais (LW)</t>
  </si>
  <si>
    <t>Cameron Haye (C)</t>
  </si>
  <si>
    <t>Ryan Dwyer (C)</t>
  </si>
  <si>
    <t>Olivier Laverdière (LW)</t>
  </si>
  <si>
    <t>Olivier Boutin (C)</t>
  </si>
  <si>
    <t>Zakary Savoie (RW)</t>
  </si>
  <si>
    <t>Dylan Laframboise (LW)</t>
  </si>
  <si>
    <t>Frédéric Bergeron (C)</t>
  </si>
  <si>
    <t>Juraj Jonas Durco (LW)</t>
  </si>
  <si>
    <t>Evan Sercerchi (C)</t>
  </si>
  <si>
    <t>Sheldon Rioux (RW)</t>
  </si>
  <si>
    <t>Christian Furuvik (LW)</t>
  </si>
  <si>
    <t>Reid Valade (LW/RW)</t>
  </si>
  <si>
    <t>Saint Mary's Univ.</t>
  </si>
  <si>
    <t>usports</t>
  </si>
  <si>
    <t>ohl: 5, usports: 2</t>
  </si>
  <si>
    <t>Ben Allison (W/C)</t>
  </si>
  <si>
    <t>qmjhl: 4, usports: 2</t>
  </si>
  <si>
    <t>Adam Kydd (LW)</t>
  </si>
  <si>
    <t>Univ. of Calgary</t>
  </si>
  <si>
    <t>usports: 2, whl: 4</t>
  </si>
  <si>
    <t>Sasha Mutala (RW)</t>
  </si>
  <si>
    <t>Univ. of British Columbia</t>
  </si>
  <si>
    <t>usports: 3, whl: 3</t>
  </si>
  <si>
    <t>Robert Orr (RW/C)</t>
  </si>
  <si>
    <t>Univ. of Prince Edward Island</t>
  </si>
  <si>
    <t>qmjhl: 4, usports: 1</t>
  </si>
  <si>
    <t>Mount Royal Univ.</t>
  </si>
  <si>
    <t>usports: 4, whl: 2</t>
  </si>
  <si>
    <t>Cody Morgan (C)</t>
  </si>
  <si>
    <t>Univ. of New Brunswick</t>
  </si>
  <si>
    <t>ohl: 2, usports: 3</t>
  </si>
  <si>
    <t>Charlie Da Fonseca (LW)</t>
  </si>
  <si>
    <t>qmjhl: 3, usports: 3</t>
  </si>
  <si>
    <t>Chantz Petruic (C/LW)</t>
  </si>
  <si>
    <t>Univ. of Saskatchewan</t>
  </si>
  <si>
    <t>usports: 4</t>
  </si>
  <si>
    <t>William Portokalis (C)</t>
  </si>
  <si>
    <t>Toronto Metro Univ.</t>
  </si>
  <si>
    <t>Mika Cyr (LW/C)</t>
  </si>
  <si>
    <t>Univ. of Moncton</t>
  </si>
  <si>
    <t>qmjhl: 1, usports: 4</t>
  </si>
  <si>
    <t>Nolan Dann (LW/RW)</t>
  </si>
  <si>
    <t>Univ. of Guelph</t>
  </si>
  <si>
    <t>ohl: 6, usports: 1</t>
  </si>
  <si>
    <t>Conner Roulette (LW/C)</t>
  </si>
  <si>
    <t>usports: 1, whl: 5</t>
  </si>
  <si>
    <t>Scott Atkinson (C)</t>
  </si>
  <si>
    <t>Chris Douglas (RW)</t>
  </si>
  <si>
    <t>Max Grondin (C)</t>
  </si>
  <si>
    <t>Univ. of Ottawa</t>
  </si>
  <si>
    <t>ohl: 1, usports: 4</t>
  </si>
  <si>
    <t>Colby Huggan (C)</t>
  </si>
  <si>
    <t>Grant MacEwan Univ.</t>
  </si>
  <si>
    <t>usports: 2, whl: 2</t>
  </si>
  <si>
    <t>McGill Univ.</t>
  </si>
  <si>
    <t>Christiano Aiello (C/RW)</t>
  </si>
  <si>
    <t>Univ. of Western Ontario</t>
  </si>
  <si>
    <t>usports: 3</t>
  </si>
  <si>
    <t>Ty Thorpe (F)</t>
  </si>
  <si>
    <t>Zachary Power (C)</t>
  </si>
  <si>
    <t>ncaa: 1, usports: 2</t>
  </si>
  <si>
    <t>Acadia Univ.</t>
  </si>
  <si>
    <t>Cole Huckins (C/RW)</t>
  </si>
  <si>
    <t>qmjhl: 5, usports: 1</t>
  </si>
  <si>
    <t>Jake Poole (RW)</t>
  </si>
  <si>
    <t>ohl: 5, usports: 1</t>
  </si>
  <si>
    <t>Joshua Williams (RW)</t>
  </si>
  <si>
    <t>Lakehead Univ.</t>
  </si>
  <si>
    <t>qmjhl: 2, usports: 3</t>
  </si>
  <si>
    <t>Dawson Holt (RW/C)</t>
  </si>
  <si>
    <t>usports: 5, whl: 1</t>
  </si>
  <si>
    <t>Logan Linklater (C)</t>
  </si>
  <si>
    <t>Univ. of Windsor</t>
  </si>
  <si>
    <t>usports: 1, whl: 3</t>
  </si>
  <si>
    <t>usports: 1, whl: 4</t>
  </si>
  <si>
    <t>Aaron Shaw (F)</t>
  </si>
  <si>
    <t>Keegan McMullen (LW)</t>
  </si>
  <si>
    <t>ohl: 3, usports: 3</t>
  </si>
  <si>
    <t>Hayden Pakkala (F)</t>
  </si>
  <si>
    <t>usports: 1</t>
  </si>
  <si>
    <t>Lucas Chard (LW/C)</t>
  </si>
  <si>
    <t>Wilfrid Laurier Univ.</t>
  </si>
  <si>
    <t>Cyle McNabb (RW)</t>
  </si>
  <si>
    <t>usports: 4, whl: 1</t>
  </si>
  <si>
    <t>Félix Lafrance (LW)</t>
  </si>
  <si>
    <t>Univ. of Québec-Trois-Rivières</t>
  </si>
  <si>
    <t>Nipissing Univ.</t>
  </si>
  <si>
    <t>Colton Smith (LW)</t>
  </si>
  <si>
    <t>ncaa: 1, ohl: 5, usports: 1</t>
  </si>
  <si>
    <t>Ben McFarlane (RW)</t>
  </si>
  <si>
    <t>ohl: 4, usports: 2</t>
  </si>
  <si>
    <t>Marc-Antoine Séguin (RW)</t>
  </si>
  <si>
    <t>Concordia Univ.</t>
  </si>
  <si>
    <t>Queen's Univ.</t>
  </si>
  <si>
    <t>Stephen Kirkpatrick (F)</t>
  </si>
  <si>
    <t>Mike Petizian (LW)</t>
  </si>
  <si>
    <t>Dalhousie Univ.</t>
  </si>
  <si>
    <t>qmjhl: 2, usports: 1</t>
  </si>
  <si>
    <t>Ontario Tech Univ.</t>
  </si>
  <si>
    <t>usports: 3, whl: 1</t>
  </si>
  <si>
    <t>Carleton Univ.</t>
  </si>
  <si>
    <t>qmjhl: 1, usports: 3</t>
  </si>
  <si>
    <t>Zacharie Giroux (C)</t>
  </si>
  <si>
    <t>ohl: 4, usports: 1</t>
  </si>
  <si>
    <t>Jacob Wright (C)</t>
  </si>
  <si>
    <t>Ryan McGuire (C/LW)</t>
  </si>
  <si>
    <t>St. Francis Xavier Univ.</t>
  </si>
  <si>
    <t>83</t>
  </si>
  <si>
    <t>Reilley Kotai (F)</t>
  </si>
  <si>
    <t>Adam Hall (LW/C)</t>
  </si>
  <si>
    <t>Univ. of Alberta</t>
  </si>
  <si>
    <t>Jérémy D'Astous (RW)</t>
  </si>
  <si>
    <t>Jules Boilard (RW)</t>
  </si>
  <si>
    <t>Dylan Hudon (C)</t>
  </si>
  <si>
    <t>Christian Lowe (F)</t>
  </si>
  <si>
    <t>Trinity Western Univ.</t>
  </si>
  <si>
    <t>usports: 2</t>
  </si>
  <si>
    <t>Gavin Schmidt (F)</t>
  </si>
  <si>
    <t>Peter Reynolds (C)</t>
  </si>
  <si>
    <t>Nicholas Yearwood (C)</t>
  </si>
  <si>
    <t>ohl: 3, usports: 1</t>
  </si>
  <si>
    <t>Max-Antoine Melançon (LW)</t>
  </si>
  <si>
    <t>Stuart Rolofs (LW)</t>
  </si>
  <si>
    <t>Justin Hall (LW/C)</t>
  </si>
  <si>
    <t>Thomas Lenart (C)</t>
  </si>
  <si>
    <t>Jack Wismer (RW)</t>
  </si>
  <si>
    <t>Emmett Pierce (RW)</t>
  </si>
  <si>
    <t>Univ. of Waterloo</t>
  </si>
  <si>
    <t>ohl: 1, usports: 3</t>
  </si>
  <si>
    <t>Logan O'Neil (RW)</t>
  </si>
  <si>
    <t>Elias Cohen (C)</t>
  </si>
  <si>
    <t>Brock Univ.</t>
  </si>
  <si>
    <t>Rylee Hlusiak (RW)</t>
  </si>
  <si>
    <t>Univ. of Toronto</t>
  </si>
  <si>
    <t>ncaa: 2, usports: 1</t>
  </si>
  <si>
    <t>Carter Stebbings (C)</t>
  </si>
  <si>
    <t>Marko Djordjevic (F)</t>
  </si>
  <si>
    <t>Mikhail Simchuk (F)</t>
  </si>
  <si>
    <t>Tyson Laventure (RW)</t>
  </si>
  <si>
    <t>Artem Hrabovetskyi (F)</t>
  </si>
  <si>
    <t>Jaxson Murray (RW)</t>
  </si>
  <si>
    <t>Mack Stewart (C/W)</t>
  </si>
  <si>
    <t>Chase Lefebvre (C)</t>
  </si>
  <si>
    <t>Skyler Bruce (RW)</t>
  </si>
  <si>
    <t>Univ. of Manitoba</t>
  </si>
  <si>
    <t>Lucas Canning (LW)</t>
  </si>
  <si>
    <t>qmjhl: 3, usports: 1</t>
  </si>
  <si>
    <t>Harry Clark (F)</t>
  </si>
  <si>
    <t>York Univ.</t>
  </si>
  <si>
    <t>Gavin Grundner (LW)</t>
  </si>
  <si>
    <t>Conor Frenette (C)</t>
  </si>
  <si>
    <t>Olivier-Luc Haché (C/LW)</t>
  </si>
  <si>
    <t>qmjhl: 2, usports: 4</t>
  </si>
  <si>
    <t>Dylan Wightman (F)</t>
  </si>
  <si>
    <t>Zack Smith (RW)</t>
  </si>
  <si>
    <t>Alex Thacker (LW)</t>
  </si>
  <si>
    <t>Travis Verbeek (LW)</t>
  </si>
  <si>
    <t>Logan Chisholm (LW)</t>
  </si>
  <si>
    <t>Olivier Lamothe (C)</t>
  </si>
  <si>
    <t>ohl: 3, usports: 2</t>
  </si>
  <si>
    <t>Mitchell Martin (LW)</t>
  </si>
  <si>
    <t>Lawson Sherk (C)</t>
  </si>
  <si>
    <t>Jax Dubois (C/RW)</t>
  </si>
  <si>
    <t>Nathan Sullivan (F)</t>
  </si>
  <si>
    <t>Yanic Crete (F)</t>
  </si>
  <si>
    <t>ohl: 1, qmjhl: 1, usports: 2</t>
  </si>
  <si>
    <t>Dominik Godin (C/LW)</t>
  </si>
  <si>
    <t>Pier-Olivier Roy (LW)</t>
  </si>
  <si>
    <t>Jérémy Lapointe (C/LW)</t>
  </si>
  <si>
    <t>Julian Recine (C)</t>
  </si>
  <si>
    <t>Anthony Tabak (LW)</t>
  </si>
  <si>
    <t>ncaa: 1, usports: 1</t>
  </si>
  <si>
    <t>Carter Massier (LW)</t>
  </si>
  <si>
    <t>Raphael Pelletier (F)</t>
  </si>
  <si>
    <t>Keiran Gallant (C)</t>
  </si>
  <si>
    <t>Dawson Pasternak (F)</t>
  </si>
  <si>
    <t>Brandon Santa Juana (F)</t>
  </si>
  <si>
    <t>Ty Toews (F)</t>
  </si>
  <si>
    <t>Owen Gilhula (C)</t>
  </si>
  <si>
    <t>Royal Military College</t>
  </si>
  <si>
    <t>Camaryn Baber (F)</t>
  </si>
  <si>
    <t>Lucas Veilleux (RW)</t>
  </si>
  <si>
    <t>qmjhl: 1, usports: 1</t>
  </si>
  <si>
    <t>Matt Cato (C)</t>
  </si>
  <si>
    <t>Braeden MacPhee (C)</t>
  </si>
  <si>
    <t>Brendan Lee (F)</t>
  </si>
  <si>
    <t>Blake Swetlikoff (F)</t>
  </si>
  <si>
    <t>Jaden Goldie (F)</t>
  </si>
  <si>
    <t>William Dumoulin (RW)</t>
  </si>
  <si>
    <t>qmjhl: 3, usports: 2</t>
  </si>
  <si>
    <t>Hlib Tkach (F)</t>
  </si>
  <si>
    <t>Chase Bertholet (RW)</t>
  </si>
  <si>
    <t>Owen Pederson (W/C)</t>
  </si>
  <si>
    <t>Anthony Turcotte (C)</t>
  </si>
  <si>
    <t>Nathanial Bierd (C)</t>
  </si>
  <si>
    <t>Matthew MacDonald (LW)</t>
  </si>
  <si>
    <t>Owen Jones (F)</t>
  </si>
  <si>
    <t>Donovan Arsenault (RW)</t>
  </si>
  <si>
    <t>Luke Torrance (LW)</t>
  </si>
  <si>
    <t>Eric Alarie (LW/C)</t>
  </si>
  <si>
    <t>Jesse Fishman (C)</t>
  </si>
  <si>
    <t>Jonny Hooker (C)</t>
  </si>
  <si>
    <t>usports: 3, whl: 2</t>
  </si>
  <si>
    <t>Will Chisholm (C)</t>
  </si>
  <si>
    <t>Sean Clarke (F)</t>
  </si>
  <si>
    <t>Lucas Brennan (F)</t>
  </si>
  <si>
    <t>Julien Gervais (F)</t>
  </si>
  <si>
    <t>Cameron Mercer (C)</t>
  </si>
  <si>
    <t>Keaton Oakley (F)</t>
  </si>
  <si>
    <t>Bradley Blake (F)</t>
  </si>
  <si>
    <t>Anthony Munroe-Boucher (RW)</t>
  </si>
  <si>
    <t>Andrew Belchamber (RW)</t>
  </si>
  <si>
    <t>Matthew Culling (F)</t>
  </si>
  <si>
    <t>Univ. of Regina</t>
  </si>
  <si>
    <t>ohl: 1, qmjhl: 1, usports: 1</t>
  </si>
  <si>
    <t>Joshua Currie (LW)</t>
  </si>
  <si>
    <t>Gage Heyes (RW)</t>
  </si>
  <si>
    <t>Liam Keeler (LW)</t>
  </si>
  <si>
    <t>Sam Popowich (F)</t>
  </si>
  <si>
    <t>Cade Zaplitny (F)</t>
  </si>
  <si>
    <t>Philippe Collette (LW)</t>
  </si>
  <si>
    <t>Luke Della Croce (F)</t>
  </si>
  <si>
    <t>Bryce Sutherland (C)</t>
  </si>
  <si>
    <t>Jérémie Jacob (C)</t>
  </si>
  <si>
    <t>Ethan Strik (F)</t>
  </si>
  <si>
    <t>Aiden MacIntosh (C)</t>
  </si>
  <si>
    <t>Marcus Pacheco (F)</t>
  </si>
  <si>
    <t>Antonino Pugliese (LW)</t>
  </si>
  <si>
    <t>Jackson Doucet (F)</t>
  </si>
  <si>
    <t>William Basque (C)</t>
  </si>
  <si>
    <t>Ben Boyd (W/C)</t>
  </si>
  <si>
    <t>Alexis Bonefon (LW)</t>
  </si>
  <si>
    <t>Patrick LeBlanc (RW)</t>
  </si>
  <si>
    <t>Charles Beaudoin (RW)</t>
  </si>
  <si>
    <t>Shane Bulitka (LW)</t>
  </si>
  <si>
    <t>ohl: 1, usports: 5</t>
  </si>
  <si>
    <t>Jaxon Steele (C)</t>
  </si>
  <si>
    <t>Chase Lammi (LW)</t>
  </si>
  <si>
    <t>Isaac Pascoal (F)</t>
  </si>
  <si>
    <t>Ryan Watt (F)</t>
  </si>
  <si>
    <t>Cade Hayes (C)</t>
  </si>
  <si>
    <t>Brett Willits (C)</t>
  </si>
  <si>
    <t>ncaa: 3, usports: 2</t>
  </si>
  <si>
    <t>Connor Farren (F)</t>
  </si>
  <si>
    <t>Ryan Evenhuis (F)</t>
  </si>
  <si>
    <t>ncaa: 3, usports: 1</t>
  </si>
  <si>
    <t>Owen Saye (RW)</t>
  </si>
  <si>
    <t>ohl: 3, qmjhl: 1, usports: 2</t>
  </si>
  <si>
    <t>Thomas Larouche (C)</t>
  </si>
  <si>
    <t>Carl-Anthony Massé (C)</t>
  </si>
  <si>
    <t>Hunter Brown (F)</t>
  </si>
  <si>
    <t>Connor Prestwich (LW)</t>
  </si>
  <si>
    <t>Liam Kindree (W/C)</t>
  </si>
  <si>
    <t>Elliot Dutil (LW)</t>
  </si>
  <si>
    <t>Marc Richard (LW)</t>
  </si>
  <si>
    <t>qmjhl: 1, usports: 2</t>
  </si>
  <si>
    <t>Tyler Hunt (C)</t>
  </si>
  <si>
    <t>Justin O'Donnell (C)</t>
  </si>
  <si>
    <t>Johnny Ulicny (LW/RW)</t>
  </si>
  <si>
    <t>Aidan Prueter (C)</t>
  </si>
  <si>
    <t>Ethan Montroy (LW)</t>
  </si>
  <si>
    <t>ohl: 2, qmjhl: 1, usports: 1</t>
  </si>
  <si>
    <t>Fischer O'Brien (F)</t>
  </si>
  <si>
    <t>Simon Hughes (LW)</t>
  </si>
  <si>
    <t>Jaden Reyers (C)</t>
  </si>
  <si>
    <t>Nicholas Athanasakos (F)</t>
  </si>
  <si>
    <t>Thomas Auger (C)</t>
  </si>
  <si>
    <t>Liam Arnsby (C/RW)</t>
  </si>
  <si>
    <t>Eric Houk (LW/C)</t>
  </si>
  <si>
    <t>Aleks Dimovski (C)</t>
  </si>
  <si>
    <t>Liam Van Loon (LW)</t>
  </si>
  <si>
    <t>Matt Corbet (F)</t>
  </si>
  <si>
    <t>Dylan Andrews (C)</t>
  </si>
  <si>
    <t>Zachary Gravel (C)</t>
  </si>
  <si>
    <t>Cole Fraser (LW)</t>
  </si>
  <si>
    <t>Loic Prud'homme (RW)</t>
  </si>
  <si>
    <t>Kallaway Mercer (LW)</t>
  </si>
  <si>
    <t>Ian Martin (RW)</t>
  </si>
  <si>
    <t>Turner McMillen (F)</t>
  </si>
  <si>
    <t>Brett Bressette (C)</t>
  </si>
  <si>
    <t>Cory Jewitt (LW)</t>
  </si>
  <si>
    <t>Brendan McCarthy (C)</t>
  </si>
  <si>
    <t>James Swan (LW)</t>
  </si>
  <si>
    <t>Jagjeevan Phangura (F)</t>
  </si>
  <si>
    <t>Davis Cooper (LW)</t>
  </si>
  <si>
    <t>James Form (C)</t>
  </si>
  <si>
    <t>Grady Lane (F)</t>
  </si>
  <si>
    <t>qmjhl: 2, usports: 2</t>
  </si>
  <si>
    <t>Charles-Édouard Drouin (C)</t>
  </si>
  <si>
    <t>Ludovic Soucy (C)</t>
  </si>
  <si>
    <t>Max Monette (C)</t>
  </si>
  <si>
    <t>Noah Matulu (C)</t>
  </si>
  <si>
    <t>Josh Pillar (RW/C)</t>
  </si>
  <si>
    <t>Dylan Ruptash (F)</t>
  </si>
  <si>
    <t>Evan Klein (LW)</t>
  </si>
  <si>
    <t>Mathis Perron (LW)</t>
  </si>
  <si>
    <t>Kaeden Johnston (F)</t>
  </si>
  <si>
    <t>Davis Fry (F)</t>
  </si>
  <si>
    <t>Mattéo Lamoureux (C/RW)</t>
  </si>
  <si>
    <t>Owen Hollingsworth (C/RW)</t>
  </si>
  <si>
    <t>Carter Belitski (F)</t>
  </si>
  <si>
    <t>Liam Serviss (LW)</t>
  </si>
  <si>
    <t>Jacob Santerre (C)</t>
  </si>
  <si>
    <t>Nolan Forster (RW)</t>
  </si>
  <si>
    <t>ohl: 2, qmjhl: 2, usports: 2</t>
  </si>
  <si>
    <t>Ty Petrou (C)</t>
  </si>
  <si>
    <t>ohl: 2, usports: 1</t>
  </si>
  <si>
    <t>Mathis Cloutier (C)</t>
  </si>
  <si>
    <t>Ben Tkachuk (F)</t>
  </si>
  <si>
    <t>Juncheng Yan (F)</t>
  </si>
  <si>
    <t>Jayden Joly (F)</t>
  </si>
  <si>
    <t>Aiden Knutson (F)</t>
  </si>
  <si>
    <t>Andrew Boucher (F)</t>
  </si>
  <si>
    <t>Jaron Desnoyers (F)</t>
  </si>
  <si>
    <t>Mason Svarich (F)</t>
  </si>
  <si>
    <t>Benjamin Campeau (C)</t>
  </si>
  <si>
    <t>Giordano Biondi (LW)</t>
  </si>
  <si>
    <t>Adamo Santia (F)</t>
  </si>
  <si>
    <t>Nick Blagden (RW)</t>
  </si>
  <si>
    <t>qmjhl: 4, usports: 3</t>
  </si>
  <si>
    <t>Carson Whyte (F)</t>
  </si>
  <si>
    <t>Jarrett Todd (C)</t>
  </si>
  <si>
    <t>Kassim Gaudet (LW)</t>
  </si>
  <si>
    <t>Killian McGregor-Bennett (F)</t>
  </si>
  <si>
    <t>Justin Barker (RW)</t>
  </si>
  <si>
    <t>Adam O'Marra (C)</t>
  </si>
  <si>
    <t>Caleb Petrie (F)</t>
  </si>
  <si>
    <t>Keaton Sorensen (C)</t>
  </si>
  <si>
    <t>Paycen Bjorklund (F)</t>
  </si>
  <si>
    <t>Ryan Schaap (LW)</t>
  </si>
  <si>
    <t>Ryan Duguay (RW/C)</t>
  </si>
  <si>
    <t>Brock McLeod (F)</t>
  </si>
  <si>
    <t>usports: 5</t>
  </si>
  <si>
    <t>Eric Pearce (C)</t>
  </si>
  <si>
    <t>Ben Kotylak (F)</t>
  </si>
  <si>
    <t>Ray Hamlin (C)</t>
  </si>
  <si>
    <t>Mitch LaFay (C/W)</t>
  </si>
  <si>
    <t>Bruce MacGregor (F)</t>
  </si>
  <si>
    <t>Matthias Bessey (F)</t>
  </si>
  <si>
    <t>Max Seguin (F)</t>
  </si>
  <si>
    <t>Kirk Mullen (C)</t>
  </si>
  <si>
    <t>Jarrett Penner (RW)</t>
  </si>
  <si>
    <t>Christian Stevens (C)</t>
  </si>
  <si>
    <t>Aaron Davidson (LW)</t>
  </si>
  <si>
    <t>Owen MacNeil (F)</t>
  </si>
  <si>
    <t>Cayden Faust (C)</t>
  </si>
  <si>
    <t>Alexander Cunningham (LW)</t>
  </si>
  <si>
    <t>Brayden Knox (F)</t>
  </si>
  <si>
    <t>Codey Behun (F)</t>
  </si>
  <si>
    <t>Salvatore Collora (F)</t>
  </si>
  <si>
    <t>Samuel Marit (F)</t>
  </si>
  <si>
    <t>Michael Stubbs (C)</t>
  </si>
  <si>
    <t>ohl: 2, usports: 2</t>
  </si>
  <si>
    <t>Cole Craft (RW)</t>
  </si>
  <si>
    <t>ncaa: 4, usports: 1</t>
  </si>
  <si>
    <t>Thomas Johnston (LW)</t>
  </si>
  <si>
    <t>Ryder Ringor (C)</t>
  </si>
  <si>
    <t>Ben Lightbody (C)</t>
  </si>
  <si>
    <t>Cyprus Smith-Davis (F)</t>
  </si>
  <si>
    <t>Chase Sandhu (F)</t>
  </si>
  <si>
    <t>Brock McNaughton (F)</t>
  </si>
  <si>
    <t>Adam Grein (LW)</t>
  </si>
  <si>
    <t>Jackson Arpin (F)</t>
  </si>
  <si>
    <t>Damian Metastasio (F)</t>
  </si>
  <si>
    <t>Michael King (C)</t>
  </si>
  <si>
    <t>Owen Ferguson (F)</t>
  </si>
  <si>
    <t>Logan Barlage (C)</t>
  </si>
  <si>
    <t>Nathan Ayotte (F)</t>
  </si>
  <si>
    <t>Kade Runke (C/RW)</t>
  </si>
  <si>
    <t>Lleyton Shearon (F)</t>
  </si>
  <si>
    <t>Sammy May (F)</t>
  </si>
  <si>
    <t>checking</t>
  </si>
  <si>
    <t>bottom_six_two_way</t>
  </si>
  <si>
    <t>INFO</t>
  </si>
  <si>
    <t>Population:</t>
  </si>
  <si>
    <t>All FORWARDS from NCAA, CHL, &amp; Usports with at least 10 GP this season</t>
  </si>
  <si>
    <t>Columns C-I:</t>
  </si>
  <si>
    <t>Current season stats</t>
  </si>
  <si>
    <t>Column J (link):</t>
  </si>
  <si>
    <t>Link will take you directly to player's EliteProspects profile</t>
  </si>
  <si>
    <t>Column N (szn_no):</t>
  </si>
  <si>
    <t>Column Q (echl_projection):</t>
  </si>
  <si>
    <t>Most likely projection as ECHL rookie based on Model</t>
  </si>
  <si>
    <t>Column P (nhle_ppg):</t>
  </si>
  <si>
    <t>Stat to normalize point production across leagues</t>
  </si>
  <si>
    <t>"ui tabs":</t>
  </si>
  <si>
    <t>Filters have all options selected by default, click to deselect an option</t>
  </si>
  <si>
    <t>General Notes:</t>
  </si>
  <si>
    <t>Would put more weight into 'ppg' for pure point production and 'ppg_plus_minus' for a more well rounded player</t>
  </si>
  <si>
    <t>Number of seasons played in any of the leagues mentioned above</t>
  </si>
  <si>
    <t>Eric Pohlkamp (D)</t>
  </si>
  <si>
    <t>D</t>
  </si>
  <si>
    <t>Ty Hanson (D)</t>
  </si>
  <si>
    <t>Tyler Dunbar (D)</t>
  </si>
  <si>
    <t>Chris Hedden (D)</t>
  </si>
  <si>
    <t>bottom_pair</t>
  </si>
  <si>
    <t>Cole Hutson (D)</t>
  </si>
  <si>
    <t>Boston Buckberger (D)</t>
  </si>
  <si>
    <t>Evan Murr (D)</t>
  </si>
  <si>
    <t>Brandon Holt (D)</t>
  </si>
  <si>
    <t>Jake Livanavage (D)</t>
  </si>
  <si>
    <t>Ben Dexheimer (D)</t>
  </si>
  <si>
    <t>Breck McKinley (D)</t>
  </si>
  <si>
    <t>Vladislav Lukashevich (D)</t>
  </si>
  <si>
    <t>top_pair</t>
  </si>
  <si>
    <t>Chase Cheslock (D)</t>
  </si>
  <si>
    <t>Paul Fischer (D)</t>
  </si>
  <si>
    <t>Isaiah Norlin (D)</t>
  </si>
  <si>
    <t>Will Staring (D)</t>
  </si>
  <si>
    <t>Vincent Borgesi (D)</t>
  </si>
  <si>
    <t>Mikey Adamson (D)</t>
  </si>
  <si>
    <t>Ben Robertson (D)</t>
  </si>
  <si>
    <t>Michael Quinn (D)</t>
  </si>
  <si>
    <t>Samuel Sjölund (D)</t>
  </si>
  <si>
    <t>Will Gilson (D)</t>
  </si>
  <si>
    <t>Seamus Powell (D)</t>
  </si>
  <si>
    <t>Abram Wiebe (D)</t>
  </si>
  <si>
    <t>Adam Barone (D)</t>
  </si>
  <si>
    <t>Eric Jamieson (D)</t>
  </si>
  <si>
    <t>Nick Williams (D)</t>
  </si>
  <si>
    <t>middle_pair</t>
  </si>
  <si>
    <t>Nolan Cunningham (D)</t>
  </si>
  <si>
    <t>Dakoda Rhéaume-Mullen (D)</t>
  </si>
  <si>
    <t>Xavier Alexandre Jean-Louis (D)</t>
  </si>
  <si>
    <t>Francesco Dell'Elce (D)</t>
  </si>
  <si>
    <t>Nolan Seed (D)</t>
  </si>
  <si>
    <t>Owen Baumgartner (D)</t>
  </si>
  <si>
    <t>Matt Basgall (D)</t>
  </si>
  <si>
    <t>Hudson Thornton (D)</t>
  </si>
  <si>
    <t>Mack Oliphant (D)</t>
  </si>
  <si>
    <t>Xavier Veilleux (D)</t>
  </si>
  <si>
    <t>Keaton Verhoeff (D)</t>
  </si>
  <si>
    <t>ncaa: 1, whl: 2</t>
  </si>
  <si>
    <t>C.J. Foley (D)</t>
  </si>
  <si>
    <t>Zack Sharp (D)</t>
  </si>
  <si>
    <t>Ben Roger (D)</t>
  </si>
  <si>
    <t>Max Smolinski (D)</t>
  </si>
  <si>
    <t>Evan Orr (D)</t>
  </si>
  <si>
    <t>Ralfs Bergmanis (D)</t>
  </si>
  <si>
    <t>William Elias (D)</t>
  </si>
  <si>
    <t>Luke Mittelstadt (D)</t>
  </si>
  <si>
    <t>Jackson Smith (D)</t>
  </si>
  <si>
    <t>Jack Anderson (D)</t>
  </si>
  <si>
    <t>Eric Charpentier (D)</t>
  </si>
  <si>
    <t>Jake Peterson (D)</t>
  </si>
  <si>
    <t>Drew Fortescue (D)</t>
  </si>
  <si>
    <t>Étienne Lessard (D)</t>
  </si>
  <si>
    <t>Lukas Peterson (D)</t>
  </si>
  <si>
    <t>Michael Neumeier (D)</t>
  </si>
  <si>
    <t>Elliott Groenewold (D)</t>
  </si>
  <si>
    <t>Tyler Rubin (D)</t>
  </si>
  <si>
    <t>Brendan Fitzgerald (D)</t>
  </si>
  <si>
    <t>Dalton Norris (D)</t>
  </si>
  <si>
    <t>Griffin Ludtke (D)</t>
  </si>
  <si>
    <t>Brandon Chabrier (D)</t>
  </si>
  <si>
    <t>Nicholas Bernardo (D)</t>
  </si>
  <si>
    <t>Grayden Siepmann (D)</t>
  </si>
  <si>
    <t>Tate Taylor (D)</t>
  </si>
  <si>
    <t>Marc Lajoie (D)</t>
  </si>
  <si>
    <t>Colin Grable (D)</t>
  </si>
  <si>
    <t>Kazimier Sobieski (D)</t>
  </si>
  <si>
    <t>Luke Osburn (D)</t>
  </si>
  <si>
    <t>Joe Palodichuk (D)</t>
  </si>
  <si>
    <t>Matthew Desiderio (D)</t>
  </si>
  <si>
    <t>Lane Brockhoff (D)</t>
  </si>
  <si>
    <t>Finn Loftus (D)</t>
  </si>
  <si>
    <t>Hayden Hennen (D)</t>
  </si>
  <si>
    <t>Reid Andresen (D)</t>
  </si>
  <si>
    <t>Nathan Oickle (D)</t>
  </si>
  <si>
    <t>Gavin McCarthy (D)</t>
  </si>
  <si>
    <t>T.J. Schweighardt (D)</t>
  </si>
  <si>
    <t>Luke Shipley (D)</t>
  </si>
  <si>
    <t>Broten Sabo (D)</t>
  </si>
  <si>
    <t>Theo Wallberg (D)</t>
  </si>
  <si>
    <t>Evan Bushy (D)</t>
  </si>
  <si>
    <t>Asher Barnett (D)</t>
  </si>
  <si>
    <t>Cooper Wylie (D)</t>
  </si>
  <si>
    <t>Easton Young (D)</t>
  </si>
  <si>
    <t>Kai Greaves (D)</t>
  </si>
  <si>
    <t>Tristan Allen (D)</t>
  </si>
  <si>
    <t>Christopher Lie (D)</t>
  </si>
  <si>
    <t>Michael Bevilacqua (D)</t>
  </si>
  <si>
    <t>ncaa: 6</t>
  </si>
  <si>
    <t>Joey Potter (D)</t>
  </si>
  <si>
    <t>Jarod Crespo (D)</t>
  </si>
  <si>
    <t>Logan Hensler (D)</t>
  </si>
  <si>
    <t>Michael Craig (D)</t>
  </si>
  <si>
    <t>Sebastian Törnqvist (D)</t>
  </si>
  <si>
    <t>Luca Fantilli (D)</t>
  </si>
  <si>
    <t>Graham Sward (D)</t>
  </si>
  <si>
    <t>Jude Brower (D)</t>
  </si>
  <si>
    <t>Lukas Gustafsson (D)</t>
  </si>
  <si>
    <t>Nathan Rickey (D)</t>
  </si>
  <si>
    <t>Brayden Crampton (D)</t>
  </si>
  <si>
    <t>Andrew Centrella (D)</t>
  </si>
  <si>
    <t>Axel Kumlin (D)</t>
  </si>
  <si>
    <t>Frank Djurasevic (D)</t>
  </si>
  <si>
    <t>Justin Kipkie (D)</t>
  </si>
  <si>
    <t>George Fegaras (D)</t>
  </si>
  <si>
    <t>John Dalton (D)</t>
  </si>
  <si>
    <t>Crossley Stewart (D)</t>
  </si>
  <si>
    <t>Henry Mews (D)</t>
  </si>
  <si>
    <t>Luka Radivojevic (D)</t>
  </si>
  <si>
    <t>Tyler Duke (D)</t>
  </si>
  <si>
    <t>Tyler Miller (D)</t>
  </si>
  <si>
    <t>Joshua Niedermayer (D)</t>
  </si>
  <si>
    <t>Jérémy Langlois (D)</t>
  </si>
  <si>
    <t>Colton Roberts (D)</t>
  </si>
  <si>
    <t>Tristan Sarsland (D)</t>
  </si>
  <si>
    <t>Spencer Sova (D)</t>
  </si>
  <si>
    <t>Ty Brassington (D)</t>
  </si>
  <si>
    <t>Trevor Griebel (D/F)</t>
  </si>
  <si>
    <t>D/F</t>
  </si>
  <si>
    <t>Maxim Strbak (D)</t>
  </si>
  <si>
    <t>Ryder Thompson (D)</t>
  </si>
  <si>
    <t>Colin Ralph (D)</t>
  </si>
  <si>
    <t>Garrett Brown (D)</t>
  </si>
  <si>
    <t>Fisher Scott (D)</t>
  </si>
  <si>
    <t>Joe Prouty (D)</t>
  </si>
  <si>
    <t>Hoyt Stanley (D)</t>
  </si>
  <si>
    <t>Dylan Finlay (D)</t>
  </si>
  <si>
    <t>Ethan Elias (D)</t>
  </si>
  <si>
    <t>Kai Janviriya (D)</t>
  </si>
  <si>
    <t>Trenton Powell (D)</t>
  </si>
  <si>
    <t>Hayes Hundley (D)</t>
  </si>
  <si>
    <t>Noah Ellis (D)</t>
  </si>
  <si>
    <t>Michael Mastrodomenico (D)</t>
  </si>
  <si>
    <t>Kalem Parker (D)</t>
  </si>
  <si>
    <t>Jack Mesic (D)</t>
  </si>
  <si>
    <t>Ryan Healey (D)</t>
  </si>
  <si>
    <t>Braden Blace (D)</t>
  </si>
  <si>
    <t>Kale McCallum (D)</t>
  </si>
  <si>
    <t>ncaa: 1, qmjhl: 4, usports: 2</t>
  </si>
  <si>
    <t>Rhys Bentham (D)</t>
  </si>
  <si>
    <t>Brett Merner (D)</t>
  </si>
  <si>
    <t>Dax Williams (D)</t>
  </si>
  <si>
    <t>Aidan De La Gorgendiere (D)</t>
  </si>
  <si>
    <t>John Driscoll (D)</t>
  </si>
  <si>
    <t>Thomas Klassek (D)</t>
  </si>
  <si>
    <t>Henry Nelson (D)</t>
  </si>
  <si>
    <t>Zach Bookman (D)</t>
  </si>
  <si>
    <t>Owen Nolan (D)</t>
  </si>
  <si>
    <t>Will Felicio (D)</t>
  </si>
  <si>
    <t>Patrick Geary (D)</t>
  </si>
  <si>
    <t>Owain Johnston (D)</t>
  </si>
  <si>
    <t>Campbell Cichosz (D)</t>
  </si>
  <si>
    <t>Cole Crusberg-Roseen (D)</t>
  </si>
  <si>
    <t>Mac Gadowsky (D)</t>
  </si>
  <si>
    <t>Carter Rose (D)</t>
  </si>
  <si>
    <t>Tynan Ewart (D)</t>
  </si>
  <si>
    <t>Philippe Blais-Savoie (D)</t>
  </si>
  <si>
    <t>Ryan Philbrick (D)</t>
  </si>
  <si>
    <t>Colton Cameron (D)</t>
  </si>
  <si>
    <t>Jacob Conrad (D)</t>
  </si>
  <si>
    <t>Cooper Cleaves (D)</t>
  </si>
  <si>
    <t>François-James Buteau (D)</t>
  </si>
  <si>
    <t>Jax Wismer (D)</t>
  </si>
  <si>
    <t>Sascha Boumedienne (D)</t>
  </si>
  <si>
    <t>Nathan McBrayer (D)</t>
  </si>
  <si>
    <t>Larry Keenan (D)</t>
  </si>
  <si>
    <t>Dominic Elliott (D)</t>
  </si>
  <si>
    <t>Sam Frandina (D)</t>
  </si>
  <si>
    <t>Jacob Guévin (D)</t>
  </si>
  <si>
    <t>Mitchell Wolfe (D)</t>
  </si>
  <si>
    <t>Hunter Mayo (D)</t>
  </si>
  <si>
    <t>Philip Törnqvist (D)</t>
  </si>
  <si>
    <t>Aram Minnetian (D)</t>
  </si>
  <si>
    <t>Aiden VanRooyan (D)</t>
  </si>
  <si>
    <t>David Helledy (D)</t>
  </si>
  <si>
    <t>Josh Zinger (D)</t>
  </si>
  <si>
    <t>Seth Constance (D)</t>
  </si>
  <si>
    <t>Joel Kjellberg (D)</t>
  </si>
  <si>
    <t>Lucas St-Louis (D)</t>
  </si>
  <si>
    <t>Dylan Hunt (D)</t>
  </si>
  <si>
    <t>Logan Acheson (D)</t>
  </si>
  <si>
    <t>Jack Phelan (D)</t>
  </si>
  <si>
    <t>Mitchell Becker (D)</t>
  </si>
  <si>
    <t>Jacob LeBlanc (D)</t>
  </si>
  <si>
    <t>Charlie Banquier (D)</t>
  </si>
  <si>
    <t>Jason Gallucci (D)</t>
  </si>
  <si>
    <t>Samuel Groebner (D)</t>
  </si>
  <si>
    <t>Matthew Mayich (D)</t>
  </si>
  <si>
    <t>Maxon Vig (D)</t>
  </si>
  <si>
    <t>n/a</t>
  </si>
  <si>
    <t>Justin Gibson (D)</t>
  </si>
  <si>
    <t>Jakob Stender (D)</t>
  </si>
  <si>
    <t>Nick Marciano (D)</t>
  </si>
  <si>
    <t>Lukas McCloskey (D)</t>
  </si>
  <si>
    <t>Alec Leonard (D)</t>
  </si>
  <si>
    <t>Austen May (D)</t>
  </si>
  <si>
    <t>William Fleet (D)</t>
  </si>
  <si>
    <t>Brendan Dunphy (D)</t>
  </si>
  <si>
    <t>Aiden Dubinsky (D)</t>
  </si>
  <si>
    <t>Ren Morque (D)</t>
  </si>
  <si>
    <t>Quinn Mantei (D)</t>
  </si>
  <si>
    <t>John Druskinis (D)</t>
  </si>
  <si>
    <t>EJ Emery (D)</t>
  </si>
  <si>
    <t>Adam Kleber (D)</t>
  </si>
  <si>
    <t>Mason Reiners (D)</t>
  </si>
  <si>
    <t>Hughie Hooker (D)</t>
  </si>
  <si>
    <t>Luke Ashton (D)</t>
  </si>
  <si>
    <t>Jonathan Ziskie (D)</t>
  </si>
  <si>
    <t>Alex Pineau (D)</t>
  </si>
  <si>
    <t>Vincent Corcoran (D)</t>
  </si>
  <si>
    <t>Caeden Herrington (D)</t>
  </si>
  <si>
    <t>Owen Murray (D)</t>
  </si>
  <si>
    <t>Brody Gagno (D)</t>
  </si>
  <si>
    <t>Charlie Trethewey (D)</t>
  </si>
  <si>
    <t>Easton Zueger (D)</t>
  </si>
  <si>
    <t>Austin Oravetz (D)</t>
  </si>
  <si>
    <t>Robert Kincaid (D)</t>
  </si>
  <si>
    <t>John Babcock (D)</t>
  </si>
  <si>
    <t>Luke Roelofs (D)</t>
  </si>
  <si>
    <t>Lucas Ölvestad (D)</t>
  </si>
  <si>
    <t>Drew Schock (D)</t>
  </si>
  <si>
    <t>Charlie Leddy (D)</t>
  </si>
  <si>
    <t>Bauer Berry (D)</t>
  </si>
  <si>
    <t>Ryan Koering (D)</t>
  </si>
  <si>
    <t>Marcus Broberg (D)</t>
  </si>
  <si>
    <t>Mason Croucher (D)</t>
  </si>
  <si>
    <t>Trey Scott (D)</t>
  </si>
  <si>
    <t>Mason Langenbrunner (D)</t>
  </si>
  <si>
    <t>Matthew Morden (D)</t>
  </si>
  <si>
    <t>Jack O'Brien (D)</t>
  </si>
  <si>
    <t>ncaa: 4, ohl: 2</t>
  </si>
  <si>
    <t>Lachlan Getz (D)</t>
  </si>
  <si>
    <t>Conner de Haro (D)</t>
  </si>
  <si>
    <t>Ethan Mistry (D)</t>
  </si>
  <si>
    <t>Brasen Boser (D)</t>
  </si>
  <si>
    <t>Aiden Celebrini (D)</t>
  </si>
  <si>
    <t>Filip Nordberg (D)</t>
  </si>
  <si>
    <t>Tobias Bjercke Larsen (D)</t>
  </si>
  <si>
    <t>Dominic Payne (D)</t>
  </si>
  <si>
    <t>Anthony Allain-Samaké (D)</t>
  </si>
  <si>
    <t>Viking Gustafsson Nyberg (D)</t>
  </si>
  <si>
    <t>Nate Benoit (D)</t>
  </si>
  <si>
    <t>Aaron Pionk (D)</t>
  </si>
  <si>
    <t>Mason Wheeler (D)</t>
  </si>
  <si>
    <t>Landon Fandel (D)</t>
  </si>
  <si>
    <t>Nathan King (D)</t>
  </si>
  <si>
    <t>Jayden Sison (F/D)</t>
  </si>
  <si>
    <t>F/D</t>
  </si>
  <si>
    <t>Joe Schiller (D)</t>
  </si>
  <si>
    <t>Samuel Bélanger (D)</t>
  </si>
  <si>
    <t>Tyler DesRochers (D)</t>
  </si>
  <si>
    <t>Connor Gengle (D)</t>
  </si>
  <si>
    <t>William Smith (D)</t>
  </si>
  <si>
    <t>Thomas Messineo (D)</t>
  </si>
  <si>
    <t>Owen Forester (D)</t>
  </si>
  <si>
    <t>William-Charles Bishop (D)</t>
  </si>
  <si>
    <t>Owen West (D)</t>
  </si>
  <si>
    <t>Nicholas Fascia (D)</t>
  </si>
  <si>
    <t>Tim Busconi (D)</t>
  </si>
  <si>
    <t>Samuel McGinley (D)</t>
  </si>
  <si>
    <t>Carson Reed (D)</t>
  </si>
  <si>
    <t>Colby Woogk (D)</t>
  </si>
  <si>
    <t>Leo Gruba (D)</t>
  </si>
  <si>
    <t>Matthew Rafalski (D)</t>
  </si>
  <si>
    <t>Sam Court (D)</t>
  </si>
  <si>
    <t>Dominick Campione (D)</t>
  </si>
  <si>
    <t>Sean Kilcullen (D)</t>
  </si>
  <si>
    <t>Nate Tivey (D)</t>
  </si>
  <si>
    <t>Quinn McCall (D)</t>
  </si>
  <si>
    <t>Carter Patterson (D)</t>
  </si>
  <si>
    <t>Garrett Valk (D)</t>
  </si>
  <si>
    <t>Nate Misskey (D)</t>
  </si>
  <si>
    <t>Josh Mori (D)</t>
  </si>
  <si>
    <t>Mason Poolman (D)</t>
  </si>
  <si>
    <t>Warren Clark (D)</t>
  </si>
  <si>
    <t>Jack Babbage (D)</t>
  </si>
  <si>
    <t>Drake Murray (D)</t>
  </si>
  <si>
    <t>Pierce Patterson (D)</t>
  </si>
  <si>
    <t>Michael Fisher (D)</t>
  </si>
  <si>
    <t>Michael Hagens (D)</t>
  </si>
  <si>
    <t>Cal Thomas (D)</t>
  </si>
  <si>
    <t>Ian Devlin (D)</t>
  </si>
  <si>
    <t>Cal Mell (D)</t>
  </si>
  <si>
    <t>Bryan Huggins (D)</t>
  </si>
  <si>
    <t>Anthony Dowd (D)</t>
  </si>
  <si>
    <t>Loic Usereau (D)</t>
  </si>
  <si>
    <t>Sam Laurila (D)</t>
  </si>
  <si>
    <t>Luke Malboeuf (D)</t>
  </si>
  <si>
    <t>Jack Pascucci (D)</t>
  </si>
  <si>
    <t>Andrew Brown (D)</t>
  </si>
  <si>
    <t>Bryce Sookro (D)</t>
  </si>
  <si>
    <t>Gustav Stjernberg (D)</t>
  </si>
  <si>
    <t>Joseph Pierce (D)</t>
  </si>
  <si>
    <t>Luca Fasciano (D)</t>
  </si>
  <si>
    <t>Alexander Rybakov (D)</t>
  </si>
  <si>
    <t>Pat Lawn (D)</t>
  </si>
  <si>
    <t>Dylan Compton (D)</t>
  </si>
  <si>
    <t>Ethan Lund (D)</t>
  </si>
  <si>
    <t>Trevor Russell (D)</t>
  </si>
  <si>
    <t>Kevin Fitzgerald (D)</t>
  </si>
  <si>
    <t>Caeden Carlisle (D)</t>
  </si>
  <si>
    <t>Camden Shasby (D)</t>
  </si>
  <si>
    <t>Nolan Joyce (D)</t>
  </si>
  <si>
    <t>Mick Frechette (D)</t>
  </si>
  <si>
    <t>Bennett Zmolek (D)</t>
  </si>
  <si>
    <t>Michael Rubin (D)</t>
  </si>
  <si>
    <t>Ethan Beyer (D)</t>
  </si>
  <si>
    <t>Gabriel Lunn (D)</t>
  </si>
  <si>
    <t>Thor Byfuglien (D)</t>
  </si>
  <si>
    <t>Gustavs Ozolins (D)</t>
  </si>
  <si>
    <t>Jacob Napier (D)</t>
  </si>
  <si>
    <t>John Larkin (D)</t>
  </si>
  <si>
    <t>Nick Young (D)</t>
  </si>
  <si>
    <t>Sean Vlasich (D)</t>
  </si>
  <si>
    <t>Beau Janzig (D)</t>
  </si>
  <si>
    <t>Trevor Taulien (D)</t>
  </si>
  <si>
    <t>Zach Schulz (D)</t>
  </si>
  <si>
    <t>Malte Vass (D)</t>
  </si>
  <si>
    <t>D.J. Hart (D)</t>
  </si>
  <si>
    <t>Trent Sambrook (D)</t>
  </si>
  <si>
    <t>Owen Dyer (D)</t>
  </si>
  <si>
    <t>Charlie Lieberman (D)</t>
  </si>
  <si>
    <t>Chris Able (D)</t>
  </si>
  <si>
    <t>Noah Barlage (D)</t>
  </si>
  <si>
    <t>Travis Shoudy (D)</t>
  </si>
  <si>
    <t>Ethan Straky (D)</t>
  </si>
  <si>
    <t>Nic Belpedio (D)</t>
  </si>
  <si>
    <t>Alexander Bales (D)</t>
  </si>
  <si>
    <t>Adam Cardona (D)</t>
  </si>
  <si>
    <t>Jack Henry (D)</t>
  </si>
  <si>
    <t>David Jesus (D)</t>
  </si>
  <si>
    <t>Nicholas De Angelis (D)</t>
  </si>
  <si>
    <t>Casey Aman (D)</t>
  </si>
  <si>
    <t>Alex Carr (D)</t>
  </si>
  <si>
    <t>Sean Barnhill (D)</t>
  </si>
  <si>
    <t>Nolan Collins (D)</t>
  </si>
  <si>
    <t>Jacob Rombach (D)</t>
  </si>
  <si>
    <t>Shaun McEwen (D)</t>
  </si>
  <si>
    <t>Mike Brown (D)</t>
  </si>
  <si>
    <t>Luke Santilli (D)</t>
  </si>
  <si>
    <t>Logan Heroux (D)</t>
  </si>
  <si>
    <t>Cole Miller (D)</t>
  </si>
  <si>
    <t>Cale Ashcroft (D)</t>
  </si>
  <si>
    <t>Richard Baran (D)</t>
  </si>
  <si>
    <t>Matthew Fusco (D)</t>
  </si>
  <si>
    <t>Ethan Warrener (D)</t>
  </si>
  <si>
    <t>Antonio Fernandez (D)</t>
  </si>
  <si>
    <t>Samo Meritähti (D)</t>
  </si>
  <si>
    <t>Patrik Satosaari (D)</t>
  </si>
  <si>
    <t>Brody Mortensen (D)</t>
  </si>
  <si>
    <t>Bobby Metz (D)</t>
  </si>
  <si>
    <t>Tyson Galloway (D)</t>
  </si>
  <si>
    <t>Francesco Iasenza (D)</t>
  </si>
  <si>
    <t>Josh Player (D)</t>
  </si>
  <si>
    <t>Jacob Delaney (D)</t>
  </si>
  <si>
    <t>Hudson Miller (D)</t>
  </si>
  <si>
    <t>Max Rud (D)</t>
  </si>
  <si>
    <t>Ivan Korodiuk (D)</t>
  </si>
  <si>
    <t>James Goffredo (D)</t>
  </si>
  <si>
    <t>Jake Lammens (D)</t>
  </si>
  <si>
    <t>Valtteri Piironen (D)</t>
  </si>
  <si>
    <t>Greg Japchen (D)</t>
  </si>
  <si>
    <t>Donovan McCoy (D)</t>
  </si>
  <si>
    <t>Landon Nycz (D)</t>
  </si>
  <si>
    <t>John Whipple (D)</t>
  </si>
  <si>
    <t>Luke Coughlin (D)</t>
  </si>
  <si>
    <t>Simon Motew (D)</t>
  </si>
  <si>
    <t>Noah Van Vliet (D)</t>
  </si>
  <si>
    <t>Jack Blake (D)</t>
  </si>
  <si>
    <t>Luke Marshall (D)</t>
  </si>
  <si>
    <t>Jayden Jubenvill (D)</t>
  </si>
  <si>
    <t>Martin Masa (D)</t>
  </si>
  <si>
    <t>Carter Theissen (D)</t>
  </si>
  <si>
    <t>Blake Matheson (D)</t>
  </si>
  <si>
    <t>Lukas Klemm (D)</t>
  </si>
  <si>
    <t>Bryce Ingles (D)</t>
  </si>
  <si>
    <t>Duncan Ramsay (D)</t>
  </si>
  <si>
    <t>David Ma (D)</t>
  </si>
  <si>
    <t>Carter Schade (D)</t>
  </si>
  <si>
    <t>Jackson Anderson (D)</t>
  </si>
  <si>
    <t>Jaedon Kerr (D)</t>
  </si>
  <si>
    <t>Gunnar VanDamme (D)</t>
  </si>
  <si>
    <t>Blake Dangos (D)</t>
  </si>
  <si>
    <t>Andrew Strathmann (D)</t>
  </si>
  <si>
    <t>Brady Cleveland (D)</t>
  </si>
  <si>
    <t>Michael Phelan (D)</t>
  </si>
  <si>
    <t>Maxwell Chakrabarti (D)</t>
  </si>
  <si>
    <t>Tyler Nasca (D)</t>
  </si>
  <si>
    <t>Joe Belisle (D)</t>
  </si>
  <si>
    <t>Matthew Mania (D)</t>
  </si>
  <si>
    <t>Tucker Ness (D)</t>
  </si>
  <si>
    <t>Benjamin Vigneault (D)</t>
  </si>
  <si>
    <t>Liam Lesakowski (D)</t>
  </si>
  <si>
    <t>Rihards Simanovics (D)</t>
  </si>
  <si>
    <t>Ashton Bynum (D)</t>
  </si>
  <si>
    <t>Axel Begley (D)</t>
  </si>
  <si>
    <t>Ryan Williams (D)</t>
  </si>
  <si>
    <t>Will Skahan (D)</t>
  </si>
  <si>
    <t>Bryce Strand (D)</t>
  </si>
  <si>
    <t>Isack Bandu (D)</t>
  </si>
  <si>
    <t>Kent Anderson (D)</t>
  </si>
  <si>
    <t>Jack Darby (D)</t>
  </si>
  <si>
    <t>Liam Chapman (D)</t>
  </si>
  <si>
    <t>Ray Murakami (D)</t>
  </si>
  <si>
    <t>Joseph Messina (D)</t>
  </si>
  <si>
    <t>Bodie Nobes (D)</t>
  </si>
  <si>
    <t>Luke van Why (D)</t>
  </si>
  <si>
    <t>Colton Jamieson (D)</t>
  </si>
  <si>
    <t>Joe Gramer (D)</t>
  </si>
  <si>
    <t>ncaa: 2, whl: 1</t>
  </si>
  <si>
    <t>Isa Parekh (D)</t>
  </si>
  <si>
    <t>Lucas Lemieux (D)</t>
  </si>
  <si>
    <t>Brady Yakesh (D)</t>
  </si>
  <si>
    <t>Brock Reinhart (D)</t>
  </si>
  <si>
    <t>Kristian Kostadinski (D)</t>
  </si>
  <si>
    <t>Nick Baer (D)</t>
  </si>
  <si>
    <t>Cameron Eke (D)</t>
  </si>
  <si>
    <t>Kyle Aucoin (D)</t>
  </si>
  <si>
    <t>Tucker McRae (D)</t>
  </si>
  <si>
    <t>Oscar Plandowski (D)</t>
  </si>
  <si>
    <t>Finn McLaughlin (D)</t>
  </si>
  <si>
    <t>Jan Olenginski (D)</t>
  </si>
  <si>
    <t>Tomas Machu (D)</t>
  </si>
  <si>
    <t>David Posma (D)</t>
  </si>
  <si>
    <t>Kevin Scott (D)</t>
  </si>
  <si>
    <t>Cameron Kungle (D)</t>
  </si>
  <si>
    <t>Matteo Mann (D)</t>
  </si>
  <si>
    <t>Jack Sparkes (D)</t>
  </si>
  <si>
    <t>Luke Antonacci (D)</t>
  </si>
  <si>
    <t>Liam Hupka (D)</t>
  </si>
  <si>
    <t>Will Svenddal (D)</t>
  </si>
  <si>
    <t>Anthony Cliche (D)</t>
  </si>
  <si>
    <t>Carson Peters (D)</t>
  </si>
  <si>
    <t>Simon Houge (D)</t>
  </si>
  <si>
    <t>Jack Farrell (D)</t>
  </si>
  <si>
    <t>Nolan Gagnon (D)</t>
  </si>
  <si>
    <t>Jon Bell (D)</t>
  </si>
  <si>
    <t>Kasper Vähärautio (D)</t>
  </si>
  <si>
    <t>Gustav Blom (D)</t>
  </si>
  <si>
    <t>Jack Hewitt (D)</t>
  </si>
  <si>
    <t>Teddy Mallgrave (D)</t>
  </si>
  <si>
    <t>Charlie Kinsman (D)</t>
  </si>
  <si>
    <t>Noah Jones (D)</t>
  </si>
  <si>
    <t>Bayard Hall (D)</t>
  </si>
  <si>
    <t>Dylan Gratton (D)</t>
  </si>
  <si>
    <t>P.J. Forgione (D)</t>
  </si>
  <si>
    <t>Matthew Campbell (D)</t>
  </si>
  <si>
    <t>Evan Johnson (D)</t>
  </si>
  <si>
    <t>J.R. Ashmead (D)</t>
  </si>
  <si>
    <t>Chris Romaine (D)</t>
  </si>
  <si>
    <t>Coleson Hanrahan (D)</t>
  </si>
  <si>
    <t>Sean Keohane (D)</t>
  </si>
  <si>
    <t>Brady Schultz (D)</t>
  </si>
  <si>
    <t>Nick Donato (D)</t>
  </si>
  <si>
    <t>Jaryd Sych (D)</t>
  </si>
  <si>
    <t>Nick Traggio (D)</t>
  </si>
  <si>
    <t>Kaden Muir (D)</t>
  </si>
  <si>
    <t>Riley Bodnarchuk (D)</t>
  </si>
  <si>
    <t>Tucker Hartmann (D)</t>
  </si>
  <si>
    <t>Caleb Price (D)</t>
  </si>
  <si>
    <t>Carter Amico (D)</t>
  </si>
  <si>
    <t>John-Paul Steele (D)</t>
  </si>
  <si>
    <t>Ross Roloson (D)</t>
  </si>
  <si>
    <t>Devon Carlstrom (D)</t>
  </si>
  <si>
    <t>Jimmy Jurcev (D)</t>
  </si>
  <si>
    <t>Lincoln Kuehne (D)</t>
  </si>
  <si>
    <t>Nicolas Ardanaz (D)</t>
  </si>
  <si>
    <t>Zane Demsey (D)</t>
  </si>
  <si>
    <t>Carson Woodall (D)</t>
  </si>
  <si>
    <t>Chase Reid (D)</t>
  </si>
  <si>
    <t>Anthony Cristoforo (D)</t>
  </si>
  <si>
    <t>Kashawn Aitcheson (D)</t>
  </si>
  <si>
    <t>Adam Jiříček (D)</t>
  </si>
  <si>
    <t>Levi Harper (D)</t>
  </si>
  <si>
    <t>Kohyn Eshkawkogan (D)</t>
  </si>
  <si>
    <t>Cameron Reid (D)</t>
  </si>
  <si>
    <t>Artyom Gonchar (D)</t>
  </si>
  <si>
    <t>Lenny Greenberg (D)</t>
  </si>
  <si>
    <t>John Alex Banks (D)</t>
  </si>
  <si>
    <t>Jared Woolley (D)</t>
  </si>
  <si>
    <t>Urban Podrekar (D)</t>
  </si>
  <si>
    <t>Lukas Fischer (D)</t>
  </si>
  <si>
    <t>Parker Von Richter (D)</t>
  </si>
  <si>
    <t>Jakub Fibigr (D)</t>
  </si>
  <si>
    <t>Jakub Chromiak (D)</t>
  </si>
  <si>
    <t>Andoni Fimis (D)</t>
  </si>
  <si>
    <t>Edison Engle (D)</t>
  </si>
  <si>
    <t>Henry Brzustewicz (D)</t>
  </si>
  <si>
    <t>Maleek McGowan (D)</t>
  </si>
  <si>
    <t>James Petrovski (D)</t>
  </si>
  <si>
    <t>James Guo (D)</t>
  </si>
  <si>
    <t>Cole Emerton (D)</t>
  </si>
  <si>
    <t>Vladimír Dravecký (D)</t>
  </si>
  <si>
    <t>Jakub Winkelhöfer (D)</t>
  </si>
  <si>
    <t>Mitch Young (D)</t>
  </si>
  <si>
    <t>Vann Williamson (D)</t>
  </si>
  <si>
    <t>Alexander Bilecki (D)</t>
  </si>
  <si>
    <t>Brandt Harper (D)</t>
  </si>
  <si>
    <t>Rylan Singh (D)</t>
  </si>
  <si>
    <t>Frankie Marrelli (D)</t>
  </si>
  <si>
    <t>Owen Protz (D)</t>
  </si>
  <si>
    <t>Dryden Allen (D)</t>
  </si>
  <si>
    <t>David Bedkowski (D)</t>
  </si>
  <si>
    <t>Ondrej Ruml (D)</t>
  </si>
  <si>
    <t>Quinn Beauchesne (D)</t>
  </si>
  <si>
    <t>Bronson Ride (D)</t>
  </si>
  <si>
    <t>Wyatt Kennedy (D)</t>
  </si>
  <si>
    <t>Kent Greer (D)</t>
  </si>
  <si>
    <t>Lucas Moore (D)</t>
  </si>
  <si>
    <t>Darels Uljanskis (D)</t>
  </si>
  <si>
    <t>Ben Danford (D)</t>
  </si>
  <si>
    <t>Luca Blonda (D)</t>
  </si>
  <si>
    <t>Cameron Aucoin (D)</t>
  </si>
  <si>
    <t>Carson Cameron (D)</t>
  </si>
  <si>
    <t>Haoxi Wang (D)</t>
  </si>
  <si>
    <t>Graydon Jones (D)</t>
  </si>
  <si>
    <t>Zach Sandhu (D)</t>
  </si>
  <si>
    <t>Matthew Perreault (D)</t>
  </si>
  <si>
    <t>Braedyn Rogers (D)</t>
  </si>
  <si>
    <t>Ryan White (D)</t>
  </si>
  <si>
    <t>Linus Funck (D)</t>
  </si>
  <si>
    <t>Grant Spada (D)</t>
  </si>
  <si>
    <t>Jonathan Kapageridis (D)</t>
  </si>
  <si>
    <t>Luka Graziano (D)</t>
  </si>
  <si>
    <t>Jacob Reese (D)</t>
  </si>
  <si>
    <t>Tristen Trevino (D)</t>
  </si>
  <si>
    <t>Caleb Mitchell (D)</t>
  </si>
  <si>
    <t>Elliot Arnett (D)</t>
  </si>
  <si>
    <t>Garrett Frazer (D)</t>
  </si>
  <si>
    <t>Kaleb Dietsch (D)</t>
  </si>
  <si>
    <t>Noah Jenken (D)</t>
  </si>
  <si>
    <t>Andre Mondoux (D)</t>
  </si>
  <si>
    <t>James Barr (D)</t>
  </si>
  <si>
    <t>Connor Bewick (D)</t>
  </si>
  <si>
    <t>Lucas Ambrosio (D)</t>
  </si>
  <si>
    <t>Grayson Tiller (D)</t>
  </si>
  <si>
    <t>Andrew Robinson (D)</t>
  </si>
  <si>
    <t>Conor Walton (D)</t>
  </si>
  <si>
    <t>Carson Campbell (D)</t>
  </si>
  <si>
    <t>Harris Pangretitsch (D)</t>
  </si>
  <si>
    <t>Will Bishop (D)</t>
  </si>
  <si>
    <t>Michael D'Alessio (D)</t>
  </si>
  <si>
    <t>Xander Velliaris (D)</t>
  </si>
  <si>
    <t>Gavin Ewles (D)</t>
  </si>
  <si>
    <t>Zachary Nyman (D)</t>
  </si>
  <si>
    <t>Rowan Topp (D)</t>
  </si>
  <si>
    <t>Hudson Martin (D)</t>
  </si>
  <si>
    <t>Matthew Henderson (D)</t>
  </si>
  <si>
    <t>Ben Reisnecker (D)</t>
  </si>
  <si>
    <t>Justin Handsor (D)</t>
  </si>
  <si>
    <t>Hunter Solomon (D)</t>
  </si>
  <si>
    <t>Liam Spencer (D)</t>
  </si>
  <si>
    <t>David Green (D)</t>
  </si>
  <si>
    <t>Rylan Fellinger (D)</t>
  </si>
  <si>
    <t>Blake Gowan (D)</t>
  </si>
  <si>
    <t>Noah Roberts (D)</t>
  </si>
  <si>
    <t>Aaron Enright (D)</t>
  </si>
  <si>
    <t>Eric Frossard (D)</t>
  </si>
  <si>
    <t>Genc Ula (D)</t>
  </si>
  <si>
    <t>Jacob Xu (D)</t>
  </si>
  <si>
    <t>Sebastian Dell'Elce (D)</t>
  </si>
  <si>
    <t>Callum Cheynowski (D)</t>
  </si>
  <si>
    <t>Julian Brown (D)</t>
  </si>
  <si>
    <t>Adrian Manzo (D)</t>
  </si>
  <si>
    <t>Brodie McConnell-Barker (D)</t>
  </si>
  <si>
    <t>Callum Croskery (D)</t>
  </si>
  <si>
    <t>Camron Hankai (D)</t>
  </si>
  <si>
    <t>Ethan Armstrong (D)</t>
  </si>
  <si>
    <t>Spencer Evans (D)</t>
  </si>
  <si>
    <t>ncaa: 4, ohl: 4</t>
  </si>
  <si>
    <t>Hughston Hurt (D)</t>
  </si>
  <si>
    <t>Grayden Strohack (D)</t>
  </si>
  <si>
    <t>Brady Blaseg (D)</t>
  </si>
  <si>
    <t>Liam Ladds (D)</t>
  </si>
  <si>
    <t>Carter Hicks (D)</t>
  </si>
  <si>
    <t>Julius Saari (D)</t>
  </si>
  <si>
    <t>Trevor O'Dell (D)</t>
  </si>
  <si>
    <t>Gabriel Eliasson (D)</t>
  </si>
  <si>
    <t>Teague Vader (D)</t>
  </si>
  <si>
    <t>Colin Feeley (D)</t>
  </si>
  <si>
    <t>Patrick Babin (D)</t>
  </si>
  <si>
    <t>Hayden Barch (D)</t>
  </si>
  <si>
    <t>Anthony Timmerman (D)</t>
  </si>
  <si>
    <t>Evan Passmore (D)</t>
  </si>
  <si>
    <t>Blake Barnes (D)</t>
  </si>
  <si>
    <t>Brady Murnane (D)</t>
  </si>
  <si>
    <t>Andrew MacNiel (D)</t>
  </si>
  <si>
    <t>Peter Green (D)</t>
  </si>
  <si>
    <t>Lukas Moore (D)</t>
  </si>
  <si>
    <t>Nolan Jackson (D)</t>
  </si>
  <si>
    <t>Artyom Frolov (D)</t>
  </si>
  <si>
    <t>Joshua Glavin (D)</t>
  </si>
  <si>
    <t>Blake Munnings (D)</t>
  </si>
  <si>
    <t>Kaden Aucoin (D)</t>
  </si>
  <si>
    <t>Jonathan Brown (D)</t>
  </si>
  <si>
    <t>Keegan Gillen (D)</t>
  </si>
  <si>
    <t>Maxim Sokolovsky (D)</t>
  </si>
  <si>
    <t>Carter Kunopaski (D)</t>
  </si>
  <si>
    <t>Reed Gee (D)</t>
  </si>
  <si>
    <t>Kaden Schneider (D)</t>
  </si>
  <si>
    <t>Christian Colosimo (D)</t>
  </si>
  <si>
    <t>Leo Laschon (D)</t>
  </si>
  <si>
    <t>Sean Matthew Goyette (D)</t>
  </si>
  <si>
    <t>Niko Krmpotic (D)</t>
  </si>
  <si>
    <t>David Buchman (D)</t>
  </si>
  <si>
    <t>Luke Dragusica (D)</t>
  </si>
  <si>
    <t>Owen Cartwright (D)</t>
  </si>
  <si>
    <t>Maxim Dirracolo (D)</t>
  </si>
  <si>
    <t>60</t>
  </si>
  <si>
    <t>Calum Hartnell (D)</t>
  </si>
  <si>
    <t>James Paul (D)</t>
  </si>
  <si>
    <t>Oliver Turner (D)</t>
  </si>
  <si>
    <t>George Komadoski (D)</t>
  </si>
  <si>
    <t>Thanasi Marentette (D)</t>
  </si>
  <si>
    <t>Nick Frasca (D)</t>
  </si>
  <si>
    <t>Mason Roy (D)</t>
  </si>
  <si>
    <t>Brady Smith (D)</t>
  </si>
  <si>
    <t>Bryce Pickford (D)</t>
  </si>
  <si>
    <t>Jonas Woo (D)</t>
  </si>
  <si>
    <t>Ryan Lin (D)</t>
  </si>
  <si>
    <t>Kayd Ruedig (D)</t>
  </si>
  <si>
    <t>78</t>
  </si>
  <si>
    <t>Daxon Rudolph (D)</t>
  </si>
  <si>
    <t>Grayson Burzynski (D)</t>
  </si>
  <si>
    <t>Tarin Smith (D)</t>
  </si>
  <si>
    <t>Carter Sotheran (D)</t>
  </si>
  <si>
    <t>Aiden Ziprick (D)</t>
  </si>
  <si>
    <t>Ethan MacKenzie (D)</t>
  </si>
  <si>
    <t>Carson Carels (D)</t>
  </si>
  <si>
    <t>Mazden Leslie (D)</t>
  </si>
  <si>
    <t>Landon Dupont (D)</t>
  </si>
  <si>
    <t>Timofei Runtso (D)</t>
  </si>
  <si>
    <t>Joshua Toll (D/F)</t>
  </si>
  <si>
    <t>Rhett Sather (D)</t>
  </si>
  <si>
    <t>Ben Macbeath (D)</t>
  </si>
  <si>
    <t>Brayden Klimpke (D)</t>
  </si>
  <si>
    <t>Ephram McNutt (D)</t>
  </si>
  <si>
    <t>Ethan Weber (D)</t>
  </si>
  <si>
    <t>Nolan Stevenson (D)</t>
  </si>
  <si>
    <t>Connor Schmidt (D)</t>
  </si>
  <si>
    <t>Nathan Maloney (D)</t>
  </si>
  <si>
    <t>Arseni Anisimov (D)</t>
  </si>
  <si>
    <t>Colt Carter (D)</t>
  </si>
  <si>
    <t>Matthew Paranych (D)</t>
  </si>
  <si>
    <t>Tristen Doyle (D)</t>
  </si>
  <si>
    <t>Reese Hamilton (D)</t>
  </si>
  <si>
    <t>Ryan Michael (D)</t>
  </si>
  <si>
    <t>Justice Christensen (D)</t>
  </si>
  <si>
    <t>Blake Fiddler (D)</t>
  </si>
  <si>
    <t>Keith McInnis (D)</t>
  </si>
  <si>
    <t>Isa Guram (D)</t>
  </si>
  <si>
    <t>Linden Burrett (D)</t>
  </si>
  <si>
    <t>Jakub Vanecek (D)</t>
  </si>
  <si>
    <t>Will McLaughlin (D)</t>
  </si>
  <si>
    <t>Bauer Dumanski (D)</t>
  </si>
  <si>
    <t>Jace McFaul (D)</t>
  </si>
  <si>
    <t>William McIsaac (D)</t>
  </si>
  <si>
    <t>Brock Cripps (D)</t>
  </si>
  <si>
    <t>Josh McGregor (D)</t>
  </si>
  <si>
    <t>Hunter Aura (D)</t>
  </si>
  <si>
    <t>Wyatt Pisarczyk (D)</t>
  </si>
  <si>
    <t>Giorgos Pantelas (D)</t>
  </si>
  <si>
    <t>Callum Stone (D)</t>
  </si>
  <si>
    <t>Veeti Väisänen (D)</t>
  </si>
  <si>
    <t>Jordan Martin (D)</t>
  </si>
  <si>
    <t>Kyle Heger (D)</t>
  </si>
  <si>
    <t>Tyson Moss (D)</t>
  </si>
  <si>
    <t>Brek Liske (D)</t>
  </si>
  <si>
    <t>Will Sharpe (D)</t>
  </si>
  <si>
    <t>Radim Mrtka (D)</t>
  </si>
  <si>
    <t>Doogan Pederson (D)</t>
  </si>
  <si>
    <t>Parker Alcos (D)</t>
  </si>
  <si>
    <t>William Scott (D)</t>
  </si>
  <si>
    <t>Tai Riley (D)</t>
  </si>
  <si>
    <t>Rowan Guest (D)</t>
  </si>
  <si>
    <t>Jack Kachkowski (D)</t>
  </si>
  <si>
    <t>Charlie Elick (D)</t>
  </si>
  <si>
    <t>Bennett Kelly (D)</t>
  </si>
  <si>
    <t>Dylan LeBret (D)</t>
  </si>
  <si>
    <t>Boston Tait (D)</t>
  </si>
  <si>
    <t>Carter Savage (D)</t>
  </si>
  <si>
    <t>Cole Slobodian (D)</t>
  </si>
  <si>
    <t>Corbin Vaughan (D)</t>
  </si>
  <si>
    <t>Calder Hamilton (D)</t>
  </si>
  <si>
    <t>Nate Yellowaga (D)</t>
  </si>
  <si>
    <t>Max Psenicka (D)</t>
  </si>
  <si>
    <t>Ashton Cumby (D)</t>
  </si>
  <si>
    <t>Nigel Boehm (D)</t>
  </si>
  <si>
    <t>Dylan Ronald (D)</t>
  </si>
  <si>
    <t>Landon Young (D)</t>
  </si>
  <si>
    <t>Matteo Fabrizi (D)</t>
  </si>
  <si>
    <t>Brady Ness (D)</t>
  </si>
  <si>
    <t>100</t>
  </si>
  <si>
    <t>Owen Schoettler (D)</t>
  </si>
  <si>
    <t>Rylan Pearce (D)</t>
  </si>
  <si>
    <t>Josh Lee (D)</t>
  </si>
  <si>
    <t>Carsen Adair (D)</t>
  </si>
  <si>
    <t>Marek Howell (D)</t>
  </si>
  <si>
    <t>Jaxen Adam (D)</t>
  </si>
  <si>
    <t>Odin Vauhkonen (D)</t>
  </si>
  <si>
    <t>Ethan Mittelsteadt (D)</t>
  </si>
  <si>
    <t>Carson Olsen (D)</t>
  </si>
  <si>
    <t>Brandon Osborne (D)</t>
  </si>
  <si>
    <t>Josh Fluker (D)</t>
  </si>
  <si>
    <t>Rhett Ravndahl (D)</t>
  </si>
  <si>
    <t>Josh Van Mulligen (D)</t>
  </si>
  <si>
    <t>Jiří Kamas (D)</t>
  </si>
  <si>
    <t>Cameron Allard (D)</t>
  </si>
  <si>
    <t>Matus Lisy (D)</t>
  </si>
  <si>
    <t>Axel Hurtig (D)</t>
  </si>
  <si>
    <t>Tyrone Sobry (D)</t>
  </si>
  <si>
    <t>Kaleb Hartmann (D)</t>
  </si>
  <si>
    <t>Nolan Saunderson (D)</t>
  </si>
  <si>
    <t>Jacob Henderson (D)</t>
  </si>
  <si>
    <t>Michal Capos (D)</t>
  </si>
  <si>
    <t>Grayson Tash (D)</t>
  </si>
  <si>
    <t>Jakub Seidl (D)</t>
  </si>
  <si>
    <t>Henry Peterson (D)</t>
  </si>
  <si>
    <t>Dryden Deobald (D)</t>
  </si>
  <si>
    <t>Luke Vlooswyk (D)</t>
  </si>
  <si>
    <t>Nolan Paquette (D)</t>
  </si>
  <si>
    <t>Hyde Davidson (D)</t>
  </si>
  <si>
    <t>Riley Steen (D)</t>
  </si>
  <si>
    <t>Grady Pichette (D)</t>
  </si>
  <si>
    <t>Max Lavoie (D)</t>
  </si>
  <si>
    <t>Kolten Bridgeman (D)</t>
  </si>
  <si>
    <t>Kaden Meyer (D)</t>
  </si>
  <si>
    <t>Morgan Tastad (D)</t>
  </si>
  <si>
    <t>Noa Ta'amu (D)</t>
  </si>
  <si>
    <t>Colton Alain (D)</t>
  </si>
  <si>
    <t>Niko Tsakumis (D)</t>
  </si>
  <si>
    <t>Eli Johnson (D)</t>
  </si>
  <si>
    <t>Bobby Williams (D)</t>
  </si>
  <si>
    <t>Caleb Potter (D)</t>
  </si>
  <si>
    <t>Aleksey Chichkin (D)</t>
  </si>
  <si>
    <t>Seth Fryer (D)</t>
  </si>
  <si>
    <t>Niilopekka Muhonen (D)</t>
  </si>
  <si>
    <t>Kaden Allan (D)</t>
  </si>
  <si>
    <t>Brayden Smith (D)</t>
  </si>
  <si>
    <t>Griffin Darby (D)</t>
  </si>
  <si>
    <t>Joaquin Geras (D)</t>
  </si>
  <si>
    <t>William Degagne (D)</t>
  </si>
  <si>
    <t>Aiden Wagner (D)</t>
  </si>
  <si>
    <t>Nate Corbet (D)</t>
  </si>
  <si>
    <t>Vanek Popil (D)</t>
  </si>
  <si>
    <t>Ismail Abougouche (D/F)</t>
  </si>
  <si>
    <t>Matyas Man (D)</t>
  </si>
  <si>
    <t>Tomas Malinek (D)</t>
  </si>
  <si>
    <t>Nathan Mayes (D)</t>
  </si>
  <si>
    <t>Daniil Skvortsov (D)</t>
  </si>
  <si>
    <t>Hubert Clarke (D)</t>
  </si>
  <si>
    <t>Drew Smith (D)</t>
  </si>
  <si>
    <t>Jackson Gillespie (D)</t>
  </si>
  <si>
    <t>Darian Rolsing (D)</t>
  </si>
  <si>
    <t>Brennen Hocher (D)</t>
  </si>
  <si>
    <t>Cameron Dillard (D)</t>
  </si>
  <si>
    <t>Gabriel Guilbault (D)</t>
  </si>
  <si>
    <t>Easton Laplante (D)</t>
  </si>
  <si>
    <t>Cosmo Wilson (D)</t>
  </si>
  <si>
    <t>David Byrne (D)</t>
  </si>
  <si>
    <t>Derek Thurston (D)</t>
  </si>
  <si>
    <t>Aden Bouchard (D)</t>
  </si>
  <si>
    <t>Cohen Williams (D)</t>
  </si>
  <si>
    <t>Harry Mattern (D)</t>
  </si>
  <si>
    <t>Lance McCloskey (D)</t>
  </si>
  <si>
    <t>Dayton Deschamps (D)</t>
  </si>
  <si>
    <t>Rhys Pederson (D)</t>
  </si>
  <si>
    <t>Sean Burick (D)</t>
  </si>
  <si>
    <t>Jake Missura (D)</t>
  </si>
  <si>
    <t>Caden Campion (D)</t>
  </si>
  <si>
    <t>Isaac Poll (D)</t>
  </si>
  <si>
    <t>Luke Christopherson (D)</t>
  </si>
  <si>
    <t>Jaxson Pawlenchuk (D)</t>
  </si>
  <si>
    <t>Daniel Vaillant (D)</t>
  </si>
  <si>
    <t>Ryan Gower (D)</t>
  </si>
  <si>
    <t>Nathan Gray (D)</t>
  </si>
  <si>
    <t>Jonas Kohn (D)</t>
  </si>
  <si>
    <t>Cameron Jacobson (D)</t>
  </si>
  <si>
    <t>Daxon Yerex (D)</t>
  </si>
  <si>
    <t>Phoenix Cahill (D)</t>
  </si>
  <si>
    <t>Bryson Roberts (D)</t>
  </si>
  <si>
    <t>Aaron Zulinick (D)</t>
  </si>
  <si>
    <t>Cohen Massey (D)</t>
  </si>
  <si>
    <t>Evan Markel (D)</t>
  </si>
  <si>
    <t>Mykola Kosarev (D)</t>
  </si>
  <si>
    <t>Braydon Riggall (D)</t>
  </si>
  <si>
    <t>Owen Hayden (D)</t>
  </si>
  <si>
    <t>Jack Lavallee (D)</t>
  </si>
  <si>
    <t>Jaxon Pisani (D)</t>
  </si>
  <si>
    <t>Madden Tymchak (D)</t>
  </si>
  <si>
    <t>Jan Skok (D)</t>
  </si>
  <si>
    <t>Ethan Creran (D)</t>
  </si>
  <si>
    <t>Nikolas Ferry (D)</t>
  </si>
  <si>
    <t>Benson Hirst (D)</t>
  </si>
  <si>
    <t>Dermot Johnston (D)</t>
  </si>
  <si>
    <t>Tommy Bleyl (D)</t>
  </si>
  <si>
    <t>Alex Huang (D)</t>
  </si>
  <si>
    <t>Louis-Alex Tremblay (D)</t>
  </si>
  <si>
    <t>Xavier Villeneuve (D)</t>
  </si>
  <si>
    <t>Marcus Kearsey (D)</t>
  </si>
  <si>
    <t>Noah Laberge (D)</t>
  </si>
  <si>
    <t>Cal Uens (D)</t>
  </si>
  <si>
    <t>Tomas Lavoie (D)</t>
  </si>
  <si>
    <t>Evan Dépatie (D)</t>
  </si>
  <si>
    <t>Jordan Tourigny (D)</t>
  </si>
  <si>
    <t>Xavier Daigle (D)</t>
  </si>
  <si>
    <t>Owen Keefe (D)</t>
  </si>
  <si>
    <t>Antoine St-Laurent (D)</t>
  </si>
  <si>
    <t>Félix Plamondon (D)</t>
  </si>
  <si>
    <t>Owen Phillips (D)</t>
  </si>
  <si>
    <t>Benjamin Cossette-Ayotte (D)</t>
  </si>
  <si>
    <t>Peteris Bulans (D)</t>
  </si>
  <si>
    <t>Théo Lemieux (D)</t>
  </si>
  <si>
    <t>Mathéo Lepage (D)</t>
  </si>
  <si>
    <t>Everett Baldwin (D)</t>
  </si>
  <si>
    <t>Olivier Duhamel (D)</t>
  </si>
  <si>
    <t>Adam Fortier-Gendron (D)</t>
  </si>
  <si>
    <t>Mattias Gilbert (D)</t>
  </si>
  <si>
    <t>Anthony Paré (D)</t>
  </si>
  <si>
    <t>Owen Conrad (D)</t>
  </si>
  <si>
    <t>Mathieu Plante (D)</t>
  </si>
  <si>
    <t>Alexandre Taillefer (D)</t>
  </si>
  <si>
    <t>Jan Golicic (D)</t>
  </si>
  <si>
    <t>Simon-Pier Brunet (D)</t>
  </si>
  <si>
    <t>Noah McKinnon (D)</t>
  </si>
  <si>
    <t>Alonso Gosselin (D)</t>
  </si>
  <si>
    <t>Alexandre Desmarais (D)</t>
  </si>
  <si>
    <t>Xavier Cormier (D)</t>
  </si>
  <si>
    <t>Matthew Virgilio (D)</t>
  </si>
  <si>
    <t>ohl: 3, qmjhl: 1</t>
  </si>
  <si>
    <t>Noah Jettelson (D)</t>
  </si>
  <si>
    <t>Étienne Desjardins (D)</t>
  </si>
  <si>
    <t>Carlos Händel (D)</t>
  </si>
  <si>
    <t>Will Reynolds (D)</t>
  </si>
  <si>
    <t>Émile Perron (D)</t>
  </si>
  <si>
    <t>Max Vilén (D)</t>
  </si>
  <si>
    <t>Eddy Doyle (D)</t>
  </si>
  <si>
    <t>Filip Kovalcik (D)</t>
  </si>
  <si>
    <t>Biagio Jr. Daniele (D)</t>
  </si>
  <si>
    <t>Alexis Lemire (D)</t>
  </si>
  <si>
    <t>Zackary Plamondon (D)</t>
  </si>
  <si>
    <t>Maddox Labre (D)</t>
  </si>
  <si>
    <t>Jack Martin (D)</t>
  </si>
  <si>
    <t>Brady Peddle (D)</t>
  </si>
  <si>
    <t>Jérémie Dumas (D)</t>
  </si>
  <si>
    <t>Guus Van der Kaaij (D)</t>
  </si>
  <si>
    <t>Bo Damphousse (D)</t>
  </si>
  <si>
    <t>Brandon Delarosbil (D)</t>
  </si>
  <si>
    <t>Luca Nappiot (D)</t>
  </si>
  <si>
    <t>Sydney Gagnon (D)</t>
  </si>
  <si>
    <t>Alexandre Carbonneau (D)</t>
  </si>
  <si>
    <t>Axel Dufresne (D)</t>
  </si>
  <si>
    <t>Malik L'Italien (D)</t>
  </si>
  <si>
    <t>Jean-Félix Lapointe (D)</t>
  </si>
  <si>
    <t>Drew Allison (D)</t>
  </si>
  <si>
    <t>Matteo Rotondi (D)</t>
  </si>
  <si>
    <t>Jack Brauti (D)</t>
  </si>
  <si>
    <t>Logan Brennan (D)</t>
  </si>
  <si>
    <t>Olivier Filaj (D)</t>
  </si>
  <si>
    <t>Carl-Otto Magnusson (D)</t>
  </si>
  <si>
    <t>Eerik Wallenius (D)</t>
  </si>
  <si>
    <t>Éloi Bourdeau (D)</t>
  </si>
  <si>
    <t>Julien Wasmer (D)</t>
  </si>
  <si>
    <t>Owen Ronson (D)</t>
  </si>
  <si>
    <t>Jonathan Prud'homme (D)</t>
  </si>
  <si>
    <t>63</t>
  </si>
  <si>
    <t>Alexis Mathieu (D)</t>
  </si>
  <si>
    <t>Zachary Roussy (D)</t>
  </si>
  <si>
    <t>Alexis Fortin (D)</t>
  </si>
  <si>
    <t>Jacob De Ladurantaye (D)</t>
  </si>
  <si>
    <t>Cameron Minella (D)</t>
  </si>
  <si>
    <t>Julien Lanthier (D)</t>
  </si>
  <si>
    <t>Dylan MacKinnon (D)</t>
  </si>
  <si>
    <t>Yan Gaudreau (D)</t>
  </si>
  <si>
    <t>Cooper Campbell (D)</t>
  </si>
  <si>
    <t>Aiden Diamond (D)</t>
  </si>
  <si>
    <t>Charlie Morrison (D)</t>
  </si>
  <si>
    <t>Oskar Drabczynski (D)</t>
  </si>
  <si>
    <t>Jacob Gouchie (D)</t>
  </si>
  <si>
    <t>Brady Flynn (D)</t>
  </si>
  <si>
    <t>Freddy Meyer (D)</t>
  </si>
  <si>
    <t>Thomas Charbonneau (D)</t>
  </si>
  <si>
    <t>Patryk Zubek (D)</t>
  </si>
  <si>
    <t>Quinn Norman (D)</t>
  </si>
  <si>
    <t>Will Murphy (D)</t>
  </si>
  <si>
    <t>Zachary Hachey (D)</t>
  </si>
  <si>
    <t>Cameron Chartrand (D)</t>
  </si>
  <si>
    <t>Hemrick Carbonneau (D)</t>
  </si>
  <si>
    <t>Aiden McCullough (D)</t>
  </si>
  <si>
    <t>Tristan Langlois (D)</t>
  </si>
  <si>
    <t>Olivier Théberge (D)</t>
  </si>
  <si>
    <t>Mathieu Taillefer (D)</t>
  </si>
  <si>
    <t>Nikita Voyaga (D)</t>
  </si>
  <si>
    <t>Michel Myloserdnyy (D)</t>
  </si>
  <si>
    <t>Samuel Brunet (D)</t>
  </si>
  <si>
    <t>Toby Almstedt (D)</t>
  </si>
  <si>
    <t>Émile-Alexandro Lemieux-Goupil (D)</t>
  </si>
  <si>
    <t>Benjamin Girard (D)</t>
  </si>
  <si>
    <t>Vincent Croteau (D)</t>
  </si>
  <si>
    <t>Mickaël Chapdelaine (D)</t>
  </si>
  <si>
    <t>Justin Beaulieu (D)</t>
  </si>
  <si>
    <t>Drew McLennan (D)</t>
  </si>
  <si>
    <t>Eduard Bondar (D)</t>
  </si>
  <si>
    <t>Arno Delisle (D)</t>
  </si>
  <si>
    <t>James Roberts (D)</t>
  </si>
  <si>
    <t>Lincoln Waugh (D)</t>
  </si>
  <si>
    <t>Louis-Félix Gagnon (D)</t>
  </si>
  <si>
    <t>Jackson Batchilder (D)</t>
  </si>
  <si>
    <t>Jayden Lazare (D)</t>
  </si>
  <si>
    <t>Benjamin Benoît-Rioux (D)</t>
  </si>
  <si>
    <t>Zachary Gagnon (D)</t>
  </si>
  <si>
    <t>Nathan Wright (D)</t>
  </si>
  <si>
    <t>Wassim Rabbath (D)</t>
  </si>
  <si>
    <t>Nathan Nadeau (D)</t>
  </si>
  <si>
    <t>Cohen Paquet (D)</t>
  </si>
  <si>
    <t>Maxime Dodier (D)</t>
  </si>
  <si>
    <t>Luka Romaniak (D)</t>
  </si>
  <si>
    <t>Maxwell Jardine (D)</t>
  </si>
  <si>
    <t>Guillaume Gleason (D)</t>
  </si>
  <si>
    <t>Reinis Auzins (D)</t>
  </si>
  <si>
    <t>Connor Sturgeon (D)</t>
  </si>
  <si>
    <t>Samuel Kupec (D)</t>
  </si>
  <si>
    <t>Jacob Hamel (D)</t>
  </si>
  <si>
    <t>Daniel Chen (D)</t>
  </si>
  <si>
    <t>Alain Bourdeau (D)</t>
  </si>
  <si>
    <t>Justin Blais (D)</t>
  </si>
  <si>
    <t>Brayden Kaldenbach (D)</t>
  </si>
  <si>
    <t>Aaron Murphy (D)</t>
  </si>
  <si>
    <t>Maxime Lapointe (D)</t>
  </si>
  <si>
    <t>Nate Ostridge (D)</t>
  </si>
  <si>
    <t>Dominik Necak (D)</t>
  </si>
  <si>
    <t>Colby Train (D)</t>
  </si>
  <si>
    <t>Aiden MacIsaac (D)</t>
  </si>
  <si>
    <t>Justin Chiras (D)</t>
  </si>
  <si>
    <t>Jake Lee (D)</t>
  </si>
  <si>
    <t>Dawson Davidson (D)</t>
  </si>
  <si>
    <t>Landon Kosior (D)</t>
  </si>
  <si>
    <t>Mark Cooper (D)</t>
  </si>
  <si>
    <t>Charlie Callaghan (D)</t>
  </si>
  <si>
    <t>Sean Strange (D)</t>
  </si>
  <si>
    <t>Jace Weir (D)</t>
  </si>
  <si>
    <t>Nathan Allensen (D)</t>
  </si>
  <si>
    <t>Eric Van Impe (D)</t>
  </si>
  <si>
    <t>Giuseppe Ianniello (D)</t>
  </si>
  <si>
    <t>Alexis Daviault (D)</t>
  </si>
  <si>
    <t>Tyler Deline (D)</t>
  </si>
  <si>
    <t>Rhett Rhinehart (D/F)</t>
  </si>
  <si>
    <t>Luca D'Amato (D)</t>
  </si>
  <si>
    <t>Dylan Schives (D)</t>
  </si>
  <si>
    <t>Brayden Schmitt (D)</t>
  </si>
  <si>
    <t>Simon Lavigne (D)</t>
  </si>
  <si>
    <t>Remy Aquilon (D)</t>
  </si>
  <si>
    <t>Sean Larochelle (D)</t>
  </si>
  <si>
    <t>Thomas Belzile (D)</t>
  </si>
  <si>
    <t>Logan Dowhaniuk (D)</t>
  </si>
  <si>
    <t>Ethan Ritchie (D)</t>
  </si>
  <si>
    <t>Blake Heward (D)</t>
  </si>
  <si>
    <t>Justin Nolet (D)</t>
  </si>
  <si>
    <t>ohl: 4, usports: 3</t>
  </si>
  <si>
    <t>Hunter Donohoe (D)</t>
  </si>
  <si>
    <t>Connor Horning (D)</t>
  </si>
  <si>
    <t>Michael Renwick (D)</t>
  </si>
  <si>
    <t>Matt McNamara (D)</t>
  </si>
  <si>
    <t>Lucas Brenton (D)</t>
  </si>
  <si>
    <t>usports: 1, whl: 6</t>
  </si>
  <si>
    <t>Kayden Sadhra-Kang (D)</t>
  </si>
  <si>
    <t>Connor Olson (D)</t>
  </si>
  <si>
    <t>Jacob Holmes (D)</t>
  </si>
  <si>
    <t>Keaton Dowhaniuk (D)</t>
  </si>
  <si>
    <t>Jonathan Krahn (F/D)</t>
  </si>
  <si>
    <t>Jack Harper (D)</t>
  </si>
  <si>
    <t>Stephen Calisti (D)</t>
  </si>
  <si>
    <t>Clay Hanus (D)</t>
  </si>
  <si>
    <t>Nicolas Bilodeau (D)</t>
  </si>
  <si>
    <t>Kyle Walker (D)</t>
  </si>
  <si>
    <t>Antoine Desrochers (D)</t>
  </si>
  <si>
    <t>Denis Toner (D)</t>
  </si>
  <si>
    <t>Brandon McCartney (D)</t>
  </si>
  <si>
    <t>Ethan Martini (D)</t>
  </si>
  <si>
    <t>ncaa: 2, usports: 2</t>
  </si>
  <si>
    <t>Sam McKinney (D)</t>
  </si>
  <si>
    <t>Xavier Laurent (D)</t>
  </si>
  <si>
    <t>Ryan Hopkins (D)</t>
  </si>
  <si>
    <t>Mason Ward (D)</t>
  </si>
  <si>
    <t>Thomas Pelletier (D)</t>
  </si>
  <si>
    <t>Naaman Hofer (D)</t>
  </si>
  <si>
    <t>Raegan Wiles (D)</t>
  </si>
  <si>
    <t>Alex Serraglio (D)</t>
  </si>
  <si>
    <t>Alexis Beaulac (D)</t>
  </si>
  <si>
    <t>Cameron Whynot (D)</t>
  </si>
  <si>
    <t>Brendan Tomilson (D)</t>
  </si>
  <si>
    <t>Blake Gustafson (D)</t>
  </si>
  <si>
    <t>Aiden Reeves (D)</t>
  </si>
  <si>
    <t>usports: 2, whl: 3</t>
  </si>
  <si>
    <t>Colton Kamerrer (D)</t>
  </si>
  <si>
    <t>Kaï Stothers (D)</t>
  </si>
  <si>
    <t>Dylan Anderson (D)</t>
  </si>
  <si>
    <t>Alex Blanchard (D)</t>
  </si>
  <si>
    <t>Brody Tallman (D)</t>
  </si>
  <si>
    <t>usports: 1, whl: 2</t>
  </si>
  <si>
    <t>Rylan Thiessen (D)</t>
  </si>
  <si>
    <t>Derek Pys (D)</t>
  </si>
  <si>
    <t>Jack Cook (D)</t>
  </si>
  <si>
    <t>Thomas Gangl (D)</t>
  </si>
  <si>
    <t>Wil Murphy (D)</t>
  </si>
  <si>
    <t>Cole Larkin (D)</t>
  </si>
  <si>
    <t>Brett Bamber (D)</t>
  </si>
  <si>
    <t>Conor Shortall (D)</t>
  </si>
  <si>
    <t>Shawn Ramsey (D)</t>
  </si>
  <si>
    <t>Peter Stratis (D)</t>
  </si>
  <si>
    <t>Brendan Bays (D)</t>
  </si>
  <si>
    <t>Logan Bairos (D)</t>
  </si>
  <si>
    <t>Simon Maltais (D)</t>
  </si>
  <si>
    <t>Jérémy Michaud (D)</t>
  </si>
  <si>
    <t>Loris Rafanomezantsoa (D)</t>
  </si>
  <si>
    <t>Zack Whittaker (D)</t>
  </si>
  <si>
    <t>Ben Saunderson (D)</t>
  </si>
  <si>
    <t>Duncan Penman (D)</t>
  </si>
  <si>
    <t>Josh Kavanagh (D)</t>
  </si>
  <si>
    <t>Dell Welton (D)</t>
  </si>
  <si>
    <t>Christophe Rondeau (D)</t>
  </si>
  <si>
    <t>Braeden Virtue (D)</t>
  </si>
  <si>
    <t>Keagan Slaney (D)</t>
  </si>
  <si>
    <t>Layton Feist (D)</t>
  </si>
  <si>
    <t>Lucas Peric (D)</t>
  </si>
  <si>
    <t>Noah Szabo (D)</t>
  </si>
  <si>
    <t>Ben Roode (D)</t>
  </si>
  <si>
    <t>Tanner Komzak (D)</t>
  </si>
  <si>
    <t>Vincent Maisonneuve (D)</t>
  </si>
  <si>
    <t>Ian Lemieux (D)</t>
  </si>
  <si>
    <t>Nathan Drapeau (D)</t>
  </si>
  <si>
    <t>Callum Chisholm (D/F)</t>
  </si>
  <si>
    <t>Owen Wilson (D)</t>
  </si>
  <si>
    <t>Kaylen Gauthier (D)</t>
  </si>
  <si>
    <t>A.J. Cook (D)</t>
  </si>
  <si>
    <t>Nicolas Savoie (D)</t>
  </si>
  <si>
    <t>Spencer Shugrue (D)</t>
  </si>
  <si>
    <t>Jacob Dietz (D)</t>
  </si>
  <si>
    <t>Dillon Stiles (D)</t>
  </si>
  <si>
    <t>Liam Whittaker (D)</t>
  </si>
  <si>
    <t>Aaron Brown (D)</t>
  </si>
  <si>
    <t>Olivier Boutin (D)</t>
  </si>
  <si>
    <t>Logen Hammett (D)</t>
  </si>
  <si>
    <t>Jonathan Desrosiers (D)</t>
  </si>
  <si>
    <t>Alex Izyk (D)</t>
  </si>
  <si>
    <t>Drew Wawrow (D)</t>
  </si>
  <si>
    <t>Alexandre Pellerin (D)</t>
  </si>
  <si>
    <t>Ben Bonni (D/F)</t>
  </si>
  <si>
    <t>Drew Maddigan (D)</t>
  </si>
  <si>
    <t>Igor Mburanumwe (D)</t>
  </si>
  <si>
    <t>Stefan Dobrich (D)</t>
  </si>
  <si>
    <t>Owen Luik (D)</t>
  </si>
  <si>
    <t>Ryan O'Dell (D)</t>
  </si>
  <si>
    <t>Eli Barnett (D)</t>
  </si>
  <si>
    <t>Édouard Cournoyer (D)</t>
  </si>
  <si>
    <t>Isaac Vos (D)</t>
  </si>
  <si>
    <t>Landon Cato (D)</t>
  </si>
  <si>
    <t>Kaycee Coyle (D)</t>
  </si>
  <si>
    <t>Ayden Third (D)</t>
  </si>
  <si>
    <t>Alec McDonald (D)</t>
  </si>
  <si>
    <t>Yann-Félix Lapointe (D)</t>
  </si>
  <si>
    <t>Pavel Bocharov (D)</t>
  </si>
  <si>
    <t>Zach Biggar (D)</t>
  </si>
  <si>
    <t>Marc-Olivier Beaudry (D)</t>
  </si>
  <si>
    <t>Charlie Desroches (D)</t>
  </si>
  <si>
    <t>Vincent Frédette (D)</t>
  </si>
  <si>
    <t>Samuel Borschowa (D)</t>
  </si>
  <si>
    <t>Chase Lacombe (D)</t>
  </si>
  <si>
    <t>Alexis Arsenault (D)</t>
  </si>
  <si>
    <t>Leith Olafson (D)</t>
  </si>
  <si>
    <t>Ty Prefontaine (D)</t>
  </si>
  <si>
    <t>Luke Zazula (D)</t>
  </si>
  <si>
    <t>Jaden Raad (D)</t>
  </si>
  <si>
    <t>James Mayotte (D)</t>
  </si>
  <si>
    <t>Jared Cosman (D)</t>
  </si>
  <si>
    <t>Aiden Yakimchuk (D)</t>
  </si>
  <si>
    <t>Nolan Ford (D)</t>
  </si>
  <si>
    <t>Blair Scott (D)</t>
  </si>
  <si>
    <t>Marko Stojkov (D)</t>
  </si>
  <si>
    <t>Jordan Hendry (D)</t>
  </si>
  <si>
    <t>Alexandre De Gagné (D)</t>
  </si>
  <si>
    <t>James McDowall (D)</t>
  </si>
  <si>
    <t>David Mabey (D)</t>
  </si>
  <si>
    <t>Kaiden Bugera (D)</t>
  </si>
  <si>
    <t>Tre Fouquette (D)</t>
  </si>
  <si>
    <t>Majid Kaddoura (D)</t>
  </si>
  <si>
    <t>Matthew Smith (D)</t>
  </si>
  <si>
    <t>Cole Jordan (D)</t>
  </si>
  <si>
    <t>Ian Ferguson (D)</t>
  </si>
  <si>
    <t>Charles Côté (D)</t>
  </si>
  <si>
    <t>Willem Larsen (D)</t>
  </si>
  <si>
    <t>Antoine Michaud (D)</t>
  </si>
  <si>
    <t>Mark Woolley (D)</t>
  </si>
  <si>
    <t>Mike Ladyman (D)</t>
  </si>
  <si>
    <t>Nolan Roberts (D)</t>
  </si>
  <si>
    <t>Evan Toth (D)</t>
  </si>
  <si>
    <t>Nolan Bettens (D)</t>
  </si>
  <si>
    <t>Joel Sexsmith (D)</t>
  </si>
  <si>
    <t>Rylan Silzer (D)</t>
  </si>
  <si>
    <t>Evan Brand (D)</t>
  </si>
  <si>
    <t>Bryan McAndrews (D)</t>
  </si>
  <si>
    <t>Jack Duff (D)</t>
  </si>
  <si>
    <t>Wyatt Wilson (D)</t>
  </si>
  <si>
    <t>Tyson Kowaluk (D)</t>
  </si>
  <si>
    <t>Eduard Wruck (D)</t>
  </si>
  <si>
    <t>Ethan Doyle (LW/D)</t>
  </si>
  <si>
    <t>LW/D</t>
  </si>
  <si>
    <t>Frank Jenkins (D)</t>
  </si>
  <si>
    <t>Ranvir Gill-Shane (D)</t>
  </si>
  <si>
    <t>Sawyer Prokopetz (D)</t>
  </si>
  <si>
    <t>Masen Culley (D)</t>
  </si>
  <si>
    <t>Bryce Kilbourne (D)</t>
  </si>
  <si>
    <t>Mason Chitaroni (D)</t>
  </si>
  <si>
    <t>Alexandre Hogue (D)</t>
  </si>
  <si>
    <t>Leyton Holoien (D)</t>
  </si>
  <si>
    <t>Christopher Inniss (D)</t>
  </si>
  <si>
    <t>Liam Ross (D)</t>
  </si>
  <si>
    <t>Nicolas Pavan (D/F)</t>
  </si>
  <si>
    <t>Brandon Casey (D)</t>
  </si>
  <si>
    <t>Nolan Dillingham (D)</t>
  </si>
  <si>
    <t>Ricards Landmanis (D)</t>
  </si>
  <si>
    <t>Zachary Lessard (D)</t>
  </si>
  <si>
    <t>Tim Gould (D)</t>
  </si>
  <si>
    <t>ncaa: 1, usports: 3</t>
  </si>
  <si>
    <t>Jacob Hoffrogge (D)</t>
  </si>
  <si>
    <t>Cole Beamin (D)</t>
  </si>
  <si>
    <t>Tristan Serrao (D)</t>
  </si>
  <si>
    <t>Luke Vardy (D)</t>
  </si>
  <si>
    <t>Nolan Ling (D)</t>
  </si>
  <si>
    <t>ohl: 1, qmjhl: 2, usports: 1</t>
  </si>
  <si>
    <t>Jonny Lambos (D)</t>
  </si>
  <si>
    <t>Andrew Hunt (D)</t>
  </si>
  <si>
    <t>Sam Grabner (D)</t>
  </si>
  <si>
    <t>Nathan Ribau (D)</t>
  </si>
  <si>
    <t>Samuel Kingsley (D)</t>
  </si>
  <si>
    <t>Tanner Willick (D)</t>
  </si>
  <si>
    <t>Devin Pimm (D)</t>
  </si>
  <si>
    <t>Marc-Antoine Mercier (D)</t>
  </si>
  <si>
    <t>Bruce Coltart (D)</t>
  </si>
  <si>
    <t>Jordan Grill (D)</t>
  </si>
  <si>
    <t>Samuel Willits (D)</t>
  </si>
  <si>
    <t>Brayden Velliaris (D)</t>
  </si>
  <si>
    <t>Ashton Fishley (D)</t>
  </si>
  <si>
    <t>Ethan Peters (D)</t>
  </si>
  <si>
    <t>Roberto Mancini (D)</t>
  </si>
  <si>
    <t>Ethan Regnier (F/D)</t>
  </si>
  <si>
    <t>Dylan Bidyk (D)</t>
  </si>
  <si>
    <t>Jaren Brinson (D)</t>
  </si>
  <si>
    <t>Liam Rodman (D)</t>
  </si>
  <si>
    <t>Ethan McFarland (D)</t>
  </si>
  <si>
    <t>Ethan Casper (D)</t>
  </si>
  <si>
    <t>Anthony Allepot (D)</t>
  </si>
  <si>
    <t>Logan Cunningham (D)</t>
  </si>
  <si>
    <t>Adam Leitch (D)</t>
  </si>
  <si>
    <t>Konrad Belcourt (D)</t>
  </si>
  <si>
    <t>Cameron Morton (D)</t>
  </si>
  <si>
    <t>Logan Holm (D)</t>
  </si>
  <si>
    <t>Cam Gauvreau (D)</t>
  </si>
  <si>
    <t>Kieran Ruscheinski (D)</t>
  </si>
  <si>
    <t>Timothy Porter (D)</t>
  </si>
  <si>
    <t>Cole Jenken (D)</t>
  </si>
  <si>
    <t>Anson McMaster (D)</t>
  </si>
  <si>
    <t>Lucas Eagle (D)</t>
  </si>
  <si>
    <t>Josh O'Connor (D)</t>
  </si>
  <si>
    <t>Jack Parker (D)</t>
  </si>
  <si>
    <t>Easton Kovacs (D)</t>
  </si>
  <si>
    <t>Tayem Gislason (D)</t>
  </si>
  <si>
    <t>Alexander Park (D)</t>
  </si>
  <si>
    <t>Charles Poudrette (D)</t>
  </si>
  <si>
    <t>Zach Welsh (D)</t>
  </si>
  <si>
    <t>Nathan Sauder (D)</t>
  </si>
  <si>
    <t>Wade Bolton (D)</t>
  </si>
  <si>
    <t>number_1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</si>
</sst>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4" tint="0.59999389629810485"/>
      <name val="Calibri"/>
      <family val="2"/>
      <scheme val="minor"/>
    </font>
    <font>
      <b/>
      <u/>
      <sz val="11"/>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00B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2" fillId="0" borderId="0" xfId="0" applyFont="1"/>
    <xf numFmtId="0" fontId="0" fillId="0" borderId="0" xfId="0" quotePrefix="1"/>
    <xf numFmtId="0" fontId="1" fillId="0" borderId="2" xfId="0" applyFont="1" applyBorder="1" applyAlignment="1">
      <alignment horizontal="center" vertical="top"/>
    </xf>
    <xf numFmtId="0" fontId="1" fillId="2" borderId="2" xfId="0" applyFont="1" applyFill="1" applyBorder="1" applyAlignment="1">
      <alignment horizontal="center" vertical="top"/>
    </xf>
    <xf numFmtId="0" fontId="1" fillId="4" borderId="2" xfId="0" applyFont="1" applyFill="1" applyBorder="1" applyAlignment="1">
      <alignment horizontal="center" vertical="top"/>
    </xf>
    <xf numFmtId="0" fontId="3" fillId="0" borderId="0" xfId="0" applyFont="1" applyAlignment="1">
      <alignment horizontal="center"/>
    </xf>
  </cellXfs>
  <cellStyles count="1">
    <cellStyle name="Normal" xfId="0" builtinId="0"/>
  </cellStyles>
  <dxfs count="8">
    <dxf>
      <font>
        <b val="0"/>
        <i val="0"/>
        <strike val="0"/>
        <condense val="0"/>
        <extend val="0"/>
        <outline val="0"/>
        <shadow val="0"/>
        <u/>
        <vertAlign val="baseline"/>
        <sz val="11"/>
        <color theme="4" tint="0.59999389629810485"/>
        <name val="Calibri"/>
        <family val="2"/>
        <scheme val="minor"/>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00B0F0"/>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ertAlign val="baseline"/>
        <sz val="11"/>
        <color theme="4" tint="0.59999389629810485"/>
        <name val="Calibri"/>
        <family val="2"/>
        <scheme val="minor"/>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00B0F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2000250</xdr:colOff>
      <xdr:row>0</xdr:row>
      <xdr:rowOff>66675</xdr:rowOff>
    </xdr:from>
    <xdr:to>
      <xdr:col>1</xdr:col>
      <xdr:colOff>1628775</xdr:colOff>
      <xdr:row>6</xdr:row>
      <xdr:rowOff>114300</xdr:rowOff>
    </xdr:to>
    <mc:AlternateContent xmlns:mc="http://schemas.openxmlformats.org/markup-compatibility/2006" xmlns:sle15="http://schemas.microsoft.com/office/drawing/2012/slicer">
      <mc:Choice Requires="sle15">
        <xdr:graphicFrame macro="">
          <xdr:nvGraphicFramePr>
            <xdr:cNvPr id="2" name="league 1">
              <a:extLst>
                <a:ext uri="{FF2B5EF4-FFF2-40B4-BE49-F238E27FC236}">
                  <a16:creationId xmlns:a16="http://schemas.microsoft.com/office/drawing/2014/main" id="{5FA8A5C1-F0A0-B830-66A4-31A73C063AD9}"/>
                </a:ext>
              </a:extLst>
            </xdr:cNvPr>
            <xdr:cNvGraphicFramePr/>
          </xdr:nvGraphicFramePr>
          <xdr:xfrm>
            <a:off x="0" y="0"/>
            <a:ext cx="0" cy="0"/>
          </xdr:xfrm>
          <a:graphic>
            <a:graphicData uri="http://schemas.microsoft.com/office/drawing/2010/slicer">
              <sle:slicer xmlns:sle="http://schemas.microsoft.com/office/drawing/2010/slicer" name="league 1"/>
            </a:graphicData>
          </a:graphic>
        </xdr:graphicFrame>
      </mc:Choice>
      <mc:Fallback xmlns="">
        <xdr:sp macro="" textlink="">
          <xdr:nvSpPr>
            <xdr:cNvPr id="0" name=""/>
            <xdr:cNvSpPr>
              <a:spLocks noTextEdit="1"/>
            </xdr:cNvSpPr>
          </xdr:nvSpPr>
          <xdr:spPr>
            <a:xfrm>
              <a:off x="2000250" y="66675"/>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2000250</xdr:colOff>
      <xdr:row>6</xdr:row>
      <xdr:rowOff>171451</xdr:rowOff>
    </xdr:from>
    <xdr:to>
      <xdr:col>1</xdr:col>
      <xdr:colOff>1628775</xdr:colOff>
      <xdr:row>14</xdr:row>
      <xdr:rowOff>95251</xdr:rowOff>
    </xdr:to>
    <mc:AlternateContent xmlns:mc="http://schemas.openxmlformats.org/markup-compatibility/2006" xmlns:sle15="http://schemas.microsoft.com/office/drawing/2012/slicer">
      <mc:Choice Requires="sle15">
        <xdr:graphicFrame macro="">
          <xdr:nvGraphicFramePr>
            <xdr:cNvPr id="3" name="szn_no 1">
              <a:extLst>
                <a:ext uri="{FF2B5EF4-FFF2-40B4-BE49-F238E27FC236}">
                  <a16:creationId xmlns:a16="http://schemas.microsoft.com/office/drawing/2014/main" id="{5BF783F3-1583-053B-A75E-2947D42D8AF9}"/>
                </a:ext>
              </a:extLst>
            </xdr:cNvPr>
            <xdr:cNvGraphicFramePr/>
          </xdr:nvGraphicFramePr>
          <xdr:xfrm>
            <a:off x="0" y="0"/>
            <a:ext cx="0" cy="0"/>
          </xdr:xfrm>
          <a:graphic>
            <a:graphicData uri="http://schemas.microsoft.com/office/drawing/2010/slicer">
              <sle:slicer xmlns:sle="http://schemas.microsoft.com/office/drawing/2010/slicer" name="szn_no 1"/>
            </a:graphicData>
          </a:graphic>
        </xdr:graphicFrame>
      </mc:Choice>
      <mc:Fallback xmlns="">
        <xdr:sp macro="" textlink="">
          <xdr:nvSpPr>
            <xdr:cNvPr id="0" name=""/>
            <xdr:cNvSpPr>
              <a:spLocks noTextEdit="1"/>
            </xdr:cNvSpPr>
          </xdr:nvSpPr>
          <xdr:spPr>
            <a:xfrm>
              <a:off x="2000250" y="1314451"/>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38100</xdr:colOff>
      <xdr:row>0</xdr:row>
      <xdr:rowOff>38100</xdr:rowOff>
    </xdr:from>
    <xdr:to>
      <xdr:col>0</xdr:col>
      <xdr:colOff>1866900</xdr:colOff>
      <xdr:row>9</xdr:row>
      <xdr:rowOff>123825</xdr:rowOff>
    </xdr:to>
    <mc:AlternateContent xmlns:mc="http://schemas.openxmlformats.org/markup-compatibility/2006" xmlns:sle15="http://schemas.microsoft.com/office/drawing/2012/slicer">
      <mc:Choice Requires="sle15">
        <xdr:graphicFrame macro="">
          <xdr:nvGraphicFramePr>
            <xdr:cNvPr id="4" name="echl_projection 1">
              <a:extLst>
                <a:ext uri="{FF2B5EF4-FFF2-40B4-BE49-F238E27FC236}">
                  <a16:creationId xmlns:a16="http://schemas.microsoft.com/office/drawing/2014/main" id="{1C1FFB93-A00A-D8AE-E6CD-27250D007076}"/>
                </a:ext>
              </a:extLst>
            </xdr:cNvPr>
            <xdr:cNvGraphicFramePr/>
          </xdr:nvGraphicFramePr>
          <xdr:xfrm>
            <a:off x="0" y="0"/>
            <a:ext cx="0" cy="0"/>
          </xdr:xfrm>
          <a:graphic>
            <a:graphicData uri="http://schemas.microsoft.com/office/drawing/2010/slicer">
              <sle:slicer xmlns:sle="http://schemas.microsoft.com/office/drawing/2010/slicer" name="echl_projection 1"/>
            </a:graphicData>
          </a:graphic>
        </xdr:graphicFrame>
      </mc:Choice>
      <mc:Fallback xmlns="">
        <xdr:sp macro="" textlink="">
          <xdr:nvSpPr>
            <xdr:cNvPr id="0" name=""/>
            <xdr:cNvSpPr>
              <a:spLocks noTextEdit="1"/>
            </xdr:cNvSpPr>
          </xdr:nvSpPr>
          <xdr:spPr>
            <a:xfrm>
              <a:off x="38100" y="38100"/>
              <a:ext cx="1828800" cy="18002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2000250</xdr:colOff>
      <xdr:row>0</xdr:row>
      <xdr:rowOff>57150</xdr:rowOff>
    </xdr:from>
    <xdr:to>
      <xdr:col>1</xdr:col>
      <xdr:colOff>1628775</xdr:colOff>
      <xdr:row>6</xdr:row>
      <xdr:rowOff>47625</xdr:rowOff>
    </xdr:to>
    <mc:AlternateContent xmlns:mc="http://schemas.openxmlformats.org/markup-compatibility/2006" xmlns:sle15="http://schemas.microsoft.com/office/drawing/2012/slicer">
      <mc:Choice Requires="sle15">
        <xdr:graphicFrame macro="">
          <xdr:nvGraphicFramePr>
            <xdr:cNvPr id="2" name="league">
              <a:extLst>
                <a:ext uri="{FF2B5EF4-FFF2-40B4-BE49-F238E27FC236}">
                  <a16:creationId xmlns:a16="http://schemas.microsoft.com/office/drawing/2014/main" id="{CFA3F84C-EE6C-924A-AABB-7D696E0D02E5}"/>
                </a:ext>
              </a:extLst>
            </xdr:cNvPr>
            <xdr:cNvGraphicFramePr/>
          </xdr:nvGraphicFramePr>
          <xdr:xfrm>
            <a:off x="0" y="0"/>
            <a:ext cx="0" cy="0"/>
          </xdr:xfrm>
          <a:graphic>
            <a:graphicData uri="http://schemas.microsoft.com/office/drawing/2010/slicer">
              <sle:slicer xmlns:sle="http://schemas.microsoft.com/office/drawing/2010/slicer" name="league"/>
            </a:graphicData>
          </a:graphic>
        </xdr:graphicFrame>
      </mc:Choice>
      <mc:Fallback xmlns="">
        <xdr:sp macro="" textlink="">
          <xdr:nvSpPr>
            <xdr:cNvPr id="0" name=""/>
            <xdr:cNvSpPr>
              <a:spLocks noTextEdit="1"/>
            </xdr:cNvSpPr>
          </xdr:nvSpPr>
          <xdr:spPr>
            <a:xfrm>
              <a:off x="2000250" y="57150"/>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57150</xdr:colOff>
      <xdr:row>0</xdr:row>
      <xdr:rowOff>66675</xdr:rowOff>
    </xdr:from>
    <xdr:to>
      <xdr:col>0</xdr:col>
      <xdr:colOff>1885950</xdr:colOff>
      <xdr:row>10</xdr:row>
      <xdr:rowOff>152400</xdr:rowOff>
    </xdr:to>
    <mc:AlternateContent xmlns:mc="http://schemas.openxmlformats.org/markup-compatibility/2006" xmlns:sle15="http://schemas.microsoft.com/office/drawing/2012/slicer">
      <mc:Choice Requires="sle15">
        <xdr:graphicFrame macro="">
          <xdr:nvGraphicFramePr>
            <xdr:cNvPr id="5" name="echl_projection">
              <a:extLst>
                <a:ext uri="{FF2B5EF4-FFF2-40B4-BE49-F238E27FC236}">
                  <a16:creationId xmlns:a16="http://schemas.microsoft.com/office/drawing/2014/main" id="{C3CCF13F-7736-72D6-BE6A-211978BB68F6}"/>
                </a:ext>
              </a:extLst>
            </xdr:cNvPr>
            <xdr:cNvGraphicFramePr/>
          </xdr:nvGraphicFramePr>
          <xdr:xfrm>
            <a:off x="0" y="0"/>
            <a:ext cx="0" cy="0"/>
          </xdr:xfrm>
          <a:graphic>
            <a:graphicData uri="http://schemas.microsoft.com/office/drawing/2010/slicer">
              <sle:slicer xmlns:sle="http://schemas.microsoft.com/office/drawing/2010/slicer" name="echl_projection"/>
            </a:graphicData>
          </a:graphic>
        </xdr:graphicFrame>
      </mc:Choice>
      <mc:Fallback xmlns="">
        <xdr:sp macro="" textlink="">
          <xdr:nvSpPr>
            <xdr:cNvPr id="0" name=""/>
            <xdr:cNvSpPr>
              <a:spLocks noTextEdit="1"/>
            </xdr:cNvSpPr>
          </xdr:nvSpPr>
          <xdr:spPr>
            <a:xfrm>
              <a:off x="57150" y="66675"/>
              <a:ext cx="1828800" cy="19907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1990725</xdr:colOff>
      <xdr:row>6</xdr:row>
      <xdr:rowOff>133350</xdr:rowOff>
    </xdr:from>
    <xdr:to>
      <xdr:col>1</xdr:col>
      <xdr:colOff>1619250</xdr:colOff>
      <xdr:row>14</xdr:row>
      <xdr:rowOff>47625</xdr:rowOff>
    </xdr:to>
    <mc:AlternateContent xmlns:mc="http://schemas.openxmlformats.org/markup-compatibility/2006" xmlns:sle15="http://schemas.microsoft.com/office/drawing/2012/slicer">
      <mc:Choice Requires="sle15">
        <xdr:graphicFrame macro="">
          <xdr:nvGraphicFramePr>
            <xdr:cNvPr id="6" name="szn_no">
              <a:extLst>
                <a:ext uri="{FF2B5EF4-FFF2-40B4-BE49-F238E27FC236}">
                  <a16:creationId xmlns:a16="http://schemas.microsoft.com/office/drawing/2014/main" id="{2F6B98CA-5D2F-9B5D-140F-FAF4D04646CB}"/>
                </a:ext>
              </a:extLst>
            </xdr:cNvPr>
            <xdr:cNvGraphicFramePr/>
          </xdr:nvGraphicFramePr>
          <xdr:xfrm>
            <a:off x="0" y="0"/>
            <a:ext cx="0" cy="0"/>
          </xdr:xfrm>
          <a:graphic>
            <a:graphicData uri="http://schemas.microsoft.com/office/drawing/2010/slicer">
              <sle:slicer xmlns:sle="http://schemas.microsoft.com/office/drawing/2010/slicer" name="szn_no"/>
            </a:graphicData>
          </a:graphic>
        </xdr:graphicFrame>
      </mc:Choice>
      <mc:Fallback xmlns="">
        <xdr:sp macro="" textlink="">
          <xdr:nvSpPr>
            <xdr:cNvPr id="0" name=""/>
            <xdr:cNvSpPr>
              <a:spLocks noTextEdit="1"/>
            </xdr:cNvSpPr>
          </xdr:nvSpPr>
          <xdr:spPr>
            <a:xfrm>
              <a:off x="1990725" y="1276350"/>
              <a:ext cx="1828800" cy="1438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gue" xr10:uid="{0AE5B14E-7EC1-4405-9701-3E95B376B678}" sourceName="league">
  <extLst>
    <x:ext xmlns:x15="http://schemas.microsoft.com/office/spreadsheetml/2010/11/main" uri="{2F2917AC-EB37-4324-AD4E-5DD8C200BD13}">
      <x15:tableSlicerCache tableId="1" column="1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chl_projection" xr10:uid="{64EBC83A-8FB3-4AD5-8D95-2CAFE5C8D907}" sourceName="echl_projection">
  <extLst>
    <x:ext xmlns:x15="http://schemas.microsoft.com/office/spreadsheetml/2010/11/main" uri="{2F2917AC-EB37-4324-AD4E-5DD8C200BD13}">
      <x15:tableSlicerCache tableId="1" column="17"/>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zn_no" xr10:uid="{B50870A7-3624-4738-9B36-21450A687C18}" sourceName="szn_no">
  <extLst>
    <x:ext xmlns:x15="http://schemas.microsoft.com/office/spreadsheetml/2010/11/main" uri="{2F2917AC-EB37-4324-AD4E-5DD8C200BD13}">
      <x15:tableSlicerCache tableId="1" column="1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gue1" xr10:uid="{B7229386-6566-42B3-A14E-E555B78A473F}" sourceName="league">
  <extLst>
    <x:ext xmlns:x15="http://schemas.microsoft.com/office/spreadsheetml/2010/11/main" uri="{2F2917AC-EB37-4324-AD4E-5DD8C200BD13}">
      <x15:tableSlicerCache tableId="2" column="1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zn_no1" xr10:uid="{6F2E40D2-9A8E-4A79-B2CC-CDC5AD4547DC}" sourceName="szn_no">
  <extLst>
    <x:ext xmlns:x15="http://schemas.microsoft.com/office/spreadsheetml/2010/11/main" uri="{2F2917AC-EB37-4324-AD4E-5DD8C200BD13}">
      <x15:tableSlicerCache tableId="2" column="1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chl_projection1" xr10:uid="{DF06DB07-5A17-401C-8923-66523F72777C}" sourceName="echl_projection">
  <extLst>
    <x:ext xmlns:x15="http://schemas.microsoft.com/office/spreadsheetml/2010/11/main" uri="{2F2917AC-EB37-4324-AD4E-5DD8C200BD13}">
      <x15:tableSlicerCache tableId="2" column="1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gue 1" xr10:uid="{DAF75CE0-300A-4E04-8F37-240629EE7E75}" cache="Slicer_league1" caption="league" columnCount="2" rowHeight="241300"/>
  <slicer name="szn_no 1" xr10:uid="{C84DCFAA-EC07-48A3-9997-08ABF16AD36B}" cache="Slicer_szn_no1" caption="szn_no" columnCount="2" rowHeight="241300"/>
  <slicer name="echl_projection 1" xr10:uid="{3E25853D-68D6-4EEF-AEB9-4AC714A266F5}" cache="Slicer_echl_projection1" caption="echl_projec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gue" xr10:uid="{C23C3078-8389-486F-BF36-6F87419BEFC7}" cache="Slicer_league" caption="league" columnCount="3" rowHeight="241300"/>
  <slicer name="echl_projection" xr10:uid="{80A491ED-9E2E-4CA3-BCB2-25A8C79F5F03}" cache="Slicer_echl_projection" caption="echl_projection" rowHeight="241300"/>
  <slicer name="szn_no" xr10:uid="{27AE27EF-83D4-4F77-AE05-EBEA894CACFA}" cache="Slicer_szn_no" caption="szn_no"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976CF1-531E-4205-A2CE-0AC1DA94EBE4}" name="Table2" displayName="Table2" ref="A16:V2071" totalsRowShown="0" headerRowDxfId="7" headerRowBorderDxfId="6" tableBorderDxfId="5">
  <autoFilter ref="A16:V2071" xr:uid="{00000000-0001-0000-0000-000000000000}"/>
  <sortState xmlns:xlrd2="http://schemas.microsoft.com/office/spreadsheetml/2017/richdata2" ref="A17:V2071">
    <sortCondition ref="B16:B2071"/>
  </sortState>
  <tableColumns count="22">
    <tableColumn id="1" xr3:uid="{44B9B676-7962-4259-8361-A39CF2514853}" name="player"/>
    <tableColumn id="2" xr3:uid="{86B5B79E-442A-4DB0-A1E1-9A1273544EEF}" name="team"/>
    <tableColumn id="3" xr3:uid="{A164A997-CA2A-455B-938D-DBBFE19705EF}" name="gp"/>
    <tableColumn id="4" xr3:uid="{0D1CECFE-E2D3-4F86-910E-42E18A1AD28A}" name="g"/>
    <tableColumn id="5" xr3:uid="{82D7635A-BF1F-4015-8D21-27B634DF092C}" name="a"/>
    <tableColumn id="6" xr3:uid="{54EB92CD-B910-41BD-B362-38BDC15F28A6}" name="tp"/>
    <tableColumn id="7" xr3:uid="{B429EB0C-037F-4583-B83C-63E216C9B1AE}" name="ppg"/>
    <tableColumn id="8" xr3:uid="{E9C3A78B-FA0A-41B1-A06D-F06D9DAE1331}" name="pim"/>
    <tableColumn id="9" xr3:uid="{D7502937-D0CC-4A8D-A3A5-BF55AF0F52DC}" name="+/-"/>
    <tableColumn id="10" xr3:uid="{C61EFA31-BF39-41F0-B509-A82EBDD58BF4}" name="link" dataDxfId="4"/>
    <tableColumn id="11" xr3:uid="{69BD0E8E-78C4-41CB-A2D8-6E6C91FFE80E}" name="season"/>
    <tableColumn id="12" xr3:uid="{94C35D35-ADF0-4D5F-BDFD-93EFBE78FC2E}" name="league"/>
    <tableColumn id="13" xr3:uid="{64BCFA1F-99F4-4F2B-A992-B1A5260DC959}" name="position"/>
    <tableColumn id="14" xr3:uid="{B3876FD5-9319-4604-A80B-825067AC141D}" name="szn_no"/>
    <tableColumn id="15" xr3:uid="{A5512A74-2497-4DC6-8EBD-78B94D266772}" name="feeder_szns"/>
    <tableColumn id="16" xr3:uid="{0A9CB2B0-1295-42F1-BE56-BBD01688DD71}" name="nhle_ppg"/>
    <tableColumn id="17" xr3:uid="{B7327112-7536-4E01-BFA5-D5B6341A7AFD}" name="echl_projection"/>
    <tableColumn id="18" xr3:uid="{50C79068-4B97-4C8D-A261-F2B9F54168A9}" name="1st_liner_prob"/>
    <tableColumn id="19" xr3:uid="{BC4B5338-BD95-4CE1-91BA-973487D40375}" name="2nd_liner_prob"/>
    <tableColumn id="20" xr3:uid="{6E2298D9-A9BF-4EF4-A518-3EB239FA8516}" name="bottom_six_two_way_prob"/>
    <tableColumn id="21" xr3:uid="{C9E532B2-D3D4-499E-B16B-361CEB6E1900}" name="checking_prob"/>
    <tableColumn id="22" xr3:uid="{47943FB0-A24C-4C38-900B-8F6041C78B73}" name="fringe_prob"/>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DBD296-94D2-436F-A75C-A15D9A7F65C2}" name="Table1" displayName="Table1" ref="A16:V2071" totalsRowShown="0" headerRowDxfId="3" headerRowBorderDxfId="2" tableBorderDxfId="1">
  <autoFilter ref="A16:V2071" xr:uid="{00000000-0001-0000-0100-000000000000}"/>
  <sortState xmlns:xlrd2="http://schemas.microsoft.com/office/spreadsheetml/2017/richdata2" ref="A17:V2071">
    <sortCondition ref="B16:B2071"/>
  </sortState>
  <tableColumns count="22">
    <tableColumn id="1" xr3:uid="{451AD0B1-F92D-4766-9B24-1F6D7AF65D68}" name="player"/>
    <tableColumn id="2" xr3:uid="{1639E652-067F-43C1-8A87-4D45AEB7245C}" name="team"/>
    <tableColumn id="3" xr3:uid="{90F40B96-8D33-4500-A3FC-E25989A65A8B}" name="gp"/>
    <tableColumn id="4" xr3:uid="{A5D7F344-A6E1-49C6-8987-EE560BA12EB9}" name="g"/>
    <tableColumn id="5" xr3:uid="{0EAD3671-966D-4853-9507-9A6DE584972C}" name="a"/>
    <tableColumn id="6" xr3:uid="{B058D2BF-2792-4160-B106-63609FFD62D2}" name="tp"/>
    <tableColumn id="7" xr3:uid="{B3DFC856-192D-4446-AFC0-D4A954A6E79E}" name="ppg"/>
    <tableColumn id="8" xr3:uid="{2EDABC81-DBE2-438F-A806-22141A1DF1F1}" name="pim"/>
    <tableColumn id="9" xr3:uid="{22FD2F46-6D85-4892-8EBA-AB7EFA7D2B4B}" name="+/-"/>
    <tableColumn id="10" xr3:uid="{1E06C5D9-D574-457D-851C-00809DE79A83}" name="link" dataDxfId="0"/>
    <tableColumn id="11" xr3:uid="{8F37EA33-7B0A-4B37-85E0-911C5234857A}" name="season"/>
    <tableColumn id="12" xr3:uid="{BB480906-0FDC-451D-9F69-5D4D1BF1ABD9}" name="league"/>
    <tableColumn id="13" xr3:uid="{33BEA787-19EC-4D8D-9BC1-A1115AD0A41D}" name="position"/>
    <tableColumn id="14" xr3:uid="{D5B2BD95-E4C0-4351-ADF9-7F19B1701B4B}" name="szn_no"/>
    <tableColumn id="15" xr3:uid="{751BCCD9-59C5-4046-9E36-598719E04325}" name="feeder_szns"/>
    <tableColumn id="16" xr3:uid="{90C02AE2-2C52-4EA7-80CC-2A7593FB0C36}" name="nhle_ppg"/>
    <tableColumn id="17" xr3:uid="{D048461D-49DC-4F1B-BE72-78E9D877D794}" name="echl_projection"/>
    <tableColumn id="18" xr3:uid="{5F6F58DD-593A-4F69-9801-326E942ADA21}" name="1st_liner_prob"/>
    <tableColumn id="19" xr3:uid="{B12C883C-8CAA-471C-9EEE-4DCC4A03AD69}" name="2nd_liner_prob"/>
    <tableColumn id="20" xr3:uid="{26E1F34D-DE55-44CA-9EBE-7457458DE697}" name="bottom_six_two_way_prob"/>
    <tableColumn id="21" xr3:uid="{3FDAB4EF-ADE7-4620-B3C0-C699A3A69E6D}" name="checking_prob"/>
    <tableColumn id="22" xr3:uid="{07F7BE31-5FC1-41FE-87BB-4C8E018876E1}" name="fringe_prob"/>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35D33-202F-43F8-A294-F141B86FE717}">
  <dimension ref="A1:E9"/>
  <sheetViews>
    <sheetView tabSelected="1" workbookViewId="0">
      <selection activeCell="B14" sqref="B14"/>
    </sheetView>
  </sheetViews>
  <sheetFormatPr defaultRowHeight="15" x14ac:dyDescent="0.25"/>
  <cols>
    <col min="1" max="1" width="26.5703125" bestFit="1" customWidth="1"/>
    <col min="2" max="2" width="67" bestFit="1" customWidth="1"/>
  </cols>
  <sheetData>
    <row r="1" spans="1:5" x14ac:dyDescent="0.25">
      <c r="A1" s="9" t="s">
        <v>1278</v>
      </c>
      <c r="B1" s="9"/>
      <c r="C1" s="9"/>
      <c r="D1" s="9"/>
      <c r="E1" s="9"/>
    </row>
    <row r="2" spans="1:5" x14ac:dyDescent="0.25">
      <c r="A2" t="s">
        <v>1279</v>
      </c>
      <c r="B2" s="5" t="s">
        <v>1280</v>
      </c>
    </row>
    <row r="3" spans="1:5" x14ac:dyDescent="0.25">
      <c r="A3" t="s">
        <v>1281</v>
      </c>
      <c r="B3" t="s">
        <v>1282</v>
      </c>
    </row>
    <row r="4" spans="1:5" x14ac:dyDescent="0.25">
      <c r="A4" t="s">
        <v>1283</v>
      </c>
      <c r="B4" t="s">
        <v>1284</v>
      </c>
    </row>
    <row r="5" spans="1:5" x14ac:dyDescent="0.25">
      <c r="A5" t="s">
        <v>1285</v>
      </c>
      <c r="B5" t="s">
        <v>1294</v>
      </c>
    </row>
    <row r="6" spans="1:5" x14ac:dyDescent="0.25">
      <c r="A6" t="s">
        <v>1288</v>
      </c>
      <c r="B6" t="s">
        <v>1289</v>
      </c>
    </row>
    <row r="7" spans="1:5" x14ac:dyDescent="0.25">
      <c r="A7" t="s">
        <v>1286</v>
      </c>
      <c r="B7" t="s">
        <v>1287</v>
      </c>
    </row>
    <row r="8" spans="1:5" x14ac:dyDescent="0.25">
      <c r="A8" t="s">
        <v>1290</v>
      </c>
      <c r="B8" t="s">
        <v>1291</v>
      </c>
    </row>
    <row r="9" spans="1:5" x14ac:dyDescent="0.25">
      <c r="A9" t="s">
        <v>1292</v>
      </c>
      <c r="B9" s="5" t="s">
        <v>1293</v>
      </c>
    </row>
  </sheetData>
  <mergeCells count="1">
    <mergeCell ref="A1:E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E4A30-1461-485E-8FB8-1C82130C411B}">
  <dimension ref="A16:V2071"/>
  <sheetViews>
    <sheetView workbookViewId="0">
      <pane xSplit="2" ySplit="16" topLeftCell="C17" activePane="bottomRight" state="frozen"/>
      <selection activeCell="B6" sqref="B6"/>
      <selection pane="topRight" activeCell="B6" sqref="B6"/>
      <selection pane="bottomLeft" activeCell="B6" sqref="B6"/>
      <selection pane="bottomRight" activeCell="A17" sqref="A17:V1168"/>
    </sheetView>
  </sheetViews>
  <sheetFormatPr defaultRowHeight="15" x14ac:dyDescent="0.25"/>
  <cols>
    <col min="1" max="1" width="33" bestFit="1" customWidth="1"/>
    <col min="2" max="2" width="30.7109375" bestFit="1" customWidth="1"/>
    <col min="3" max="3" width="7.7109375" bestFit="1" customWidth="1"/>
    <col min="4" max="5" width="6.5703125" bestFit="1" customWidth="1"/>
    <col min="6" max="6" width="7.42578125" bestFit="1" customWidth="1"/>
    <col min="7" max="7" width="8.85546875" bestFit="1" customWidth="1"/>
    <col min="8" max="8" width="9" bestFit="1" customWidth="1"/>
    <col min="9" max="9" width="8.140625" bestFit="1" customWidth="1"/>
    <col min="10" max="10" width="71.140625" bestFit="1" customWidth="1"/>
    <col min="11" max="11" width="11.7109375" bestFit="1" customWidth="1"/>
    <col min="12" max="12" width="11.5703125" bestFit="1" customWidth="1"/>
    <col min="13" max="13" width="12.85546875" bestFit="1" customWidth="1"/>
    <col min="14" max="14" width="11.7109375" bestFit="1" customWidth="1"/>
    <col min="15" max="15" width="25.140625" bestFit="1" customWidth="1"/>
    <col min="16" max="16" width="13.85546875" bestFit="1" customWidth="1"/>
    <col min="17" max="17" width="19.5703125" bestFit="1" customWidth="1"/>
    <col min="18" max="18" width="18.5703125" bestFit="1" customWidth="1"/>
    <col min="19" max="19" width="19.28515625" bestFit="1" customWidth="1"/>
    <col min="20" max="20" width="30.28515625" bestFit="1" customWidth="1"/>
    <col min="21" max="21" width="18.5703125" bestFit="1" customWidth="1"/>
    <col min="22" max="22" width="16" bestFit="1" customWidth="1"/>
  </cols>
  <sheetData>
    <row r="16" spans="1:22" x14ac:dyDescent="0.25">
      <c r="A16" s="6" t="s">
        <v>0</v>
      </c>
      <c r="B16" s="6" t="s">
        <v>1</v>
      </c>
      <c r="C16" s="6" t="s">
        <v>2</v>
      </c>
      <c r="D16" s="6" t="s">
        <v>3</v>
      </c>
      <c r="E16" s="6" t="s">
        <v>4</v>
      </c>
      <c r="F16" s="6" t="s">
        <v>5</v>
      </c>
      <c r="G16" s="6" t="s">
        <v>6</v>
      </c>
      <c r="H16" s="6" t="s">
        <v>7</v>
      </c>
      <c r="I16" s="6" t="s">
        <v>8</v>
      </c>
      <c r="J16" s="6" t="s">
        <v>9</v>
      </c>
      <c r="K16" s="6" t="s">
        <v>10</v>
      </c>
      <c r="L16" s="6" t="s">
        <v>11</v>
      </c>
      <c r="M16" s="6" t="s">
        <v>12</v>
      </c>
      <c r="N16" s="6" t="s">
        <v>13</v>
      </c>
      <c r="O16" s="6" t="s">
        <v>14</v>
      </c>
      <c r="P16" s="6" t="s">
        <v>15</v>
      </c>
      <c r="Q16" s="8" t="s">
        <v>16</v>
      </c>
      <c r="R16" s="7" t="s">
        <v>17</v>
      </c>
      <c r="S16" s="7" t="s">
        <v>18</v>
      </c>
      <c r="T16" s="7" t="s">
        <v>19</v>
      </c>
      <c r="U16" s="7" t="s">
        <v>20</v>
      </c>
      <c r="V16" s="7" t="s">
        <v>21</v>
      </c>
    </row>
    <row r="17" spans="1:22" x14ac:dyDescent="0.25">
      <c r="A17" t="s">
        <v>1295</v>
      </c>
      <c r="B17" t="s">
        <v>145</v>
      </c>
      <c r="C17">
        <v>23</v>
      </c>
      <c r="D17" t="s">
        <v>65</v>
      </c>
      <c r="E17" t="s">
        <v>69</v>
      </c>
      <c r="F17" t="s">
        <v>81</v>
      </c>
      <c r="G17">
        <v>1.04</v>
      </c>
      <c r="H17" t="s">
        <v>84</v>
      </c>
      <c r="I17">
        <v>12</v>
      </c>
      <c r="J17" t="str">
        <f>HYPERLINK("https://www.eliteprospects.com/player/656832/eric-pohlkamp")</f>
        <v>https://www.eliteprospects.com/player/656832/eric-pohlkamp</v>
      </c>
      <c r="K17" t="s">
        <v>27</v>
      </c>
      <c r="L17" t="s">
        <v>28</v>
      </c>
      <c r="M17" t="s">
        <v>1296</v>
      </c>
      <c r="N17">
        <v>3</v>
      </c>
      <c r="O17" t="s">
        <v>74</v>
      </c>
      <c r="P17">
        <v>0.2</v>
      </c>
      <c r="Q17" t="s">
        <v>2471</v>
      </c>
      <c r="R17">
        <v>30.8</v>
      </c>
      <c r="S17">
        <v>20.5</v>
      </c>
      <c r="T17">
        <v>10.3</v>
      </c>
      <c r="U17">
        <v>10.3</v>
      </c>
      <c r="V17">
        <v>28.2</v>
      </c>
    </row>
    <row r="18" spans="1:22" x14ac:dyDescent="0.25">
      <c r="A18" t="s">
        <v>1297</v>
      </c>
      <c r="B18" t="s">
        <v>37</v>
      </c>
      <c r="C18">
        <v>22</v>
      </c>
      <c r="D18" t="s">
        <v>57</v>
      </c>
      <c r="E18" t="s">
        <v>55</v>
      </c>
      <c r="F18" t="s">
        <v>81</v>
      </c>
      <c r="G18">
        <v>1.0900000000000001</v>
      </c>
      <c r="H18" t="s">
        <v>26</v>
      </c>
      <c r="I18">
        <v>17</v>
      </c>
      <c r="J18" t="str">
        <f>HYPERLINK("https://www.eliteprospects.com/player/603191/ty-hanson")</f>
        <v>https://www.eliteprospects.com/player/603191/ty-hanson</v>
      </c>
      <c r="K18" t="s">
        <v>27</v>
      </c>
      <c r="L18" t="s">
        <v>28</v>
      </c>
      <c r="M18" t="s">
        <v>1296</v>
      </c>
      <c r="N18">
        <v>2</v>
      </c>
      <c r="O18" t="s">
        <v>43</v>
      </c>
      <c r="P18">
        <v>0.21</v>
      </c>
      <c r="Q18" t="s">
        <v>2471</v>
      </c>
      <c r="R18">
        <v>0</v>
      </c>
      <c r="S18">
        <v>0</v>
      </c>
      <c r="T18">
        <v>0</v>
      </c>
      <c r="U18">
        <v>0</v>
      </c>
      <c r="V18">
        <v>0</v>
      </c>
    </row>
    <row r="19" spans="1:22" x14ac:dyDescent="0.25">
      <c r="A19" t="s">
        <v>1298</v>
      </c>
      <c r="B19" t="s">
        <v>98</v>
      </c>
      <c r="C19">
        <v>21</v>
      </c>
      <c r="D19" t="s">
        <v>45</v>
      </c>
      <c r="E19" t="s">
        <v>39</v>
      </c>
      <c r="F19" t="s">
        <v>84</v>
      </c>
      <c r="G19">
        <v>1.1000000000000001</v>
      </c>
      <c r="H19" t="s">
        <v>75</v>
      </c>
      <c r="I19">
        <v>17</v>
      </c>
      <c r="J19" t="str">
        <f>HYPERLINK("https://www.eliteprospects.com/player/476039/tyler-dunbar")</f>
        <v>https://www.eliteprospects.com/player/476039/tyler-dunbar</v>
      </c>
      <c r="K19" t="s">
        <v>27</v>
      </c>
      <c r="L19" t="s">
        <v>28</v>
      </c>
      <c r="M19" t="s">
        <v>1296</v>
      </c>
      <c r="N19">
        <v>3</v>
      </c>
      <c r="O19" t="s">
        <v>74</v>
      </c>
      <c r="P19">
        <v>0.21</v>
      </c>
      <c r="Q19" t="s">
        <v>2471</v>
      </c>
      <c r="R19">
        <v>0</v>
      </c>
      <c r="S19">
        <v>0</v>
      </c>
      <c r="T19">
        <v>0</v>
      </c>
      <c r="U19">
        <v>0</v>
      </c>
      <c r="V19">
        <v>0</v>
      </c>
    </row>
    <row r="20" spans="1:22" x14ac:dyDescent="0.25">
      <c r="A20" t="s">
        <v>1299</v>
      </c>
      <c r="B20" t="s">
        <v>88</v>
      </c>
      <c r="C20">
        <v>22</v>
      </c>
      <c r="D20" t="s">
        <v>32</v>
      </c>
      <c r="E20" t="s">
        <v>69</v>
      </c>
      <c r="F20" t="s">
        <v>33</v>
      </c>
      <c r="G20">
        <v>0.95</v>
      </c>
      <c r="H20" t="s">
        <v>32</v>
      </c>
      <c r="I20">
        <v>3</v>
      </c>
      <c r="J20" t="str">
        <f>HYPERLINK("https://www.eliteprospects.com/player/417512/chris-hedden")</f>
        <v>https://www.eliteprospects.com/player/417512/chris-hedden</v>
      </c>
      <c r="K20" t="s">
        <v>27</v>
      </c>
      <c r="L20" t="s">
        <v>28</v>
      </c>
      <c r="M20" t="s">
        <v>1296</v>
      </c>
      <c r="N20">
        <v>4</v>
      </c>
      <c r="O20" t="s">
        <v>30</v>
      </c>
      <c r="P20">
        <v>0.18</v>
      </c>
      <c r="Q20" t="s">
        <v>1300</v>
      </c>
      <c r="R20">
        <v>30.8</v>
      </c>
      <c r="S20">
        <v>20.5</v>
      </c>
      <c r="T20">
        <v>10.3</v>
      </c>
      <c r="U20">
        <v>10.3</v>
      </c>
      <c r="V20">
        <v>28.2</v>
      </c>
    </row>
    <row r="21" spans="1:22" x14ac:dyDescent="0.25">
      <c r="A21" t="s">
        <v>1301</v>
      </c>
      <c r="B21" t="s">
        <v>195</v>
      </c>
      <c r="C21">
        <v>19</v>
      </c>
      <c r="D21" t="s">
        <v>78</v>
      </c>
      <c r="E21" t="s">
        <v>65</v>
      </c>
      <c r="F21" t="s">
        <v>24</v>
      </c>
      <c r="G21">
        <v>1.05</v>
      </c>
      <c r="H21" t="s">
        <v>23</v>
      </c>
      <c r="I21">
        <v>8</v>
      </c>
      <c r="J21" t="str">
        <f>HYPERLINK("https://www.eliteprospects.com/player/597819/cole-hutson")</f>
        <v>https://www.eliteprospects.com/player/597819/cole-hutson</v>
      </c>
      <c r="K21" t="s">
        <v>27</v>
      </c>
      <c r="L21" t="s">
        <v>28</v>
      </c>
      <c r="M21" t="s">
        <v>1296</v>
      </c>
      <c r="N21">
        <v>2</v>
      </c>
      <c r="O21" t="s">
        <v>43</v>
      </c>
      <c r="P21">
        <v>0.2</v>
      </c>
      <c r="Q21" t="s">
        <v>2471</v>
      </c>
      <c r="R21">
        <v>30.8</v>
      </c>
      <c r="S21">
        <v>20.5</v>
      </c>
      <c r="T21">
        <v>10.3</v>
      </c>
      <c r="U21">
        <v>10.3</v>
      </c>
      <c r="V21">
        <v>28.2</v>
      </c>
    </row>
    <row r="22" spans="1:22" x14ac:dyDescent="0.25">
      <c r="A22" t="s">
        <v>1302</v>
      </c>
      <c r="B22" t="s">
        <v>145</v>
      </c>
      <c r="C22">
        <v>23</v>
      </c>
      <c r="D22" t="s">
        <v>78</v>
      </c>
      <c r="E22" t="s">
        <v>65</v>
      </c>
      <c r="F22" t="s">
        <v>24</v>
      </c>
      <c r="G22">
        <v>0.87</v>
      </c>
      <c r="H22" t="s">
        <v>23</v>
      </c>
      <c r="I22">
        <v>15</v>
      </c>
      <c r="J22" t="str">
        <f>HYPERLINK("https://www.eliteprospects.com/player/486534/boston-buckberger")</f>
        <v>https://www.eliteprospects.com/player/486534/boston-buckberger</v>
      </c>
      <c r="K22" t="s">
        <v>27</v>
      </c>
      <c r="L22" t="s">
        <v>28</v>
      </c>
      <c r="M22" t="s">
        <v>1296</v>
      </c>
      <c r="N22">
        <v>3</v>
      </c>
      <c r="O22" t="s">
        <v>74</v>
      </c>
      <c r="P22">
        <v>0.17</v>
      </c>
      <c r="Q22" t="s">
        <v>1300</v>
      </c>
      <c r="R22">
        <v>30.8</v>
      </c>
      <c r="S22">
        <v>20.5</v>
      </c>
      <c r="T22">
        <v>10.3</v>
      </c>
      <c r="U22">
        <v>10.3</v>
      </c>
      <c r="V22">
        <v>28.2</v>
      </c>
    </row>
    <row r="23" spans="1:22" x14ac:dyDescent="0.25">
      <c r="A23" t="s">
        <v>1303</v>
      </c>
      <c r="B23" t="s">
        <v>113</v>
      </c>
      <c r="C23">
        <v>23</v>
      </c>
      <c r="D23" t="s">
        <v>57</v>
      </c>
      <c r="E23" t="s">
        <v>39</v>
      </c>
      <c r="F23" t="s">
        <v>24</v>
      </c>
      <c r="G23">
        <v>0.87</v>
      </c>
      <c r="H23" t="s">
        <v>132</v>
      </c>
      <c r="I23">
        <v>12</v>
      </c>
      <c r="J23" t="str">
        <f>HYPERLINK("https://www.eliteprospects.com/player/658220/evan-murr")</f>
        <v>https://www.eliteprospects.com/player/658220/evan-murr</v>
      </c>
      <c r="K23" t="s">
        <v>27</v>
      </c>
      <c r="L23" t="s">
        <v>28</v>
      </c>
      <c r="M23" t="s">
        <v>1296</v>
      </c>
      <c r="N23">
        <v>3</v>
      </c>
      <c r="O23" t="s">
        <v>74</v>
      </c>
      <c r="P23">
        <v>0.17</v>
      </c>
      <c r="Q23" t="s">
        <v>1300</v>
      </c>
      <c r="R23">
        <v>30.8</v>
      </c>
      <c r="S23">
        <v>20.5</v>
      </c>
      <c r="T23">
        <v>10.3</v>
      </c>
      <c r="U23">
        <v>10.3</v>
      </c>
      <c r="V23">
        <v>28.2</v>
      </c>
    </row>
    <row r="24" spans="1:22" x14ac:dyDescent="0.25">
      <c r="A24" t="s">
        <v>1304</v>
      </c>
      <c r="B24" t="s">
        <v>59</v>
      </c>
      <c r="C24">
        <v>23</v>
      </c>
      <c r="D24" t="s">
        <v>96</v>
      </c>
      <c r="E24" t="s">
        <v>41</v>
      </c>
      <c r="F24" t="s">
        <v>24</v>
      </c>
      <c r="G24">
        <v>0.87</v>
      </c>
      <c r="H24" t="s">
        <v>66</v>
      </c>
      <c r="I24">
        <v>14</v>
      </c>
      <c r="J24" t="str">
        <f>HYPERLINK("https://www.eliteprospects.com/player/508078/brandon-holt")</f>
        <v>https://www.eliteprospects.com/player/508078/brandon-holt</v>
      </c>
      <c r="K24" t="s">
        <v>27</v>
      </c>
      <c r="L24" t="s">
        <v>28</v>
      </c>
      <c r="M24" t="s">
        <v>1296</v>
      </c>
      <c r="N24">
        <v>4</v>
      </c>
      <c r="O24" t="s">
        <v>30</v>
      </c>
      <c r="P24">
        <v>0.17</v>
      </c>
      <c r="Q24" t="s">
        <v>1300</v>
      </c>
      <c r="R24">
        <v>30.8</v>
      </c>
      <c r="S24">
        <v>20.5</v>
      </c>
      <c r="T24">
        <v>10.3</v>
      </c>
      <c r="U24">
        <v>10.3</v>
      </c>
      <c r="V24">
        <v>28.2</v>
      </c>
    </row>
    <row r="25" spans="1:22" x14ac:dyDescent="0.25">
      <c r="A25" t="s">
        <v>1305</v>
      </c>
      <c r="B25" t="s">
        <v>109</v>
      </c>
      <c r="C25">
        <v>22</v>
      </c>
      <c r="D25" t="s">
        <v>140</v>
      </c>
      <c r="E25" t="s">
        <v>60</v>
      </c>
      <c r="F25" t="s">
        <v>24</v>
      </c>
      <c r="G25">
        <v>0.91</v>
      </c>
      <c r="H25" t="s">
        <v>26</v>
      </c>
      <c r="I25">
        <v>11</v>
      </c>
      <c r="J25" t="str">
        <f>HYPERLINK("https://www.eliteprospects.com/player/571946/jake-livanavage")</f>
        <v>https://www.eliteprospects.com/player/571946/jake-livanavage</v>
      </c>
      <c r="K25" t="s">
        <v>27</v>
      </c>
      <c r="L25" t="s">
        <v>28</v>
      </c>
      <c r="M25" t="s">
        <v>1296</v>
      </c>
      <c r="N25">
        <v>3</v>
      </c>
      <c r="O25" t="s">
        <v>74</v>
      </c>
      <c r="P25">
        <v>0.18</v>
      </c>
      <c r="Q25" t="s">
        <v>1300</v>
      </c>
      <c r="R25">
        <v>30.8</v>
      </c>
      <c r="S25">
        <v>20.5</v>
      </c>
      <c r="T25">
        <v>10.3</v>
      </c>
      <c r="U25">
        <v>10.3</v>
      </c>
      <c r="V25">
        <v>28.2</v>
      </c>
    </row>
    <row r="26" spans="1:22" x14ac:dyDescent="0.25">
      <c r="A26" t="s">
        <v>1306</v>
      </c>
      <c r="B26" t="s">
        <v>139</v>
      </c>
      <c r="C26">
        <v>20</v>
      </c>
      <c r="D26" t="s">
        <v>96</v>
      </c>
      <c r="E26" t="s">
        <v>65</v>
      </c>
      <c r="F26" t="s">
        <v>55</v>
      </c>
      <c r="G26">
        <v>0.9</v>
      </c>
      <c r="H26" t="s">
        <v>66</v>
      </c>
      <c r="I26">
        <v>1</v>
      </c>
      <c r="J26" t="str">
        <f>HYPERLINK("https://www.eliteprospects.com/player/201850/ben-dexheimer")</f>
        <v>https://www.eliteprospects.com/player/201850/ben-dexheimer</v>
      </c>
      <c r="K26" t="s">
        <v>27</v>
      </c>
      <c r="L26" t="s">
        <v>28</v>
      </c>
      <c r="M26" t="s">
        <v>1296</v>
      </c>
      <c r="N26">
        <v>4</v>
      </c>
      <c r="O26" t="s">
        <v>30</v>
      </c>
      <c r="P26">
        <v>0.17</v>
      </c>
      <c r="Q26" t="s">
        <v>1300</v>
      </c>
      <c r="R26">
        <v>30.8</v>
      </c>
      <c r="S26">
        <v>20.5</v>
      </c>
      <c r="T26">
        <v>10.3</v>
      </c>
      <c r="U26">
        <v>10.3</v>
      </c>
      <c r="V26">
        <v>28.2</v>
      </c>
    </row>
    <row r="27" spans="1:22" x14ac:dyDescent="0.25">
      <c r="A27" t="s">
        <v>1307</v>
      </c>
      <c r="B27" t="s">
        <v>128</v>
      </c>
      <c r="C27">
        <v>20</v>
      </c>
      <c r="D27" t="s">
        <v>79</v>
      </c>
      <c r="E27" t="s">
        <v>38</v>
      </c>
      <c r="F27" t="s">
        <v>55</v>
      </c>
      <c r="G27">
        <v>0.9</v>
      </c>
      <c r="H27" t="s">
        <v>23</v>
      </c>
      <c r="I27">
        <v>11</v>
      </c>
      <c r="J27" t="str">
        <f>HYPERLINK("https://www.eliteprospects.com/player/507286/breck-mckinley")</f>
        <v>https://www.eliteprospects.com/player/507286/breck-mckinley</v>
      </c>
      <c r="K27" t="s">
        <v>27</v>
      </c>
      <c r="L27" t="s">
        <v>28</v>
      </c>
      <c r="M27" t="s">
        <v>1296</v>
      </c>
      <c r="N27">
        <v>3</v>
      </c>
      <c r="O27" t="s">
        <v>74</v>
      </c>
      <c r="P27">
        <v>0.17</v>
      </c>
      <c r="Q27" t="s">
        <v>1300</v>
      </c>
      <c r="R27">
        <v>30.8</v>
      </c>
      <c r="S27">
        <v>20.5</v>
      </c>
      <c r="T27">
        <v>10.3</v>
      </c>
      <c r="U27">
        <v>10.3</v>
      </c>
      <c r="V27">
        <v>28.2</v>
      </c>
    </row>
    <row r="28" spans="1:22" x14ac:dyDescent="0.25">
      <c r="A28" t="s">
        <v>1308</v>
      </c>
      <c r="B28" t="s">
        <v>124</v>
      </c>
      <c r="C28">
        <v>22</v>
      </c>
      <c r="D28" t="s">
        <v>79</v>
      </c>
      <c r="E28" t="s">
        <v>41</v>
      </c>
      <c r="F28" t="s">
        <v>60</v>
      </c>
      <c r="G28">
        <v>0.77</v>
      </c>
      <c r="H28" t="s">
        <v>38</v>
      </c>
      <c r="I28">
        <v>8</v>
      </c>
      <c r="J28" t="str">
        <f>HYPERLINK("https://www.eliteprospects.com/player/697964/vladislav-lukashevich")</f>
        <v>https://www.eliteprospects.com/player/697964/vladislav-lukashevich</v>
      </c>
      <c r="K28" t="s">
        <v>27</v>
      </c>
      <c r="L28" t="s">
        <v>28</v>
      </c>
      <c r="M28" t="s">
        <v>1296</v>
      </c>
      <c r="N28">
        <v>2</v>
      </c>
      <c r="O28" t="s">
        <v>43</v>
      </c>
      <c r="P28">
        <v>0.15</v>
      </c>
      <c r="Q28" t="s">
        <v>1300</v>
      </c>
      <c r="R28">
        <v>30.8</v>
      </c>
      <c r="S28">
        <v>20.5</v>
      </c>
      <c r="T28">
        <v>10.3</v>
      </c>
      <c r="U28">
        <v>10.3</v>
      </c>
      <c r="V28">
        <v>28.2</v>
      </c>
    </row>
    <row r="29" spans="1:22" x14ac:dyDescent="0.25">
      <c r="A29" t="s">
        <v>1310</v>
      </c>
      <c r="B29" t="s">
        <v>64</v>
      </c>
      <c r="C29">
        <v>22</v>
      </c>
      <c r="D29" t="s">
        <v>132</v>
      </c>
      <c r="E29" t="s">
        <v>60</v>
      </c>
      <c r="F29" t="s">
        <v>60</v>
      </c>
      <c r="G29">
        <v>0.77</v>
      </c>
      <c r="H29" t="s">
        <v>57</v>
      </c>
      <c r="I29">
        <v>6</v>
      </c>
      <c r="J29" t="str">
        <f>HYPERLINK("https://www.eliteprospects.com/player/689570/chase-cheslock")</f>
        <v>https://www.eliteprospects.com/player/689570/chase-cheslock</v>
      </c>
      <c r="K29" t="s">
        <v>27</v>
      </c>
      <c r="L29" t="s">
        <v>28</v>
      </c>
      <c r="M29" t="s">
        <v>1296</v>
      </c>
      <c r="N29">
        <v>3</v>
      </c>
      <c r="O29" t="s">
        <v>74</v>
      </c>
      <c r="P29">
        <v>0.15</v>
      </c>
      <c r="Q29" t="s">
        <v>1300</v>
      </c>
      <c r="R29">
        <v>30.8</v>
      </c>
      <c r="S29">
        <v>20.5</v>
      </c>
      <c r="T29">
        <v>10.3</v>
      </c>
      <c r="U29">
        <v>10.3</v>
      </c>
      <c r="V29">
        <v>28.2</v>
      </c>
    </row>
    <row r="30" spans="1:22" x14ac:dyDescent="0.25">
      <c r="A30" t="s">
        <v>1311</v>
      </c>
      <c r="B30" t="s">
        <v>180</v>
      </c>
      <c r="C30">
        <v>20</v>
      </c>
      <c r="D30" t="s">
        <v>96</v>
      </c>
      <c r="E30" t="s">
        <v>69</v>
      </c>
      <c r="F30" t="s">
        <v>38</v>
      </c>
      <c r="G30">
        <v>0.8</v>
      </c>
      <c r="H30" t="s">
        <v>265</v>
      </c>
      <c r="I30">
        <v>-12</v>
      </c>
      <c r="J30" t="str">
        <f>HYPERLINK("https://www.eliteprospects.com/player/637620/paul-fischer")</f>
        <v>https://www.eliteprospects.com/player/637620/paul-fischer</v>
      </c>
      <c r="K30" t="s">
        <v>27</v>
      </c>
      <c r="L30" t="s">
        <v>28</v>
      </c>
      <c r="M30" t="s">
        <v>1296</v>
      </c>
      <c r="N30">
        <v>3</v>
      </c>
      <c r="O30" t="s">
        <v>74</v>
      </c>
      <c r="P30">
        <v>0.16</v>
      </c>
      <c r="Q30" t="s">
        <v>1300</v>
      </c>
      <c r="R30">
        <v>30.8</v>
      </c>
      <c r="S30">
        <v>20.5</v>
      </c>
      <c r="T30">
        <v>10.3</v>
      </c>
      <c r="U30">
        <v>10.3</v>
      </c>
      <c r="V30">
        <v>28.2</v>
      </c>
    </row>
    <row r="31" spans="1:22" x14ac:dyDescent="0.25">
      <c r="A31" t="s">
        <v>1312</v>
      </c>
      <c r="B31" t="s">
        <v>165</v>
      </c>
      <c r="C31">
        <v>20</v>
      </c>
      <c r="D31" t="s">
        <v>66</v>
      </c>
      <c r="E31" t="s">
        <v>23</v>
      </c>
      <c r="F31" t="s">
        <v>38</v>
      </c>
      <c r="G31">
        <v>0.8</v>
      </c>
      <c r="H31" t="s">
        <v>32</v>
      </c>
      <c r="I31">
        <v>-3</v>
      </c>
      <c r="J31" t="str">
        <f>HYPERLINK("https://www.eliteprospects.com/player/655508/isaiah-norlin")</f>
        <v>https://www.eliteprospects.com/player/655508/isaiah-norlin</v>
      </c>
      <c r="K31" t="s">
        <v>27</v>
      </c>
      <c r="L31" t="s">
        <v>28</v>
      </c>
      <c r="M31" t="s">
        <v>1296</v>
      </c>
      <c r="N31">
        <v>2</v>
      </c>
      <c r="O31" t="s">
        <v>43</v>
      </c>
      <c r="P31">
        <v>0.16</v>
      </c>
      <c r="Q31" t="s">
        <v>1300</v>
      </c>
      <c r="R31">
        <v>30.8</v>
      </c>
      <c r="S31">
        <v>20.5</v>
      </c>
      <c r="T31">
        <v>10.3</v>
      </c>
      <c r="U31">
        <v>10.3</v>
      </c>
      <c r="V31">
        <v>28.2</v>
      </c>
    </row>
    <row r="32" spans="1:22" x14ac:dyDescent="0.25">
      <c r="A32" t="s">
        <v>1313</v>
      </c>
      <c r="B32" t="s">
        <v>88</v>
      </c>
      <c r="C32">
        <v>22</v>
      </c>
      <c r="D32" t="s">
        <v>96</v>
      </c>
      <c r="E32" t="s">
        <v>32</v>
      </c>
      <c r="F32" t="s">
        <v>41</v>
      </c>
      <c r="G32">
        <v>0.68</v>
      </c>
      <c r="H32" t="s">
        <v>75</v>
      </c>
      <c r="I32">
        <v>-2</v>
      </c>
      <c r="J32" t="str">
        <f>HYPERLINK("https://www.eliteprospects.com/player/478395/will-staring")</f>
        <v>https://www.eliteprospects.com/player/478395/will-staring</v>
      </c>
      <c r="K32" t="s">
        <v>27</v>
      </c>
      <c r="L32" t="s">
        <v>28</v>
      </c>
      <c r="M32" t="s">
        <v>1296</v>
      </c>
      <c r="N32">
        <v>3</v>
      </c>
      <c r="O32" t="s">
        <v>74</v>
      </c>
      <c r="P32">
        <v>0.13</v>
      </c>
      <c r="Q32" t="s">
        <v>1300</v>
      </c>
      <c r="R32">
        <v>30.8</v>
      </c>
      <c r="S32">
        <v>20.5</v>
      </c>
      <c r="T32">
        <v>10.3</v>
      </c>
      <c r="U32">
        <v>10.3</v>
      </c>
      <c r="V32">
        <v>28.2</v>
      </c>
    </row>
    <row r="33" spans="1:22" x14ac:dyDescent="0.25">
      <c r="A33" t="s">
        <v>1314</v>
      </c>
      <c r="B33" t="s">
        <v>101</v>
      </c>
      <c r="C33">
        <v>19</v>
      </c>
      <c r="D33" t="s">
        <v>66</v>
      </c>
      <c r="E33" t="s">
        <v>69</v>
      </c>
      <c r="F33" t="s">
        <v>41</v>
      </c>
      <c r="G33">
        <v>0.79</v>
      </c>
      <c r="H33" t="s">
        <v>26</v>
      </c>
      <c r="I33">
        <v>-3</v>
      </c>
      <c r="J33" t="str">
        <f>HYPERLINK("https://www.eliteprospects.com/player/478377/vincent-borgesi")</f>
        <v>https://www.eliteprospects.com/player/478377/vincent-borgesi</v>
      </c>
      <c r="K33" t="s">
        <v>27</v>
      </c>
      <c r="L33" t="s">
        <v>28</v>
      </c>
      <c r="M33" t="s">
        <v>1296</v>
      </c>
      <c r="N33">
        <v>4</v>
      </c>
      <c r="O33" t="s">
        <v>30</v>
      </c>
      <c r="P33">
        <v>0.15</v>
      </c>
      <c r="Q33" t="s">
        <v>1300</v>
      </c>
      <c r="R33">
        <v>30.8</v>
      </c>
      <c r="S33">
        <v>20.5</v>
      </c>
      <c r="T33">
        <v>10.3</v>
      </c>
      <c r="U33">
        <v>10.3</v>
      </c>
      <c r="V33">
        <v>28.2</v>
      </c>
    </row>
    <row r="34" spans="1:22" x14ac:dyDescent="0.25">
      <c r="A34" t="s">
        <v>1315</v>
      </c>
      <c r="B34" t="s">
        <v>90</v>
      </c>
      <c r="C34">
        <v>20</v>
      </c>
      <c r="D34" t="s">
        <v>140</v>
      </c>
      <c r="E34" t="s">
        <v>23</v>
      </c>
      <c r="F34" t="s">
        <v>41</v>
      </c>
      <c r="G34">
        <v>0.75</v>
      </c>
      <c r="H34" t="s">
        <v>23</v>
      </c>
      <c r="I34">
        <v>-6</v>
      </c>
      <c r="J34" t="str">
        <f>HYPERLINK("https://www.eliteprospects.com/player/540571/mikey-adamson")</f>
        <v>https://www.eliteprospects.com/player/540571/mikey-adamson</v>
      </c>
      <c r="K34" t="s">
        <v>27</v>
      </c>
      <c r="L34" t="s">
        <v>28</v>
      </c>
      <c r="M34" t="s">
        <v>1296</v>
      </c>
      <c r="N34">
        <v>4</v>
      </c>
      <c r="O34" t="s">
        <v>30</v>
      </c>
      <c r="P34">
        <v>0.15</v>
      </c>
      <c r="Q34" t="s">
        <v>1300</v>
      </c>
      <c r="R34">
        <v>30.8</v>
      </c>
      <c r="S34">
        <v>20.5</v>
      </c>
      <c r="T34">
        <v>10.3</v>
      </c>
      <c r="U34">
        <v>10.3</v>
      </c>
      <c r="V34">
        <v>28.2</v>
      </c>
    </row>
    <row r="35" spans="1:22" x14ac:dyDescent="0.25">
      <c r="A35" t="s">
        <v>1316</v>
      </c>
      <c r="B35" t="s">
        <v>50</v>
      </c>
      <c r="C35">
        <v>22</v>
      </c>
      <c r="D35" t="s">
        <v>132</v>
      </c>
      <c r="E35" t="s">
        <v>41</v>
      </c>
      <c r="F35" t="s">
        <v>41</v>
      </c>
      <c r="G35">
        <v>0.68</v>
      </c>
      <c r="H35" t="s">
        <v>39</v>
      </c>
      <c r="I35">
        <v>15</v>
      </c>
      <c r="J35" t="str">
        <f>HYPERLINK("https://www.eliteprospects.com/player/609495/ben-robertson")</f>
        <v>https://www.eliteprospects.com/player/609495/ben-robertson</v>
      </c>
      <c r="K35" t="s">
        <v>27</v>
      </c>
      <c r="L35" t="s">
        <v>28</v>
      </c>
      <c r="M35" t="s">
        <v>1296</v>
      </c>
      <c r="N35">
        <v>3</v>
      </c>
      <c r="O35" t="s">
        <v>74</v>
      </c>
      <c r="P35">
        <v>0.13</v>
      </c>
      <c r="Q35" t="s">
        <v>1300</v>
      </c>
      <c r="R35">
        <v>30.8</v>
      </c>
      <c r="S35">
        <v>20.5</v>
      </c>
      <c r="T35">
        <v>10.3</v>
      </c>
      <c r="U35">
        <v>10.3</v>
      </c>
      <c r="V35">
        <v>28.2</v>
      </c>
    </row>
    <row r="36" spans="1:22" x14ac:dyDescent="0.25">
      <c r="A36" t="s">
        <v>1317</v>
      </c>
      <c r="B36" t="s">
        <v>124</v>
      </c>
      <c r="C36">
        <v>22</v>
      </c>
      <c r="D36" t="s">
        <v>66</v>
      </c>
      <c r="E36" t="s">
        <v>32</v>
      </c>
      <c r="F36" t="s">
        <v>39</v>
      </c>
      <c r="G36">
        <v>0.64</v>
      </c>
      <c r="H36" t="s">
        <v>26</v>
      </c>
      <c r="I36">
        <v>10</v>
      </c>
      <c r="J36" t="str">
        <f>HYPERLINK("https://www.eliteprospects.com/player/511976/michael-quinn")</f>
        <v>https://www.eliteprospects.com/player/511976/michael-quinn</v>
      </c>
      <c r="K36" t="s">
        <v>27</v>
      </c>
      <c r="L36" t="s">
        <v>28</v>
      </c>
      <c r="M36" t="s">
        <v>1296</v>
      </c>
      <c r="N36">
        <v>2</v>
      </c>
      <c r="O36" t="s">
        <v>43</v>
      </c>
      <c r="P36">
        <v>0.12</v>
      </c>
      <c r="Q36" t="s">
        <v>1300</v>
      </c>
      <c r="R36">
        <v>30.8</v>
      </c>
      <c r="S36">
        <v>20.5</v>
      </c>
      <c r="T36">
        <v>10.3</v>
      </c>
      <c r="U36">
        <v>10.3</v>
      </c>
      <c r="V36">
        <v>28.2</v>
      </c>
    </row>
    <row r="37" spans="1:22" x14ac:dyDescent="0.25">
      <c r="A37" t="s">
        <v>1318</v>
      </c>
      <c r="B37" t="s">
        <v>95</v>
      </c>
      <c r="C37">
        <v>22</v>
      </c>
      <c r="D37" t="s">
        <v>66</v>
      </c>
      <c r="E37" t="s">
        <v>32</v>
      </c>
      <c r="F37" t="s">
        <v>39</v>
      </c>
      <c r="G37">
        <v>0.64</v>
      </c>
      <c r="H37" t="s">
        <v>32</v>
      </c>
      <c r="I37">
        <v>8</v>
      </c>
      <c r="J37" t="str">
        <f>HYPERLINK("https://www.eliteprospects.com/player/381262/samuel-sjolund")</f>
        <v>https://www.eliteprospects.com/player/381262/samuel-sjolund</v>
      </c>
      <c r="K37" t="s">
        <v>27</v>
      </c>
      <c r="L37" t="s">
        <v>28</v>
      </c>
      <c r="M37" t="s">
        <v>1296</v>
      </c>
      <c r="N37">
        <v>4</v>
      </c>
      <c r="O37" t="s">
        <v>30</v>
      </c>
      <c r="P37">
        <v>0.12</v>
      </c>
      <c r="Q37" t="s">
        <v>1300</v>
      </c>
      <c r="R37">
        <v>30.8</v>
      </c>
      <c r="S37">
        <v>20.5</v>
      </c>
      <c r="T37">
        <v>10.3</v>
      </c>
      <c r="U37">
        <v>10.3</v>
      </c>
      <c r="V37">
        <v>28.2</v>
      </c>
    </row>
    <row r="38" spans="1:22" x14ac:dyDescent="0.25">
      <c r="A38" t="s">
        <v>1319</v>
      </c>
      <c r="B38" t="s">
        <v>68</v>
      </c>
      <c r="C38">
        <v>19</v>
      </c>
      <c r="D38" t="s">
        <v>140</v>
      </c>
      <c r="E38" t="s">
        <v>69</v>
      </c>
      <c r="F38" t="s">
        <v>39</v>
      </c>
      <c r="G38">
        <v>0.74</v>
      </c>
      <c r="H38" t="s">
        <v>26</v>
      </c>
      <c r="I38">
        <v>4</v>
      </c>
      <c r="J38" t="str">
        <f>HYPERLINK("https://www.eliteprospects.com/player/424457/will-gilson")</f>
        <v>https://www.eliteprospects.com/player/424457/will-gilson</v>
      </c>
      <c r="K38" t="s">
        <v>27</v>
      </c>
      <c r="L38" t="s">
        <v>28</v>
      </c>
      <c r="M38" t="s">
        <v>1296</v>
      </c>
      <c r="N38">
        <v>4</v>
      </c>
      <c r="O38" t="s">
        <v>30</v>
      </c>
      <c r="P38">
        <v>0.14000000000000001</v>
      </c>
      <c r="Q38" t="s">
        <v>1300</v>
      </c>
      <c r="R38">
        <v>30.8</v>
      </c>
      <c r="S38">
        <v>20.5</v>
      </c>
      <c r="T38">
        <v>10.3</v>
      </c>
      <c r="U38">
        <v>10.3</v>
      </c>
      <c r="V38">
        <v>28.2</v>
      </c>
    </row>
    <row r="39" spans="1:22" x14ac:dyDescent="0.25">
      <c r="A39" t="s">
        <v>1320</v>
      </c>
      <c r="B39" t="s">
        <v>130</v>
      </c>
      <c r="C39">
        <v>20</v>
      </c>
      <c r="D39" t="s">
        <v>140</v>
      </c>
      <c r="E39" t="s">
        <v>69</v>
      </c>
      <c r="F39" t="s">
        <v>39</v>
      </c>
      <c r="G39">
        <v>0.7</v>
      </c>
      <c r="H39" t="s">
        <v>79</v>
      </c>
      <c r="I39">
        <v>-6</v>
      </c>
      <c r="J39" t="str">
        <f>HYPERLINK("https://www.eliteprospects.com/player/626521/seamus-powell")</f>
        <v>https://www.eliteprospects.com/player/626521/seamus-powell</v>
      </c>
      <c r="K39" t="s">
        <v>27</v>
      </c>
      <c r="L39" t="s">
        <v>28</v>
      </c>
      <c r="M39" t="s">
        <v>1296</v>
      </c>
      <c r="N39">
        <v>3</v>
      </c>
      <c r="O39" t="s">
        <v>74</v>
      </c>
      <c r="P39">
        <v>0.14000000000000001</v>
      </c>
      <c r="Q39" t="s">
        <v>1300</v>
      </c>
      <c r="R39">
        <v>30.8</v>
      </c>
      <c r="S39">
        <v>20.5</v>
      </c>
      <c r="T39">
        <v>10.3</v>
      </c>
      <c r="U39">
        <v>10.3</v>
      </c>
      <c r="V39">
        <v>28.2</v>
      </c>
    </row>
    <row r="40" spans="1:22" x14ac:dyDescent="0.25">
      <c r="A40" t="s">
        <v>1321</v>
      </c>
      <c r="B40" t="s">
        <v>109</v>
      </c>
      <c r="C40">
        <v>22</v>
      </c>
      <c r="D40" t="s">
        <v>140</v>
      </c>
      <c r="E40" t="s">
        <v>69</v>
      </c>
      <c r="F40" t="s">
        <v>39</v>
      </c>
      <c r="G40">
        <v>0.64</v>
      </c>
      <c r="H40" t="s">
        <v>66</v>
      </c>
      <c r="I40">
        <v>1</v>
      </c>
      <c r="J40" t="str">
        <f>HYPERLINK("https://www.eliteprospects.com/player/579149/abram-wiebe")</f>
        <v>https://www.eliteprospects.com/player/579149/abram-wiebe</v>
      </c>
      <c r="K40" t="s">
        <v>27</v>
      </c>
      <c r="L40" t="s">
        <v>28</v>
      </c>
      <c r="M40" t="s">
        <v>1296</v>
      </c>
      <c r="N40">
        <v>3</v>
      </c>
      <c r="O40" t="s">
        <v>74</v>
      </c>
      <c r="P40">
        <v>0.12</v>
      </c>
      <c r="Q40" t="s">
        <v>1300</v>
      </c>
      <c r="R40">
        <v>30.8</v>
      </c>
      <c r="S40">
        <v>20.5</v>
      </c>
      <c r="T40">
        <v>10.3</v>
      </c>
      <c r="U40">
        <v>10.3</v>
      </c>
      <c r="V40">
        <v>28.2</v>
      </c>
    </row>
    <row r="41" spans="1:22" x14ac:dyDescent="0.25">
      <c r="A41" t="s">
        <v>1322</v>
      </c>
      <c r="B41" t="s">
        <v>146</v>
      </c>
      <c r="C41">
        <v>22</v>
      </c>
      <c r="D41" t="s">
        <v>79</v>
      </c>
      <c r="E41" t="s">
        <v>23</v>
      </c>
      <c r="F41" t="s">
        <v>39</v>
      </c>
      <c r="G41">
        <v>0.64</v>
      </c>
      <c r="H41" t="s">
        <v>55</v>
      </c>
      <c r="I41">
        <v>0</v>
      </c>
      <c r="J41" t="str">
        <f>HYPERLINK("https://www.eliteprospects.com/player/645227/adam-barone")</f>
        <v>https://www.eliteprospects.com/player/645227/adam-barone</v>
      </c>
      <c r="K41" t="s">
        <v>27</v>
      </c>
      <c r="L41" t="s">
        <v>28</v>
      </c>
      <c r="M41" t="s">
        <v>1296</v>
      </c>
      <c r="N41">
        <v>2</v>
      </c>
      <c r="O41" t="s">
        <v>43</v>
      </c>
      <c r="P41">
        <v>0.12</v>
      </c>
      <c r="Q41" t="s">
        <v>1300</v>
      </c>
      <c r="R41">
        <v>30.8</v>
      </c>
      <c r="S41">
        <v>20.5</v>
      </c>
      <c r="T41">
        <v>10.3</v>
      </c>
      <c r="U41">
        <v>10.3</v>
      </c>
      <c r="V41">
        <v>28.2</v>
      </c>
    </row>
    <row r="42" spans="1:22" x14ac:dyDescent="0.25">
      <c r="A42" t="s">
        <v>1323</v>
      </c>
      <c r="B42" t="s">
        <v>145</v>
      </c>
      <c r="C42">
        <v>23</v>
      </c>
      <c r="D42" t="s">
        <v>57</v>
      </c>
      <c r="E42" t="s">
        <v>78</v>
      </c>
      <c r="F42" t="s">
        <v>65</v>
      </c>
      <c r="G42">
        <v>0.56999999999999995</v>
      </c>
      <c r="H42" t="s">
        <v>518</v>
      </c>
      <c r="I42">
        <v>5</v>
      </c>
      <c r="J42" t="str">
        <f>HYPERLINK("https://www.eliteprospects.com/player/670790/eric-jamieson")</f>
        <v>https://www.eliteprospects.com/player/670790/eric-jamieson</v>
      </c>
      <c r="K42" t="s">
        <v>27</v>
      </c>
      <c r="L42" t="s">
        <v>28</v>
      </c>
      <c r="M42" t="s">
        <v>1296</v>
      </c>
      <c r="N42">
        <v>5</v>
      </c>
      <c r="O42" t="s">
        <v>152</v>
      </c>
      <c r="P42">
        <v>0.11</v>
      </c>
      <c r="Q42" t="s">
        <v>1325</v>
      </c>
      <c r="R42">
        <v>27.3</v>
      </c>
      <c r="S42">
        <v>22.7</v>
      </c>
      <c r="T42">
        <v>27.3</v>
      </c>
      <c r="U42">
        <v>4.5</v>
      </c>
      <c r="V42">
        <v>18.2</v>
      </c>
    </row>
    <row r="43" spans="1:22" x14ac:dyDescent="0.25">
      <c r="A43" t="s">
        <v>1324</v>
      </c>
      <c r="B43" t="s">
        <v>64</v>
      </c>
      <c r="C43">
        <v>22</v>
      </c>
      <c r="D43" t="s">
        <v>96</v>
      </c>
      <c r="E43" t="s">
        <v>26</v>
      </c>
      <c r="F43" t="s">
        <v>65</v>
      </c>
      <c r="G43">
        <v>0.59</v>
      </c>
      <c r="H43" t="s">
        <v>57</v>
      </c>
      <c r="I43">
        <v>3</v>
      </c>
      <c r="J43" t="str">
        <f>HYPERLINK("https://www.eliteprospects.com/player/574929/nick-williams")</f>
        <v>https://www.eliteprospects.com/player/574929/nick-williams</v>
      </c>
      <c r="K43" t="s">
        <v>27</v>
      </c>
      <c r="L43" t="s">
        <v>28</v>
      </c>
      <c r="M43" t="s">
        <v>1296</v>
      </c>
      <c r="N43">
        <v>3</v>
      </c>
      <c r="O43" t="s">
        <v>74</v>
      </c>
      <c r="P43">
        <v>0.11</v>
      </c>
      <c r="Q43" t="s">
        <v>1325</v>
      </c>
      <c r="R43">
        <v>27.3</v>
      </c>
      <c r="S43">
        <v>22.7</v>
      </c>
      <c r="T43">
        <v>27.3</v>
      </c>
      <c r="U43">
        <v>4.5</v>
      </c>
      <c r="V43">
        <v>18.2</v>
      </c>
    </row>
    <row r="44" spans="1:22" x14ac:dyDescent="0.25">
      <c r="A44" t="s">
        <v>1326</v>
      </c>
      <c r="B44" t="s">
        <v>88</v>
      </c>
      <c r="C44">
        <v>22</v>
      </c>
      <c r="D44" t="s">
        <v>96</v>
      </c>
      <c r="E44" t="s">
        <v>26</v>
      </c>
      <c r="F44" t="s">
        <v>65</v>
      </c>
      <c r="G44">
        <v>0.59</v>
      </c>
      <c r="H44" t="s">
        <v>23</v>
      </c>
      <c r="I44">
        <v>-3</v>
      </c>
      <c r="J44" t="str">
        <f>HYPERLINK("https://www.eliteprospects.com/player/351311/nolan-cunningham")</f>
        <v>https://www.eliteprospects.com/player/351311/nolan-cunningham</v>
      </c>
      <c r="K44" t="s">
        <v>27</v>
      </c>
      <c r="L44" t="s">
        <v>28</v>
      </c>
      <c r="M44" t="s">
        <v>1296</v>
      </c>
      <c r="N44">
        <v>4</v>
      </c>
      <c r="O44" t="s">
        <v>30</v>
      </c>
      <c r="P44">
        <v>0.11</v>
      </c>
      <c r="Q44" t="s">
        <v>1325</v>
      </c>
      <c r="R44">
        <v>27.3</v>
      </c>
      <c r="S44">
        <v>22.7</v>
      </c>
      <c r="T44">
        <v>27.3</v>
      </c>
      <c r="U44">
        <v>4.5</v>
      </c>
      <c r="V44">
        <v>18.2</v>
      </c>
    </row>
    <row r="45" spans="1:22" x14ac:dyDescent="0.25">
      <c r="A45" t="s">
        <v>1327</v>
      </c>
      <c r="B45" t="s">
        <v>50</v>
      </c>
      <c r="C45">
        <v>22</v>
      </c>
      <c r="D45" t="s">
        <v>66</v>
      </c>
      <c r="E45" t="s">
        <v>45</v>
      </c>
      <c r="F45" t="s">
        <v>65</v>
      </c>
      <c r="G45">
        <v>0.59</v>
      </c>
      <c r="H45" t="s">
        <v>39</v>
      </c>
      <c r="I45">
        <v>9</v>
      </c>
      <c r="J45" t="str">
        <f>HYPERLINK("https://www.eliteprospects.com/player/597856/dakoda-rheaume-mullen")</f>
        <v>https://www.eliteprospects.com/player/597856/dakoda-rheaume-mullen</v>
      </c>
      <c r="K45" t="s">
        <v>27</v>
      </c>
      <c r="L45" t="s">
        <v>28</v>
      </c>
      <c r="M45" t="s">
        <v>1296</v>
      </c>
      <c r="N45">
        <v>2</v>
      </c>
      <c r="O45" t="s">
        <v>43</v>
      </c>
      <c r="P45">
        <v>0.11</v>
      </c>
      <c r="Q45" t="s">
        <v>1325</v>
      </c>
      <c r="R45">
        <v>27.3</v>
      </c>
      <c r="S45">
        <v>22.7</v>
      </c>
      <c r="T45">
        <v>27.3</v>
      </c>
      <c r="U45">
        <v>4.5</v>
      </c>
      <c r="V45">
        <v>18.2</v>
      </c>
    </row>
    <row r="46" spans="1:22" x14ac:dyDescent="0.25">
      <c r="A46" t="s">
        <v>1328</v>
      </c>
      <c r="B46" t="s">
        <v>189</v>
      </c>
      <c r="C46">
        <v>24</v>
      </c>
      <c r="D46" t="s">
        <v>66</v>
      </c>
      <c r="E46" t="s">
        <v>45</v>
      </c>
      <c r="F46" t="s">
        <v>65</v>
      </c>
      <c r="G46">
        <v>0.54</v>
      </c>
      <c r="H46" t="s">
        <v>60</v>
      </c>
      <c r="I46">
        <v>-5</v>
      </c>
      <c r="J46" t="str">
        <f>HYPERLINK("https://www.eliteprospects.com/player/632451/xavier-alexandre-jean-louis")</f>
        <v>https://www.eliteprospects.com/player/632451/xavier-alexandre-jean-louis</v>
      </c>
      <c r="K46" t="s">
        <v>27</v>
      </c>
      <c r="L46" t="s">
        <v>28</v>
      </c>
      <c r="M46" t="s">
        <v>1296</v>
      </c>
      <c r="N46">
        <v>4</v>
      </c>
      <c r="O46" t="s">
        <v>30</v>
      </c>
      <c r="P46">
        <v>0.1</v>
      </c>
      <c r="Q46" t="s">
        <v>1325</v>
      </c>
      <c r="R46">
        <v>27.3</v>
      </c>
      <c r="S46">
        <v>22.7</v>
      </c>
      <c r="T46">
        <v>27.3</v>
      </c>
      <c r="U46">
        <v>4.5</v>
      </c>
      <c r="V46">
        <v>18.2</v>
      </c>
    </row>
    <row r="47" spans="1:22" x14ac:dyDescent="0.25">
      <c r="A47" t="s">
        <v>1329</v>
      </c>
      <c r="B47" t="s">
        <v>103</v>
      </c>
      <c r="C47">
        <v>20</v>
      </c>
      <c r="D47" t="s">
        <v>140</v>
      </c>
      <c r="E47" t="s">
        <v>32</v>
      </c>
      <c r="F47" t="s">
        <v>65</v>
      </c>
      <c r="G47">
        <v>0.65</v>
      </c>
      <c r="H47" t="s">
        <v>26</v>
      </c>
      <c r="I47">
        <v>-1</v>
      </c>
      <c r="J47" t="str">
        <f>HYPERLINK("https://www.eliteprospects.com/player/723401/francesco-dell-elce")</f>
        <v>https://www.eliteprospects.com/player/723401/francesco-dell-elce</v>
      </c>
      <c r="K47" t="s">
        <v>27</v>
      </c>
      <c r="L47" t="s">
        <v>28</v>
      </c>
      <c r="M47" t="s">
        <v>1296</v>
      </c>
      <c r="N47">
        <v>2</v>
      </c>
      <c r="O47" t="s">
        <v>43</v>
      </c>
      <c r="P47">
        <v>0.13</v>
      </c>
      <c r="Q47" t="s">
        <v>1300</v>
      </c>
      <c r="R47">
        <v>30.8</v>
      </c>
      <c r="S47">
        <v>20.5</v>
      </c>
      <c r="T47">
        <v>10.3</v>
      </c>
      <c r="U47">
        <v>10.3</v>
      </c>
      <c r="V47">
        <v>28.2</v>
      </c>
    </row>
    <row r="48" spans="1:22" x14ac:dyDescent="0.25">
      <c r="A48" t="s">
        <v>1330</v>
      </c>
      <c r="B48" t="s">
        <v>114</v>
      </c>
      <c r="C48">
        <v>20</v>
      </c>
      <c r="D48" t="s">
        <v>140</v>
      </c>
      <c r="E48" t="s">
        <v>32</v>
      </c>
      <c r="F48" t="s">
        <v>65</v>
      </c>
      <c r="G48">
        <v>0.65</v>
      </c>
      <c r="H48" t="s">
        <v>23</v>
      </c>
      <c r="I48">
        <v>2</v>
      </c>
      <c r="J48" t="str">
        <f>HYPERLINK("https://www.eliteprospects.com/player/413833/nolan-seed")</f>
        <v>https://www.eliteprospects.com/player/413833/nolan-seed</v>
      </c>
      <c r="K48" t="s">
        <v>27</v>
      </c>
      <c r="L48" t="s">
        <v>28</v>
      </c>
      <c r="M48" t="s">
        <v>1296</v>
      </c>
      <c r="N48">
        <v>5</v>
      </c>
      <c r="O48" t="s">
        <v>182</v>
      </c>
      <c r="P48">
        <v>0.13</v>
      </c>
      <c r="Q48" t="s">
        <v>1300</v>
      </c>
      <c r="R48">
        <v>30.8</v>
      </c>
      <c r="S48">
        <v>20.5</v>
      </c>
      <c r="T48">
        <v>10.3</v>
      </c>
      <c r="U48">
        <v>10.3</v>
      </c>
      <c r="V48">
        <v>28.2</v>
      </c>
    </row>
    <row r="49" spans="1:22" x14ac:dyDescent="0.25">
      <c r="A49" t="s">
        <v>1331</v>
      </c>
      <c r="B49" t="s">
        <v>148</v>
      </c>
      <c r="C49">
        <v>20</v>
      </c>
      <c r="D49" t="s">
        <v>140</v>
      </c>
      <c r="E49" t="s">
        <v>32</v>
      </c>
      <c r="F49" t="s">
        <v>65</v>
      </c>
      <c r="G49">
        <v>0.65</v>
      </c>
      <c r="H49" t="s">
        <v>38</v>
      </c>
      <c r="I49">
        <v>3</v>
      </c>
      <c r="J49" t="str">
        <f>HYPERLINK("https://www.eliteprospects.com/player/424078/owen-baumgartner")</f>
        <v>https://www.eliteprospects.com/player/424078/owen-baumgartner</v>
      </c>
      <c r="K49" t="s">
        <v>27</v>
      </c>
      <c r="L49" t="s">
        <v>28</v>
      </c>
      <c r="M49" t="s">
        <v>1296</v>
      </c>
      <c r="N49">
        <v>3</v>
      </c>
      <c r="O49" t="s">
        <v>74</v>
      </c>
      <c r="P49">
        <v>0.13</v>
      </c>
      <c r="Q49" t="s">
        <v>1300</v>
      </c>
      <c r="R49">
        <v>30.8</v>
      </c>
      <c r="S49">
        <v>20.5</v>
      </c>
      <c r="T49">
        <v>10.3</v>
      </c>
      <c r="U49">
        <v>10.3</v>
      </c>
      <c r="V49">
        <v>28.2</v>
      </c>
    </row>
    <row r="50" spans="1:22" x14ac:dyDescent="0.25">
      <c r="A50" t="s">
        <v>1332</v>
      </c>
      <c r="B50" t="s">
        <v>86</v>
      </c>
      <c r="C50">
        <v>20</v>
      </c>
      <c r="D50" t="s">
        <v>79</v>
      </c>
      <c r="E50" t="s">
        <v>69</v>
      </c>
      <c r="F50" t="s">
        <v>65</v>
      </c>
      <c r="G50">
        <v>0.65</v>
      </c>
      <c r="H50" t="s">
        <v>132</v>
      </c>
      <c r="I50">
        <v>17</v>
      </c>
      <c r="J50" t="str">
        <f>HYPERLINK("https://www.eliteprospects.com/player/418236/matt-basgall")</f>
        <v>https://www.eliteprospects.com/player/418236/matt-basgall</v>
      </c>
      <c r="K50" t="s">
        <v>27</v>
      </c>
      <c r="L50" t="s">
        <v>28</v>
      </c>
      <c r="M50" t="s">
        <v>1296</v>
      </c>
      <c r="N50">
        <v>4</v>
      </c>
      <c r="O50" t="s">
        <v>30</v>
      </c>
      <c r="P50">
        <v>0.13</v>
      </c>
      <c r="Q50" t="s">
        <v>1300</v>
      </c>
      <c r="R50">
        <v>30.8</v>
      </c>
      <c r="S50">
        <v>20.5</v>
      </c>
      <c r="T50">
        <v>10.3</v>
      </c>
      <c r="U50">
        <v>10.3</v>
      </c>
      <c r="V50">
        <v>28.2</v>
      </c>
    </row>
    <row r="51" spans="1:22" x14ac:dyDescent="0.25">
      <c r="A51" t="s">
        <v>1333</v>
      </c>
      <c r="B51" t="s">
        <v>82</v>
      </c>
      <c r="C51">
        <v>22</v>
      </c>
      <c r="D51" t="s">
        <v>79</v>
      </c>
      <c r="E51" t="s">
        <v>69</v>
      </c>
      <c r="F51" t="s">
        <v>65</v>
      </c>
      <c r="G51">
        <v>0.59</v>
      </c>
      <c r="H51" t="s">
        <v>81</v>
      </c>
      <c r="I51">
        <v>1</v>
      </c>
      <c r="J51" t="str">
        <f>HYPERLINK("https://www.eliteprospects.com/player/483418/hudson-thornton")</f>
        <v>https://www.eliteprospects.com/player/483418/hudson-thornton</v>
      </c>
      <c r="K51" t="s">
        <v>27</v>
      </c>
      <c r="L51" t="s">
        <v>28</v>
      </c>
      <c r="M51" t="s">
        <v>1296</v>
      </c>
      <c r="N51">
        <v>5</v>
      </c>
      <c r="O51" t="s">
        <v>152</v>
      </c>
      <c r="P51">
        <v>0.11</v>
      </c>
      <c r="Q51" t="s">
        <v>1325</v>
      </c>
      <c r="R51">
        <v>27.3</v>
      </c>
      <c r="S51">
        <v>22.7</v>
      </c>
      <c r="T51">
        <v>27.3</v>
      </c>
      <c r="U51">
        <v>4.5</v>
      </c>
      <c r="V51">
        <v>18.2</v>
      </c>
    </row>
    <row r="52" spans="1:22" x14ac:dyDescent="0.25">
      <c r="A52" t="s">
        <v>1334</v>
      </c>
      <c r="B52" t="s">
        <v>127</v>
      </c>
      <c r="C52">
        <v>20</v>
      </c>
      <c r="D52" t="s">
        <v>96</v>
      </c>
      <c r="E52" t="s">
        <v>78</v>
      </c>
      <c r="F52" t="s">
        <v>23</v>
      </c>
      <c r="G52">
        <v>0.6</v>
      </c>
      <c r="H52" t="s">
        <v>66</v>
      </c>
      <c r="I52">
        <v>6</v>
      </c>
      <c r="J52" t="str">
        <f>HYPERLINK("https://www.eliteprospects.com/player/542863/mack-oliphant")</f>
        <v>https://www.eliteprospects.com/player/542863/mack-oliphant</v>
      </c>
      <c r="K52" t="s">
        <v>27</v>
      </c>
      <c r="L52" t="s">
        <v>28</v>
      </c>
      <c r="M52" t="s">
        <v>1296</v>
      </c>
      <c r="N52">
        <v>4</v>
      </c>
      <c r="O52" t="s">
        <v>30</v>
      </c>
      <c r="P52">
        <v>0.12</v>
      </c>
      <c r="Q52" t="s">
        <v>1300</v>
      </c>
      <c r="R52">
        <v>30.8</v>
      </c>
      <c r="S52">
        <v>20.5</v>
      </c>
      <c r="T52">
        <v>10.3</v>
      </c>
      <c r="U52">
        <v>10.3</v>
      </c>
      <c r="V52">
        <v>28.2</v>
      </c>
    </row>
    <row r="53" spans="1:22" x14ac:dyDescent="0.25">
      <c r="A53" t="s">
        <v>1335</v>
      </c>
      <c r="B53" t="s">
        <v>200</v>
      </c>
      <c r="C53">
        <v>15</v>
      </c>
      <c r="D53" t="s">
        <v>66</v>
      </c>
      <c r="E53" t="s">
        <v>26</v>
      </c>
      <c r="F53" t="s">
        <v>23</v>
      </c>
      <c r="G53">
        <v>0.8</v>
      </c>
      <c r="H53" t="s">
        <v>79</v>
      </c>
      <c r="I53">
        <v>0</v>
      </c>
      <c r="J53" t="str">
        <f>HYPERLINK("https://www.eliteprospects.com/player/719775/xavier-veilleux")</f>
        <v>https://www.eliteprospects.com/player/719775/xavier-veilleux</v>
      </c>
      <c r="K53" t="s">
        <v>27</v>
      </c>
      <c r="L53" t="s">
        <v>28</v>
      </c>
      <c r="M53" t="s">
        <v>1296</v>
      </c>
      <c r="N53">
        <v>1</v>
      </c>
      <c r="O53" t="s">
        <v>71</v>
      </c>
      <c r="P53">
        <v>0.16</v>
      </c>
      <c r="Q53" t="s">
        <v>1300</v>
      </c>
      <c r="R53">
        <v>30.8</v>
      </c>
      <c r="S53">
        <v>20.5</v>
      </c>
      <c r="T53">
        <v>10.3</v>
      </c>
      <c r="U53">
        <v>10.3</v>
      </c>
      <c r="V53">
        <v>28.2</v>
      </c>
    </row>
    <row r="54" spans="1:22" x14ac:dyDescent="0.25">
      <c r="A54" t="s">
        <v>1336</v>
      </c>
      <c r="B54" t="s">
        <v>109</v>
      </c>
      <c r="C54">
        <v>18</v>
      </c>
      <c r="D54" t="s">
        <v>66</v>
      </c>
      <c r="E54" t="s">
        <v>26</v>
      </c>
      <c r="F54" t="s">
        <v>23</v>
      </c>
      <c r="G54">
        <v>0.67</v>
      </c>
      <c r="H54" t="s">
        <v>33</v>
      </c>
      <c r="I54">
        <v>7</v>
      </c>
      <c r="J54" t="str">
        <f>HYPERLINK("https://www.eliteprospects.com/player/878326/keaton-verhoeff")</f>
        <v>https://www.eliteprospects.com/player/878326/keaton-verhoeff</v>
      </c>
      <c r="K54" t="s">
        <v>27</v>
      </c>
      <c r="L54" t="s">
        <v>28</v>
      </c>
      <c r="M54" t="s">
        <v>1296</v>
      </c>
      <c r="N54">
        <v>3</v>
      </c>
      <c r="O54" t="s">
        <v>1337</v>
      </c>
      <c r="P54">
        <v>0.13</v>
      </c>
      <c r="Q54" t="s">
        <v>1300</v>
      </c>
      <c r="R54">
        <v>30.8</v>
      </c>
      <c r="S54">
        <v>20.5</v>
      </c>
      <c r="T54">
        <v>10.3</v>
      </c>
      <c r="U54">
        <v>10.3</v>
      </c>
      <c r="V54">
        <v>28.2</v>
      </c>
    </row>
    <row r="55" spans="1:22" x14ac:dyDescent="0.25">
      <c r="A55" t="s">
        <v>1338</v>
      </c>
      <c r="B55" t="s">
        <v>83</v>
      </c>
      <c r="C55">
        <v>17</v>
      </c>
      <c r="D55" t="s">
        <v>140</v>
      </c>
      <c r="E55" t="s">
        <v>45</v>
      </c>
      <c r="F55" t="s">
        <v>23</v>
      </c>
      <c r="G55">
        <v>0.71</v>
      </c>
      <c r="H55" t="s">
        <v>57</v>
      </c>
      <c r="I55">
        <v>4</v>
      </c>
      <c r="J55" t="str">
        <f>HYPERLINK("https://www.eliteprospects.com/player/603641/c.j.-foley")</f>
        <v>https://www.eliteprospects.com/player/603641/c.j.-foley</v>
      </c>
      <c r="K55" t="s">
        <v>27</v>
      </c>
      <c r="L55" t="s">
        <v>28</v>
      </c>
      <c r="M55" t="s">
        <v>1296</v>
      </c>
      <c r="N55">
        <v>3</v>
      </c>
      <c r="O55" t="s">
        <v>74</v>
      </c>
      <c r="P55">
        <v>0.14000000000000001</v>
      </c>
      <c r="Q55" t="s">
        <v>1300</v>
      </c>
      <c r="R55">
        <v>30.8</v>
      </c>
      <c r="S55">
        <v>20.5</v>
      </c>
      <c r="T55">
        <v>10.3</v>
      </c>
      <c r="U55">
        <v>10.3</v>
      </c>
      <c r="V55">
        <v>28.2</v>
      </c>
    </row>
    <row r="56" spans="1:22" x14ac:dyDescent="0.25">
      <c r="A56" t="s">
        <v>1339</v>
      </c>
      <c r="B56" t="s">
        <v>95</v>
      </c>
      <c r="C56">
        <v>20</v>
      </c>
      <c r="D56" t="s">
        <v>140</v>
      </c>
      <c r="E56" t="s">
        <v>45</v>
      </c>
      <c r="F56" t="s">
        <v>23</v>
      </c>
      <c r="G56">
        <v>0.6</v>
      </c>
      <c r="H56" t="s">
        <v>32</v>
      </c>
      <c r="I56">
        <v>13</v>
      </c>
      <c r="J56" t="str">
        <f>HYPERLINK("https://www.eliteprospects.com/player/674722/zack-sharp")</f>
        <v>https://www.eliteprospects.com/player/674722/zack-sharp</v>
      </c>
      <c r="K56" t="s">
        <v>27</v>
      </c>
      <c r="L56" t="s">
        <v>28</v>
      </c>
      <c r="M56" t="s">
        <v>1296</v>
      </c>
      <c r="N56">
        <v>2</v>
      </c>
      <c r="O56" t="s">
        <v>43</v>
      </c>
      <c r="P56">
        <v>0.12</v>
      </c>
      <c r="Q56" t="s">
        <v>1300</v>
      </c>
      <c r="R56">
        <v>30.8</v>
      </c>
      <c r="S56">
        <v>20.5</v>
      </c>
      <c r="T56">
        <v>10.3</v>
      </c>
      <c r="U56">
        <v>10.3</v>
      </c>
      <c r="V56">
        <v>28.2</v>
      </c>
    </row>
    <row r="57" spans="1:22" x14ac:dyDescent="0.25">
      <c r="A57" t="s">
        <v>1340</v>
      </c>
      <c r="B57" t="s">
        <v>205</v>
      </c>
      <c r="C57">
        <v>21</v>
      </c>
      <c r="D57" t="s">
        <v>140</v>
      </c>
      <c r="E57" t="s">
        <v>45</v>
      </c>
      <c r="F57" t="s">
        <v>23</v>
      </c>
      <c r="G57">
        <v>0.56999999999999995</v>
      </c>
      <c r="H57" t="s">
        <v>57</v>
      </c>
      <c r="I57">
        <v>4</v>
      </c>
      <c r="J57" t="str">
        <f>HYPERLINK("https://www.eliteprospects.com/player/502982/ben-roger")</f>
        <v>https://www.eliteprospects.com/player/502982/ben-roger</v>
      </c>
      <c r="K57" t="s">
        <v>27</v>
      </c>
      <c r="L57" t="s">
        <v>28</v>
      </c>
      <c r="M57" t="s">
        <v>1296</v>
      </c>
      <c r="N57">
        <v>6</v>
      </c>
      <c r="O57" t="s">
        <v>460</v>
      </c>
      <c r="P57">
        <v>0.11</v>
      </c>
      <c r="Q57" t="s">
        <v>1325</v>
      </c>
      <c r="R57">
        <v>27.3</v>
      </c>
      <c r="S57">
        <v>22.7</v>
      </c>
      <c r="T57">
        <v>27.3</v>
      </c>
      <c r="U57">
        <v>4.5</v>
      </c>
      <c r="V57">
        <v>18.2</v>
      </c>
    </row>
    <row r="58" spans="1:22" x14ac:dyDescent="0.25">
      <c r="A58" t="s">
        <v>1341</v>
      </c>
      <c r="B58" t="s">
        <v>73</v>
      </c>
      <c r="C58">
        <v>22</v>
      </c>
      <c r="D58" t="s">
        <v>140</v>
      </c>
      <c r="E58" t="s">
        <v>45</v>
      </c>
      <c r="F58" t="s">
        <v>23</v>
      </c>
      <c r="G58">
        <v>0.55000000000000004</v>
      </c>
      <c r="H58" t="s">
        <v>79</v>
      </c>
      <c r="I58">
        <v>-3</v>
      </c>
      <c r="J58" t="str">
        <f>HYPERLINK("https://www.eliteprospects.com/player/494613/max-smolinski")</f>
        <v>https://www.eliteprospects.com/player/494613/max-smolinski</v>
      </c>
      <c r="K58" t="s">
        <v>27</v>
      </c>
      <c r="L58" t="s">
        <v>28</v>
      </c>
      <c r="M58" t="s">
        <v>1296</v>
      </c>
      <c r="N58">
        <v>4</v>
      </c>
      <c r="O58" t="s">
        <v>30</v>
      </c>
      <c r="P58">
        <v>0.11</v>
      </c>
      <c r="Q58" t="s">
        <v>1325</v>
      </c>
      <c r="R58">
        <v>27.3</v>
      </c>
      <c r="S58">
        <v>22.7</v>
      </c>
      <c r="T58">
        <v>27.3</v>
      </c>
      <c r="U58">
        <v>4.5</v>
      </c>
      <c r="V58">
        <v>18.2</v>
      </c>
    </row>
    <row r="59" spans="1:22" x14ac:dyDescent="0.25">
      <c r="A59" t="s">
        <v>1342</v>
      </c>
      <c r="B59" t="s">
        <v>255</v>
      </c>
      <c r="C59">
        <v>20</v>
      </c>
      <c r="D59" t="s">
        <v>79</v>
      </c>
      <c r="E59" t="s">
        <v>32</v>
      </c>
      <c r="F59" t="s">
        <v>23</v>
      </c>
      <c r="G59">
        <v>0.6</v>
      </c>
      <c r="H59" t="s">
        <v>66</v>
      </c>
      <c r="I59">
        <v>-6</v>
      </c>
      <c r="J59" t="str">
        <f>HYPERLINK("https://www.eliteprospects.com/player/359532/evan-orr")</f>
        <v>https://www.eliteprospects.com/player/359532/evan-orr</v>
      </c>
      <c r="K59" t="s">
        <v>27</v>
      </c>
      <c r="L59" t="s">
        <v>28</v>
      </c>
      <c r="M59" t="s">
        <v>1296</v>
      </c>
      <c r="N59">
        <v>4</v>
      </c>
      <c r="O59" t="s">
        <v>30</v>
      </c>
      <c r="P59">
        <v>0.12</v>
      </c>
      <c r="Q59" t="s">
        <v>1300</v>
      </c>
      <c r="R59">
        <v>30.8</v>
      </c>
      <c r="S59">
        <v>20.5</v>
      </c>
      <c r="T59">
        <v>10.3</v>
      </c>
      <c r="U59">
        <v>10.3</v>
      </c>
      <c r="V59">
        <v>28.2</v>
      </c>
    </row>
    <row r="60" spans="1:22" x14ac:dyDescent="0.25">
      <c r="A60" t="s">
        <v>1343</v>
      </c>
      <c r="B60" t="s">
        <v>113</v>
      </c>
      <c r="C60">
        <v>23</v>
      </c>
      <c r="D60" t="s">
        <v>79</v>
      </c>
      <c r="E60" t="s">
        <v>32</v>
      </c>
      <c r="F60" t="s">
        <v>23</v>
      </c>
      <c r="G60">
        <v>0.52</v>
      </c>
      <c r="H60" t="s">
        <v>55</v>
      </c>
      <c r="I60">
        <v>1</v>
      </c>
      <c r="J60" t="str">
        <f>HYPERLINK("https://www.eliteprospects.com/player/534187/ralfs-bergmanis")</f>
        <v>https://www.eliteprospects.com/player/534187/ralfs-bergmanis</v>
      </c>
      <c r="K60" t="s">
        <v>27</v>
      </c>
      <c r="L60" t="s">
        <v>28</v>
      </c>
      <c r="M60" t="s">
        <v>1296</v>
      </c>
      <c r="N60">
        <v>4</v>
      </c>
      <c r="O60" t="s">
        <v>30</v>
      </c>
      <c r="P60">
        <v>0.1</v>
      </c>
      <c r="Q60" t="s">
        <v>1325</v>
      </c>
      <c r="R60">
        <v>27.3</v>
      </c>
      <c r="S60">
        <v>22.7</v>
      </c>
      <c r="T60">
        <v>27.3</v>
      </c>
      <c r="U60">
        <v>4.5</v>
      </c>
      <c r="V60">
        <v>18.2</v>
      </c>
    </row>
    <row r="61" spans="1:22" x14ac:dyDescent="0.25">
      <c r="A61" t="s">
        <v>1344</v>
      </c>
      <c r="B61" t="s">
        <v>127</v>
      </c>
      <c r="C61">
        <v>20</v>
      </c>
      <c r="D61" t="s">
        <v>260</v>
      </c>
      <c r="E61" t="s">
        <v>69</v>
      </c>
      <c r="F61" t="s">
        <v>23</v>
      </c>
      <c r="G61">
        <v>0.6</v>
      </c>
      <c r="H61" t="s">
        <v>66</v>
      </c>
      <c r="I61">
        <v>6</v>
      </c>
      <c r="J61" t="str">
        <f>HYPERLINK("https://www.eliteprospects.com/player/617528/william-elias")</f>
        <v>https://www.eliteprospects.com/player/617528/william-elias</v>
      </c>
      <c r="K61" t="s">
        <v>27</v>
      </c>
      <c r="L61" t="s">
        <v>28</v>
      </c>
      <c r="M61" t="s">
        <v>1296</v>
      </c>
      <c r="N61">
        <v>3</v>
      </c>
      <c r="O61" t="s">
        <v>74</v>
      </c>
      <c r="P61">
        <v>0.12</v>
      </c>
      <c r="Q61" t="s">
        <v>1300</v>
      </c>
      <c r="R61">
        <v>30.8</v>
      </c>
      <c r="S61">
        <v>20.5</v>
      </c>
      <c r="T61">
        <v>10.3</v>
      </c>
      <c r="U61">
        <v>10.3</v>
      </c>
      <c r="V61">
        <v>28.2</v>
      </c>
    </row>
    <row r="62" spans="1:22" x14ac:dyDescent="0.25">
      <c r="A62" t="s">
        <v>1345</v>
      </c>
      <c r="B62" t="s">
        <v>119</v>
      </c>
      <c r="C62">
        <v>21</v>
      </c>
      <c r="D62" t="s">
        <v>260</v>
      </c>
      <c r="E62" t="s">
        <v>69</v>
      </c>
      <c r="F62" t="s">
        <v>23</v>
      </c>
      <c r="G62">
        <v>0.56999999999999995</v>
      </c>
      <c r="H62" t="s">
        <v>23</v>
      </c>
      <c r="I62">
        <v>-3</v>
      </c>
      <c r="J62" t="str">
        <f>HYPERLINK("https://www.eliteprospects.com/player/559036/luke-mittelstadt")</f>
        <v>https://www.eliteprospects.com/player/559036/luke-mittelstadt</v>
      </c>
      <c r="K62" t="s">
        <v>27</v>
      </c>
      <c r="L62" t="s">
        <v>28</v>
      </c>
      <c r="M62" t="s">
        <v>1296</v>
      </c>
      <c r="N62">
        <v>4</v>
      </c>
      <c r="O62" t="s">
        <v>30</v>
      </c>
      <c r="P62">
        <v>0.11</v>
      </c>
      <c r="Q62" t="s">
        <v>1325</v>
      </c>
      <c r="R62">
        <v>27.3</v>
      </c>
      <c r="S62">
        <v>22.7</v>
      </c>
      <c r="T62">
        <v>27.3</v>
      </c>
      <c r="U62">
        <v>4.5</v>
      </c>
      <c r="V62">
        <v>18.2</v>
      </c>
    </row>
    <row r="63" spans="1:22" x14ac:dyDescent="0.25">
      <c r="A63" t="s">
        <v>1346</v>
      </c>
      <c r="B63" t="s">
        <v>80</v>
      </c>
      <c r="C63">
        <v>18</v>
      </c>
      <c r="D63" t="s">
        <v>96</v>
      </c>
      <c r="E63" t="s">
        <v>57</v>
      </c>
      <c r="F63" t="s">
        <v>69</v>
      </c>
      <c r="G63">
        <v>0.61</v>
      </c>
      <c r="H63" t="s">
        <v>39</v>
      </c>
      <c r="I63">
        <v>3</v>
      </c>
      <c r="J63" t="str">
        <f>HYPERLINK("https://www.eliteprospects.com/player/689872/jackson-smith")</f>
        <v>https://www.eliteprospects.com/player/689872/jackson-smith</v>
      </c>
      <c r="K63" t="s">
        <v>27</v>
      </c>
      <c r="L63" t="s">
        <v>28</v>
      </c>
      <c r="M63" t="s">
        <v>1296</v>
      </c>
      <c r="N63">
        <v>4</v>
      </c>
      <c r="O63" t="s">
        <v>137</v>
      </c>
      <c r="P63">
        <v>0.12</v>
      </c>
      <c r="Q63" t="s">
        <v>1300</v>
      </c>
      <c r="R63">
        <v>30.8</v>
      </c>
      <c r="S63">
        <v>20.5</v>
      </c>
      <c r="T63">
        <v>10.3</v>
      </c>
      <c r="U63">
        <v>10.3</v>
      </c>
      <c r="V63">
        <v>28.2</v>
      </c>
    </row>
    <row r="64" spans="1:22" x14ac:dyDescent="0.25">
      <c r="A64" t="s">
        <v>1347</v>
      </c>
      <c r="B64" t="s">
        <v>44</v>
      </c>
      <c r="C64">
        <v>24</v>
      </c>
      <c r="D64" t="s">
        <v>96</v>
      </c>
      <c r="E64" t="s">
        <v>57</v>
      </c>
      <c r="F64" t="s">
        <v>69</v>
      </c>
      <c r="G64">
        <v>0.46</v>
      </c>
      <c r="H64" t="s">
        <v>269</v>
      </c>
      <c r="I64">
        <v>9</v>
      </c>
      <c r="J64" t="str">
        <f>HYPERLINK("https://www.eliteprospects.com/player/341010/jack-anderson")</f>
        <v>https://www.eliteprospects.com/player/341010/jack-anderson</v>
      </c>
      <c r="K64" t="s">
        <v>27</v>
      </c>
      <c r="L64" t="s">
        <v>28</v>
      </c>
      <c r="M64" t="s">
        <v>1296</v>
      </c>
      <c r="N64">
        <v>4</v>
      </c>
      <c r="O64" t="s">
        <v>30</v>
      </c>
      <c r="P64">
        <v>0.09</v>
      </c>
      <c r="Q64" t="s">
        <v>1325</v>
      </c>
      <c r="R64">
        <v>27.3</v>
      </c>
      <c r="S64">
        <v>22.7</v>
      </c>
      <c r="T64">
        <v>27.3</v>
      </c>
      <c r="U64">
        <v>4.5</v>
      </c>
      <c r="V64">
        <v>18.2</v>
      </c>
    </row>
    <row r="65" spans="1:22" x14ac:dyDescent="0.25">
      <c r="A65" t="s">
        <v>1348</v>
      </c>
      <c r="B65" t="s">
        <v>83</v>
      </c>
      <c r="C65">
        <v>17</v>
      </c>
      <c r="D65" t="s">
        <v>66</v>
      </c>
      <c r="E65" t="s">
        <v>78</v>
      </c>
      <c r="F65" t="s">
        <v>69</v>
      </c>
      <c r="G65">
        <v>0.65</v>
      </c>
      <c r="H65" t="s">
        <v>79</v>
      </c>
      <c r="I65">
        <v>20</v>
      </c>
      <c r="J65" t="str">
        <f>HYPERLINK("https://www.eliteprospects.com/player/548701/eric-charpentier")</f>
        <v>https://www.eliteprospects.com/player/548701/eric-charpentier</v>
      </c>
      <c r="K65" t="s">
        <v>27</v>
      </c>
      <c r="L65" t="s">
        <v>28</v>
      </c>
      <c r="M65" t="s">
        <v>1296</v>
      </c>
      <c r="N65">
        <v>3</v>
      </c>
      <c r="O65" t="s">
        <v>74</v>
      </c>
      <c r="P65">
        <v>0.13</v>
      </c>
      <c r="Q65" t="s">
        <v>1300</v>
      </c>
      <c r="R65">
        <v>30.8</v>
      </c>
      <c r="S65">
        <v>20.5</v>
      </c>
      <c r="T65">
        <v>10.3</v>
      </c>
      <c r="U65">
        <v>10.3</v>
      </c>
      <c r="V65">
        <v>28.2</v>
      </c>
    </row>
    <row r="66" spans="1:22" x14ac:dyDescent="0.25">
      <c r="A66" t="s">
        <v>1349</v>
      </c>
      <c r="B66" t="s">
        <v>88</v>
      </c>
      <c r="C66">
        <v>22</v>
      </c>
      <c r="D66" t="s">
        <v>66</v>
      </c>
      <c r="E66" t="s">
        <v>78</v>
      </c>
      <c r="F66" t="s">
        <v>69</v>
      </c>
      <c r="G66">
        <v>0.5</v>
      </c>
      <c r="H66" t="s">
        <v>57</v>
      </c>
      <c r="I66">
        <v>2</v>
      </c>
      <c r="J66" t="str">
        <f>HYPERLINK("https://www.eliteprospects.com/player/623762/jake-peterson")</f>
        <v>https://www.eliteprospects.com/player/623762/jake-peterson</v>
      </c>
      <c r="K66" t="s">
        <v>27</v>
      </c>
      <c r="L66" t="s">
        <v>28</v>
      </c>
      <c r="M66" t="s">
        <v>1296</v>
      </c>
      <c r="N66">
        <v>2</v>
      </c>
      <c r="O66" t="s">
        <v>43</v>
      </c>
      <c r="P66">
        <v>0.1</v>
      </c>
      <c r="Q66" t="s">
        <v>1325</v>
      </c>
      <c r="R66">
        <v>27.3</v>
      </c>
      <c r="S66">
        <v>22.7</v>
      </c>
      <c r="T66">
        <v>27.3</v>
      </c>
      <c r="U66">
        <v>4.5</v>
      </c>
      <c r="V66">
        <v>18.2</v>
      </c>
    </row>
    <row r="67" spans="1:22" x14ac:dyDescent="0.25">
      <c r="A67" t="s">
        <v>1350</v>
      </c>
      <c r="B67" t="s">
        <v>120</v>
      </c>
      <c r="C67">
        <v>18</v>
      </c>
      <c r="D67" t="s">
        <v>140</v>
      </c>
      <c r="E67" t="s">
        <v>26</v>
      </c>
      <c r="F67" t="s">
        <v>69</v>
      </c>
      <c r="G67">
        <v>0.61</v>
      </c>
      <c r="H67" t="s">
        <v>46</v>
      </c>
      <c r="I67">
        <v>6</v>
      </c>
      <c r="J67" t="str">
        <f>HYPERLINK("https://www.eliteprospects.com/player/599415/drew-fortescue")</f>
        <v>https://www.eliteprospects.com/player/599415/drew-fortescue</v>
      </c>
      <c r="K67" t="s">
        <v>27</v>
      </c>
      <c r="L67" t="s">
        <v>28</v>
      </c>
      <c r="M67" t="s">
        <v>1296</v>
      </c>
      <c r="N67">
        <v>3</v>
      </c>
      <c r="O67" t="s">
        <v>74</v>
      </c>
      <c r="P67">
        <v>0.12</v>
      </c>
      <c r="Q67" t="s">
        <v>1300</v>
      </c>
      <c r="R67">
        <v>30.8</v>
      </c>
      <c r="S67">
        <v>20.5</v>
      </c>
      <c r="T67">
        <v>10.3</v>
      </c>
      <c r="U67">
        <v>10.3</v>
      </c>
      <c r="V67">
        <v>28.2</v>
      </c>
    </row>
    <row r="68" spans="1:22" x14ac:dyDescent="0.25">
      <c r="A68" t="s">
        <v>1351</v>
      </c>
      <c r="B68" t="s">
        <v>98</v>
      </c>
      <c r="C68">
        <v>21</v>
      </c>
      <c r="D68" t="s">
        <v>140</v>
      </c>
      <c r="E68" t="s">
        <v>26</v>
      </c>
      <c r="F68" t="s">
        <v>69</v>
      </c>
      <c r="G68">
        <v>0.52</v>
      </c>
      <c r="H68" t="s">
        <v>125</v>
      </c>
      <c r="I68">
        <v>7</v>
      </c>
      <c r="J68" t="str">
        <f>HYPERLINK("https://www.eliteprospects.com/player/591976/etienne-lessard")</f>
        <v>https://www.eliteprospects.com/player/591976/etienne-lessard</v>
      </c>
      <c r="K68" t="s">
        <v>27</v>
      </c>
      <c r="L68" t="s">
        <v>28</v>
      </c>
      <c r="M68" t="s">
        <v>1296</v>
      </c>
      <c r="N68">
        <v>1</v>
      </c>
      <c r="O68" t="s">
        <v>71</v>
      </c>
      <c r="P68">
        <v>0.1</v>
      </c>
      <c r="Q68" t="s">
        <v>1325</v>
      </c>
      <c r="R68">
        <v>27.3</v>
      </c>
      <c r="S68">
        <v>22.7</v>
      </c>
      <c r="T68">
        <v>27.3</v>
      </c>
      <c r="U68">
        <v>4.5</v>
      </c>
      <c r="V68">
        <v>18.2</v>
      </c>
    </row>
    <row r="69" spans="1:22" x14ac:dyDescent="0.25">
      <c r="A69" t="s">
        <v>1352</v>
      </c>
      <c r="B69" t="s">
        <v>59</v>
      </c>
      <c r="C69">
        <v>22</v>
      </c>
      <c r="D69" t="s">
        <v>140</v>
      </c>
      <c r="E69" t="s">
        <v>26</v>
      </c>
      <c r="F69" t="s">
        <v>69</v>
      </c>
      <c r="G69">
        <v>0.5</v>
      </c>
      <c r="H69" t="s">
        <v>66</v>
      </c>
      <c r="I69">
        <v>14</v>
      </c>
      <c r="J69" t="str">
        <f>HYPERLINK("https://www.eliteprospects.com/player/737982/lukas-peterson")</f>
        <v>https://www.eliteprospects.com/player/737982/lukas-peterson</v>
      </c>
      <c r="K69" t="s">
        <v>27</v>
      </c>
      <c r="L69" t="s">
        <v>28</v>
      </c>
      <c r="M69" t="s">
        <v>1296</v>
      </c>
      <c r="N69">
        <v>1</v>
      </c>
      <c r="O69" t="s">
        <v>71</v>
      </c>
      <c r="P69">
        <v>0.1</v>
      </c>
      <c r="Q69" t="s">
        <v>1325</v>
      </c>
      <c r="R69">
        <v>27.3</v>
      </c>
      <c r="S69">
        <v>22.7</v>
      </c>
      <c r="T69">
        <v>27.3</v>
      </c>
      <c r="U69">
        <v>4.5</v>
      </c>
      <c r="V69">
        <v>18.2</v>
      </c>
    </row>
    <row r="70" spans="1:22" x14ac:dyDescent="0.25">
      <c r="A70" t="s">
        <v>1353</v>
      </c>
      <c r="B70" t="s">
        <v>165</v>
      </c>
      <c r="C70">
        <v>20</v>
      </c>
      <c r="D70" t="s">
        <v>79</v>
      </c>
      <c r="E70" t="s">
        <v>45</v>
      </c>
      <c r="F70" t="s">
        <v>69</v>
      </c>
      <c r="G70">
        <v>0.55000000000000004</v>
      </c>
      <c r="H70" t="s">
        <v>26</v>
      </c>
      <c r="I70">
        <v>-15</v>
      </c>
      <c r="J70" t="str">
        <f>HYPERLINK("https://www.eliteprospects.com/player/403420/michael-neumeier")</f>
        <v>https://www.eliteprospects.com/player/403420/michael-neumeier</v>
      </c>
      <c r="K70" t="s">
        <v>27</v>
      </c>
      <c r="L70" t="s">
        <v>28</v>
      </c>
      <c r="M70" t="s">
        <v>1296</v>
      </c>
      <c r="N70">
        <v>2</v>
      </c>
      <c r="O70" t="s">
        <v>43</v>
      </c>
      <c r="P70">
        <v>0.11</v>
      </c>
      <c r="Q70" t="s">
        <v>1325</v>
      </c>
      <c r="R70">
        <v>27.3</v>
      </c>
      <c r="S70">
        <v>22.7</v>
      </c>
      <c r="T70">
        <v>27.3</v>
      </c>
      <c r="U70">
        <v>4.5</v>
      </c>
      <c r="V70">
        <v>18.2</v>
      </c>
    </row>
    <row r="71" spans="1:22" x14ac:dyDescent="0.25">
      <c r="A71" t="s">
        <v>1354</v>
      </c>
      <c r="B71" t="s">
        <v>68</v>
      </c>
      <c r="C71">
        <v>22</v>
      </c>
      <c r="D71" t="s">
        <v>79</v>
      </c>
      <c r="E71" t="s">
        <v>45</v>
      </c>
      <c r="F71" t="s">
        <v>69</v>
      </c>
      <c r="G71">
        <v>0.5</v>
      </c>
      <c r="H71" t="s">
        <v>23</v>
      </c>
      <c r="I71">
        <v>23</v>
      </c>
      <c r="J71" t="str">
        <f>HYPERLINK("https://www.eliteprospects.com/player/619045/elliott-groenewold")</f>
        <v>https://www.eliteprospects.com/player/619045/elliott-groenewold</v>
      </c>
      <c r="K71" t="s">
        <v>27</v>
      </c>
      <c r="L71" t="s">
        <v>28</v>
      </c>
      <c r="M71" t="s">
        <v>1296</v>
      </c>
      <c r="N71">
        <v>2</v>
      </c>
      <c r="O71" t="s">
        <v>43</v>
      </c>
      <c r="P71">
        <v>0.1</v>
      </c>
      <c r="Q71" t="s">
        <v>1325</v>
      </c>
      <c r="R71">
        <v>27.3</v>
      </c>
      <c r="S71">
        <v>22.7</v>
      </c>
      <c r="T71">
        <v>27.3</v>
      </c>
      <c r="U71">
        <v>4.5</v>
      </c>
      <c r="V71">
        <v>18.2</v>
      </c>
    </row>
    <row r="72" spans="1:22" x14ac:dyDescent="0.25">
      <c r="A72" t="s">
        <v>1355</v>
      </c>
      <c r="B72" t="s">
        <v>85</v>
      </c>
      <c r="C72">
        <v>16</v>
      </c>
      <c r="D72" t="s">
        <v>260</v>
      </c>
      <c r="E72" t="s">
        <v>32</v>
      </c>
      <c r="F72" t="s">
        <v>69</v>
      </c>
      <c r="G72">
        <v>0.69</v>
      </c>
      <c r="H72" t="s">
        <v>79</v>
      </c>
      <c r="I72">
        <v>11</v>
      </c>
      <c r="J72" t="str">
        <f>HYPERLINK("https://www.eliteprospects.com/player/617532/tyler-rubin")</f>
        <v>https://www.eliteprospects.com/player/617532/tyler-rubin</v>
      </c>
      <c r="K72" t="s">
        <v>27</v>
      </c>
      <c r="L72" t="s">
        <v>28</v>
      </c>
      <c r="M72" t="s">
        <v>1296</v>
      </c>
      <c r="N72">
        <v>4</v>
      </c>
      <c r="O72" t="s">
        <v>30</v>
      </c>
      <c r="P72">
        <v>0.13</v>
      </c>
      <c r="Q72" t="s">
        <v>1300</v>
      </c>
      <c r="R72">
        <v>30.8</v>
      </c>
      <c r="S72">
        <v>20.5</v>
      </c>
      <c r="T72">
        <v>10.3</v>
      </c>
      <c r="U72">
        <v>10.3</v>
      </c>
      <c r="V72">
        <v>28.2</v>
      </c>
    </row>
    <row r="73" spans="1:22" x14ac:dyDescent="0.25">
      <c r="A73" t="s">
        <v>1356</v>
      </c>
      <c r="B73" t="s">
        <v>174</v>
      </c>
      <c r="C73">
        <v>19</v>
      </c>
      <c r="D73" t="s">
        <v>260</v>
      </c>
      <c r="E73" t="s">
        <v>32</v>
      </c>
      <c r="F73" t="s">
        <v>69</v>
      </c>
      <c r="G73">
        <v>0.57999999999999996</v>
      </c>
      <c r="H73" t="s">
        <v>26</v>
      </c>
      <c r="I73">
        <v>0</v>
      </c>
      <c r="J73" t="str">
        <f>HYPERLINK("https://www.eliteprospects.com/player/622327/brendan-fitzgerald")</f>
        <v>https://www.eliteprospects.com/player/622327/brendan-fitzgerald</v>
      </c>
      <c r="K73" t="s">
        <v>27</v>
      </c>
      <c r="L73" t="s">
        <v>28</v>
      </c>
      <c r="M73" t="s">
        <v>1296</v>
      </c>
      <c r="N73">
        <v>3</v>
      </c>
      <c r="O73" t="s">
        <v>74</v>
      </c>
      <c r="P73">
        <v>0.11</v>
      </c>
      <c r="Q73" t="s">
        <v>1325</v>
      </c>
      <c r="R73">
        <v>27.3</v>
      </c>
      <c r="S73">
        <v>22.7</v>
      </c>
      <c r="T73">
        <v>27.3</v>
      </c>
      <c r="U73">
        <v>4.5</v>
      </c>
      <c r="V73">
        <v>18.2</v>
      </c>
    </row>
    <row r="74" spans="1:22" x14ac:dyDescent="0.25">
      <c r="A74" t="s">
        <v>1357</v>
      </c>
      <c r="B74" t="s">
        <v>128</v>
      </c>
      <c r="C74">
        <v>20</v>
      </c>
      <c r="D74" t="s">
        <v>260</v>
      </c>
      <c r="E74" t="s">
        <v>32</v>
      </c>
      <c r="F74" t="s">
        <v>69</v>
      </c>
      <c r="G74">
        <v>0.55000000000000004</v>
      </c>
      <c r="H74" t="s">
        <v>39</v>
      </c>
      <c r="I74">
        <v>-1</v>
      </c>
      <c r="J74" t="str">
        <f>HYPERLINK("https://www.eliteprospects.com/player/337000/dalton-norris")</f>
        <v>https://www.eliteprospects.com/player/337000/dalton-norris</v>
      </c>
      <c r="K74" t="s">
        <v>27</v>
      </c>
      <c r="L74" t="s">
        <v>28</v>
      </c>
      <c r="M74" t="s">
        <v>1296</v>
      </c>
      <c r="N74">
        <v>4</v>
      </c>
      <c r="O74" t="s">
        <v>30</v>
      </c>
      <c r="P74">
        <v>0.11</v>
      </c>
      <c r="Q74" t="s">
        <v>1325</v>
      </c>
      <c r="R74">
        <v>27.3</v>
      </c>
      <c r="S74">
        <v>22.7</v>
      </c>
      <c r="T74">
        <v>27.3</v>
      </c>
      <c r="U74">
        <v>4.5</v>
      </c>
      <c r="V74">
        <v>18.2</v>
      </c>
    </row>
    <row r="75" spans="1:22" x14ac:dyDescent="0.25">
      <c r="A75" t="s">
        <v>1358</v>
      </c>
      <c r="B75" t="s">
        <v>202</v>
      </c>
      <c r="C75">
        <v>22</v>
      </c>
      <c r="D75" t="s">
        <v>132</v>
      </c>
      <c r="E75" t="s">
        <v>69</v>
      </c>
      <c r="F75" t="s">
        <v>69</v>
      </c>
      <c r="G75">
        <v>0.5</v>
      </c>
      <c r="H75" t="s">
        <v>55</v>
      </c>
      <c r="I75">
        <v>5</v>
      </c>
      <c r="J75" t="str">
        <f>HYPERLINK("https://www.eliteprospects.com/player/588162/griffin-ludtke")</f>
        <v>https://www.eliteprospects.com/player/588162/griffin-ludtke</v>
      </c>
      <c r="K75" t="s">
        <v>27</v>
      </c>
      <c r="L75" t="s">
        <v>28</v>
      </c>
      <c r="M75" t="s">
        <v>1296</v>
      </c>
      <c r="N75">
        <v>4</v>
      </c>
      <c r="O75" t="s">
        <v>30</v>
      </c>
      <c r="P75">
        <v>0.1</v>
      </c>
      <c r="Q75" t="s">
        <v>1325</v>
      </c>
      <c r="R75">
        <v>27.3</v>
      </c>
      <c r="S75">
        <v>22.7</v>
      </c>
      <c r="T75">
        <v>27.3</v>
      </c>
      <c r="U75">
        <v>4.5</v>
      </c>
      <c r="V75">
        <v>18.2</v>
      </c>
    </row>
    <row r="76" spans="1:22" x14ac:dyDescent="0.25">
      <c r="A76" t="s">
        <v>1359</v>
      </c>
      <c r="B76" t="s">
        <v>59</v>
      </c>
      <c r="C76">
        <v>22</v>
      </c>
      <c r="D76" t="s">
        <v>132</v>
      </c>
      <c r="E76" t="s">
        <v>69</v>
      </c>
      <c r="F76" t="s">
        <v>69</v>
      </c>
      <c r="G76">
        <v>0.5</v>
      </c>
      <c r="H76" t="s">
        <v>33</v>
      </c>
      <c r="I76">
        <v>10</v>
      </c>
      <c r="J76" t="str">
        <f>HYPERLINK("https://www.eliteprospects.com/player/436384/brandon-chabrier")</f>
        <v>https://www.eliteprospects.com/player/436384/brandon-chabrier</v>
      </c>
      <c r="K76" t="s">
        <v>27</v>
      </c>
      <c r="L76" t="s">
        <v>28</v>
      </c>
      <c r="M76" t="s">
        <v>1296</v>
      </c>
      <c r="N76">
        <v>4</v>
      </c>
      <c r="O76" t="s">
        <v>30</v>
      </c>
      <c r="P76">
        <v>0.1</v>
      </c>
      <c r="Q76" t="s">
        <v>1325</v>
      </c>
      <c r="R76">
        <v>27.3</v>
      </c>
      <c r="S76">
        <v>22.7</v>
      </c>
      <c r="T76">
        <v>27.3</v>
      </c>
      <c r="U76">
        <v>4.5</v>
      </c>
      <c r="V76">
        <v>18.2</v>
      </c>
    </row>
    <row r="77" spans="1:22" x14ac:dyDescent="0.25">
      <c r="A77" t="s">
        <v>1360</v>
      </c>
      <c r="B77" t="s">
        <v>121</v>
      </c>
      <c r="C77">
        <v>18</v>
      </c>
      <c r="D77" t="s">
        <v>96</v>
      </c>
      <c r="E77" t="s">
        <v>96</v>
      </c>
      <c r="F77" t="s">
        <v>32</v>
      </c>
      <c r="G77">
        <v>0.56000000000000005</v>
      </c>
      <c r="H77" t="s">
        <v>23</v>
      </c>
      <c r="I77">
        <v>0</v>
      </c>
      <c r="J77" t="str">
        <f>HYPERLINK("https://www.eliteprospects.com/player/639808/nicholas-bernardo")</f>
        <v>https://www.eliteprospects.com/player/639808/nicholas-bernardo</v>
      </c>
      <c r="K77" t="s">
        <v>27</v>
      </c>
      <c r="L77" t="s">
        <v>28</v>
      </c>
      <c r="M77" t="s">
        <v>1296</v>
      </c>
      <c r="N77">
        <v>2</v>
      </c>
      <c r="O77" t="s">
        <v>43</v>
      </c>
      <c r="P77">
        <v>0.11</v>
      </c>
      <c r="Q77" t="s">
        <v>1325</v>
      </c>
      <c r="R77">
        <v>27.3</v>
      </c>
      <c r="S77">
        <v>22.7</v>
      </c>
      <c r="T77">
        <v>27.3</v>
      </c>
      <c r="U77">
        <v>4.5</v>
      </c>
      <c r="V77">
        <v>18.2</v>
      </c>
    </row>
    <row r="78" spans="1:22" x14ac:dyDescent="0.25">
      <c r="A78" t="s">
        <v>1361</v>
      </c>
      <c r="B78" t="s">
        <v>37</v>
      </c>
      <c r="C78">
        <v>21</v>
      </c>
      <c r="D78" t="s">
        <v>96</v>
      </c>
      <c r="E78" t="s">
        <v>96</v>
      </c>
      <c r="F78" t="s">
        <v>32</v>
      </c>
      <c r="G78">
        <v>0.48</v>
      </c>
      <c r="H78" t="s">
        <v>79</v>
      </c>
      <c r="I78">
        <v>0</v>
      </c>
      <c r="J78" t="str">
        <f>HYPERLINK("https://www.eliteprospects.com/player/556516/grayden-siepmann")</f>
        <v>https://www.eliteprospects.com/player/556516/grayden-siepmann</v>
      </c>
      <c r="K78" t="s">
        <v>27</v>
      </c>
      <c r="L78" t="s">
        <v>28</v>
      </c>
      <c r="M78" t="s">
        <v>1296</v>
      </c>
      <c r="N78">
        <v>6</v>
      </c>
      <c r="O78" t="s">
        <v>193</v>
      </c>
      <c r="P78">
        <v>0.09</v>
      </c>
      <c r="Q78" t="s">
        <v>1325</v>
      </c>
      <c r="R78">
        <v>27.3</v>
      </c>
      <c r="S78">
        <v>22.7</v>
      </c>
      <c r="T78">
        <v>27.3</v>
      </c>
      <c r="U78">
        <v>4.5</v>
      </c>
      <c r="V78">
        <v>18.2</v>
      </c>
    </row>
    <row r="79" spans="1:22" x14ac:dyDescent="0.25">
      <c r="A79" t="s">
        <v>1362</v>
      </c>
      <c r="B79" t="s">
        <v>106</v>
      </c>
      <c r="C79">
        <v>21</v>
      </c>
      <c r="D79" t="s">
        <v>96</v>
      </c>
      <c r="E79" t="s">
        <v>96</v>
      </c>
      <c r="F79" t="s">
        <v>32</v>
      </c>
      <c r="G79">
        <v>0.48</v>
      </c>
      <c r="H79" t="s">
        <v>57</v>
      </c>
      <c r="I79">
        <v>-4</v>
      </c>
      <c r="J79" t="str">
        <f>HYPERLINK("https://www.eliteprospects.com/player/692443/tate-taylor")</f>
        <v>https://www.eliteprospects.com/player/692443/tate-taylor</v>
      </c>
      <c r="K79" t="s">
        <v>27</v>
      </c>
      <c r="L79" t="s">
        <v>28</v>
      </c>
      <c r="M79" t="s">
        <v>1296</v>
      </c>
      <c r="N79">
        <v>2</v>
      </c>
      <c r="O79" t="s">
        <v>43</v>
      </c>
      <c r="P79">
        <v>0.09</v>
      </c>
      <c r="Q79" t="s">
        <v>1325</v>
      </c>
      <c r="R79">
        <v>27.3</v>
      </c>
      <c r="S79">
        <v>22.7</v>
      </c>
      <c r="T79">
        <v>27.3</v>
      </c>
      <c r="U79">
        <v>4.5</v>
      </c>
      <c r="V79">
        <v>18.2</v>
      </c>
    </row>
    <row r="80" spans="1:22" x14ac:dyDescent="0.25">
      <c r="A80" t="s">
        <v>1363</v>
      </c>
      <c r="B80" t="s">
        <v>202</v>
      </c>
      <c r="C80">
        <v>22</v>
      </c>
      <c r="D80" t="s">
        <v>96</v>
      </c>
      <c r="E80" t="s">
        <v>96</v>
      </c>
      <c r="F80" t="s">
        <v>32</v>
      </c>
      <c r="G80">
        <v>0.45</v>
      </c>
      <c r="H80" t="s">
        <v>38</v>
      </c>
      <c r="I80">
        <v>-2</v>
      </c>
      <c r="J80" t="str">
        <f>HYPERLINK("https://www.eliteprospects.com/player/476026/marc-lajoie")</f>
        <v>https://www.eliteprospects.com/player/476026/marc-lajoie</v>
      </c>
      <c r="K80" t="s">
        <v>27</v>
      </c>
      <c r="L80" t="s">
        <v>28</v>
      </c>
      <c r="M80" t="s">
        <v>1296</v>
      </c>
      <c r="N80">
        <v>6</v>
      </c>
      <c r="O80" t="s">
        <v>193</v>
      </c>
      <c r="P80">
        <v>0.09</v>
      </c>
      <c r="Q80" t="s">
        <v>1325</v>
      </c>
      <c r="R80">
        <v>27.3</v>
      </c>
      <c r="S80">
        <v>22.7</v>
      </c>
      <c r="T80">
        <v>27.3</v>
      </c>
      <c r="U80">
        <v>4.5</v>
      </c>
      <c r="V80">
        <v>18.2</v>
      </c>
    </row>
    <row r="81" spans="1:22" x14ac:dyDescent="0.25">
      <c r="A81" t="s">
        <v>1364</v>
      </c>
      <c r="B81" t="s">
        <v>83</v>
      </c>
      <c r="C81">
        <v>17</v>
      </c>
      <c r="D81" t="s">
        <v>66</v>
      </c>
      <c r="E81" t="s">
        <v>57</v>
      </c>
      <c r="F81" t="s">
        <v>32</v>
      </c>
      <c r="G81">
        <v>0.59</v>
      </c>
      <c r="H81" t="s">
        <v>32</v>
      </c>
      <c r="I81">
        <v>18</v>
      </c>
      <c r="J81" t="str">
        <f>HYPERLINK("https://www.eliteprospects.com/player/553204/colin-grable")</f>
        <v>https://www.eliteprospects.com/player/553204/colin-grable</v>
      </c>
      <c r="K81" t="s">
        <v>27</v>
      </c>
      <c r="L81" t="s">
        <v>28</v>
      </c>
      <c r="M81" t="s">
        <v>1296</v>
      </c>
      <c r="N81">
        <v>2</v>
      </c>
      <c r="O81" t="s">
        <v>43</v>
      </c>
      <c r="P81">
        <v>0.11</v>
      </c>
      <c r="Q81" t="s">
        <v>1325</v>
      </c>
      <c r="R81">
        <v>27.3</v>
      </c>
      <c r="S81">
        <v>22.7</v>
      </c>
      <c r="T81">
        <v>27.3</v>
      </c>
      <c r="U81">
        <v>4.5</v>
      </c>
      <c r="V81">
        <v>18.2</v>
      </c>
    </row>
    <row r="82" spans="1:22" x14ac:dyDescent="0.25">
      <c r="A82" t="s">
        <v>1365</v>
      </c>
      <c r="B82" t="s">
        <v>238</v>
      </c>
      <c r="C82">
        <v>21</v>
      </c>
      <c r="D82" t="s">
        <v>66</v>
      </c>
      <c r="E82" t="s">
        <v>57</v>
      </c>
      <c r="F82" t="s">
        <v>32</v>
      </c>
      <c r="G82">
        <v>0.48</v>
      </c>
      <c r="H82" t="s">
        <v>26</v>
      </c>
      <c r="I82">
        <v>-13</v>
      </c>
      <c r="J82" t="str">
        <f>HYPERLINK("https://www.eliteprospects.com/player/640301/kazimier-sobieski")</f>
        <v>https://www.eliteprospects.com/player/640301/kazimier-sobieski</v>
      </c>
      <c r="K82" t="s">
        <v>27</v>
      </c>
      <c r="L82" t="s">
        <v>28</v>
      </c>
      <c r="M82" t="s">
        <v>1296</v>
      </c>
      <c r="N82">
        <v>2</v>
      </c>
      <c r="O82" t="s">
        <v>43</v>
      </c>
      <c r="P82">
        <v>0.09</v>
      </c>
      <c r="Q82" t="s">
        <v>1325</v>
      </c>
      <c r="R82">
        <v>27.3</v>
      </c>
      <c r="S82">
        <v>22.7</v>
      </c>
      <c r="T82">
        <v>27.3</v>
      </c>
      <c r="U82">
        <v>4.5</v>
      </c>
      <c r="V82">
        <v>18.2</v>
      </c>
    </row>
    <row r="83" spans="1:22" x14ac:dyDescent="0.25">
      <c r="A83" t="s">
        <v>1366</v>
      </c>
      <c r="B83" t="s">
        <v>139</v>
      </c>
      <c r="C83">
        <v>14</v>
      </c>
      <c r="D83" t="s">
        <v>140</v>
      </c>
      <c r="E83" t="s">
        <v>78</v>
      </c>
      <c r="F83" t="s">
        <v>32</v>
      </c>
      <c r="G83">
        <v>0.71</v>
      </c>
      <c r="H83" t="s">
        <v>26</v>
      </c>
      <c r="I83">
        <v>4</v>
      </c>
      <c r="J83" t="str">
        <f>HYPERLINK("https://www.eliteprospects.com/player/807168/luke-osburn")</f>
        <v>https://www.eliteprospects.com/player/807168/luke-osburn</v>
      </c>
      <c r="K83" t="s">
        <v>27</v>
      </c>
      <c r="L83" t="s">
        <v>28</v>
      </c>
      <c r="M83" t="s">
        <v>1296</v>
      </c>
      <c r="N83">
        <v>1</v>
      </c>
      <c r="O83" t="s">
        <v>71</v>
      </c>
      <c r="P83">
        <v>0.14000000000000001</v>
      </c>
      <c r="Q83" t="s">
        <v>1300</v>
      </c>
      <c r="R83">
        <v>30.8</v>
      </c>
      <c r="S83">
        <v>20.5</v>
      </c>
      <c r="T83">
        <v>10.3</v>
      </c>
      <c r="U83">
        <v>10.3</v>
      </c>
      <c r="V83">
        <v>28.2</v>
      </c>
    </row>
    <row r="84" spans="1:22" x14ac:dyDescent="0.25">
      <c r="A84" t="s">
        <v>1367</v>
      </c>
      <c r="B84" t="s">
        <v>139</v>
      </c>
      <c r="C84">
        <v>17</v>
      </c>
      <c r="D84" t="s">
        <v>140</v>
      </c>
      <c r="E84" t="s">
        <v>78</v>
      </c>
      <c r="F84" t="s">
        <v>32</v>
      </c>
      <c r="G84">
        <v>0.59</v>
      </c>
      <c r="H84" t="s">
        <v>66</v>
      </c>
      <c r="I84">
        <v>9</v>
      </c>
      <c r="J84" t="str">
        <f>HYPERLINK("https://www.eliteprospects.com/player/616256/joe-palodichuk")</f>
        <v>https://www.eliteprospects.com/player/616256/joe-palodichuk</v>
      </c>
      <c r="K84" t="s">
        <v>27</v>
      </c>
      <c r="L84" t="s">
        <v>28</v>
      </c>
      <c r="M84" t="s">
        <v>1296</v>
      </c>
      <c r="N84">
        <v>3</v>
      </c>
      <c r="O84" t="s">
        <v>74</v>
      </c>
      <c r="P84">
        <v>0.11</v>
      </c>
      <c r="Q84" t="s">
        <v>1325</v>
      </c>
      <c r="R84">
        <v>27.3</v>
      </c>
      <c r="S84">
        <v>22.7</v>
      </c>
      <c r="T84">
        <v>27.3</v>
      </c>
      <c r="U84">
        <v>4.5</v>
      </c>
      <c r="V84">
        <v>18.2</v>
      </c>
    </row>
    <row r="85" spans="1:22" x14ac:dyDescent="0.25">
      <c r="A85" t="s">
        <v>1368</v>
      </c>
      <c r="B85" t="s">
        <v>234</v>
      </c>
      <c r="C85">
        <v>17</v>
      </c>
      <c r="D85" t="s">
        <v>140</v>
      </c>
      <c r="E85" t="s">
        <v>78</v>
      </c>
      <c r="F85" t="s">
        <v>32</v>
      </c>
      <c r="G85">
        <v>0.59</v>
      </c>
      <c r="H85" t="s">
        <v>39</v>
      </c>
      <c r="I85">
        <v>-5</v>
      </c>
      <c r="J85" t="str">
        <f>HYPERLINK("https://www.eliteprospects.com/player/535645/matthew-desiderio")</f>
        <v>https://www.eliteprospects.com/player/535645/matthew-desiderio</v>
      </c>
      <c r="K85" t="s">
        <v>27</v>
      </c>
      <c r="L85" t="s">
        <v>28</v>
      </c>
      <c r="M85" t="s">
        <v>1296</v>
      </c>
      <c r="N85">
        <v>1</v>
      </c>
      <c r="O85" t="s">
        <v>71</v>
      </c>
      <c r="P85">
        <v>0.11</v>
      </c>
      <c r="Q85" t="s">
        <v>1325</v>
      </c>
      <c r="R85">
        <v>27.3</v>
      </c>
      <c r="S85">
        <v>22.7</v>
      </c>
      <c r="T85">
        <v>27.3</v>
      </c>
      <c r="U85">
        <v>4.5</v>
      </c>
      <c r="V85">
        <v>18.2</v>
      </c>
    </row>
    <row r="86" spans="1:22" x14ac:dyDescent="0.25">
      <c r="A86" t="s">
        <v>1369</v>
      </c>
      <c r="B86" t="s">
        <v>177</v>
      </c>
      <c r="C86">
        <v>19</v>
      </c>
      <c r="D86" t="s">
        <v>140</v>
      </c>
      <c r="E86" t="s">
        <v>78</v>
      </c>
      <c r="F86" t="s">
        <v>32</v>
      </c>
      <c r="G86">
        <v>0.53</v>
      </c>
      <c r="H86" t="s">
        <v>84</v>
      </c>
      <c r="I86">
        <v>8</v>
      </c>
      <c r="J86" t="str">
        <f>HYPERLINK("https://www.eliteprospects.com/player/325955/lane-brockhoff")</f>
        <v>https://www.eliteprospects.com/player/325955/lane-brockhoff</v>
      </c>
      <c r="K86" t="s">
        <v>27</v>
      </c>
      <c r="L86" t="s">
        <v>28</v>
      </c>
      <c r="M86" t="s">
        <v>1296</v>
      </c>
      <c r="N86">
        <v>4</v>
      </c>
      <c r="O86" t="s">
        <v>30</v>
      </c>
      <c r="P86">
        <v>0.1</v>
      </c>
      <c r="Q86" t="s">
        <v>1325</v>
      </c>
      <c r="R86">
        <v>27.3</v>
      </c>
      <c r="S86">
        <v>22.7</v>
      </c>
      <c r="T86">
        <v>27.3</v>
      </c>
      <c r="U86">
        <v>4.5</v>
      </c>
      <c r="V86">
        <v>18.2</v>
      </c>
    </row>
    <row r="87" spans="1:22" x14ac:dyDescent="0.25">
      <c r="A87" t="s">
        <v>1370</v>
      </c>
      <c r="B87" t="s">
        <v>73</v>
      </c>
      <c r="C87">
        <v>22</v>
      </c>
      <c r="D87" t="s">
        <v>140</v>
      </c>
      <c r="E87" t="s">
        <v>78</v>
      </c>
      <c r="F87" t="s">
        <v>32</v>
      </c>
      <c r="G87">
        <v>0.45</v>
      </c>
      <c r="H87" t="s">
        <v>79</v>
      </c>
      <c r="I87">
        <v>2</v>
      </c>
      <c r="J87" t="str">
        <f>HYPERLINK("https://www.eliteprospects.com/player/603702/finn-loftus")</f>
        <v>https://www.eliteprospects.com/player/603702/finn-loftus</v>
      </c>
      <c r="K87" t="s">
        <v>27</v>
      </c>
      <c r="L87" t="s">
        <v>28</v>
      </c>
      <c r="M87" t="s">
        <v>1296</v>
      </c>
      <c r="N87">
        <v>2</v>
      </c>
      <c r="O87" t="s">
        <v>43</v>
      </c>
      <c r="P87">
        <v>0.09</v>
      </c>
      <c r="Q87" t="s">
        <v>1325</v>
      </c>
      <c r="R87">
        <v>27.3</v>
      </c>
      <c r="S87">
        <v>22.7</v>
      </c>
      <c r="T87">
        <v>27.3</v>
      </c>
      <c r="U87">
        <v>4.5</v>
      </c>
      <c r="V87">
        <v>18.2</v>
      </c>
    </row>
    <row r="88" spans="1:22" x14ac:dyDescent="0.25">
      <c r="A88" t="s">
        <v>1371</v>
      </c>
      <c r="B88" t="s">
        <v>148</v>
      </c>
      <c r="C88">
        <v>23</v>
      </c>
      <c r="D88" t="s">
        <v>140</v>
      </c>
      <c r="E88" t="s">
        <v>78</v>
      </c>
      <c r="F88" t="s">
        <v>32</v>
      </c>
      <c r="G88">
        <v>0.43</v>
      </c>
      <c r="H88" t="s">
        <v>125</v>
      </c>
      <c r="I88">
        <v>3</v>
      </c>
      <c r="J88" t="str">
        <f>HYPERLINK("https://www.eliteprospects.com/player/499372/hayden-hennen")</f>
        <v>https://www.eliteprospects.com/player/499372/hayden-hennen</v>
      </c>
      <c r="K88" t="s">
        <v>27</v>
      </c>
      <c r="L88" t="s">
        <v>28</v>
      </c>
      <c r="M88" t="s">
        <v>1296</v>
      </c>
      <c r="N88">
        <v>3</v>
      </c>
      <c r="O88" t="s">
        <v>74</v>
      </c>
      <c r="P88">
        <v>0.08</v>
      </c>
      <c r="Q88" t="s">
        <v>1325</v>
      </c>
      <c r="R88">
        <v>30</v>
      </c>
      <c r="S88">
        <v>25</v>
      </c>
      <c r="T88">
        <v>32.5</v>
      </c>
      <c r="U88">
        <v>5</v>
      </c>
      <c r="V88">
        <v>7.5</v>
      </c>
    </row>
    <row r="89" spans="1:22" x14ac:dyDescent="0.25">
      <c r="A89" t="s">
        <v>1372</v>
      </c>
      <c r="B89" t="s">
        <v>44</v>
      </c>
      <c r="C89">
        <v>24</v>
      </c>
      <c r="D89" t="s">
        <v>140</v>
      </c>
      <c r="E89" t="s">
        <v>78</v>
      </c>
      <c r="F89" t="s">
        <v>32</v>
      </c>
      <c r="G89">
        <v>0.42</v>
      </c>
      <c r="H89" t="s">
        <v>79</v>
      </c>
      <c r="I89">
        <v>-2</v>
      </c>
      <c r="J89" t="str">
        <f>HYPERLINK("https://www.eliteprospects.com/player/603574/reid-andresen")</f>
        <v>https://www.eliteprospects.com/player/603574/reid-andresen</v>
      </c>
      <c r="K89" t="s">
        <v>27</v>
      </c>
      <c r="L89" t="s">
        <v>28</v>
      </c>
      <c r="M89" t="s">
        <v>1296</v>
      </c>
      <c r="N89">
        <v>6</v>
      </c>
      <c r="O89" t="s">
        <v>193</v>
      </c>
      <c r="P89">
        <v>0.08</v>
      </c>
      <c r="Q89" t="s">
        <v>1325</v>
      </c>
      <c r="R89">
        <v>30</v>
      </c>
      <c r="S89">
        <v>25</v>
      </c>
      <c r="T89">
        <v>32.5</v>
      </c>
      <c r="U89">
        <v>5</v>
      </c>
      <c r="V89">
        <v>7.5</v>
      </c>
    </row>
    <row r="90" spans="1:22" x14ac:dyDescent="0.25">
      <c r="A90" t="s">
        <v>1373</v>
      </c>
      <c r="B90" t="s">
        <v>177</v>
      </c>
      <c r="C90">
        <v>17</v>
      </c>
      <c r="D90" t="s">
        <v>79</v>
      </c>
      <c r="E90" t="s">
        <v>26</v>
      </c>
      <c r="F90" t="s">
        <v>32</v>
      </c>
      <c r="G90">
        <v>0.59</v>
      </c>
      <c r="H90" t="s">
        <v>79</v>
      </c>
      <c r="I90">
        <v>-3</v>
      </c>
      <c r="J90" t="str">
        <f>HYPERLINK("https://www.eliteprospects.com/player/538400/nathan-oickle")</f>
        <v>https://www.eliteprospects.com/player/538400/nathan-oickle</v>
      </c>
      <c r="K90" t="s">
        <v>27</v>
      </c>
      <c r="L90" t="s">
        <v>28</v>
      </c>
      <c r="M90" t="s">
        <v>1296</v>
      </c>
      <c r="N90">
        <v>2</v>
      </c>
      <c r="O90" t="s">
        <v>43</v>
      </c>
      <c r="P90">
        <v>0.11</v>
      </c>
      <c r="Q90" t="s">
        <v>1325</v>
      </c>
      <c r="R90">
        <v>27.3</v>
      </c>
      <c r="S90">
        <v>22.7</v>
      </c>
      <c r="T90">
        <v>27.3</v>
      </c>
      <c r="U90">
        <v>4.5</v>
      </c>
      <c r="V90">
        <v>18.2</v>
      </c>
    </row>
    <row r="91" spans="1:22" x14ac:dyDescent="0.25">
      <c r="A91" t="s">
        <v>1374</v>
      </c>
      <c r="B91" t="s">
        <v>195</v>
      </c>
      <c r="C91">
        <v>20</v>
      </c>
      <c r="D91" t="s">
        <v>79</v>
      </c>
      <c r="E91" t="s">
        <v>26</v>
      </c>
      <c r="F91" t="s">
        <v>32</v>
      </c>
      <c r="G91">
        <v>0.5</v>
      </c>
      <c r="H91" t="s">
        <v>47</v>
      </c>
      <c r="I91">
        <v>7</v>
      </c>
      <c r="J91" t="str">
        <f>HYPERLINK("https://www.eliteprospects.com/player/685705/gavin-mccarthy")</f>
        <v>https://www.eliteprospects.com/player/685705/gavin-mccarthy</v>
      </c>
      <c r="K91" t="s">
        <v>27</v>
      </c>
      <c r="L91" t="s">
        <v>28</v>
      </c>
      <c r="M91" t="s">
        <v>1296</v>
      </c>
      <c r="N91">
        <v>3</v>
      </c>
      <c r="O91" t="s">
        <v>74</v>
      </c>
      <c r="P91">
        <v>0.1</v>
      </c>
      <c r="Q91" t="s">
        <v>1325</v>
      </c>
      <c r="R91">
        <v>27.3</v>
      </c>
      <c r="S91">
        <v>22.7</v>
      </c>
      <c r="T91">
        <v>27.3</v>
      </c>
      <c r="U91">
        <v>4.5</v>
      </c>
      <c r="V91">
        <v>18.2</v>
      </c>
    </row>
    <row r="92" spans="1:22" x14ac:dyDescent="0.25">
      <c r="A92" t="s">
        <v>1375</v>
      </c>
      <c r="B92" t="s">
        <v>171</v>
      </c>
      <c r="C92">
        <v>21</v>
      </c>
      <c r="D92" t="s">
        <v>79</v>
      </c>
      <c r="E92" t="s">
        <v>26</v>
      </c>
      <c r="F92" t="s">
        <v>32</v>
      </c>
      <c r="G92">
        <v>0.48</v>
      </c>
      <c r="H92" t="s">
        <v>66</v>
      </c>
      <c r="I92">
        <v>-3</v>
      </c>
      <c r="J92" t="str">
        <f>HYPERLINK("https://www.eliteprospects.com/player/473038/t.j.-schweighardt")</f>
        <v>https://www.eliteprospects.com/player/473038/t.j.-schweighardt</v>
      </c>
      <c r="K92" t="s">
        <v>27</v>
      </c>
      <c r="L92" t="s">
        <v>28</v>
      </c>
      <c r="M92" t="s">
        <v>1296</v>
      </c>
      <c r="N92">
        <v>4</v>
      </c>
      <c r="O92" t="s">
        <v>30</v>
      </c>
      <c r="P92">
        <v>0.09</v>
      </c>
      <c r="Q92" t="s">
        <v>1325</v>
      </c>
      <c r="R92">
        <v>27.3</v>
      </c>
      <c r="S92">
        <v>22.7</v>
      </c>
      <c r="T92">
        <v>27.3</v>
      </c>
      <c r="U92">
        <v>4.5</v>
      </c>
      <c r="V92">
        <v>18.2</v>
      </c>
    </row>
    <row r="93" spans="1:22" x14ac:dyDescent="0.25">
      <c r="A93" t="s">
        <v>1376</v>
      </c>
      <c r="B93" t="s">
        <v>171</v>
      </c>
      <c r="C93">
        <v>21</v>
      </c>
      <c r="D93" t="s">
        <v>79</v>
      </c>
      <c r="E93" t="s">
        <v>26</v>
      </c>
      <c r="F93" t="s">
        <v>32</v>
      </c>
      <c r="G93">
        <v>0.48</v>
      </c>
      <c r="H93" t="s">
        <v>46</v>
      </c>
      <c r="I93">
        <v>-2</v>
      </c>
      <c r="J93" t="str">
        <f>HYPERLINK("https://www.eliteprospects.com/player/641137/luke-shipley")</f>
        <v>https://www.eliteprospects.com/player/641137/luke-shipley</v>
      </c>
      <c r="K93" t="s">
        <v>27</v>
      </c>
      <c r="L93" t="s">
        <v>28</v>
      </c>
      <c r="M93" t="s">
        <v>1296</v>
      </c>
      <c r="N93">
        <v>6</v>
      </c>
      <c r="O93" t="s">
        <v>193</v>
      </c>
      <c r="P93">
        <v>0.09</v>
      </c>
      <c r="Q93" t="s">
        <v>1325</v>
      </c>
      <c r="R93">
        <v>27.3</v>
      </c>
      <c r="S93">
        <v>22.7</v>
      </c>
      <c r="T93">
        <v>27.3</v>
      </c>
      <c r="U93">
        <v>4.5</v>
      </c>
      <c r="V93">
        <v>18.2</v>
      </c>
    </row>
    <row r="94" spans="1:22" x14ac:dyDescent="0.25">
      <c r="A94" t="s">
        <v>1377</v>
      </c>
      <c r="B94" t="s">
        <v>150</v>
      </c>
      <c r="C94">
        <v>19</v>
      </c>
      <c r="D94" t="s">
        <v>260</v>
      </c>
      <c r="E94" t="s">
        <v>45</v>
      </c>
      <c r="F94" t="s">
        <v>32</v>
      </c>
      <c r="G94">
        <v>0.53</v>
      </c>
      <c r="H94" t="s">
        <v>61</v>
      </c>
      <c r="I94">
        <v>-5</v>
      </c>
      <c r="J94" t="str">
        <f>HYPERLINK("https://www.eliteprospects.com/player/658972/broten-sabo")</f>
        <v>https://www.eliteprospects.com/player/658972/broten-sabo</v>
      </c>
      <c r="K94" t="s">
        <v>27</v>
      </c>
      <c r="L94" t="s">
        <v>28</v>
      </c>
      <c r="M94" t="s">
        <v>1296</v>
      </c>
      <c r="N94">
        <v>3</v>
      </c>
      <c r="O94" t="s">
        <v>74</v>
      </c>
      <c r="P94">
        <v>0.1</v>
      </c>
      <c r="Q94" t="s">
        <v>1325</v>
      </c>
      <c r="R94">
        <v>27.3</v>
      </c>
      <c r="S94">
        <v>22.7</v>
      </c>
      <c r="T94">
        <v>27.3</v>
      </c>
      <c r="U94">
        <v>4.5</v>
      </c>
      <c r="V94">
        <v>18.2</v>
      </c>
    </row>
    <row r="95" spans="1:22" x14ac:dyDescent="0.25">
      <c r="A95" t="s">
        <v>1378</v>
      </c>
      <c r="B95" t="s">
        <v>95</v>
      </c>
      <c r="C95">
        <v>20</v>
      </c>
      <c r="D95" t="s">
        <v>260</v>
      </c>
      <c r="E95" t="s">
        <v>45</v>
      </c>
      <c r="F95" t="s">
        <v>32</v>
      </c>
      <c r="G95">
        <v>0.5</v>
      </c>
      <c r="H95" t="s">
        <v>39</v>
      </c>
      <c r="I95">
        <v>12</v>
      </c>
      <c r="J95" t="str">
        <f>HYPERLINK("https://www.eliteprospects.com/player/588623/theo-wallberg")</f>
        <v>https://www.eliteprospects.com/player/588623/theo-wallberg</v>
      </c>
      <c r="K95" t="s">
        <v>27</v>
      </c>
      <c r="L95" t="s">
        <v>28</v>
      </c>
      <c r="M95" t="s">
        <v>1296</v>
      </c>
      <c r="N95">
        <v>3</v>
      </c>
      <c r="O95" t="s">
        <v>74</v>
      </c>
      <c r="P95">
        <v>0.1</v>
      </c>
      <c r="Q95" t="s">
        <v>1325</v>
      </c>
      <c r="R95">
        <v>27.3</v>
      </c>
      <c r="S95">
        <v>22.7</v>
      </c>
      <c r="T95">
        <v>27.3</v>
      </c>
      <c r="U95">
        <v>4.5</v>
      </c>
      <c r="V95">
        <v>18.2</v>
      </c>
    </row>
    <row r="96" spans="1:22" x14ac:dyDescent="0.25">
      <c r="A96" t="s">
        <v>1379</v>
      </c>
      <c r="B96" t="s">
        <v>146</v>
      </c>
      <c r="C96">
        <v>22</v>
      </c>
      <c r="D96" t="s">
        <v>260</v>
      </c>
      <c r="E96" t="s">
        <v>45</v>
      </c>
      <c r="F96" t="s">
        <v>32</v>
      </c>
      <c r="G96">
        <v>0.45</v>
      </c>
      <c r="H96" t="s">
        <v>66</v>
      </c>
      <c r="I96">
        <v>-8</v>
      </c>
      <c r="J96" t="str">
        <f>HYPERLINK("https://www.eliteprospects.com/player/497327/evan-bushy")</f>
        <v>https://www.eliteprospects.com/player/497327/evan-bushy</v>
      </c>
      <c r="K96" t="s">
        <v>27</v>
      </c>
      <c r="L96" t="s">
        <v>28</v>
      </c>
      <c r="M96" t="s">
        <v>1296</v>
      </c>
      <c r="N96">
        <v>3</v>
      </c>
      <c r="O96" t="s">
        <v>74</v>
      </c>
      <c r="P96">
        <v>0.09</v>
      </c>
      <c r="Q96" t="s">
        <v>1325</v>
      </c>
      <c r="R96">
        <v>27.3</v>
      </c>
      <c r="S96">
        <v>22.7</v>
      </c>
      <c r="T96">
        <v>27.3</v>
      </c>
      <c r="U96">
        <v>4.5</v>
      </c>
      <c r="V96">
        <v>18.2</v>
      </c>
    </row>
    <row r="97" spans="1:22" x14ac:dyDescent="0.25">
      <c r="A97" t="s">
        <v>1380</v>
      </c>
      <c r="B97" t="s">
        <v>50</v>
      </c>
      <c r="C97">
        <v>22</v>
      </c>
      <c r="D97" t="s">
        <v>260</v>
      </c>
      <c r="E97" t="s">
        <v>45</v>
      </c>
      <c r="F97" t="s">
        <v>32</v>
      </c>
      <c r="G97">
        <v>0.45</v>
      </c>
      <c r="H97" t="s">
        <v>26</v>
      </c>
      <c r="I97">
        <v>20</v>
      </c>
      <c r="J97" t="str">
        <f>HYPERLINK("https://www.eliteprospects.com/player/577011/asher-barnett")</f>
        <v>https://www.eliteprospects.com/player/577011/asher-barnett</v>
      </c>
      <c r="K97" t="s">
        <v>27</v>
      </c>
      <c r="L97" t="s">
        <v>28</v>
      </c>
      <c r="M97" t="s">
        <v>1296</v>
      </c>
      <c r="N97">
        <v>1</v>
      </c>
      <c r="O97" t="s">
        <v>71</v>
      </c>
      <c r="P97">
        <v>0.09</v>
      </c>
      <c r="Q97" t="s">
        <v>1325</v>
      </c>
      <c r="R97">
        <v>27.3</v>
      </c>
      <c r="S97">
        <v>22.7</v>
      </c>
      <c r="T97">
        <v>27.3</v>
      </c>
      <c r="U97">
        <v>4.5</v>
      </c>
      <c r="V97">
        <v>18.2</v>
      </c>
    </row>
    <row r="98" spans="1:22" x14ac:dyDescent="0.25">
      <c r="A98" t="s">
        <v>1381</v>
      </c>
      <c r="B98" t="s">
        <v>73</v>
      </c>
      <c r="C98">
        <v>22</v>
      </c>
      <c r="D98" t="s">
        <v>260</v>
      </c>
      <c r="E98" t="s">
        <v>45</v>
      </c>
      <c r="F98" t="s">
        <v>32</v>
      </c>
      <c r="G98">
        <v>0.45</v>
      </c>
      <c r="H98" t="s">
        <v>26</v>
      </c>
      <c r="I98">
        <v>0</v>
      </c>
      <c r="J98" t="str">
        <f>HYPERLINK("https://www.eliteprospects.com/player/600494/cooper-wylie")</f>
        <v>https://www.eliteprospects.com/player/600494/cooper-wylie</v>
      </c>
      <c r="K98" t="s">
        <v>27</v>
      </c>
      <c r="L98" t="s">
        <v>28</v>
      </c>
      <c r="M98" t="s">
        <v>1296</v>
      </c>
      <c r="N98">
        <v>4</v>
      </c>
      <c r="O98" t="s">
        <v>30</v>
      </c>
      <c r="P98">
        <v>0.09</v>
      </c>
      <c r="Q98" t="s">
        <v>1325</v>
      </c>
      <c r="R98">
        <v>27.3</v>
      </c>
      <c r="S98">
        <v>22.7</v>
      </c>
      <c r="T98">
        <v>27.3</v>
      </c>
      <c r="U98">
        <v>4.5</v>
      </c>
      <c r="V98">
        <v>18.2</v>
      </c>
    </row>
    <row r="99" spans="1:22" x14ac:dyDescent="0.25">
      <c r="A99" t="s">
        <v>1382</v>
      </c>
      <c r="B99" t="s">
        <v>148</v>
      </c>
      <c r="C99">
        <v>23</v>
      </c>
      <c r="D99" t="s">
        <v>260</v>
      </c>
      <c r="E99" t="s">
        <v>45</v>
      </c>
      <c r="F99" t="s">
        <v>32</v>
      </c>
      <c r="G99">
        <v>0.43</v>
      </c>
      <c r="H99" t="s">
        <v>32</v>
      </c>
      <c r="I99">
        <v>3</v>
      </c>
      <c r="J99" t="str">
        <f>HYPERLINK("https://www.eliteprospects.com/player/623774/easton-young")</f>
        <v>https://www.eliteprospects.com/player/623774/easton-young</v>
      </c>
      <c r="K99" t="s">
        <v>27</v>
      </c>
      <c r="L99" t="s">
        <v>28</v>
      </c>
      <c r="M99" t="s">
        <v>1296</v>
      </c>
      <c r="N99">
        <v>2</v>
      </c>
      <c r="O99" t="s">
        <v>43</v>
      </c>
      <c r="P99">
        <v>0.08</v>
      </c>
      <c r="Q99" t="s">
        <v>1325</v>
      </c>
      <c r="R99">
        <v>30</v>
      </c>
      <c r="S99">
        <v>25</v>
      </c>
      <c r="T99">
        <v>32.5</v>
      </c>
      <c r="U99">
        <v>5</v>
      </c>
      <c r="V99">
        <v>7.5</v>
      </c>
    </row>
    <row r="100" spans="1:22" x14ac:dyDescent="0.25">
      <c r="A100" t="s">
        <v>1383</v>
      </c>
      <c r="B100" t="s">
        <v>85</v>
      </c>
      <c r="C100">
        <v>16</v>
      </c>
      <c r="D100" t="s">
        <v>132</v>
      </c>
      <c r="E100" t="s">
        <v>32</v>
      </c>
      <c r="F100" t="s">
        <v>32</v>
      </c>
      <c r="G100">
        <v>0.63</v>
      </c>
      <c r="H100" t="s">
        <v>66</v>
      </c>
      <c r="I100">
        <v>8</v>
      </c>
      <c r="J100" t="str">
        <f>HYPERLINK("https://www.eliteprospects.com/player/582587/kai-greaves")</f>
        <v>https://www.eliteprospects.com/player/582587/kai-greaves</v>
      </c>
      <c r="K100" t="s">
        <v>27</v>
      </c>
      <c r="L100" t="s">
        <v>28</v>
      </c>
      <c r="M100" t="s">
        <v>1296</v>
      </c>
      <c r="N100">
        <v>2</v>
      </c>
      <c r="O100" t="s">
        <v>43</v>
      </c>
      <c r="P100">
        <v>0.12</v>
      </c>
      <c r="Q100" t="s">
        <v>1300</v>
      </c>
      <c r="R100">
        <v>30.8</v>
      </c>
      <c r="S100">
        <v>20.5</v>
      </c>
      <c r="T100">
        <v>10.3</v>
      </c>
      <c r="U100">
        <v>10.3</v>
      </c>
      <c r="V100">
        <v>28.2</v>
      </c>
    </row>
    <row r="101" spans="1:22" x14ac:dyDescent="0.25">
      <c r="A101" t="s">
        <v>1384</v>
      </c>
      <c r="B101" t="s">
        <v>205</v>
      </c>
      <c r="C101">
        <v>22</v>
      </c>
      <c r="D101" t="s">
        <v>132</v>
      </c>
      <c r="E101" t="s">
        <v>32</v>
      </c>
      <c r="F101" t="s">
        <v>32</v>
      </c>
      <c r="G101">
        <v>0.45</v>
      </c>
      <c r="H101" t="s">
        <v>47</v>
      </c>
      <c r="I101">
        <v>4</v>
      </c>
      <c r="J101" t="str">
        <f>HYPERLINK("https://www.eliteprospects.com/player/539096/tristan-allen")</f>
        <v>https://www.eliteprospects.com/player/539096/tristan-allen</v>
      </c>
      <c r="K101" t="s">
        <v>27</v>
      </c>
      <c r="L101" t="s">
        <v>28</v>
      </c>
      <c r="M101" t="s">
        <v>1296</v>
      </c>
      <c r="N101">
        <v>2</v>
      </c>
      <c r="O101" t="s">
        <v>43</v>
      </c>
      <c r="P101">
        <v>0.09</v>
      </c>
      <c r="Q101" t="s">
        <v>1325</v>
      </c>
      <c r="R101">
        <v>27.3</v>
      </c>
      <c r="S101">
        <v>22.7</v>
      </c>
      <c r="T101">
        <v>27.3</v>
      </c>
      <c r="U101">
        <v>4.5</v>
      </c>
      <c r="V101">
        <v>18.2</v>
      </c>
    </row>
    <row r="102" spans="1:22" x14ac:dyDescent="0.25">
      <c r="A102" t="s">
        <v>1385</v>
      </c>
      <c r="B102" t="s">
        <v>189</v>
      </c>
      <c r="C102">
        <v>24</v>
      </c>
      <c r="D102" t="s">
        <v>132</v>
      </c>
      <c r="E102" t="s">
        <v>32</v>
      </c>
      <c r="F102" t="s">
        <v>32</v>
      </c>
      <c r="G102">
        <v>0.42</v>
      </c>
      <c r="H102" t="s">
        <v>66</v>
      </c>
      <c r="I102">
        <v>-7</v>
      </c>
      <c r="J102" t="str">
        <f>HYPERLINK("https://www.eliteprospects.com/player/619179/christopher-lie")</f>
        <v>https://www.eliteprospects.com/player/619179/christopher-lie</v>
      </c>
      <c r="K102" t="s">
        <v>27</v>
      </c>
      <c r="L102" t="s">
        <v>28</v>
      </c>
      <c r="M102" t="s">
        <v>1296</v>
      </c>
      <c r="N102">
        <v>2</v>
      </c>
      <c r="O102" t="s">
        <v>43</v>
      </c>
      <c r="P102">
        <v>0.08</v>
      </c>
      <c r="Q102" t="s">
        <v>1325</v>
      </c>
      <c r="R102">
        <v>30</v>
      </c>
      <c r="S102">
        <v>25</v>
      </c>
      <c r="T102">
        <v>32.5</v>
      </c>
      <c r="U102">
        <v>5</v>
      </c>
      <c r="V102">
        <v>7.5</v>
      </c>
    </row>
    <row r="103" spans="1:22" x14ac:dyDescent="0.25">
      <c r="A103" t="s">
        <v>1386</v>
      </c>
      <c r="B103" t="s">
        <v>114</v>
      </c>
      <c r="C103">
        <v>18</v>
      </c>
      <c r="D103" t="s">
        <v>96</v>
      </c>
      <c r="E103" t="s">
        <v>66</v>
      </c>
      <c r="F103" t="s">
        <v>45</v>
      </c>
      <c r="G103">
        <v>0.5</v>
      </c>
      <c r="H103" t="s">
        <v>79</v>
      </c>
      <c r="I103">
        <v>4</v>
      </c>
      <c r="J103" t="str">
        <f>HYPERLINK("https://www.eliteprospects.com/player/417298/michael-bevilacqua")</f>
        <v>https://www.eliteprospects.com/player/417298/michael-bevilacqua</v>
      </c>
      <c r="K103" t="s">
        <v>27</v>
      </c>
      <c r="L103" t="s">
        <v>28</v>
      </c>
      <c r="M103" t="s">
        <v>1296</v>
      </c>
      <c r="N103">
        <v>6</v>
      </c>
      <c r="O103" t="s">
        <v>1387</v>
      </c>
      <c r="P103">
        <v>0.1</v>
      </c>
      <c r="Q103" t="s">
        <v>1325</v>
      </c>
      <c r="R103">
        <v>27.3</v>
      </c>
      <c r="S103">
        <v>22.7</v>
      </c>
      <c r="T103">
        <v>27.3</v>
      </c>
      <c r="U103">
        <v>4.5</v>
      </c>
      <c r="V103">
        <v>18.2</v>
      </c>
    </row>
    <row r="104" spans="1:22" x14ac:dyDescent="0.25">
      <c r="A104" t="s">
        <v>1388</v>
      </c>
      <c r="B104" t="s">
        <v>312</v>
      </c>
      <c r="C104">
        <v>18</v>
      </c>
      <c r="D104" t="s">
        <v>66</v>
      </c>
      <c r="E104" t="s">
        <v>96</v>
      </c>
      <c r="F104" t="s">
        <v>45</v>
      </c>
      <c r="G104">
        <v>0.5</v>
      </c>
      <c r="H104" t="s">
        <v>39</v>
      </c>
      <c r="I104">
        <v>-15</v>
      </c>
      <c r="J104" t="str">
        <f>HYPERLINK("https://www.eliteprospects.com/player/420054/joey-potter")</f>
        <v>https://www.eliteprospects.com/player/420054/joey-potter</v>
      </c>
      <c r="K104" t="s">
        <v>27</v>
      </c>
      <c r="L104" t="s">
        <v>28</v>
      </c>
      <c r="M104" t="s">
        <v>1296</v>
      </c>
      <c r="N104">
        <v>3</v>
      </c>
      <c r="O104" t="s">
        <v>74</v>
      </c>
      <c r="P104">
        <v>0.1</v>
      </c>
      <c r="Q104" t="s">
        <v>1325</v>
      </c>
      <c r="R104">
        <v>27.3</v>
      </c>
      <c r="S104">
        <v>22.7</v>
      </c>
      <c r="T104">
        <v>27.3</v>
      </c>
      <c r="U104">
        <v>4.5</v>
      </c>
      <c r="V104">
        <v>18.2</v>
      </c>
    </row>
    <row r="105" spans="1:22" x14ac:dyDescent="0.25">
      <c r="A105" t="s">
        <v>1389</v>
      </c>
      <c r="B105" t="s">
        <v>80</v>
      </c>
      <c r="C105">
        <v>20</v>
      </c>
      <c r="D105" t="s">
        <v>66</v>
      </c>
      <c r="E105" t="s">
        <v>96</v>
      </c>
      <c r="F105" t="s">
        <v>45</v>
      </c>
      <c r="G105">
        <v>0.45</v>
      </c>
      <c r="H105" t="s">
        <v>25</v>
      </c>
      <c r="I105">
        <v>7</v>
      </c>
      <c r="J105" t="str">
        <f>HYPERLINK("https://www.eliteprospects.com/player/397847/jarod-crespo")</f>
        <v>https://www.eliteprospects.com/player/397847/jarod-crespo</v>
      </c>
      <c r="K105" t="s">
        <v>27</v>
      </c>
      <c r="L105" t="s">
        <v>28</v>
      </c>
      <c r="M105" t="s">
        <v>1296</v>
      </c>
      <c r="N105">
        <v>4</v>
      </c>
      <c r="O105" t="s">
        <v>30</v>
      </c>
      <c r="P105">
        <v>0.09</v>
      </c>
      <c r="Q105" t="s">
        <v>1325</v>
      </c>
      <c r="R105">
        <v>27.3</v>
      </c>
      <c r="S105">
        <v>22.7</v>
      </c>
      <c r="T105">
        <v>27.3</v>
      </c>
      <c r="U105">
        <v>4.5</v>
      </c>
      <c r="V105">
        <v>18.2</v>
      </c>
    </row>
    <row r="106" spans="1:22" x14ac:dyDescent="0.25">
      <c r="A106" t="s">
        <v>1390</v>
      </c>
      <c r="B106" t="s">
        <v>139</v>
      </c>
      <c r="C106">
        <v>17</v>
      </c>
      <c r="D106" t="s">
        <v>140</v>
      </c>
      <c r="E106" t="s">
        <v>57</v>
      </c>
      <c r="F106" t="s">
        <v>45</v>
      </c>
      <c r="G106">
        <v>0.53</v>
      </c>
      <c r="H106" t="s">
        <v>32</v>
      </c>
      <c r="I106">
        <v>9</v>
      </c>
      <c r="J106" t="str">
        <f>HYPERLINK("https://www.eliteprospects.com/player/703251/logan-hensler")</f>
        <v>https://www.eliteprospects.com/player/703251/logan-hensler</v>
      </c>
      <c r="K106" t="s">
        <v>27</v>
      </c>
      <c r="L106" t="s">
        <v>28</v>
      </c>
      <c r="M106" t="s">
        <v>1296</v>
      </c>
      <c r="N106">
        <v>2</v>
      </c>
      <c r="O106" t="s">
        <v>43</v>
      </c>
      <c r="P106">
        <v>0.1</v>
      </c>
      <c r="Q106" t="s">
        <v>1325</v>
      </c>
      <c r="R106">
        <v>27.3</v>
      </c>
      <c r="S106">
        <v>22.7</v>
      </c>
      <c r="T106">
        <v>27.3</v>
      </c>
      <c r="U106">
        <v>4.5</v>
      </c>
      <c r="V106">
        <v>18.2</v>
      </c>
    </row>
    <row r="107" spans="1:22" x14ac:dyDescent="0.25">
      <c r="A107" t="s">
        <v>1391</v>
      </c>
      <c r="B107" t="s">
        <v>224</v>
      </c>
      <c r="C107">
        <v>18</v>
      </c>
      <c r="D107" t="s">
        <v>140</v>
      </c>
      <c r="E107" t="s">
        <v>57</v>
      </c>
      <c r="F107" t="s">
        <v>45</v>
      </c>
      <c r="G107">
        <v>0.5</v>
      </c>
      <c r="H107" t="s">
        <v>66</v>
      </c>
      <c r="I107">
        <v>-10</v>
      </c>
      <c r="J107" t="str">
        <f>HYPERLINK("https://www.eliteprospects.com/player/504014/michael-craig")</f>
        <v>https://www.eliteprospects.com/player/504014/michael-craig</v>
      </c>
      <c r="K107" t="s">
        <v>27</v>
      </c>
      <c r="L107" t="s">
        <v>28</v>
      </c>
      <c r="M107" t="s">
        <v>1296</v>
      </c>
      <c r="N107">
        <v>3</v>
      </c>
      <c r="O107" t="s">
        <v>74</v>
      </c>
      <c r="P107">
        <v>0.1</v>
      </c>
      <c r="Q107" t="s">
        <v>1325</v>
      </c>
      <c r="R107">
        <v>27.3</v>
      </c>
      <c r="S107">
        <v>22.7</v>
      </c>
      <c r="T107">
        <v>27.3</v>
      </c>
      <c r="U107">
        <v>4.5</v>
      </c>
      <c r="V107">
        <v>18.2</v>
      </c>
    </row>
    <row r="108" spans="1:22" x14ac:dyDescent="0.25">
      <c r="A108" t="s">
        <v>1392</v>
      </c>
      <c r="B108" t="s">
        <v>288</v>
      </c>
      <c r="C108">
        <v>19</v>
      </c>
      <c r="D108" t="s">
        <v>140</v>
      </c>
      <c r="E108" t="s">
        <v>57</v>
      </c>
      <c r="F108" t="s">
        <v>45</v>
      </c>
      <c r="G108">
        <v>0.47</v>
      </c>
      <c r="H108" t="s">
        <v>79</v>
      </c>
      <c r="I108">
        <v>-4</v>
      </c>
      <c r="J108" t="str">
        <f>HYPERLINK("https://www.eliteprospects.com/player/473495/sebastian-tornqvist")</f>
        <v>https://www.eliteprospects.com/player/473495/sebastian-tornqvist</v>
      </c>
      <c r="K108" t="s">
        <v>27</v>
      </c>
      <c r="L108" t="s">
        <v>28</v>
      </c>
      <c r="M108" t="s">
        <v>1296</v>
      </c>
      <c r="N108">
        <v>3</v>
      </c>
      <c r="O108" t="s">
        <v>74</v>
      </c>
      <c r="P108">
        <v>0.09</v>
      </c>
      <c r="Q108" t="s">
        <v>1325</v>
      </c>
      <c r="R108">
        <v>27.3</v>
      </c>
      <c r="S108">
        <v>22.7</v>
      </c>
      <c r="T108">
        <v>27.3</v>
      </c>
      <c r="U108">
        <v>4.5</v>
      </c>
      <c r="V108">
        <v>18.2</v>
      </c>
    </row>
    <row r="109" spans="1:22" x14ac:dyDescent="0.25">
      <c r="A109" t="s">
        <v>1393</v>
      </c>
      <c r="B109" t="s">
        <v>50</v>
      </c>
      <c r="C109">
        <v>22</v>
      </c>
      <c r="D109" t="s">
        <v>140</v>
      </c>
      <c r="E109" t="s">
        <v>57</v>
      </c>
      <c r="F109" t="s">
        <v>45</v>
      </c>
      <c r="G109">
        <v>0.41</v>
      </c>
      <c r="H109" t="s">
        <v>66</v>
      </c>
      <c r="I109">
        <v>18</v>
      </c>
      <c r="J109" t="str">
        <f>HYPERLINK("https://www.eliteprospects.com/player/582775/luca-fantilli")</f>
        <v>https://www.eliteprospects.com/player/582775/luca-fantilli</v>
      </c>
      <c r="K109" t="s">
        <v>27</v>
      </c>
      <c r="L109" t="s">
        <v>28</v>
      </c>
      <c r="M109" t="s">
        <v>1296</v>
      </c>
      <c r="N109">
        <v>4</v>
      </c>
      <c r="O109" t="s">
        <v>30</v>
      </c>
      <c r="P109">
        <v>0.08</v>
      </c>
      <c r="Q109" t="s">
        <v>1325</v>
      </c>
      <c r="R109">
        <v>30</v>
      </c>
      <c r="S109">
        <v>25</v>
      </c>
      <c r="T109">
        <v>32.5</v>
      </c>
      <c r="U109">
        <v>5</v>
      </c>
      <c r="V109">
        <v>7.5</v>
      </c>
    </row>
    <row r="110" spans="1:22" x14ac:dyDescent="0.25">
      <c r="A110" t="s">
        <v>1394</v>
      </c>
      <c r="B110" t="s">
        <v>68</v>
      </c>
      <c r="C110">
        <v>22</v>
      </c>
      <c r="D110" t="s">
        <v>140</v>
      </c>
      <c r="E110" t="s">
        <v>57</v>
      </c>
      <c r="F110" t="s">
        <v>45</v>
      </c>
      <c r="G110">
        <v>0.41</v>
      </c>
      <c r="H110" t="s">
        <v>26</v>
      </c>
      <c r="I110">
        <v>6</v>
      </c>
      <c r="J110" t="str">
        <f>HYPERLINK("https://www.eliteprospects.com/player/477345/graham-sward")</f>
        <v>https://www.eliteprospects.com/player/477345/graham-sward</v>
      </c>
      <c r="K110" t="s">
        <v>27</v>
      </c>
      <c r="L110" t="s">
        <v>28</v>
      </c>
      <c r="M110" t="s">
        <v>1296</v>
      </c>
      <c r="N110">
        <v>6</v>
      </c>
      <c r="O110" t="s">
        <v>193</v>
      </c>
      <c r="P110">
        <v>0.08</v>
      </c>
      <c r="Q110" t="s">
        <v>1325</v>
      </c>
      <c r="R110">
        <v>30</v>
      </c>
      <c r="S110">
        <v>25</v>
      </c>
      <c r="T110">
        <v>32.5</v>
      </c>
      <c r="U110">
        <v>5</v>
      </c>
      <c r="V110">
        <v>7.5</v>
      </c>
    </row>
    <row r="111" spans="1:22" x14ac:dyDescent="0.25">
      <c r="A111" t="s">
        <v>1395</v>
      </c>
      <c r="B111" t="s">
        <v>131</v>
      </c>
      <c r="C111">
        <v>22</v>
      </c>
      <c r="D111" t="s">
        <v>140</v>
      </c>
      <c r="E111" t="s">
        <v>57</v>
      </c>
      <c r="F111" t="s">
        <v>45</v>
      </c>
      <c r="G111">
        <v>0.41</v>
      </c>
      <c r="H111" t="s">
        <v>24</v>
      </c>
      <c r="I111">
        <v>-4</v>
      </c>
      <c r="J111" t="str">
        <f>HYPERLINK("https://www.eliteprospects.com/player/543780/jude-brower")</f>
        <v>https://www.eliteprospects.com/player/543780/jude-brower</v>
      </c>
      <c r="K111" t="s">
        <v>27</v>
      </c>
      <c r="L111" t="s">
        <v>28</v>
      </c>
      <c r="M111" t="s">
        <v>1296</v>
      </c>
      <c r="N111">
        <v>4</v>
      </c>
      <c r="O111" t="s">
        <v>30</v>
      </c>
      <c r="P111">
        <v>0.08</v>
      </c>
      <c r="Q111" t="s">
        <v>1325</v>
      </c>
      <c r="R111">
        <v>30</v>
      </c>
      <c r="S111">
        <v>25</v>
      </c>
      <c r="T111">
        <v>32.5</v>
      </c>
      <c r="U111">
        <v>5</v>
      </c>
      <c r="V111">
        <v>7.5</v>
      </c>
    </row>
    <row r="112" spans="1:22" x14ac:dyDescent="0.25">
      <c r="A112" t="s">
        <v>1396</v>
      </c>
      <c r="B112" t="s">
        <v>120</v>
      </c>
      <c r="C112">
        <v>18</v>
      </c>
      <c r="D112" t="s">
        <v>79</v>
      </c>
      <c r="E112" t="s">
        <v>78</v>
      </c>
      <c r="F112" t="s">
        <v>45</v>
      </c>
      <c r="G112">
        <v>0.5</v>
      </c>
      <c r="H112" t="s">
        <v>269</v>
      </c>
      <c r="I112">
        <v>1</v>
      </c>
      <c r="J112" t="str">
        <f>HYPERLINK("https://www.eliteprospects.com/player/551973/lukas-gustafsson")</f>
        <v>https://www.eliteprospects.com/player/551973/lukas-gustafsson</v>
      </c>
      <c r="K112" t="s">
        <v>27</v>
      </c>
      <c r="L112" t="s">
        <v>28</v>
      </c>
      <c r="M112" t="s">
        <v>1296</v>
      </c>
      <c r="N112">
        <v>4</v>
      </c>
      <c r="O112" t="s">
        <v>30</v>
      </c>
      <c r="P112">
        <v>0.1</v>
      </c>
      <c r="Q112" t="s">
        <v>1325</v>
      </c>
      <c r="R112">
        <v>27.3</v>
      </c>
      <c r="S112">
        <v>22.7</v>
      </c>
      <c r="T112">
        <v>27.3</v>
      </c>
      <c r="U112">
        <v>4.5</v>
      </c>
      <c r="V112">
        <v>18.2</v>
      </c>
    </row>
    <row r="113" spans="1:22" x14ac:dyDescent="0.25">
      <c r="A113" t="s">
        <v>1397</v>
      </c>
      <c r="B113" t="s">
        <v>158</v>
      </c>
      <c r="C113">
        <v>19</v>
      </c>
      <c r="D113" t="s">
        <v>79</v>
      </c>
      <c r="E113" t="s">
        <v>78</v>
      </c>
      <c r="F113" t="s">
        <v>45</v>
      </c>
      <c r="G113">
        <v>0.47</v>
      </c>
      <c r="H113" t="s">
        <v>132</v>
      </c>
      <c r="I113">
        <v>-4</v>
      </c>
      <c r="J113" t="str">
        <f>HYPERLINK("https://www.eliteprospects.com/player/512126/nathan-rickey")</f>
        <v>https://www.eliteprospects.com/player/512126/nathan-rickey</v>
      </c>
      <c r="K113" t="s">
        <v>27</v>
      </c>
      <c r="L113" t="s">
        <v>28</v>
      </c>
      <c r="M113" t="s">
        <v>1296</v>
      </c>
      <c r="N113">
        <v>2</v>
      </c>
      <c r="O113" t="s">
        <v>43</v>
      </c>
      <c r="P113">
        <v>0.09</v>
      </c>
      <c r="Q113" t="s">
        <v>1325</v>
      </c>
      <c r="R113">
        <v>27.3</v>
      </c>
      <c r="S113">
        <v>22.7</v>
      </c>
      <c r="T113">
        <v>27.3</v>
      </c>
      <c r="U113">
        <v>4.5</v>
      </c>
      <c r="V113">
        <v>18.2</v>
      </c>
    </row>
    <row r="114" spans="1:22" x14ac:dyDescent="0.25">
      <c r="A114" t="s">
        <v>1398</v>
      </c>
      <c r="B114" t="s">
        <v>128</v>
      </c>
      <c r="C114">
        <v>20</v>
      </c>
      <c r="D114" t="s">
        <v>79</v>
      </c>
      <c r="E114" t="s">
        <v>78</v>
      </c>
      <c r="F114" t="s">
        <v>45</v>
      </c>
      <c r="G114">
        <v>0.45</v>
      </c>
      <c r="H114" t="s">
        <v>57</v>
      </c>
      <c r="I114">
        <v>1</v>
      </c>
      <c r="J114" t="str">
        <f>HYPERLINK("https://www.eliteprospects.com/player/715347/brayden-crampton")</f>
        <v>https://www.eliteprospects.com/player/715347/brayden-crampton</v>
      </c>
      <c r="K114" t="s">
        <v>27</v>
      </c>
      <c r="L114" t="s">
        <v>28</v>
      </c>
      <c r="M114" t="s">
        <v>1296</v>
      </c>
      <c r="N114">
        <v>5</v>
      </c>
      <c r="O114" t="s">
        <v>152</v>
      </c>
      <c r="P114">
        <v>0.09</v>
      </c>
      <c r="Q114" t="s">
        <v>1325</v>
      </c>
      <c r="R114">
        <v>27.3</v>
      </c>
      <c r="S114">
        <v>22.7</v>
      </c>
      <c r="T114">
        <v>27.3</v>
      </c>
      <c r="U114">
        <v>4.5</v>
      </c>
      <c r="V114">
        <v>18.2</v>
      </c>
    </row>
    <row r="115" spans="1:22" x14ac:dyDescent="0.25">
      <c r="A115" t="s">
        <v>1399</v>
      </c>
      <c r="B115" t="s">
        <v>163</v>
      </c>
      <c r="C115">
        <v>20</v>
      </c>
      <c r="D115" t="s">
        <v>79</v>
      </c>
      <c r="E115" t="s">
        <v>78</v>
      </c>
      <c r="F115" t="s">
        <v>45</v>
      </c>
      <c r="G115">
        <v>0.45</v>
      </c>
      <c r="H115" t="s">
        <v>23</v>
      </c>
      <c r="I115">
        <v>5</v>
      </c>
      <c r="J115" t="str">
        <f>HYPERLINK("https://www.eliteprospects.com/player/603753/andrew-centrella")</f>
        <v>https://www.eliteprospects.com/player/603753/andrew-centrella</v>
      </c>
      <c r="K115" t="s">
        <v>27</v>
      </c>
      <c r="L115" t="s">
        <v>28</v>
      </c>
      <c r="M115" t="s">
        <v>1296</v>
      </c>
      <c r="N115">
        <v>3</v>
      </c>
      <c r="O115" t="s">
        <v>74</v>
      </c>
      <c r="P115">
        <v>0.09</v>
      </c>
      <c r="Q115" t="s">
        <v>1325</v>
      </c>
      <c r="R115">
        <v>27.3</v>
      </c>
      <c r="S115">
        <v>22.7</v>
      </c>
      <c r="T115">
        <v>27.3</v>
      </c>
      <c r="U115">
        <v>4.5</v>
      </c>
      <c r="V115">
        <v>18.2</v>
      </c>
    </row>
    <row r="116" spans="1:22" x14ac:dyDescent="0.25">
      <c r="A116" t="s">
        <v>1400</v>
      </c>
      <c r="B116" t="s">
        <v>180</v>
      </c>
      <c r="C116">
        <v>20</v>
      </c>
      <c r="D116" t="s">
        <v>79</v>
      </c>
      <c r="E116" t="s">
        <v>78</v>
      </c>
      <c r="F116" t="s">
        <v>45</v>
      </c>
      <c r="G116">
        <v>0.45</v>
      </c>
      <c r="H116" t="s">
        <v>46</v>
      </c>
      <c r="I116">
        <v>-11</v>
      </c>
      <c r="J116" t="str">
        <f>HYPERLINK("https://www.eliteprospects.com/player/346981/axel-kumlin")</f>
        <v>https://www.eliteprospects.com/player/346981/axel-kumlin</v>
      </c>
      <c r="K116" t="s">
        <v>27</v>
      </c>
      <c r="L116" t="s">
        <v>28</v>
      </c>
      <c r="M116" t="s">
        <v>1296</v>
      </c>
      <c r="N116">
        <v>4</v>
      </c>
      <c r="O116" t="s">
        <v>30</v>
      </c>
      <c r="P116">
        <v>0.09</v>
      </c>
      <c r="Q116" t="s">
        <v>1325</v>
      </c>
      <c r="R116">
        <v>27.3</v>
      </c>
      <c r="S116">
        <v>22.7</v>
      </c>
      <c r="T116">
        <v>27.3</v>
      </c>
      <c r="U116">
        <v>4.5</v>
      </c>
      <c r="V116">
        <v>18.2</v>
      </c>
    </row>
    <row r="117" spans="1:22" x14ac:dyDescent="0.25">
      <c r="A117" t="s">
        <v>1401</v>
      </c>
      <c r="B117" t="s">
        <v>59</v>
      </c>
      <c r="C117">
        <v>22</v>
      </c>
      <c r="D117" t="s">
        <v>79</v>
      </c>
      <c r="E117" t="s">
        <v>78</v>
      </c>
      <c r="F117" t="s">
        <v>45</v>
      </c>
      <c r="G117">
        <v>0.41</v>
      </c>
      <c r="H117" t="s">
        <v>38</v>
      </c>
      <c r="I117">
        <v>4</v>
      </c>
      <c r="J117" t="str">
        <f>HYPERLINK("https://www.eliteprospects.com/player/481501/frank-djurasevic")</f>
        <v>https://www.eliteprospects.com/player/481501/frank-djurasevic</v>
      </c>
      <c r="K117" t="s">
        <v>27</v>
      </c>
      <c r="L117" t="s">
        <v>28</v>
      </c>
      <c r="M117" t="s">
        <v>1296</v>
      </c>
      <c r="N117">
        <v>3</v>
      </c>
      <c r="O117" t="s">
        <v>74</v>
      </c>
      <c r="P117">
        <v>0.08</v>
      </c>
      <c r="Q117" t="s">
        <v>1325</v>
      </c>
      <c r="R117">
        <v>30</v>
      </c>
      <c r="S117">
        <v>25</v>
      </c>
      <c r="T117">
        <v>32.5</v>
      </c>
      <c r="U117">
        <v>5</v>
      </c>
      <c r="V117">
        <v>7.5</v>
      </c>
    </row>
    <row r="118" spans="1:22" x14ac:dyDescent="0.25">
      <c r="A118" t="s">
        <v>1402</v>
      </c>
      <c r="B118" t="s">
        <v>22</v>
      </c>
      <c r="C118">
        <v>23</v>
      </c>
      <c r="D118" t="s">
        <v>79</v>
      </c>
      <c r="E118" t="s">
        <v>78</v>
      </c>
      <c r="F118" t="s">
        <v>45</v>
      </c>
      <c r="G118">
        <v>0.39</v>
      </c>
      <c r="H118" t="s">
        <v>57</v>
      </c>
      <c r="I118">
        <v>-5</v>
      </c>
      <c r="J118" t="str">
        <f>HYPERLINK("https://www.eliteprospects.com/player/535603/justin-kipkie")</f>
        <v>https://www.eliteprospects.com/player/535603/justin-kipkie</v>
      </c>
      <c r="K118" t="s">
        <v>27</v>
      </c>
      <c r="L118" t="s">
        <v>28</v>
      </c>
      <c r="M118" t="s">
        <v>1296</v>
      </c>
      <c r="N118">
        <v>5</v>
      </c>
      <c r="O118" t="s">
        <v>152</v>
      </c>
      <c r="P118">
        <v>0.08</v>
      </c>
      <c r="Q118" t="s">
        <v>1325</v>
      </c>
      <c r="R118">
        <v>30</v>
      </c>
      <c r="S118">
        <v>25</v>
      </c>
      <c r="T118">
        <v>32.5</v>
      </c>
      <c r="U118">
        <v>5</v>
      </c>
      <c r="V118">
        <v>7.5</v>
      </c>
    </row>
    <row r="119" spans="1:22" x14ac:dyDescent="0.25">
      <c r="A119" t="s">
        <v>1403</v>
      </c>
      <c r="B119" t="s">
        <v>200</v>
      </c>
      <c r="C119">
        <v>15</v>
      </c>
      <c r="D119" t="s">
        <v>260</v>
      </c>
      <c r="E119" t="s">
        <v>26</v>
      </c>
      <c r="F119" t="s">
        <v>45</v>
      </c>
      <c r="G119">
        <v>0.6</v>
      </c>
      <c r="H119" t="s">
        <v>47</v>
      </c>
      <c r="I119">
        <v>10</v>
      </c>
      <c r="J119" t="str">
        <f>HYPERLINK("https://www.eliteprospects.com/player/626551/george-fegaras")</f>
        <v>https://www.eliteprospects.com/player/626551/george-fegaras</v>
      </c>
      <c r="K119" t="s">
        <v>27</v>
      </c>
      <c r="L119" t="s">
        <v>28</v>
      </c>
      <c r="M119" t="s">
        <v>1296</v>
      </c>
      <c r="N119">
        <v>3</v>
      </c>
      <c r="O119" t="s">
        <v>74</v>
      </c>
      <c r="P119">
        <v>0.12</v>
      </c>
      <c r="Q119" t="s">
        <v>1300</v>
      </c>
      <c r="R119">
        <v>30.8</v>
      </c>
      <c r="S119">
        <v>20.5</v>
      </c>
      <c r="T119">
        <v>10.3</v>
      </c>
      <c r="U119">
        <v>10.3</v>
      </c>
      <c r="V119">
        <v>28.2</v>
      </c>
    </row>
    <row r="120" spans="1:22" x14ac:dyDescent="0.25">
      <c r="A120" t="s">
        <v>1404</v>
      </c>
      <c r="B120" t="s">
        <v>162</v>
      </c>
      <c r="C120">
        <v>20</v>
      </c>
      <c r="D120" t="s">
        <v>260</v>
      </c>
      <c r="E120" t="s">
        <v>26</v>
      </c>
      <c r="F120" t="s">
        <v>45</v>
      </c>
      <c r="G120">
        <v>0.45</v>
      </c>
      <c r="H120" t="s">
        <v>39</v>
      </c>
      <c r="I120">
        <v>2</v>
      </c>
      <c r="J120" t="str">
        <f>HYPERLINK("https://www.eliteprospects.com/player/551342/john-dalton")</f>
        <v>https://www.eliteprospects.com/player/551342/john-dalton</v>
      </c>
      <c r="K120" t="s">
        <v>27</v>
      </c>
      <c r="L120" t="s">
        <v>28</v>
      </c>
      <c r="M120" t="s">
        <v>1296</v>
      </c>
      <c r="N120">
        <v>3</v>
      </c>
      <c r="O120" t="s">
        <v>74</v>
      </c>
      <c r="P120">
        <v>0.09</v>
      </c>
      <c r="Q120" t="s">
        <v>1325</v>
      </c>
      <c r="R120">
        <v>27.3</v>
      </c>
      <c r="S120">
        <v>22.7</v>
      </c>
      <c r="T120">
        <v>27.3</v>
      </c>
      <c r="U120">
        <v>4.5</v>
      </c>
      <c r="V120">
        <v>18.2</v>
      </c>
    </row>
    <row r="121" spans="1:22" x14ac:dyDescent="0.25">
      <c r="A121" t="s">
        <v>1405</v>
      </c>
      <c r="B121" t="s">
        <v>205</v>
      </c>
      <c r="C121">
        <v>21</v>
      </c>
      <c r="D121" t="s">
        <v>260</v>
      </c>
      <c r="E121" t="s">
        <v>26</v>
      </c>
      <c r="F121" t="s">
        <v>45</v>
      </c>
      <c r="G121">
        <v>0.43</v>
      </c>
      <c r="H121" t="s">
        <v>57</v>
      </c>
      <c r="I121">
        <v>-1</v>
      </c>
      <c r="J121" t="str">
        <f>HYPERLINK("https://www.eliteprospects.com/player/201845/crossley-stewart")</f>
        <v>https://www.eliteprospects.com/player/201845/crossley-stewart</v>
      </c>
      <c r="K121" t="s">
        <v>27</v>
      </c>
      <c r="L121" t="s">
        <v>28</v>
      </c>
      <c r="M121" t="s">
        <v>1296</v>
      </c>
      <c r="N121">
        <v>3</v>
      </c>
      <c r="O121" t="s">
        <v>74</v>
      </c>
      <c r="P121">
        <v>0.08</v>
      </c>
      <c r="Q121" t="s">
        <v>1325</v>
      </c>
      <c r="R121">
        <v>30</v>
      </c>
      <c r="S121">
        <v>25</v>
      </c>
      <c r="T121">
        <v>32.5</v>
      </c>
      <c r="U121">
        <v>5</v>
      </c>
      <c r="V121">
        <v>7.5</v>
      </c>
    </row>
    <row r="122" spans="1:22" x14ac:dyDescent="0.25">
      <c r="A122" t="s">
        <v>1406</v>
      </c>
      <c r="B122" t="s">
        <v>50</v>
      </c>
      <c r="C122">
        <v>10</v>
      </c>
      <c r="D122" t="s">
        <v>132</v>
      </c>
      <c r="E122" t="s">
        <v>45</v>
      </c>
      <c r="F122" t="s">
        <v>45</v>
      </c>
      <c r="G122">
        <v>0.9</v>
      </c>
      <c r="H122" t="s">
        <v>57</v>
      </c>
      <c r="I122">
        <v>5</v>
      </c>
      <c r="J122" t="str">
        <f>HYPERLINK("https://www.eliteprospects.com/player/577193/henry-mews")</f>
        <v>https://www.eliteprospects.com/player/577193/henry-mews</v>
      </c>
      <c r="K122" t="s">
        <v>27</v>
      </c>
      <c r="L122" t="s">
        <v>28</v>
      </c>
      <c r="M122" t="s">
        <v>1296</v>
      </c>
      <c r="N122">
        <v>4</v>
      </c>
      <c r="O122" t="s">
        <v>100</v>
      </c>
      <c r="P122">
        <v>0.17</v>
      </c>
      <c r="Q122" t="s">
        <v>1300</v>
      </c>
      <c r="R122">
        <v>30.8</v>
      </c>
      <c r="S122">
        <v>20.5</v>
      </c>
      <c r="T122">
        <v>10.3</v>
      </c>
      <c r="U122">
        <v>10.3</v>
      </c>
      <c r="V122">
        <v>28.2</v>
      </c>
    </row>
    <row r="123" spans="1:22" x14ac:dyDescent="0.25">
      <c r="A123" t="s">
        <v>1407</v>
      </c>
      <c r="B123" t="s">
        <v>120</v>
      </c>
      <c r="C123">
        <v>16</v>
      </c>
      <c r="D123" t="s">
        <v>132</v>
      </c>
      <c r="E123" t="s">
        <v>45</v>
      </c>
      <c r="F123" t="s">
        <v>45</v>
      </c>
      <c r="G123">
        <v>0.56000000000000005</v>
      </c>
      <c r="H123" t="s">
        <v>66</v>
      </c>
      <c r="I123">
        <v>13</v>
      </c>
      <c r="J123" t="str">
        <f>HYPERLINK("https://www.eliteprospects.com/player/690461/luka-radivojevic")</f>
        <v>https://www.eliteprospects.com/player/690461/luka-radivojevic</v>
      </c>
      <c r="K123" t="s">
        <v>27</v>
      </c>
      <c r="L123" t="s">
        <v>28</v>
      </c>
      <c r="M123" t="s">
        <v>1296</v>
      </c>
      <c r="N123">
        <v>1</v>
      </c>
      <c r="O123" t="s">
        <v>71</v>
      </c>
      <c r="P123">
        <v>0.11</v>
      </c>
      <c r="Q123" t="s">
        <v>1325</v>
      </c>
      <c r="R123">
        <v>27.3</v>
      </c>
      <c r="S123">
        <v>22.7</v>
      </c>
      <c r="T123">
        <v>27.3</v>
      </c>
      <c r="U123">
        <v>4.5</v>
      </c>
      <c r="V123">
        <v>18.2</v>
      </c>
    </row>
    <row r="124" spans="1:22" x14ac:dyDescent="0.25">
      <c r="A124" t="s">
        <v>1408</v>
      </c>
      <c r="B124" t="s">
        <v>50</v>
      </c>
      <c r="C124">
        <v>22</v>
      </c>
      <c r="D124" t="s">
        <v>132</v>
      </c>
      <c r="E124" t="s">
        <v>45</v>
      </c>
      <c r="F124" t="s">
        <v>45</v>
      </c>
      <c r="G124">
        <v>0.41</v>
      </c>
      <c r="H124" t="s">
        <v>564</v>
      </c>
      <c r="I124">
        <v>19</v>
      </c>
      <c r="J124" t="str">
        <f>HYPERLINK("https://www.eliteprospects.com/player/512172/tyler-duke")</f>
        <v>https://www.eliteprospects.com/player/512172/tyler-duke</v>
      </c>
      <c r="K124" t="s">
        <v>27</v>
      </c>
      <c r="L124" t="s">
        <v>28</v>
      </c>
      <c r="M124" t="s">
        <v>1296</v>
      </c>
      <c r="N124">
        <v>4</v>
      </c>
      <c r="O124" t="s">
        <v>30</v>
      </c>
      <c r="P124">
        <v>0.08</v>
      </c>
      <c r="Q124" t="s">
        <v>1325</v>
      </c>
      <c r="R124">
        <v>30</v>
      </c>
      <c r="S124">
        <v>25</v>
      </c>
      <c r="T124">
        <v>32.5</v>
      </c>
      <c r="U124">
        <v>5</v>
      </c>
      <c r="V124">
        <v>7.5</v>
      </c>
    </row>
    <row r="125" spans="1:22" x14ac:dyDescent="0.25">
      <c r="A125" t="s">
        <v>1409</v>
      </c>
      <c r="B125" t="s">
        <v>44</v>
      </c>
      <c r="C125">
        <v>24</v>
      </c>
      <c r="D125" t="s">
        <v>140</v>
      </c>
      <c r="E125" t="s">
        <v>96</v>
      </c>
      <c r="F125" t="s">
        <v>26</v>
      </c>
      <c r="G125">
        <v>0.33</v>
      </c>
      <c r="H125" t="s">
        <v>23</v>
      </c>
      <c r="I125">
        <v>13</v>
      </c>
      <c r="J125" t="str">
        <f>HYPERLINK("https://www.eliteprospects.com/player/562925/tyler-miller")</f>
        <v>https://www.eliteprospects.com/player/562925/tyler-miller</v>
      </c>
      <c r="K125" t="s">
        <v>27</v>
      </c>
      <c r="L125" t="s">
        <v>28</v>
      </c>
      <c r="M125" t="s">
        <v>1296</v>
      </c>
      <c r="N125">
        <v>2</v>
      </c>
      <c r="O125" t="s">
        <v>43</v>
      </c>
      <c r="P125">
        <v>0.06</v>
      </c>
      <c r="Q125" t="s">
        <v>1325</v>
      </c>
      <c r="R125">
        <v>26.3</v>
      </c>
      <c r="S125">
        <v>23.7</v>
      </c>
      <c r="T125">
        <v>28.9</v>
      </c>
      <c r="U125">
        <v>5.3</v>
      </c>
      <c r="V125">
        <v>15.8</v>
      </c>
    </row>
    <row r="126" spans="1:22" x14ac:dyDescent="0.25">
      <c r="A126" t="s">
        <v>1410</v>
      </c>
      <c r="B126" t="s">
        <v>165</v>
      </c>
      <c r="C126">
        <v>18</v>
      </c>
      <c r="D126" t="s">
        <v>79</v>
      </c>
      <c r="E126" t="s">
        <v>57</v>
      </c>
      <c r="F126" t="s">
        <v>26</v>
      </c>
      <c r="G126">
        <v>0.44</v>
      </c>
      <c r="H126" t="s">
        <v>66</v>
      </c>
      <c r="I126">
        <v>-1</v>
      </c>
      <c r="J126" t="str">
        <f>HYPERLINK("https://www.eliteprospects.com/player/505291/joshua-niedermayer")</f>
        <v>https://www.eliteprospects.com/player/505291/joshua-niedermayer</v>
      </c>
      <c r="K126" t="s">
        <v>27</v>
      </c>
      <c r="L126" t="s">
        <v>28</v>
      </c>
      <c r="M126" t="s">
        <v>1296</v>
      </c>
      <c r="N126">
        <v>2</v>
      </c>
      <c r="O126" t="s">
        <v>43</v>
      </c>
      <c r="P126">
        <v>0.09</v>
      </c>
      <c r="Q126" t="s">
        <v>1325</v>
      </c>
      <c r="R126">
        <v>27.3</v>
      </c>
      <c r="S126">
        <v>22.7</v>
      </c>
      <c r="T126">
        <v>27.3</v>
      </c>
      <c r="U126">
        <v>4.5</v>
      </c>
      <c r="V126">
        <v>18.2</v>
      </c>
    </row>
    <row r="127" spans="1:22" x14ac:dyDescent="0.25">
      <c r="A127" t="s">
        <v>1411</v>
      </c>
      <c r="B127" t="s">
        <v>59</v>
      </c>
      <c r="C127">
        <v>18</v>
      </c>
      <c r="D127" t="s">
        <v>79</v>
      </c>
      <c r="E127" t="s">
        <v>57</v>
      </c>
      <c r="F127" t="s">
        <v>26</v>
      </c>
      <c r="G127">
        <v>0.44</v>
      </c>
      <c r="H127" t="s">
        <v>38</v>
      </c>
      <c r="I127">
        <v>10</v>
      </c>
      <c r="J127" t="str">
        <f>HYPERLINK("https://www.eliteprospects.com/player/485737/jeremy-langlois")</f>
        <v>https://www.eliteprospects.com/player/485737/jeremy-langlois</v>
      </c>
      <c r="K127" t="s">
        <v>27</v>
      </c>
      <c r="L127" t="s">
        <v>28</v>
      </c>
      <c r="M127" t="s">
        <v>1296</v>
      </c>
      <c r="N127">
        <v>6</v>
      </c>
      <c r="O127" t="s">
        <v>99</v>
      </c>
      <c r="P127">
        <v>0.09</v>
      </c>
      <c r="Q127" t="s">
        <v>1325</v>
      </c>
      <c r="R127">
        <v>27.3</v>
      </c>
      <c r="S127">
        <v>22.7</v>
      </c>
      <c r="T127">
        <v>27.3</v>
      </c>
      <c r="U127">
        <v>4.5</v>
      </c>
      <c r="V127">
        <v>18.2</v>
      </c>
    </row>
    <row r="128" spans="1:22" x14ac:dyDescent="0.25">
      <c r="A128" t="s">
        <v>1412</v>
      </c>
      <c r="B128" t="s">
        <v>161</v>
      </c>
      <c r="C128">
        <v>20</v>
      </c>
      <c r="D128" t="s">
        <v>79</v>
      </c>
      <c r="E128" t="s">
        <v>57</v>
      </c>
      <c r="F128" t="s">
        <v>26</v>
      </c>
      <c r="G128">
        <v>0.4</v>
      </c>
      <c r="H128" t="s">
        <v>39</v>
      </c>
      <c r="I128">
        <v>-3</v>
      </c>
      <c r="J128" t="str">
        <f>HYPERLINK("https://www.eliteprospects.com/player/671535/colton-roberts")</f>
        <v>https://www.eliteprospects.com/player/671535/colton-roberts</v>
      </c>
      <c r="K128" t="s">
        <v>27</v>
      </c>
      <c r="L128" t="s">
        <v>28</v>
      </c>
      <c r="M128" t="s">
        <v>1296</v>
      </c>
      <c r="N128">
        <v>5</v>
      </c>
      <c r="O128" t="s">
        <v>152</v>
      </c>
      <c r="P128">
        <v>0.08</v>
      </c>
      <c r="Q128" t="s">
        <v>1325</v>
      </c>
      <c r="R128">
        <v>30</v>
      </c>
      <c r="S128">
        <v>25</v>
      </c>
      <c r="T128">
        <v>32.5</v>
      </c>
      <c r="U128">
        <v>5</v>
      </c>
      <c r="V128">
        <v>7.5</v>
      </c>
    </row>
    <row r="129" spans="1:22" x14ac:dyDescent="0.25">
      <c r="A129" t="s">
        <v>1413</v>
      </c>
      <c r="B129" t="s">
        <v>106</v>
      </c>
      <c r="C129">
        <v>22</v>
      </c>
      <c r="D129" t="s">
        <v>79</v>
      </c>
      <c r="E129" t="s">
        <v>57</v>
      </c>
      <c r="F129" t="s">
        <v>26</v>
      </c>
      <c r="G129">
        <v>0.36</v>
      </c>
      <c r="H129" t="s">
        <v>55</v>
      </c>
      <c r="I129">
        <v>-2</v>
      </c>
      <c r="J129" t="str">
        <f>HYPERLINK("https://www.eliteprospects.com/player/623765/tristan-sarsland")</f>
        <v>https://www.eliteprospects.com/player/623765/tristan-sarsland</v>
      </c>
      <c r="K129" t="s">
        <v>27</v>
      </c>
      <c r="L129" t="s">
        <v>28</v>
      </c>
      <c r="M129" t="s">
        <v>1296</v>
      </c>
      <c r="N129">
        <v>4</v>
      </c>
      <c r="O129" t="s">
        <v>30</v>
      </c>
      <c r="P129">
        <v>7.0000000000000007E-2</v>
      </c>
      <c r="Q129" t="s">
        <v>1325</v>
      </c>
      <c r="R129">
        <v>30</v>
      </c>
      <c r="S129">
        <v>25</v>
      </c>
      <c r="T129">
        <v>32.5</v>
      </c>
      <c r="U129">
        <v>5</v>
      </c>
      <c r="V129">
        <v>7.5</v>
      </c>
    </row>
    <row r="130" spans="1:22" x14ac:dyDescent="0.25">
      <c r="A130" t="s">
        <v>1414</v>
      </c>
      <c r="B130" t="s">
        <v>202</v>
      </c>
      <c r="C130">
        <v>22</v>
      </c>
      <c r="D130" t="s">
        <v>79</v>
      </c>
      <c r="E130" t="s">
        <v>57</v>
      </c>
      <c r="F130" t="s">
        <v>26</v>
      </c>
      <c r="G130">
        <v>0.36</v>
      </c>
      <c r="H130" t="s">
        <v>33</v>
      </c>
      <c r="I130">
        <v>-4</v>
      </c>
      <c r="J130" t="str">
        <f>HYPERLINK("https://www.eliteprospects.com/player/526087/spencer-sova")</f>
        <v>https://www.eliteprospects.com/player/526087/spencer-sova</v>
      </c>
      <c r="K130" t="s">
        <v>27</v>
      </c>
      <c r="L130" t="s">
        <v>28</v>
      </c>
      <c r="M130" t="s">
        <v>1296</v>
      </c>
      <c r="N130">
        <v>5</v>
      </c>
      <c r="O130" t="s">
        <v>147</v>
      </c>
      <c r="P130">
        <v>7.0000000000000007E-2</v>
      </c>
      <c r="Q130" t="s">
        <v>1325</v>
      </c>
      <c r="R130">
        <v>30</v>
      </c>
      <c r="S130">
        <v>25</v>
      </c>
      <c r="T130">
        <v>32.5</v>
      </c>
      <c r="U130">
        <v>5</v>
      </c>
      <c r="V130">
        <v>7.5</v>
      </c>
    </row>
    <row r="131" spans="1:22" x14ac:dyDescent="0.25">
      <c r="A131" t="s">
        <v>1415</v>
      </c>
      <c r="B131" t="s">
        <v>106</v>
      </c>
      <c r="C131">
        <v>22</v>
      </c>
      <c r="D131" t="s">
        <v>79</v>
      </c>
      <c r="E131" t="s">
        <v>57</v>
      </c>
      <c r="F131" t="s">
        <v>26</v>
      </c>
      <c r="G131">
        <v>0.36</v>
      </c>
      <c r="H131" t="s">
        <v>40</v>
      </c>
      <c r="I131">
        <v>-4</v>
      </c>
      <c r="J131" t="str">
        <f>HYPERLINK("https://www.eliteprospects.com/player/559022/ty-brassington")</f>
        <v>https://www.eliteprospects.com/player/559022/ty-brassington</v>
      </c>
      <c r="K131" t="s">
        <v>27</v>
      </c>
      <c r="L131" t="s">
        <v>28</v>
      </c>
      <c r="M131" t="s">
        <v>1296</v>
      </c>
      <c r="N131">
        <v>2</v>
      </c>
      <c r="O131" t="s">
        <v>43</v>
      </c>
      <c r="P131">
        <v>7.0000000000000007E-2</v>
      </c>
      <c r="Q131" t="s">
        <v>1325</v>
      </c>
      <c r="R131">
        <v>30</v>
      </c>
      <c r="S131">
        <v>25</v>
      </c>
      <c r="T131">
        <v>32.5</v>
      </c>
      <c r="U131">
        <v>5</v>
      </c>
      <c r="V131">
        <v>7.5</v>
      </c>
    </row>
    <row r="132" spans="1:22" x14ac:dyDescent="0.25">
      <c r="A132" t="s">
        <v>1416</v>
      </c>
      <c r="B132" t="s">
        <v>121</v>
      </c>
      <c r="C132">
        <v>18</v>
      </c>
      <c r="D132" t="s">
        <v>260</v>
      </c>
      <c r="E132" t="s">
        <v>78</v>
      </c>
      <c r="F132" t="s">
        <v>26</v>
      </c>
      <c r="G132">
        <v>0.44</v>
      </c>
      <c r="H132" t="s">
        <v>32</v>
      </c>
      <c r="I132">
        <v>0</v>
      </c>
      <c r="J132" t="str">
        <f>HYPERLINK("https://www.eliteprospects.com/player/296824/trevor-griebel")</f>
        <v>https://www.eliteprospects.com/player/296824/trevor-griebel</v>
      </c>
      <c r="K132" t="s">
        <v>27</v>
      </c>
      <c r="L132" t="s">
        <v>28</v>
      </c>
      <c r="M132" t="s">
        <v>1417</v>
      </c>
      <c r="N132">
        <v>4</v>
      </c>
      <c r="O132" t="s">
        <v>30</v>
      </c>
      <c r="P132">
        <v>0.09</v>
      </c>
      <c r="Q132" t="s">
        <v>1325</v>
      </c>
      <c r="R132">
        <v>27.3</v>
      </c>
      <c r="S132">
        <v>22.7</v>
      </c>
      <c r="T132">
        <v>27.3</v>
      </c>
      <c r="U132">
        <v>4.5</v>
      </c>
      <c r="V132">
        <v>18.2</v>
      </c>
    </row>
    <row r="133" spans="1:22" x14ac:dyDescent="0.25">
      <c r="A133" t="s">
        <v>1418</v>
      </c>
      <c r="B133" t="s">
        <v>86</v>
      </c>
      <c r="C133">
        <v>20</v>
      </c>
      <c r="D133" t="s">
        <v>260</v>
      </c>
      <c r="E133" t="s">
        <v>78</v>
      </c>
      <c r="F133" t="s">
        <v>26</v>
      </c>
      <c r="G133">
        <v>0.4</v>
      </c>
      <c r="H133" t="s">
        <v>26</v>
      </c>
      <c r="I133">
        <v>12</v>
      </c>
      <c r="J133" t="str">
        <f>HYPERLINK("https://www.eliteprospects.com/player/595301/maxim-strbak")</f>
        <v>https://www.eliteprospects.com/player/595301/maxim-strbak</v>
      </c>
      <c r="K133" t="s">
        <v>27</v>
      </c>
      <c r="L133" t="s">
        <v>28</v>
      </c>
      <c r="M133" t="s">
        <v>1296</v>
      </c>
      <c r="N133">
        <v>3</v>
      </c>
      <c r="O133" t="s">
        <v>74</v>
      </c>
      <c r="P133">
        <v>0.08</v>
      </c>
      <c r="Q133" t="s">
        <v>1325</v>
      </c>
      <c r="R133">
        <v>30</v>
      </c>
      <c r="S133">
        <v>25</v>
      </c>
      <c r="T133">
        <v>32.5</v>
      </c>
      <c r="U133">
        <v>5</v>
      </c>
      <c r="V133">
        <v>7.5</v>
      </c>
    </row>
    <row r="134" spans="1:22" x14ac:dyDescent="0.25">
      <c r="A134" t="s">
        <v>1419</v>
      </c>
      <c r="B134" t="s">
        <v>124</v>
      </c>
      <c r="C134">
        <v>20</v>
      </c>
      <c r="D134" t="s">
        <v>260</v>
      </c>
      <c r="E134" t="s">
        <v>78</v>
      </c>
      <c r="F134" t="s">
        <v>26</v>
      </c>
      <c r="G134">
        <v>0.4</v>
      </c>
      <c r="H134" t="s">
        <v>32</v>
      </c>
      <c r="I134">
        <v>4</v>
      </c>
      <c r="J134" t="str">
        <f>HYPERLINK("https://www.eliteprospects.com/player/568966/ryder-thompson")</f>
        <v>https://www.eliteprospects.com/player/568966/ryder-thompson</v>
      </c>
      <c r="K134" t="s">
        <v>27</v>
      </c>
      <c r="L134" t="s">
        <v>28</v>
      </c>
      <c r="M134" t="s">
        <v>1296</v>
      </c>
      <c r="N134">
        <v>7</v>
      </c>
      <c r="O134" t="s">
        <v>250</v>
      </c>
      <c r="P134">
        <v>0.08</v>
      </c>
      <c r="Q134" t="s">
        <v>1325</v>
      </c>
      <c r="R134">
        <v>30</v>
      </c>
      <c r="S134">
        <v>25</v>
      </c>
      <c r="T134">
        <v>32.5</v>
      </c>
      <c r="U134">
        <v>5</v>
      </c>
      <c r="V134">
        <v>7.5</v>
      </c>
    </row>
    <row r="135" spans="1:22" x14ac:dyDescent="0.25">
      <c r="A135" t="s">
        <v>1420</v>
      </c>
      <c r="B135" t="s">
        <v>86</v>
      </c>
      <c r="C135">
        <v>20</v>
      </c>
      <c r="D135" t="s">
        <v>260</v>
      </c>
      <c r="E135" t="s">
        <v>78</v>
      </c>
      <c r="F135" t="s">
        <v>26</v>
      </c>
      <c r="G135">
        <v>0.4</v>
      </c>
      <c r="H135" t="s">
        <v>32</v>
      </c>
      <c r="I135">
        <v>15</v>
      </c>
      <c r="J135" t="str">
        <f>HYPERLINK("https://www.eliteprospects.com/player/634896/colin-ralph")</f>
        <v>https://www.eliteprospects.com/player/634896/colin-ralph</v>
      </c>
      <c r="K135" t="s">
        <v>27</v>
      </c>
      <c r="L135" t="s">
        <v>28</v>
      </c>
      <c r="M135" t="s">
        <v>1296</v>
      </c>
      <c r="N135">
        <v>2</v>
      </c>
      <c r="O135" t="s">
        <v>43</v>
      </c>
      <c r="P135">
        <v>0.08</v>
      </c>
      <c r="Q135" t="s">
        <v>1325</v>
      </c>
      <c r="R135">
        <v>30</v>
      </c>
      <c r="S135">
        <v>25</v>
      </c>
      <c r="T135">
        <v>32.5</v>
      </c>
      <c r="U135">
        <v>5</v>
      </c>
      <c r="V135">
        <v>7.5</v>
      </c>
    </row>
    <row r="136" spans="1:22" x14ac:dyDescent="0.25">
      <c r="A136" t="s">
        <v>1421</v>
      </c>
      <c r="B136" t="s">
        <v>145</v>
      </c>
      <c r="C136">
        <v>21</v>
      </c>
      <c r="D136" t="s">
        <v>260</v>
      </c>
      <c r="E136" t="s">
        <v>78</v>
      </c>
      <c r="F136" t="s">
        <v>26</v>
      </c>
      <c r="G136">
        <v>0.38</v>
      </c>
      <c r="H136" t="s">
        <v>32</v>
      </c>
      <c r="I136">
        <v>1</v>
      </c>
      <c r="J136" t="str">
        <f>HYPERLINK("https://www.eliteprospects.com/player/571957/garrett-brown")</f>
        <v>https://www.eliteprospects.com/player/571957/garrett-brown</v>
      </c>
      <c r="K136" t="s">
        <v>27</v>
      </c>
      <c r="L136" t="s">
        <v>28</v>
      </c>
      <c r="M136" t="s">
        <v>1296</v>
      </c>
      <c r="N136">
        <v>3</v>
      </c>
      <c r="O136" t="s">
        <v>74</v>
      </c>
      <c r="P136">
        <v>7.0000000000000007E-2</v>
      </c>
      <c r="Q136" t="s">
        <v>1325</v>
      </c>
      <c r="R136">
        <v>30</v>
      </c>
      <c r="S136">
        <v>25</v>
      </c>
      <c r="T136">
        <v>32.5</v>
      </c>
      <c r="U136">
        <v>5</v>
      </c>
      <c r="V136">
        <v>7.5</v>
      </c>
    </row>
    <row r="137" spans="1:22" x14ac:dyDescent="0.25">
      <c r="A137" t="s">
        <v>1422</v>
      </c>
      <c r="B137" t="s">
        <v>161</v>
      </c>
      <c r="C137">
        <v>22</v>
      </c>
      <c r="D137" t="s">
        <v>260</v>
      </c>
      <c r="E137" t="s">
        <v>78</v>
      </c>
      <c r="F137" t="s">
        <v>26</v>
      </c>
      <c r="G137">
        <v>0.36</v>
      </c>
      <c r="H137" t="s">
        <v>55</v>
      </c>
      <c r="I137">
        <v>0</v>
      </c>
      <c r="J137" t="str">
        <f>HYPERLINK("https://www.eliteprospects.com/player/702620/fisher-scott")</f>
        <v>https://www.eliteprospects.com/player/702620/fisher-scott</v>
      </c>
      <c r="K137" t="s">
        <v>27</v>
      </c>
      <c r="L137" t="s">
        <v>28</v>
      </c>
      <c r="M137" t="s">
        <v>1296</v>
      </c>
      <c r="N137">
        <v>2</v>
      </c>
      <c r="O137" t="s">
        <v>43</v>
      </c>
      <c r="P137">
        <v>7.0000000000000007E-2</v>
      </c>
      <c r="Q137" t="s">
        <v>1325</v>
      </c>
      <c r="R137">
        <v>30</v>
      </c>
      <c r="S137">
        <v>25</v>
      </c>
      <c r="T137">
        <v>32.5</v>
      </c>
      <c r="U137">
        <v>5</v>
      </c>
      <c r="V137">
        <v>7.5</v>
      </c>
    </row>
    <row r="138" spans="1:22" x14ac:dyDescent="0.25">
      <c r="A138" t="s">
        <v>1423</v>
      </c>
      <c r="B138" t="s">
        <v>44</v>
      </c>
      <c r="C138">
        <v>24</v>
      </c>
      <c r="D138" t="s">
        <v>260</v>
      </c>
      <c r="E138" t="s">
        <v>78</v>
      </c>
      <c r="F138" t="s">
        <v>26</v>
      </c>
      <c r="G138">
        <v>0.33</v>
      </c>
      <c r="H138" t="s">
        <v>55</v>
      </c>
      <c r="I138">
        <v>3</v>
      </c>
      <c r="J138" t="str">
        <f>HYPERLINK("https://www.eliteprospects.com/player/587803/joe-prouty")</f>
        <v>https://www.eliteprospects.com/player/587803/joe-prouty</v>
      </c>
      <c r="K138" t="s">
        <v>27</v>
      </c>
      <c r="L138" t="s">
        <v>28</v>
      </c>
      <c r="M138" t="s">
        <v>1296</v>
      </c>
      <c r="N138">
        <v>4</v>
      </c>
      <c r="O138" t="s">
        <v>30</v>
      </c>
      <c r="P138">
        <v>0.06</v>
      </c>
      <c r="Q138" t="s">
        <v>1325</v>
      </c>
      <c r="R138">
        <v>26.3</v>
      </c>
      <c r="S138">
        <v>23.7</v>
      </c>
      <c r="T138">
        <v>28.9</v>
      </c>
      <c r="U138">
        <v>5.3</v>
      </c>
      <c r="V138">
        <v>15.8</v>
      </c>
    </row>
    <row r="139" spans="1:22" x14ac:dyDescent="0.25">
      <c r="A139" t="s">
        <v>1424</v>
      </c>
      <c r="B139" t="s">
        <v>200</v>
      </c>
      <c r="C139">
        <v>15</v>
      </c>
      <c r="D139" t="s">
        <v>132</v>
      </c>
      <c r="E139" t="s">
        <v>26</v>
      </c>
      <c r="F139" t="s">
        <v>26</v>
      </c>
      <c r="G139">
        <v>0.53</v>
      </c>
      <c r="H139" t="s">
        <v>26</v>
      </c>
      <c r="I139">
        <v>-1</v>
      </c>
      <c r="J139" t="str">
        <f>HYPERLINK("https://www.eliteprospects.com/player/535577/hoyt-stanley")</f>
        <v>https://www.eliteprospects.com/player/535577/hoyt-stanley</v>
      </c>
      <c r="K139" t="s">
        <v>27</v>
      </c>
      <c r="L139" t="s">
        <v>28</v>
      </c>
      <c r="M139" t="s">
        <v>1296</v>
      </c>
      <c r="N139">
        <v>3</v>
      </c>
      <c r="O139" t="s">
        <v>74</v>
      </c>
      <c r="P139">
        <v>0.1</v>
      </c>
      <c r="Q139" t="s">
        <v>1325</v>
      </c>
      <c r="R139">
        <v>27.3</v>
      </c>
      <c r="S139">
        <v>22.7</v>
      </c>
      <c r="T139">
        <v>27.3</v>
      </c>
      <c r="U139">
        <v>4.5</v>
      </c>
      <c r="V139">
        <v>18.2</v>
      </c>
    </row>
    <row r="140" spans="1:22" x14ac:dyDescent="0.25">
      <c r="A140" t="s">
        <v>1425</v>
      </c>
      <c r="B140" t="s">
        <v>101</v>
      </c>
      <c r="C140">
        <v>19</v>
      </c>
      <c r="D140" t="s">
        <v>132</v>
      </c>
      <c r="E140" t="s">
        <v>26</v>
      </c>
      <c r="F140" t="s">
        <v>26</v>
      </c>
      <c r="G140">
        <v>0.42</v>
      </c>
      <c r="H140" t="s">
        <v>32</v>
      </c>
      <c r="I140">
        <v>4</v>
      </c>
      <c r="J140" t="str">
        <f>HYPERLINK("https://www.eliteprospects.com/player/410642/dylan-finlay")</f>
        <v>https://www.eliteprospects.com/player/410642/dylan-finlay</v>
      </c>
      <c r="K140" t="s">
        <v>27</v>
      </c>
      <c r="L140" t="s">
        <v>28</v>
      </c>
      <c r="M140" t="s">
        <v>1296</v>
      </c>
      <c r="N140">
        <v>4</v>
      </c>
      <c r="O140" t="s">
        <v>30</v>
      </c>
      <c r="P140">
        <v>0.08</v>
      </c>
      <c r="Q140" t="s">
        <v>1325</v>
      </c>
      <c r="R140">
        <v>30</v>
      </c>
      <c r="S140">
        <v>25</v>
      </c>
      <c r="T140">
        <v>32.5</v>
      </c>
      <c r="U140">
        <v>5</v>
      </c>
      <c r="V140">
        <v>7.5</v>
      </c>
    </row>
    <row r="141" spans="1:22" x14ac:dyDescent="0.25">
      <c r="A141" t="s">
        <v>1426</v>
      </c>
      <c r="B141" t="s">
        <v>114</v>
      </c>
      <c r="C141">
        <v>20</v>
      </c>
      <c r="D141" t="s">
        <v>132</v>
      </c>
      <c r="E141" t="s">
        <v>26</v>
      </c>
      <c r="F141" t="s">
        <v>26</v>
      </c>
      <c r="G141">
        <v>0.4</v>
      </c>
      <c r="H141" t="s">
        <v>32</v>
      </c>
      <c r="I141">
        <v>-5</v>
      </c>
      <c r="J141" t="str">
        <f>HYPERLINK("https://www.eliteprospects.com/player/616252/ethan-elias")</f>
        <v>https://www.eliteprospects.com/player/616252/ethan-elias</v>
      </c>
      <c r="K141" t="s">
        <v>27</v>
      </c>
      <c r="L141" t="s">
        <v>28</v>
      </c>
      <c r="M141" t="s">
        <v>1296</v>
      </c>
      <c r="N141">
        <v>2</v>
      </c>
      <c r="O141" t="s">
        <v>43</v>
      </c>
      <c r="P141">
        <v>0.08</v>
      </c>
      <c r="Q141" t="s">
        <v>1325</v>
      </c>
      <c r="R141">
        <v>30</v>
      </c>
      <c r="S141">
        <v>25</v>
      </c>
      <c r="T141">
        <v>32.5</v>
      </c>
      <c r="U141">
        <v>5</v>
      </c>
      <c r="V141">
        <v>7.5</v>
      </c>
    </row>
    <row r="142" spans="1:22" x14ac:dyDescent="0.25">
      <c r="A142" t="s">
        <v>1427</v>
      </c>
      <c r="B142" t="s">
        <v>184</v>
      </c>
      <c r="C142">
        <v>21</v>
      </c>
      <c r="D142" t="s">
        <v>132</v>
      </c>
      <c r="E142" t="s">
        <v>26</v>
      </c>
      <c r="F142" t="s">
        <v>26</v>
      </c>
      <c r="G142">
        <v>0.38</v>
      </c>
      <c r="H142" t="s">
        <v>57</v>
      </c>
      <c r="I142">
        <v>13</v>
      </c>
      <c r="J142" t="str">
        <f>HYPERLINK("https://www.eliteprospects.com/player/535572/kai-janviriya")</f>
        <v>https://www.eliteprospects.com/player/535572/kai-janviriya</v>
      </c>
      <c r="K142" t="s">
        <v>27</v>
      </c>
      <c r="L142" t="s">
        <v>28</v>
      </c>
      <c r="M142" t="s">
        <v>1296</v>
      </c>
      <c r="N142">
        <v>2</v>
      </c>
      <c r="O142" t="s">
        <v>43</v>
      </c>
      <c r="P142">
        <v>7.0000000000000007E-2</v>
      </c>
      <c r="Q142" t="s">
        <v>1325</v>
      </c>
      <c r="R142">
        <v>30</v>
      </c>
      <c r="S142">
        <v>25</v>
      </c>
      <c r="T142">
        <v>32.5</v>
      </c>
      <c r="U142">
        <v>5</v>
      </c>
      <c r="V142">
        <v>7.5</v>
      </c>
    </row>
    <row r="143" spans="1:22" x14ac:dyDescent="0.25">
      <c r="A143" t="s">
        <v>1428</v>
      </c>
      <c r="B143" t="s">
        <v>121</v>
      </c>
      <c r="C143">
        <v>21</v>
      </c>
      <c r="D143" t="s">
        <v>132</v>
      </c>
      <c r="E143" t="s">
        <v>26</v>
      </c>
      <c r="F143" t="s">
        <v>26</v>
      </c>
      <c r="G143">
        <v>0.38</v>
      </c>
      <c r="H143" t="s">
        <v>39</v>
      </c>
      <c r="I143">
        <v>-1</v>
      </c>
      <c r="J143" t="str">
        <f>HYPERLINK("https://www.eliteprospects.com/player/558797/trenton-powell")</f>
        <v>https://www.eliteprospects.com/player/558797/trenton-powell</v>
      </c>
      <c r="K143" t="s">
        <v>27</v>
      </c>
      <c r="L143" t="s">
        <v>28</v>
      </c>
      <c r="M143" t="s">
        <v>1296</v>
      </c>
      <c r="N143">
        <v>2</v>
      </c>
      <c r="O143" t="s">
        <v>43</v>
      </c>
      <c r="P143">
        <v>7.0000000000000007E-2</v>
      </c>
      <c r="Q143" t="s">
        <v>1325</v>
      </c>
      <c r="R143">
        <v>30</v>
      </c>
      <c r="S143">
        <v>25</v>
      </c>
      <c r="T143">
        <v>32.5</v>
      </c>
      <c r="U143">
        <v>5</v>
      </c>
      <c r="V143">
        <v>7.5</v>
      </c>
    </row>
    <row r="144" spans="1:22" x14ac:dyDescent="0.25">
      <c r="A144" t="s">
        <v>1429</v>
      </c>
      <c r="B144" t="s">
        <v>64</v>
      </c>
      <c r="C144">
        <v>22</v>
      </c>
      <c r="D144" t="s">
        <v>96</v>
      </c>
      <c r="E144" t="s">
        <v>79</v>
      </c>
      <c r="F144" t="s">
        <v>78</v>
      </c>
      <c r="G144">
        <v>0.32</v>
      </c>
      <c r="H144" t="s">
        <v>57</v>
      </c>
      <c r="I144">
        <v>11</v>
      </c>
      <c r="J144" t="str">
        <f>HYPERLINK("https://www.eliteprospects.com/player/676848/hayes-hundley")</f>
        <v>https://www.eliteprospects.com/player/676848/hayes-hundley</v>
      </c>
      <c r="K144" t="s">
        <v>27</v>
      </c>
      <c r="L144" t="s">
        <v>28</v>
      </c>
      <c r="M144" t="s">
        <v>1296</v>
      </c>
      <c r="N144">
        <v>1</v>
      </c>
      <c r="O144" t="s">
        <v>71</v>
      </c>
      <c r="P144">
        <v>0.06</v>
      </c>
      <c r="Q144" t="s">
        <v>1325</v>
      </c>
      <c r="R144">
        <v>26.3</v>
      </c>
      <c r="S144">
        <v>23.7</v>
      </c>
      <c r="T144">
        <v>28.9</v>
      </c>
      <c r="U144">
        <v>5.3</v>
      </c>
      <c r="V144">
        <v>15.8</v>
      </c>
    </row>
    <row r="145" spans="1:22" x14ac:dyDescent="0.25">
      <c r="A145" t="s">
        <v>1430</v>
      </c>
      <c r="B145" t="s">
        <v>90</v>
      </c>
      <c r="C145">
        <v>20</v>
      </c>
      <c r="D145" t="s">
        <v>66</v>
      </c>
      <c r="E145" t="s">
        <v>140</v>
      </c>
      <c r="F145" t="s">
        <v>78</v>
      </c>
      <c r="G145">
        <v>0.35</v>
      </c>
      <c r="H145" t="s">
        <v>57</v>
      </c>
      <c r="I145">
        <v>3</v>
      </c>
      <c r="J145" t="str">
        <f>HYPERLINK("https://www.eliteprospects.com/player/382759/noah-ellis")</f>
        <v>https://www.eliteprospects.com/player/382759/noah-ellis</v>
      </c>
      <c r="K145" t="s">
        <v>27</v>
      </c>
      <c r="L145" t="s">
        <v>28</v>
      </c>
      <c r="M145" t="s">
        <v>1296</v>
      </c>
      <c r="N145">
        <v>4</v>
      </c>
      <c r="O145" t="s">
        <v>30</v>
      </c>
      <c r="P145">
        <v>7.0000000000000007E-2</v>
      </c>
      <c r="Q145" t="s">
        <v>1325</v>
      </c>
      <c r="R145">
        <v>30</v>
      </c>
      <c r="S145">
        <v>25</v>
      </c>
      <c r="T145">
        <v>32.5</v>
      </c>
      <c r="U145">
        <v>5</v>
      </c>
      <c r="V145">
        <v>7.5</v>
      </c>
    </row>
    <row r="146" spans="1:22" x14ac:dyDescent="0.25">
      <c r="A146" t="s">
        <v>1431</v>
      </c>
      <c r="B146" t="s">
        <v>180</v>
      </c>
      <c r="C146">
        <v>19</v>
      </c>
      <c r="D146" t="s">
        <v>140</v>
      </c>
      <c r="E146" t="s">
        <v>66</v>
      </c>
      <c r="F146" t="s">
        <v>78</v>
      </c>
      <c r="G146">
        <v>0.37</v>
      </c>
      <c r="H146" t="s">
        <v>47</v>
      </c>
      <c r="I146">
        <v>-12</v>
      </c>
      <c r="J146" t="str">
        <f>HYPERLINK("https://www.eliteprospects.com/player/570755/michael-mastrodomenico")</f>
        <v>https://www.eliteprospects.com/player/570755/michael-mastrodomenico</v>
      </c>
      <c r="K146" t="s">
        <v>27</v>
      </c>
      <c r="L146" t="s">
        <v>28</v>
      </c>
      <c r="M146" t="s">
        <v>1296</v>
      </c>
      <c r="N146">
        <v>4</v>
      </c>
      <c r="O146" t="s">
        <v>30</v>
      </c>
      <c r="P146">
        <v>7.0000000000000007E-2</v>
      </c>
      <c r="Q146" t="s">
        <v>1325</v>
      </c>
      <c r="R146">
        <v>30</v>
      </c>
      <c r="S146">
        <v>25</v>
      </c>
      <c r="T146">
        <v>32.5</v>
      </c>
      <c r="U146">
        <v>5</v>
      </c>
      <c r="V146">
        <v>7.5</v>
      </c>
    </row>
    <row r="147" spans="1:22" x14ac:dyDescent="0.25">
      <c r="A147" t="s">
        <v>1432</v>
      </c>
      <c r="B147" t="s">
        <v>44</v>
      </c>
      <c r="C147">
        <v>24</v>
      </c>
      <c r="D147" t="s">
        <v>140</v>
      </c>
      <c r="E147" t="s">
        <v>66</v>
      </c>
      <c r="F147" t="s">
        <v>78</v>
      </c>
      <c r="G147">
        <v>0.28999999999999998</v>
      </c>
      <c r="H147" t="s">
        <v>26</v>
      </c>
      <c r="I147">
        <v>5</v>
      </c>
      <c r="J147" t="str">
        <f>HYPERLINK("https://www.eliteprospects.com/player/569257/kalem-parker")</f>
        <v>https://www.eliteprospects.com/player/569257/kalem-parker</v>
      </c>
      <c r="K147" t="s">
        <v>27</v>
      </c>
      <c r="L147" t="s">
        <v>28</v>
      </c>
      <c r="M147" t="s">
        <v>1296</v>
      </c>
      <c r="N147">
        <v>6</v>
      </c>
      <c r="O147" t="s">
        <v>193</v>
      </c>
      <c r="P147">
        <v>0.06</v>
      </c>
      <c r="Q147" t="s">
        <v>1325</v>
      </c>
      <c r="R147">
        <v>26.3</v>
      </c>
      <c r="S147">
        <v>23.7</v>
      </c>
      <c r="T147">
        <v>28.9</v>
      </c>
      <c r="U147">
        <v>5.3</v>
      </c>
      <c r="V147">
        <v>15.8</v>
      </c>
    </row>
    <row r="148" spans="1:22" x14ac:dyDescent="0.25">
      <c r="A148" t="s">
        <v>1433</v>
      </c>
      <c r="B148" t="s">
        <v>189</v>
      </c>
      <c r="C148">
        <v>24</v>
      </c>
      <c r="D148" t="s">
        <v>140</v>
      </c>
      <c r="E148" t="s">
        <v>66</v>
      </c>
      <c r="F148" t="s">
        <v>78</v>
      </c>
      <c r="G148">
        <v>0.28999999999999998</v>
      </c>
      <c r="H148" t="s">
        <v>32</v>
      </c>
      <c r="I148">
        <v>-14</v>
      </c>
      <c r="J148" t="str">
        <f>HYPERLINK("https://www.eliteprospects.com/player/417574/jack-mesic")</f>
        <v>https://www.eliteprospects.com/player/417574/jack-mesic</v>
      </c>
      <c r="K148" t="s">
        <v>27</v>
      </c>
      <c r="L148" t="s">
        <v>28</v>
      </c>
      <c r="M148" t="s">
        <v>1296</v>
      </c>
      <c r="N148">
        <v>3</v>
      </c>
      <c r="O148" t="s">
        <v>74</v>
      </c>
      <c r="P148">
        <v>0.06</v>
      </c>
      <c r="Q148" t="s">
        <v>1325</v>
      </c>
      <c r="R148">
        <v>26.3</v>
      </c>
      <c r="S148">
        <v>23.7</v>
      </c>
      <c r="T148">
        <v>28.9</v>
      </c>
      <c r="U148">
        <v>5.3</v>
      </c>
      <c r="V148">
        <v>15.8</v>
      </c>
    </row>
    <row r="149" spans="1:22" x14ac:dyDescent="0.25">
      <c r="A149" t="s">
        <v>1434</v>
      </c>
      <c r="B149" t="s">
        <v>167</v>
      </c>
      <c r="C149">
        <v>14</v>
      </c>
      <c r="D149" t="s">
        <v>79</v>
      </c>
      <c r="E149" t="s">
        <v>96</v>
      </c>
      <c r="F149" t="s">
        <v>78</v>
      </c>
      <c r="G149">
        <v>0.5</v>
      </c>
      <c r="H149" t="s">
        <v>32</v>
      </c>
      <c r="I149">
        <v>0</v>
      </c>
      <c r="J149" t="str">
        <f>HYPERLINK("https://www.eliteprospects.com/player/655345/ryan-healey")</f>
        <v>https://www.eliteprospects.com/player/655345/ryan-healey</v>
      </c>
      <c r="K149" t="s">
        <v>27</v>
      </c>
      <c r="L149" t="s">
        <v>28</v>
      </c>
      <c r="M149" t="s">
        <v>1296</v>
      </c>
      <c r="N149">
        <v>4</v>
      </c>
      <c r="O149" t="s">
        <v>30</v>
      </c>
      <c r="P149">
        <v>0.1</v>
      </c>
      <c r="Q149" t="s">
        <v>1325</v>
      </c>
      <c r="R149">
        <v>27.3</v>
      </c>
      <c r="S149">
        <v>22.7</v>
      </c>
      <c r="T149">
        <v>27.3</v>
      </c>
      <c r="U149">
        <v>4.5</v>
      </c>
      <c r="V149">
        <v>18.2</v>
      </c>
    </row>
    <row r="150" spans="1:22" x14ac:dyDescent="0.25">
      <c r="A150" t="s">
        <v>1435</v>
      </c>
      <c r="B150" t="s">
        <v>68</v>
      </c>
      <c r="C150">
        <v>15</v>
      </c>
      <c r="D150" t="s">
        <v>79</v>
      </c>
      <c r="E150" t="s">
        <v>96</v>
      </c>
      <c r="F150" t="s">
        <v>78</v>
      </c>
      <c r="G150">
        <v>0.47</v>
      </c>
      <c r="H150" t="s">
        <v>66</v>
      </c>
      <c r="I150">
        <v>8</v>
      </c>
      <c r="J150" t="str">
        <f>HYPERLINK("https://www.eliteprospects.com/player/477380/braden-blace")</f>
        <v>https://www.eliteprospects.com/player/477380/braden-blace</v>
      </c>
      <c r="K150" t="s">
        <v>27</v>
      </c>
      <c r="L150" t="s">
        <v>28</v>
      </c>
      <c r="M150" t="s">
        <v>1296</v>
      </c>
      <c r="N150">
        <v>2</v>
      </c>
      <c r="O150" t="s">
        <v>43</v>
      </c>
      <c r="P150">
        <v>0.09</v>
      </c>
      <c r="Q150" t="s">
        <v>1325</v>
      </c>
      <c r="R150">
        <v>27.3</v>
      </c>
      <c r="S150">
        <v>22.7</v>
      </c>
      <c r="T150">
        <v>27.3</v>
      </c>
      <c r="U150">
        <v>4.5</v>
      </c>
      <c r="V150">
        <v>18.2</v>
      </c>
    </row>
    <row r="151" spans="1:22" x14ac:dyDescent="0.25">
      <c r="A151" t="s">
        <v>1436</v>
      </c>
      <c r="B151" t="s">
        <v>163</v>
      </c>
      <c r="C151">
        <v>15</v>
      </c>
      <c r="D151" t="s">
        <v>79</v>
      </c>
      <c r="E151" t="s">
        <v>96</v>
      </c>
      <c r="F151" t="s">
        <v>78</v>
      </c>
      <c r="G151">
        <v>0.47</v>
      </c>
      <c r="H151" t="s">
        <v>32</v>
      </c>
      <c r="I151">
        <v>2</v>
      </c>
      <c r="J151" t="str">
        <f>HYPERLINK("https://www.eliteprospects.com/player/295024/kale-mccallum")</f>
        <v>https://www.eliteprospects.com/player/295024/kale-mccallum</v>
      </c>
      <c r="K151" t="s">
        <v>27</v>
      </c>
      <c r="L151" t="s">
        <v>28</v>
      </c>
      <c r="M151" t="s">
        <v>1296</v>
      </c>
      <c r="N151">
        <v>7</v>
      </c>
      <c r="O151" t="s">
        <v>1437</v>
      </c>
      <c r="P151">
        <v>0.09</v>
      </c>
      <c r="Q151" t="s">
        <v>1325</v>
      </c>
      <c r="R151">
        <v>27.3</v>
      </c>
      <c r="S151">
        <v>22.7</v>
      </c>
      <c r="T151">
        <v>27.3</v>
      </c>
      <c r="U151">
        <v>4.5</v>
      </c>
      <c r="V151">
        <v>18.2</v>
      </c>
    </row>
    <row r="152" spans="1:22" x14ac:dyDescent="0.25">
      <c r="A152" t="s">
        <v>1438</v>
      </c>
      <c r="B152" t="s">
        <v>222</v>
      </c>
      <c r="C152">
        <v>16</v>
      </c>
      <c r="D152" t="s">
        <v>79</v>
      </c>
      <c r="E152" t="s">
        <v>96</v>
      </c>
      <c r="F152" t="s">
        <v>78</v>
      </c>
      <c r="G152">
        <v>0.44</v>
      </c>
      <c r="H152" t="s">
        <v>39</v>
      </c>
      <c r="I152">
        <v>2</v>
      </c>
      <c r="J152" t="str">
        <f>HYPERLINK("https://www.eliteprospects.com/player/506237/rhys-bentham")</f>
        <v>https://www.eliteprospects.com/player/506237/rhys-bentham</v>
      </c>
      <c r="K152" t="s">
        <v>27</v>
      </c>
      <c r="L152" t="s">
        <v>28</v>
      </c>
      <c r="M152" t="s">
        <v>1296</v>
      </c>
      <c r="N152">
        <v>3</v>
      </c>
      <c r="O152" t="s">
        <v>74</v>
      </c>
      <c r="P152">
        <v>0.09</v>
      </c>
      <c r="Q152" t="s">
        <v>1325</v>
      </c>
      <c r="R152">
        <v>27.3</v>
      </c>
      <c r="S152">
        <v>22.7</v>
      </c>
      <c r="T152">
        <v>27.3</v>
      </c>
      <c r="U152">
        <v>4.5</v>
      </c>
      <c r="V152">
        <v>18.2</v>
      </c>
    </row>
    <row r="153" spans="1:22" x14ac:dyDescent="0.25">
      <c r="A153" t="s">
        <v>1439</v>
      </c>
      <c r="B153" t="s">
        <v>165</v>
      </c>
      <c r="C153">
        <v>18</v>
      </c>
      <c r="D153" t="s">
        <v>79</v>
      </c>
      <c r="E153" t="s">
        <v>96</v>
      </c>
      <c r="F153" t="s">
        <v>78</v>
      </c>
      <c r="G153">
        <v>0.39</v>
      </c>
      <c r="H153" t="s">
        <v>79</v>
      </c>
      <c r="I153">
        <v>-9</v>
      </c>
      <c r="J153" t="str">
        <f>HYPERLINK("https://www.eliteprospects.com/player/715322/brett-merner")</f>
        <v>https://www.eliteprospects.com/player/715322/brett-merner</v>
      </c>
      <c r="K153" t="s">
        <v>27</v>
      </c>
      <c r="L153" t="s">
        <v>28</v>
      </c>
      <c r="M153" t="s">
        <v>1296</v>
      </c>
      <c r="N153">
        <v>2</v>
      </c>
      <c r="O153" t="s">
        <v>43</v>
      </c>
      <c r="P153">
        <v>0.08</v>
      </c>
      <c r="Q153" t="s">
        <v>1325</v>
      </c>
      <c r="R153">
        <v>30</v>
      </c>
      <c r="S153">
        <v>25</v>
      </c>
      <c r="T153">
        <v>32.5</v>
      </c>
      <c r="U153">
        <v>5</v>
      </c>
      <c r="V153">
        <v>7.5</v>
      </c>
    </row>
    <row r="154" spans="1:22" x14ac:dyDescent="0.25">
      <c r="A154" t="s">
        <v>1440</v>
      </c>
      <c r="B154" t="s">
        <v>127</v>
      </c>
      <c r="C154">
        <v>19</v>
      </c>
      <c r="D154" t="s">
        <v>79</v>
      </c>
      <c r="E154" t="s">
        <v>96</v>
      </c>
      <c r="F154" t="s">
        <v>78</v>
      </c>
      <c r="G154">
        <v>0.37</v>
      </c>
      <c r="H154" t="s">
        <v>66</v>
      </c>
      <c r="I154">
        <v>7</v>
      </c>
      <c r="J154" t="str">
        <f>HYPERLINK("https://www.eliteprospects.com/player/711643/dax-williams")</f>
        <v>https://www.eliteprospects.com/player/711643/dax-williams</v>
      </c>
      <c r="K154" t="s">
        <v>27</v>
      </c>
      <c r="L154" t="s">
        <v>28</v>
      </c>
      <c r="M154" t="s">
        <v>1296</v>
      </c>
      <c r="N154">
        <v>5</v>
      </c>
      <c r="O154" t="s">
        <v>152</v>
      </c>
      <c r="P154">
        <v>7.0000000000000007E-2</v>
      </c>
      <c r="Q154" t="s">
        <v>1325</v>
      </c>
      <c r="R154">
        <v>30</v>
      </c>
      <c r="S154">
        <v>25</v>
      </c>
      <c r="T154">
        <v>32.5</v>
      </c>
      <c r="U154">
        <v>5</v>
      </c>
      <c r="V154">
        <v>7.5</v>
      </c>
    </row>
    <row r="155" spans="1:22" x14ac:dyDescent="0.25">
      <c r="A155" t="s">
        <v>1441</v>
      </c>
      <c r="B155" t="s">
        <v>202</v>
      </c>
      <c r="C155">
        <v>19</v>
      </c>
      <c r="D155" t="s">
        <v>79</v>
      </c>
      <c r="E155" t="s">
        <v>96</v>
      </c>
      <c r="F155" t="s">
        <v>78</v>
      </c>
      <c r="G155">
        <v>0.37</v>
      </c>
      <c r="H155" t="s">
        <v>32</v>
      </c>
      <c r="I155">
        <v>-4</v>
      </c>
      <c r="J155" t="str">
        <f>HYPERLINK("https://www.eliteprospects.com/player/201798/aidan-de-la-gorgendiere")</f>
        <v>https://www.eliteprospects.com/player/201798/aidan-de-la-gorgendiere</v>
      </c>
      <c r="K155" t="s">
        <v>27</v>
      </c>
      <c r="L155" t="s">
        <v>28</v>
      </c>
      <c r="M155" t="s">
        <v>1296</v>
      </c>
      <c r="N155">
        <v>6</v>
      </c>
      <c r="O155" t="s">
        <v>263</v>
      </c>
      <c r="P155">
        <v>7.0000000000000007E-2</v>
      </c>
      <c r="Q155" t="s">
        <v>1325</v>
      </c>
      <c r="R155">
        <v>30</v>
      </c>
      <c r="S155">
        <v>25</v>
      </c>
      <c r="T155">
        <v>32.5</v>
      </c>
      <c r="U155">
        <v>5</v>
      </c>
      <c r="V155">
        <v>7.5</v>
      </c>
    </row>
    <row r="156" spans="1:22" x14ac:dyDescent="0.25">
      <c r="A156" t="s">
        <v>1442</v>
      </c>
      <c r="B156" t="s">
        <v>90</v>
      </c>
      <c r="C156">
        <v>20</v>
      </c>
      <c r="D156" t="s">
        <v>79</v>
      </c>
      <c r="E156" t="s">
        <v>96</v>
      </c>
      <c r="F156" t="s">
        <v>78</v>
      </c>
      <c r="G156">
        <v>0.35</v>
      </c>
      <c r="H156" t="s">
        <v>57</v>
      </c>
      <c r="I156">
        <v>-1</v>
      </c>
      <c r="J156" t="str">
        <f>HYPERLINK("https://www.eliteprospects.com/player/375499/john-driscoll")</f>
        <v>https://www.eliteprospects.com/player/375499/john-driscoll</v>
      </c>
      <c r="K156" t="s">
        <v>27</v>
      </c>
      <c r="L156" t="s">
        <v>28</v>
      </c>
      <c r="M156" t="s">
        <v>1296</v>
      </c>
      <c r="N156">
        <v>4</v>
      </c>
      <c r="O156" t="s">
        <v>30</v>
      </c>
      <c r="P156">
        <v>7.0000000000000007E-2</v>
      </c>
      <c r="Q156" t="s">
        <v>1325</v>
      </c>
      <c r="R156">
        <v>30</v>
      </c>
      <c r="S156">
        <v>25</v>
      </c>
      <c r="T156">
        <v>32.5</v>
      </c>
      <c r="U156">
        <v>5</v>
      </c>
      <c r="V156">
        <v>7.5</v>
      </c>
    </row>
    <row r="157" spans="1:22" x14ac:dyDescent="0.25">
      <c r="A157" t="s">
        <v>1443</v>
      </c>
      <c r="B157" t="s">
        <v>238</v>
      </c>
      <c r="C157">
        <v>20</v>
      </c>
      <c r="D157" t="s">
        <v>79</v>
      </c>
      <c r="E157" t="s">
        <v>96</v>
      </c>
      <c r="F157" t="s">
        <v>78</v>
      </c>
      <c r="G157">
        <v>0.35</v>
      </c>
      <c r="H157" t="s">
        <v>57</v>
      </c>
      <c r="I157">
        <v>-8</v>
      </c>
      <c r="J157" t="str">
        <f>HYPERLINK("https://www.eliteprospects.com/player/718106/thomas-klassek")</f>
        <v>https://www.eliteprospects.com/player/718106/thomas-klassek</v>
      </c>
      <c r="K157" t="s">
        <v>27</v>
      </c>
      <c r="L157" t="s">
        <v>28</v>
      </c>
      <c r="M157" t="s">
        <v>1296</v>
      </c>
      <c r="N157">
        <v>1</v>
      </c>
      <c r="O157" t="s">
        <v>71</v>
      </c>
      <c r="P157">
        <v>7.0000000000000007E-2</v>
      </c>
      <c r="Q157" t="s">
        <v>1325</v>
      </c>
      <c r="R157">
        <v>30</v>
      </c>
      <c r="S157">
        <v>25</v>
      </c>
      <c r="T157">
        <v>32.5</v>
      </c>
      <c r="U157">
        <v>5</v>
      </c>
      <c r="V157">
        <v>7.5</v>
      </c>
    </row>
    <row r="158" spans="1:22" x14ac:dyDescent="0.25">
      <c r="A158" t="s">
        <v>1444</v>
      </c>
      <c r="B158" t="s">
        <v>180</v>
      </c>
      <c r="C158">
        <v>20</v>
      </c>
      <c r="D158" t="s">
        <v>79</v>
      </c>
      <c r="E158" t="s">
        <v>96</v>
      </c>
      <c r="F158" t="s">
        <v>78</v>
      </c>
      <c r="G158">
        <v>0.35</v>
      </c>
      <c r="H158" t="s">
        <v>32</v>
      </c>
      <c r="I158">
        <v>-8</v>
      </c>
      <c r="J158" t="str">
        <f>HYPERLINK("https://www.eliteprospects.com/player/616257/henry-nelson")</f>
        <v>https://www.eliteprospects.com/player/616257/henry-nelson</v>
      </c>
      <c r="K158" t="s">
        <v>27</v>
      </c>
      <c r="L158" t="s">
        <v>28</v>
      </c>
      <c r="M158" t="s">
        <v>1296</v>
      </c>
      <c r="N158">
        <v>3</v>
      </c>
      <c r="O158" t="s">
        <v>74</v>
      </c>
      <c r="P158">
        <v>7.0000000000000007E-2</v>
      </c>
      <c r="Q158" t="s">
        <v>1325</v>
      </c>
      <c r="R158">
        <v>30</v>
      </c>
      <c r="S158">
        <v>25</v>
      </c>
      <c r="T158">
        <v>32.5</v>
      </c>
      <c r="U158">
        <v>5</v>
      </c>
      <c r="V158">
        <v>7.5</v>
      </c>
    </row>
    <row r="159" spans="1:22" x14ac:dyDescent="0.25">
      <c r="A159" t="s">
        <v>1445</v>
      </c>
      <c r="B159" t="s">
        <v>95</v>
      </c>
      <c r="C159">
        <v>21</v>
      </c>
      <c r="D159" t="s">
        <v>79</v>
      </c>
      <c r="E159" t="s">
        <v>96</v>
      </c>
      <c r="F159" t="s">
        <v>78</v>
      </c>
      <c r="G159">
        <v>0.33</v>
      </c>
      <c r="H159" t="s">
        <v>57</v>
      </c>
      <c r="I159">
        <v>7</v>
      </c>
      <c r="J159" t="str">
        <f>HYPERLINK("https://www.eliteprospects.com/player/488006/zach-bookman")</f>
        <v>https://www.eliteprospects.com/player/488006/zach-bookman</v>
      </c>
      <c r="K159" t="s">
        <v>27</v>
      </c>
      <c r="L159" t="s">
        <v>28</v>
      </c>
      <c r="M159" t="s">
        <v>1296</v>
      </c>
      <c r="N159">
        <v>4</v>
      </c>
      <c r="O159" t="s">
        <v>30</v>
      </c>
      <c r="P159">
        <v>0.06</v>
      </c>
      <c r="Q159" t="s">
        <v>1325</v>
      </c>
      <c r="R159">
        <v>26.3</v>
      </c>
      <c r="S159">
        <v>23.7</v>
      </c>
      <c r="T159">
        <v>28.9</v>
      </c>
      <c r="U159">
        <v>5.3</v>
      </c>
      <c r="V159">
        <v>15.8</v>
      </c>
    </row>
    <row r="160" spans="1:22" x14ac:dyDescent="0.25">
      <c r="A160" t="s">
        <v>1446</v>
      </c>
      <c r="B160" t="s">
        <v>131</v>
      </c>
      <c r="C160">
        <v>23</v>
      </c>
      <c r="D160" t="s">
        <v>79</v>
      </c>
      <c r="E160" t="s">
        <v>96</v>
      </c>
      <c r="F160" t="s">
        <v>78</v>
      </c>
      <c r="G160">
        <v>0.3</v>
      </c>
      <c r="H160" t="s">
        <v>46</v>
      </c>
      <c r="I160">
        <v>6</v>
      </c>
      <c r="J160" t="str">
        <f>HYPERLINK("https://www.eliteprospects.com/player/364220/owen-nolan")</f>
        <v>https://www.eliteprospects.com/player/364220/owen-nolan</v>
      </c>
      <c r="K160" t="s">
        <v>27</v>
      </c>
      <c r="L160" t="s">
        <v>28</v>
      </c>
      <c r="M160" t="s">
        <v>1296</v>
      </c>
      <c r="N160">
        <v>4</v>
      </c>
      <c r="O160" t="s">
        <v>30</v>
      </c>
      <c r="P160">
        <v>0.06</v>
      </c>
      <c r="Q160" t="s">
        <v>1325</v>
      </c>
      <c r="R160">
        <v>26.3</v>
      </c>
      <c r="S160">
        <v>23.7</v>
      </c>
      <c r="T160">
        <v>28.9</v>
      </c>
      <c r="U160">
        <v>5.3</v>
      </c>
      <c r="V160">
        <v>15.8</v>
      </c>
    </row>
    <row r="161" spans="1:22" x14ac:dyDescent="0.25">
      <c r="A161" t="s">
        <v>1447</v>
      </c>
      <c r="B161" t="s">
        <v>98</v>
      </c>
      <c r="C161">
        <v>19</v>
      </c>
      <c r="D161" t="s">
        <v>260</v>
      </c>
      <c r="E161" t="s">
        <v>57</v>
      </c>
      <c r="F161" t="s">
        <v>78</v>
      </c>
      <c r="G161">
        <v>0.37</v>
      </c>
      <c r="H161" t="s">
        <v>26</v>
      </c>
      <c r="I161">
        <v>2</v>
      </c>
      <c r="J161" t="str">
        <f>HYPERLINK("https://www.eliteprospects.com/player/597647/will-felicio")</f>
        <v>https://www.eliteprospects.com/player/597647/will-felicio</v>
      </c>
      <c r="K161" t="s">
        <v>27</v>
      </c>
      <c r="L161" t="s">
        <v>28</v>
      </c>
      <c r="M161" t="s">
        <v>1296</v>
      </c>
      <c r="N161">
        <v>2</v>
      </c>
      <c r="O161" t="s">
        <v>43</v>
      </c>
      <c r="P161">
        <v>7.0000000000000007E-2</v>
      </c>
      <c r="Q161" t="s">
        <v>1325</v>
      </c>
      <c r="R161">
        <v>30</v>
      </c>
      <c r="S161">
        <v>25</v>
      </c>
      <c r="T161">
        <v>32.5</v>
      </c>
      <c r="U161">
        <v>5</v>
      </c>
      <c r="V161">
        <v>7.5</v>
      </c>
    </row>
    <row r="162" spans="1:22" x14ac:dyDescent="0.25">
      <c r="A162" t="s">
        <v>1448</v>
      </c>
      <c r="B162" t="s">
        <v>86</v>
      </c>
      <c r="C162">
        <v>19</v>
      </c>
      <c r="D162" t="s">
        <v>260</v>
      </c>
      <c r="E162" t="s">
        <v>57</v>
      </c>
      <c r="F162" t="s">
        <v>78</v>
      </c>
      <c r="G162">
        <v>0.37</v>
      </c>
      <c r="H162" t="s">
        <v>136</v>
      </c>
      <c r="I162">
        <v>9</v>
      </c>
      <c r="J162" t="str">
        <f>HYPERLINK("https://www.eliteprospects.com/player/554907/patrick-geary")</f>
        <v>https://www.eliteprospects.com/player/554907/patrick-geary</v>
      </c>
      <c r="K162" t="s">
        <v>27</v>
      </c>
      <c r="L162" t="s">
        <v>28</v>
      </c>
      <c r="M162" t="s">
        <v>1296</v>
      </c>
      <c r="N162">
        <v>3</v>
      </c>
      <c r="O162" t="s">
        <v>74</v>
      </c>
      <c r="P162">
        <v>7.0000000000000007E-2</v>
      </c>
      <c r="Q162" t="s">
        <v>1325</v>
      </c>
      <c r="R162">
        <v>30</v>
      </c>
      <c r="S162">
        <v>25</v>
      </c>
      <c r="T162">
        <v>32.5</v>
      </c>
      <c r="U162">
        <v>5</v>
      </c>
      <c r="V162">
        <v>7.5</v>
      </c>
    </row>
    <row r="163" spans="1:22" x14ac:dyDescent="0.25">
      <c r="A163" t="s">
        <v>1449</v>
      </c>
      <c r="B163" t="s">
        <v>127</v>
      </c>
      <c r="C163">
        <v>20</v>
      </c>
      <c r="D163" t="s">
        <v>260</v>
      </c>
      <c r="E163" t="s">
        <v>57</v>
      </c>
      <c r="F163" t="s">
        <v>78</v>
      </c>
      <c r="G163">
        <v>0.35</v>
      </c>
      <c r="H163" t="s">
        <v>53</v>
      </c>
      <c r="I163">
        <v>7</v>
      </c>
      <c r="J163" t="str">
        <f>HYPERLINK("https://www.eliteprospects.com/player/525667/owain-johnston")</f>
        <v>https://www.eliteprospects.com/player/525667/owain-johnston</v>
      </c>
      <c r="K163" t="s">
        <v>27</v>
      </c>
      <c r="L163" t="s">
        <v>28</v>
      </c>
      <c r="M163" t="s">
        <v>1296</v>
      </c>
      <c r="N163">
        <v>4</v>
      </c>
      <c r="O163" t="s">
        <v>100</v>
      </c>
      <c r="P163">
        <v>7.0000000000000007E-2</v>
      </c>
      <c r="Q163" t="s">
        <v>1325</v>
      </c>
      <c r="R163">
        <v>30</v>
      </c>
      <c r="S163">
        <v>25</v>
      </c>
      <c r="T163">
        <v>32.5</v>
      </c>
      <c r="U163">
        <v>5</v>
      </c>
      <c r="V163">
        <v>7.5</v>
      </c>
    </row>
    <row r="164" spans="1:22" x14ac:dyDescent="0.25">
      <c r="A164" t="s">
        <v>1450</v>
      </c>
      <c r="B164" t="s">
        <v>113</v>
      </c>
      <c r="C164">
        <v>23</v>
      </c>
      <c r="D164" t="s">
        <v>260</v>
      </c>
      <c r="E164" t="s">
        <v>57</v>
      </c>
      <c r="F164" t="s">
        <v>78</v>
      </c>
      <c r="G164">
        <v>0.3</v>
      </c>
      <c r="H164" t="s">
        <v>40</v>
      </c>
      <c r="I164">
        <v>-2</v>
      </c>
      <c r="J164" t="str">
        <f>HYPERLINK("https://www.eliteprospects.com/player/588298/campbell-cichosz")</f>
        <v>https://www.eliteprospects.com/player/588298/campbell-cichosz</v>
      </c>
      <c r="K164" t="s">
        <v>27</v>
      </c>
      <c r="L164" t="s">
        <v>28</v>
      </c>
      <c r="M164" t="s">
        <v>1296</v>
      </c>
      <c r="N164">
        <v>4</v>
      </c>
      <c r="O164" t="s">
        <v>30</v>
      </c>
      <c r="P164">
        <v>0.06</v>
      </c>
      <c r="Q164" t="s">
        <v>1325</v>
      </c>
      <c r="R164">
        <v>26.3</v>
      </c>
      <c r="S164">
        <v>23.7</v>
      </c>
      <c r="T164">
        <v>28.9</v>
      </c>
      <c r="U164">
        <v>5.3</v>
      </c>
      <c r="V164">
        <v>15.8</v>
      </c>
    </row>
    <row r="165" spans="1:22" x14ac:dyDescent="0.25">
      <c r="A165" t="s">
        <v>1451</v>
      </c>
      <c r="B165" t="s">
        <v>95</v>
      </c>
      <c r="C165">
        <v>18</v>
      </c>
      <c r="D165" t="s">
        <v>132</v>
      </c>
      <c r="E165" t="s">
        <v>78</v>
      </c>
      <c r="F165" t="s">
        <v>78</v>
      </c>
      <c r="G165">
        <v>0.39</v>
      </c>
      <c r="H165" t="s">
        <v>26</v>
      </c>
      <c r="I165">
        <v>-1</v>
      </c>
      <c r="J165" t="str">
        <f>HYPERLINK("https://www.eliteprospects.com/player/567628/cole-crusberg-roseen")</f>
        <v>https://www.eliteprospects.com/player/567628/cole-crusberg-roseen</v>
      </c>
      <c r="K165" t="s">
        <v>27</v>
      </c>
      <c r="L165" t="s">
        <v>28</v>
      </c>
      <c r="M165" t="s">
        <v>1296</v>
      </c>
      <c r="N165">
        <v>3</v>
      </c>
      <c r="O165" t="s">
        <v>74</v>
      </c>
      <c r="P165">
        <v>0.08</v>
      </c>
      <c r="Q165" t="s">
        <v>1325</v>
      </c>
      <c r="R165">
        <v>30</v>
      </c>
      <c r="S165">
        <v>25</v>
      </c>
      <c r="T165">
        <v>32.5</v>
      </c>
      <c r="U165">
        <v>5</v>
      </c>
      <c r="V165">
        <v>7.5</v>
      </c>
    </row>
    <row r="166" spans="1:22" x14ac:dyDescent="0.25">
      <c r="A166" t="s">
        <v>1452</v>
      </c>
      <c r="B166" t="s">
        <v>80</v>
      </c>
      <c r="C166">
        <v>20</v>
      </c>
      <c r="D166" t="s">
        <v>132</v>
      </c>
      <c r="E166" t="s">
        <v>78</v>
      </c>
      <c r="F166" t="s">
        <v>78</v>
      </c>
      <c r="G166">
        <v>0.35</v>
      </c>
      <c r="H166" t="s">
        <v>57</v>
      </c>
      <c r="I166">
        <v>-1</v>
      </c>
      <c r="J166" t="str">
        <f>HYPERLINK("https://www.eliteprospects.com/player/201884/mac-gadowsky")</f>
        <v>https://www.eliteprospects.com/player/201884/mac-gadowsky</v>
      </c>
      <c r="K166" t="s">
        <v>27</v>
      </c>
      <c r="L166" t="s">
        <v>28</v>
      </c>
      <c r="M166" t="s">
        <v>1296</v>
      </c>
      <c r="N166">
        <v>3</v>
      </c>
      <c r="O166" t="s">
        <v>74</v>
      </c>
      <c r="P166">
        <v>7.0000000000000007E-2</v>
      </c>
      <c r="Q166" t="s">
        <v>1325</v>
      </c>
      <c r="R166">
        <v>30</v>
      </c>
      <c r="S166">
        <v>25</v>
      </c>
      <c r="T166">
        <v>32.5</v>
      </c>
      <c r="U166">
        <v>5</v>
      </c>
      <c r="V166">
        <v>7.5</v>
      </c>
    </row>
    <row r="167" spans="1:22" x14ac:dyDescent="0.25">
      <c r="A167" t="s">
        <v>1453</v>
      </c>
      <c r="B167" t="s">
        <v>98</v>
      </c>
      <c r="C167">
        <v>21</v>
      </c>
      <c r="D167" t="s">
        <v>132</v>
      </c>
      <c r="E167" t="s">
        <v>78</v>
      </c>
      <c r="F167" t="s">
        <v>78</v>
      </c>
      <c r="G167">
        <v>0.33</v>
      </c>
      <c r="H167" t="s">
        <v>55</v>
      </c>
      <c r="I167">
        <v>0</v>
      </c>
      <c r="J167" t="str">
        <f>HYPERLINK("https://www.eliteprospects.com/player/556254/carter-rose")</f>
        <v>https://www.eliteprospects.com/player/556254/carter-rose</v>
      </c>
      <c r="K167" t="s">
        <v>27</v>
      </c>
      <c r="L167" t="s">
        <v>28</v>
      </c>
      <c r="M167" t="s">
        <v>1296</v>
      </c>
      <c r="N167">
        <v>3</v>
      </c>
      <c r="O167" t="s">
        <v>74</v>
      </c>
      <c r="P167">
        <v>0.06</v>
      </c>
      <c r="Q167" t="s">
        <v>1325</v>
      </c>
      <c r="R167">
        <v>26.3</v>
      </c>
      <c r="S167">
        <v>23.7</v>
      </c>
      <c r="T167">
        <v>28.9</v>
      </c>
      <c r="U167">
        <v>5.3</v>
      </c>
      <c r="V167">
        <v>15.8</v>
      </c>
    </row>
    <row r="168" spans="1:22" x14ac:dyDescent="0.25">
      <c r="A168" t="s">
        <v>1454</v>
      </c>
      <c r="B168" t="s">
        <v>215</v>
      </c>
      <c r="C168">
        <v>24</v>
      </c>
      <c r="D168" t="s">
        <v>132</v>
      </c>
      <c r="E168" t="s">
        <v>78</v>
      </c>
      <c r="F168" t="s">
        <v>78</v>
      </c>
      <c r="G168">
        <v>0.28999999999999998</v>
      </c>
      <c r="H168" t="s">
        <v>26</v>
      </c>
      <c r="I168">
        <v>-10</v>
      </c>
      <c r="J168" t="str">
        <f>HYPERLINK("https://www.eliteprospects.com/player/351174/tynan-ewart")</f>
        <v>https://www.eliteprospects.com/player/351174/tynan-ewart</v>
      </c>
      <c r="K168" t="s">
        <v>27</v>
      </c>
      <c r="L168" t="s">
        <v>28</v>
      </c>
      <c r="M168" t="s">
        <v>1296</v>
      </c>
      <c r="N168">
        <v>3</v>
      </c>
      <c r="O168" t="s">
        <v>74</v>
      </c>
      <c r="P168">
        <v>0.06</v>
      </c>
      <c r="Q168" t="s">
        <v>1325</v>
      </c>
      <c r="R168">
        <v>26.3</v>
      </c>
      <c r="S168">
        <v>23.7</v>
      </c>
      <c r="T168">
        <v>28.9</v>
      </c>
      <c r="U168">
        <v>5.3</v>
      </c>
      <c r="V168">
        <v>15.8</v>
      </c>
    </row>
    <row r="169" spans="1:22" x14ac:dyDescent="0.25">
      <c r="A169" t="s">
        <v>1455</v>
      </c>
      <c r="B169" t="s">
        <v>161</v>
      </c>
      <c r="C169">
        <v>14</v>
      </c>
      <c r="D169" t="s">
        <v>96</v>
      </c>
      <c r="E169" t="s">
        <v>260</v>
      </c>
      <c r="F169" t="s">
        <v>57</v>
      </c>
      <c r="G169">
        <v>0.43</v>
      </c>
      <c r="H169" t="s">
        <v>57</v>
      </c>
      <c r="I169">
        <v>5</v>
      </c>
      <c r="J169" t="str">
        <f>HYPERLINK("https://www.eliteprospects.com/player/618648/philippe-blais-savoie")</f>
        <v>https://www.eliteprospects.com/player/618648/philippe-blais-savoie</v>
      </c>
      <c r="K169" t="s">
        <v>27</v>
      </c>
      <c r="L169" t="s">
        <v>28</v>
      </c>
      <c r="M169" t="s">
        <v>1296</v>
      </c>
      <c r="N169">
        <v>2</v>
      </c>
      <c r="O169" t="s">
        <v>43</v>
      </c>
      <c r="P169">
        <v>0.08</v>
      </c>
      <c r="Q169" t="s">
        <v>1325</v>
      </c>
      <c r="R169">
        <v>30</v>
      </c>
      <c r="S169">
        <v>25</v>
      </c>
      <c r="T169">
        <v>32.5</v>
      </c>
      <c r="U169">
        <v>5</v>
      </c>
      <c r="V169">
        <v>7.5</v>
      </c>
    </row>
    <row r="170" spans="1:22" x14ac:dyDescent="0.25">
      <c r="A170" t="s">
        <v>1456</v>
      </c>
      <c r="B170" t="s">
        <v>174</v>
      </c>
      <c r="C170">
        <v>19</v>
      </c>
      <c r="D170" t="s">
        <v>66</v>
      </c>
      <c r="E170" t="s">
        <v>79</v>
      </c>
      <c r="F170" t="s">
        <v>57</v>
      </c>
      <c r="G170">
        <v>0.32</v>
      </c>
      <c r="H170" t="s">
        <v>57</v>
      </c>
      <c r="I170">
        <v>5</v>
      </c>
      <c r="J170" t="str">
        <f>HYPERLINK("https://www.eliteprospects.com/player/776683/ryan-philbrick")</f>
        <v>https://www.eliteprospects.com/player/776683/ryan-philbrick</v>
      </c>
      <c r="K170" t="s">
        <v>27</v>
      </c>
      <c r="L170" t="s">
        <v>28</v>
      </c>
      <c r="M170" t="s">
        <v>1296</v>
      </c>
      <c r="N170">
        <v>1</v>
      </c>
      <c r="O170" t="s">
        <v>71</v>
      </c>
      <c r="P170">
        <v>0.06</v>
      </c>
      <c r="Q170" t="s">
        <v>1325</v>
      </c>
      <c r="R170">
        <v>26.3</v>
      </c>
      <c r="S170">
        <v>23.7</v>
      </c>
      <c r="T170">
        <v>28.9</v>
      </c>
      <c r="U170">
        <v>5.3</v>
      </c>
      <c r="V170">
        <v>15.8</v>
      </c>
    </row>
    <row r="171" spans="1:22" x14ac:dyDescent="0.25">
      <c r="A171" t="s">
        <v>1457</v>
      </c>
      <c r="B171" t="s">
        <v>162</v>
      </c>
      <c r="C171">
        <v>20</v>
      </c>
      <c r="D171" t="s">
        <v>140</v>
      </c>
      <c r="E171" t="s">
        <v>140</v>
      </c>
      <c r="F171" t="s">
        <v>57</v>
      </c>
      <c r="G171">
        <v>0.3</v>
      </c>
      <c r="H171" t="s">
        <v>57</v>
      </c>
      <c r="I171">
        <v>10</v>
      </c>
      <c r="J171" t="str">
        <f>HYPERLINK("https://www.eliteprospects.com/player/605379/colton-cameron")</f>
        <v>https://www.eliteprospects.com/player/605379/colton-cameron</v>
      </c>
      <c r="K171" t="s">
        <v>27</v>
      </c>
      <c r="L171" t="s">
        <v>28</v>
      </c>
      <c r="M171" t="s">
        <v>1296</v>
      </c>
      <c r="N171">
        <v>3</v>
      </c>
      <c r="O171" t="s">
        <v>74</v>
      </c>
      <c r="P171">
        <v>0.06</v>
      </c>
      <c r="Q171" t="s">
        <v>1325</v>
      </c>
      <c r="R171">
        <v>26.3</v>
      </c>
      <c r="S171">
        <v>23.7</v>
      </c>
      <c r="T171">
        <v>28.9</v>
      </c>
      <c r="U171">
        <v>5.3</v>
      </c>
      <c r="V171">
        <v>15.8</v>
      </c>
    </row>
    <row r="172" spans="1:22" x14ac:dyDescent="0.25">
      <c r="A172" t="s">
        <v>1458</v>
      </c>
      <c r="B172" t="s">
        <v>113</v>
      </c>
      <c r="C172">
        <v>21</v>
      </c>
      <c r="D172" t="s">
        <v>140</v>
      </c>
      <c r="E172" t="s">
        <v>140</v>
      </c>
      <c r="F172" t="s">
        <v>57</v>
      </c>
      <c r="G172">
        <v>0.28999999999999998</v>
      </c>
      <c r="H172" t="s">
        <v>66</v>
      </c>
      <c r="I172">
        <v>3</v>
      </c>
      <c r="J172" t="str">
        <f>HYPERLINK("https://www.eliteprospects.com/player/592077/jacob-conrad")</f>
        <v>https://www.eliteprospects.com/player/592077/jacob-conrad</v>
      </c>
      <c r="K172" t="s">
        <v>27</v>
      </c>
      <c r="L172" t="s">
        <v>28</v>
      </c>
      <c r="M172" t="s">
        <v>1296</v>
      </c>
      <c r="N172">
        <v>3</v>
      </c>
      <c r="O172" t="s">
        <v>74</v>
      </c>
      <c r="P172">
        <v>0.06</v>
      </c>
      <c r="Q172" t="s">
        <v>1325</v>
      </c>
      <c r="R172">
        <v>26.3</v>
      </c>
      <c r="S172">
        <v>23.7</v>
      </c>
      <c r="T172">
        <v>28.9</v>
      </c>
      <c r="U172">
        <v>5.3</v>
      </c>
      <c r="V172">
        <v>15.8</v>
      </c>
    </row>
    <row r="173" spans="1:22" x14ac:dyDescent="0.25">
      <c r="A173" t="s">
        <v>1459</v>
      </c>
      <c r="B173" t="s">
        <v>83</v>
      </c>
      <c r="C173">
        <v>14</v>
      </c>
      <c r="D173" t="s">
        <v>79</v>
      </c>
      <c r="E173" t="s">
        <v>66</v>
      </c>
      <c r="F173" t="s">
        <v>57</v>
      </c>
      <c r="G173">
        <v>0.43</v>
      </c>
      <c r="H173" t="s">
        <v>132</v>
      </c>
      <c r="I173">
        <v>4</v>
      </c>
      <c r="J173" t="str">
        <f>HYPERLINK("https://www.eliteprospects.com/player/597758/cooper-cleaves")</f>
        <v>https://www.eliteprospects.com/player/597758/cooper-cleaves</v>
      </c>
      <c r="K173" t="s">
        <v>27</v>
      </c>
      <c r="L173" t="s">
        <v>28</v>
      </c>
      <c r="M173" t="s">
        <v>1296</v>
      </c>
      <c r="N173">
        <v>1</v>
      </c>
      <c r="O173" t="s">
        <v>71</v>
      </c>
      <c r="P173">
        <v>0.08</v>
      </c>
      <c r="Q173" t="s">
        <v>1325</v>
      </c>
      <c r="R173">
        <v>30</v>
      </c>
      <c r="S173">
        <v>25</v>
      </c>
      <c r="T173">
        <v>32.5</v>
      </c>
      <c r="U173">
        <v>5</v>
      </c>
      <c r="V173">
        <v>7.5</v>
      </c>
    </row>
    <row r="174" spans="1:22" x14ac:dyDescent="0.25">
      <c r="A174" t="s">
        <v>1460</v>
      </c>
      <c r="B174" t="s">
        <v>134</v>
      </c>
      <c r="C174">
        <v>16</v>
      </c>
      <c r="D174" t="s">
        <v>79</v>
      </c>
      <c r="E174" t="s">
        <v>66</v>
      </c>
      <c r="F174" t="s">
        <v>57</v>
      </c>
      <c r="G174">
        <v>0.38</v>
      </c>
      <c r="H174" t="s">
        <v>39</v>
      </c>
      <c r="I174">
        <v>-3</v>
      </c>
      <c r="J174" t="str">
        <f>HYPERLINK("https://www.eliteprospects.com/player/577649/francois-james-buteau")</f>
        <v>https://www.eliteprospects.com/player/577649/francois-james-buteau</v>
      </c>
      <c r="K174" t="s">
        <v>27</v>
      </c>
      <c r="L174" t="s">
        <v>28</v>
      </c>
      <c r="M174" t="s">
        <v>1296</v>
      </c>
      <c r="N174">
        <v>6</v>
      </c>
      <c r="O174" t="s">
        <v>99</v>
      </c>
      <c r="P174">
        <v>7.0000000000000007E-2</v>
      </c>
      <c r="Q174" t="s">
        <v>1325</v>
      </c>
      <c r="R174">
        <v>30</v>
      </c>
      <c r="S174">
        <v>25</v>
      </c>
      <c r="T174">
        <v>32.5</v>
      </c>
      <c r="U174">
        <v>5</v>
      </c>
      <c r="V174">
        <v>7.5</v>
      </c>
    </row>
    <row r="175" spans="1:22" x14ac:dyDescent="0.25">
      <c r="A175" t="s">
        <v>1461</v>
      </c>
      <c r="B175" t="s">
        <v>288</v>
      </c>
      <c r="C175">
        <v>19</v>
      </c>
      <c r="D175" t="s">
        <v>79</v>
      </c>
      <c r="E175" t="s">
        <v>66</v>
      </c>
      <c r="F175" t="s">
        <v>57</v>
      </c>
      <c r="G175">
        <v>0.32</v>
      </c>
      <c r="H175" t="s">
        <v>79</v>
      </c>
      <c r="I175">
        <v>-5</v>
      </c>
      <c r="J175" t="str">
        <f>HYPERLINK("https://www.eliteprospects.com/player/738927/jax-wismer")</f>
        <v>https://www.eliteprospects.com/player/738927/jax-wismer</v>
      </c>
      <c r="K175" t="s">
        <v>27</v>
      </c>
      <c r="L175" t="s">
        <v>28</v>
      </c>
      <c r="M175" t="s">
        <v>1296</v>
      </c>
      <c r="N175">
        <v>2</v>
      </c>
      <c r="O175" t="s">
        <v>43</v>
      </c>
      <c r="P175">
        <v>0.06</v>
      </c>
      <c r="Q175" t="s">
        <v>1325</v>
      </c>
      <c r="R175">
        <v>26.3</v>
      </c>
      <c r="S175">
        <v>23.7</v>
      </c>
      <c r="T175">
        <v>28.9</v>
      </c>
      <c r="U175">
        <v>5.3</v>
      </c>
      <c r="V175">
        <v>15.8</v>
      </c>
    </row>
    <row r="176" spans="1:22" x14ac:dyDescent="0.25">
      <c r="A176" t="s">
        <v>1462</v>
      </c>
      <c r="B176" t="s">
        <v>195</v>
      </c>
      <c r="C176">
        <v>19</v>
      </c>
      <c r="D176" t="s">
        <v>79</v>
      </c>
      <c r="E176" t="s">
        <v>66</v>
      </c>
      <c r="F176" t="s">
        <v>57</v>
      </c>
      <c r="G176">
        <v>0.32</v>
      </c>
      <c r="H176" t="s">
        <v>32</v>
      </c>
      <c r="I176">
        <v>-10</v>
      </c>
      <c r="J176" t="str">
        <f>HYPERLINK("https://www.eliteprospects.com/player/871078/sascha-boumedienne")</f>
        <v>https://www.eliteprospects.com/player/871078/sascha-boumedienne</v>
      </c>
      <c r="K176" t="s">
        <v>27</v>
      </c>
      <c r="L176" t="s">
        <v>28</v>
      </c>
      <c r="M176" t="s">
        <v>1296</v>
      </c>
      <c r="N176">
        <v>2</v>
      </c>
      <c r="O176" t="s">
        <v>43</v>
      </c>
      <c r="P176">
        <v>0.06</v>
      </c>
      <c r="Q176" t="s">
        <v>1325</v>
      </c>
      <c r="R176">
        <v>26.3</v>
      </c>
      <c r="S176">
        <v>23.7</v>
      </c>
      <c r="T176">
        <v>28.9</v>
      </c>
      <c r="U176">
        <v>5.3</v>
      </c>
      <c r="V176">
        <v>15.8</v>
      </c>
    </row>
    <row r="177" spans="1:22" x14ac:dyDescent="0.25">
      <c r="A177" t="s">
        <v>1463</v>
      </c>
      <c r="B177" t="s">
        <v>150</v>
      </c>
      <c r="C177">
        <v>20</v>
      </c>
      <c r="D177" t="s">
        <v>79</v>
      </c>
      <c r="E177" t="s">
        <v>66</v>
      </c>
      <c r="F177" t="s">
        <v>57</v>
      </c>
      <c r="G177">
        <v>0.3</v>
      </c>
      <c r="H177" t="s">
        <v>66</v>
      </c>
      <c r="I177">
        <v>5</v>
      </c>
      <c r="J177" t="str">
        <f>HYPERLINK("https://www.eliteprospects.com/player/566359/nathan-mcbrayer")</f>
        <v>https://www.eliteprospects.com/player/566359/nathan-mcbrayer</v>
      </c>
      <c r="K177" t="s">
        <v>27</v>
      </c>
      <c r="L177" t="s">
        <v>28</v>
      </c>
      <c r="M177" t="s">
        <v>1296</v>
      </c>
      <c r="N177">
        <v>3</v>
      </c>
      <c r="O177" t="s">
        <v>74</v>
      </c>
      <c r="P177">
        <v>0.06</v>
      </c>
      <c r="Q177" t="s">
        <v>1325</v>
      </c>
      <c r="R177">
        <v>26.3</v>
      </c>
      <c r="S177">
        <v>23.7</v>
      </c>
      <c r="T177">
        <v>28.9</v>
      </c>
      <c r="U177">
        <v>5.3</v>
      </c>
      <c r="V177">
        <v>15.8</v>
      </c>
    </row>
    <row r="178" spans="1:22" x14ac:dyDescent="0.25">
      <c r="A178" t="s">
        <v>1464</v>
      </c>
      <c r="B178" t="s">
        <v>103</v>
      </c>
      <c r="C178">
        <v>20</v>
      </c>
      <c r="D178" t="s">
        <v>79</v>
      </c>
      <c r="E178" t="s">
        <v>66</v>
      </c>
      <c r="F178" t="s">
        <v>57</v>
      </c>
      <c r="G178">
        <v>0.3</v>
      </c>
      <c r="H178" t="s">
        <v>66</v>
      </c>
      <c r="I178">
        <v>-3</v>
      </c>
      <c r="J178" t="str">
        <f>HYPERLINK("https://www.eliteprospects.com/player/603427/larry-keenan")</f>
        <v>https://www.eliteprospects.com/player/603427/larry-keenan</v>
      </c>
      <c r="K178" t="s">
        <v>27</v>
      </c>
      <c r="L178" t="s">
        <v>28</v>
      </c>
      <c r="M178" t="s">
        <v>1296</v>
      </c>
      <c r="N178">
        <v>2</v>
      </c>
      <c r="O178" t="s">
        <v>43</v>
      </c>
      <c r="P178">
        <v>0.06</v>
      </c>
      <c r="Q178" t="s">
        <v>1325</v>
      </c>
      <c r="R178">
        <v>26.3</v>
      </c>
      <c r="S178">
        <v>23.7</v>
      </c>
      <c r="T178">
        <v>28.9</v>
      </c>
      <c r="U178">
        <v>5.3</v>
      </c>
      <c r="V178">
        <v>15.8</v>
      </c>
    </row>
    <row r="179" spans="1:22" x14ac:dyDescent="0.25">
      <c r="A179" t="s">
        <v>1465</v>
      </c>
      <c r="B179" t="s">
        <v>224</v>
      </c>
      <c r="C179">
        <v>20</v>
      </c>
      <c r="D179" t="s">
        <v>79</v>
      </c>
      <c r="E179" t="s">
        <v>66</v>
      </c>
      <c r="F179" t="s">
        <v>57</v>
      </c>
      <c r="G179">
        <v>0.3</v>
      </c>
      <c r="H179" t="s">
        <v>57</v>
      </c>
      <c r="I179">
        <v>-10</v>
      </c>
      <c r="J179" t="str">
        <f>HYPERLINK("https://www.eliteprospects.com/player/566428/dominic-elliott")</f>
        <v>https://www.eliteprospects.com/player/566428/dominic-elliott</v>
      </c>
      <c r="K179" t="s">
        <v>27</v>
      </c>
      <c r="L179" t="s">
        <v>28</v>
      </c>
      <c r="M179" t="s">
        <v>1296</v>
      </c>
      <c r="N179">
        <v>2</v>
      </c>
      <c r="O179" t="s">
        <v>43</v>
      </c>
      <c r="P179">
        <v>0.06</v>
      </c>
      <c r="Q179" t="s">
        <v>1325</v>
      </c>
      <c r="R179">
        <v>26.3</v>
      </c>
      <c r="S179">
        <v>23.7</v>
      </c>
      <c r="T179">
        <v>28.9</v>
      </c>
      <c r="U179">
        <v>5.3</v>
      </c>
      <c r="V179">
        <v>15.8</v>
      </c>
    </row>
    <row r="180" spans="1:22" x14ac:dyDescent="0.25">
      <c r="A180" t="s">
        <v>1466</v>
      </c>
      <c r="B180" t="s">
        <v>116</v>
      </c>
      <c r="C180">
        <v>21</v>
      </c>
      <c r="D180" t="s">
        <v>79</v>
      </c>
      <c r="E180" t="s">
        <v>66</v>
      </c>
      <c r="F180" t="s">
        <v>57</v>
      </c>
      <c r="G180">
        <v>0.28999999999999998</v>
      </c>
      <c r="H180" t="s">
        <v>66</v>
      </c>
      <c r="I180">
        <v>-13</v>
      </c>
      <c r="J180" t="str">
        <f>HYPERLINK("https://www.eliteprospects.com/player/651908/sam-frandina")</f>
        <v>https://www.eliteprospects.com/player/651908/sam-frandina</v>
      </c>
      <c r="K180" t="s">
        <v>27</v>
      </c>
      <c r="L180" t="s">
        <v>28</v>
      </c>
      <c r="M180" t="s">
        <v>1296</v>
      </c>
      <c r="N180">
        <v>1</v>
      </c>
      <c r="O180" t="s">
        <v>71</v>
      </c>
      <c r="P180">
        <v>0.06</v>
      </c>
      <c r="Q180" t="s">
        <v>1325</v>
      </c>
      <c r="R180">
        <v>26.3</v>
      </c>
      <c r="S180">
        <v>23.7</v>
      </c>
      <c r="T180">
        <v>28.9</v>
      </c>
      <c r="U180">
        <v>5.3</v>
      </c>
      <c r="V180">
        <v>15.8</v>
      </c>
    </row>
    <row r="181" spans="1:22" x14ac:dyDescent="0.25">
      <c r="A181" t="s">
        <v>1467</v>
      </c>
      <c r="B181" t="s">
        <v>202</v>
      </c>
      <c r="C181">
        <v>22</v>
      </c>
      <c r="D181" t="s">
        <v>79</v>
      </c>
      <c r="E181" t="s">
        <v>66</v>
      </c>
      <c r="F181" t="s">
        <v>57</v>
      </c>
      <c r="G181">
        <v>0.27</v>
      </c>
      <c r="H181" t="s">
        <v>57</v>
      </c>
      <c r="I181">
        <v>1</v>
      </c>
      <c r="J181" t="str">
        <f>HYPERLINK("https://www.eliteprospects.com/player/551335/jacob-guevin")</f>
        <v>https://www.eliteprospects.com/player/551335/jacob-guevin</v>
      </c>
      <c r="K181" t="s">
        <v>27</v>
      </c>
      <c r="L181" t="s">
        <v>28</v>
      </c>
      <c r="M181" t="s">
        <v>1296</v>
      </c>
      <c r="N181">
        <v>4</v>
      </c>
      <c r="O181" t="s">
        <v>30</v>
      </c>
      <c r="P181">
        <v>0.05</v>
      </c>
      <c r="Q181" t="s">
        <v>1325</v>
      </c>
      <c r="R181">
        <v>26.3</v>
      </c>
      <c r="S181">
        <v>23.7</v>
      </c>
      <c r="T181">
        <v>28.9</v>
      </c>
      <c r="U181">
        <v>5.3</v>
      </c>
      <c r="V181">
        <v>15.8</v>
      </c>
    </row>
    <row r="182" spans="1:22" x14ac:dyDescent="0.25">
      <c r="A182" t="s">
        <v>1468</v>
      </c>
      <c r="B182" t="s">
        <v>82</v>
      </c>
      <c r="C182">
        <v>22</v>
      </c>
      <c r="D182" t="s">
        <v>79</v>
      </c>
      <c r="E182" t="s">
        <v>66</v>
      </c>
      <c r="F182" t="s">
        <v>57</v>
      </c>
      <c r="G182">
        <v>0.27</v>
      </c>
      <c r="H182" t="s">
        <v>32</v>
      </c>
      <c r="I182">
        <v>-1</v>
      </c>
      <c r="J182" t="str">
        <f>HYPERLINK("https://www.eliteprospects.com/player/592465/mitchell-wolfe")</f>
        <v>https://www.eliteprospects.com/player/592465/mitchell-wolfe</v>
      </c>
      <c r="K182" t="s">
        <v>27</v>
      </c>
      <c r="L182" t="s">
        <v>28</v>
      </c>
      <c r="M182" t="s">
        <v>1296</v>
      </c>
      <c r="N182">
        <v>4</v>
      </c>
      <c r="O182" t="s">
        <v>30</v>
      </c>
      <c r="P182">
        <v>0.05</v>
      </c>
      <c r="Q182" t="s">
        <v>1325</v>
      </c>
      <c r="R182">
        <v>26.3</v>
      </c>
      <c r="S182">
        <v>23.7</v>
      </c>
      <c r="T182">
        <v>28.9</v>
      </c>
      <c r="U182">
        <v>5.3</v>
      </c>
      <c r="V182">
        <v>15.8</v>
      </c>
    </row>
    <row r="183" spans="1:22" x14ac:dyDescent="0.25">
      <c r="A183" t="s">
        <v>1469</v>
      </c>
      <c r="B183" t="s">
        <v>130</v>
      </c>
      <c r="C183">
        <v>14</v>
      </c>
      <c r="D183" t="s">
        <v>260</v>
      </c>
      <c r="E183" t="s">
        <v>96</v>
      </c>
      <c r="F183" t="s">
        <v>57</v>
      </c>
      <c r="G183">
        <v>0.43</v>
      </c>
      <c r="H183" t="s">
        <v>55</v>
      </c>
      <c r="I183">
        <v>-7</v>
      </c>
      <c r="J183" t="str">
        <f>HYPERLINK("https://www.eliteprospects.com/player/565754/hunter-mayo")</f>
        <v>https://www.eliteprospects.com/player/565754/hunter-mayo</v>
      </c>
      <c r="K183" t="s">
        <v>27</v>
      </c>
      <c r="L183" t="s">
        <v>28</v>
      </c>
      <c r="M183" t="s">
        <v>1296</v>
      </c>
      <c r="N183">
        <v>6</v>
      </c>
      <c r="O183" t="s">
        <v>193</v>
      </c>
      <c r="P183">
        <v>0.08</v>
      </c>
      <c r="Q183" t="s">
        <v>1325</v>
      </c>
      <c r="R183">
        <v>30</v>
      </c>
      <c r="S183">
        <v>25</v>
      </c>
      <c r="T183">
        <v>32.5</v>
      </c>
      <c r="U183">
        <v>5</v>
      </c>
      <c r="V183">
        <v>7.5</v>
      </c>
    </row>
    <row r="184" spans="1:22" x14ac:dyDescent="0.25">
      <c r="A184" t="s">
        <v>1470</v>
      </c>
      <c r="B184" t="s">
        <v>288</v>
      </c>
      <c r="C184">
        <v>16</v>
      </c>
      <c r="D184" t="s">
        <v>260</v>
      </c>
      <c r="E184" t="s">
        <v>96</v>
      </c>
      <c r="F184" t="s">
        <v>57</v>
      </c>
      <c r="G184">
        <v>0.38</v>
      </c>
      <c r="H184" t="s">
        <v>23</v>
      </c>
      <c r="I184">
        <v>2</v>
      </c>
      <c r="J184" t="str">
        <f>HYPERLINK("https://www.eliteprospects.com/player/350707/philip-tornqvist")</f>
        <v>https://www.eliteprospects.com/player/350707/philip-tornqvist</v>
      </c>
      <c r="K184" t="s">
        <v>27</v>
      </c>
      <c r="L184" t="s">
        <v>28</v>
      </c>
      <c r="M184" t="s">
        <v>1296</v>
      </c>
      <c r="N184">
        <v>4</v>
      </c>
      <c r="O184" t="s">
        <v>30</v>
      </c>
      <c r="P184">
        <v>7.0000000000000007E-2</v>
      </c>
      <c r="Q184" t="s">
        <v>1325</v>
      </c>
      <c r="R184">
        <v>30</v>
      </c>
      <c r="S184">
        <v>25</v>
      </c>
      <c r="T184">
        <v>32.5</v>
      </c>
      <c r="U184">
        <v>5</v>
      </c>
      <c r="V184">
        <v>7.5</v>
      </c>
    </row>
    <row r="185" spans="1:22" x14ac:dyDescent="0.25">
      <c r="A185" t="s">
        <v>1471</v>
      </c>
      <c r="B185" t="s">
        <v>120</v>
      </c>
      <c r="C185">
        <v>18</v>
      </c>
      <c r="D185" t="s">
        <v>260</v>
      </c>
      <c r="E185" t="s">
        <v>96</v>
      </c>
      <c r="F185" t="s">
        <v>57</v>
      </c>
      <c r="G185">
        <v>0.33</v>
      </c>
      <c r="H185" t="s">
        <v>55</v>
      </c>
      <c r="I185">
        <v>5</v>
      </c>
      <c r="J185" t="str">
        <f>HYPERLINK("https://www.eliteprospects.com/player/618574/aram-minnetian")</f>
        <v>https://www.eliteprospects.com/player/618574/aram-minnetian</v>
      </c>
      <c r="K185" t="s">
        <v>27</v>
      </c>
      <c r="L185" t="s">
        <v>28</v>
      </c>
      <c r="M185" t="s">
        <v>1296</v>
      </c>
      <c r="N185">
        <v>3</v>
      </c>
      <c r="O185" t="s">
        <v>74</v>
      </c>
      <c r="P185">
        <v>0.06</v>
      </c>
      <c r="Q185" t="s">
        <v>1325</v>
      </c>
      <c r="R185">
        <v>26.3</v>
      </c>
      <c r="S185">
        <v>23.7</v>
      </c>
      <c r="T185">
        <v>28.9</v>
      </c>
      <c r="U185">
        <v>5.3</v>
      </c>
      <c r="V185">
        <v>15.8</v>
      </c>
    </row>
    <row r="186" spans="1:22" x14ac:dyDescent="0.25">
      <c r="A186" t="s">
        <v>1472</v>
      </c>
      <c r="B186" t="s">
        <v>90</v>
      </c>
      <c r="C186">
        <v>19</v>
      </c>
      <c r="D186" t="s">
        <v>260</v>
      </c>
      <c r="E186" t="s">
        <v>96</v>
      </c>
      <c r="F186" t="s">
        <v>57</v>
      </c>
      <c r="G186">
        <v>0.32</v>
      </c>
      <c r="H186" t="s">
        <v>55</v>
      </c>
      <c r="I186">
        <v>4</v>
      </c>
      <c r="J186" t="str">
        <f>HYPERLINK("https://www.eliteprospects.com/player/620353/aiden-vanrooyan")</f>
        <v>https://www.eliteprospects.com/player/620353/aiden-vanrooyan</v>
      </c>
      <c r="K186" t="s">
        <v>27</v>
      </c>
      <c r="L186" t="s">
        <v>28</v>
      </c>
      <c r="M186" t="s">
        <v>1296</v>
      </c>
      <c r="N186">
        <v>2</v>
      </c>
      <c r="O186" t="s">
        <v>43</v>
      </c>
      <c r="P186">
        <v>0.06</v>
      </c>
      <c r="Q186" t="s">
        <v>1325</v>
      </c>
      <c r="R186">
        <v>26.3</v>
      </c>
      <c r="S186">
        <v>23.7</v>
      </c>
      <c r="T186">
        <v>28.9</v>
      </c>
      <c r="U186">
        <v>5.3</v>
      </c>
      <c r="V186">
        <v>15.8</v>
      </c>
    </row>
    <row r="187" spans="1:22" x14ac:dyDescent="0.25">
      <c r="A187" t="s">
        <v>1473</v>
      </c>
      <c r="B187" t="s">
        <v>162</v>
      </c>
      <c r="C187">
        <v>20</v>
      </c>
      <c r="D187" t="s">
        <v>260</v>
      </c>
      <c r="E187" t="s">
        <v>96</v>
      </c>
      <c r="F187" t="s">
        <v>57</v>
      </c>
      <c r="G187">
        <v>0.3</v>
      </c>
      <c r="H187" t="s">
        <v>55</v>
      </c>
      <c r="I187">
        <v>8</v>
      </c>
      <c r="J187" t="str">
        <f>HYPERLINK("https://www.eliteprospects.com/player/512096/david-helledy")</f>
        <v>https://www.eliteprospects.com/player/512096/david-helledy</v>
      </c>
      <c r="K187" t="s">
        <v>27</v>
      </c>
      <c r="L187" t="s">
        <v>28</v>
      </c>
      <c r="M187" t="s">
        <v>1296</v>
      </c>
      <c r="N187">
        <v>2</v>
      </c>
      <c r="O187" t="s">
        <v>43</v>
      </c>
      <c r="P187">
        <v>0.06</v>
      </c>
      <c r="Q187" t="s">
        <v>1325</v>
      </c>
      <c r="R187">
        <v>26.3</v>
      </c>
      <c r="S187">
        <v>23.7</v>
      </c>
      <c r="T187">
        <v>28.9</v>
      </c>
      <c r="U187">
        <v>5.3</v>
      </c>
      <c r="V187">
        <v>15.8</v>
      </c>
    </row>
    <row r="188" spans="1:22" x14ac:dyDescent="0.25">
      <c r="A188" t="s">
        <v>1474</v>
      </c>
      <c r="B188" t="s">
        <v>73</v>
      </c>
      <c r="C188">
        <v>22</v>
      </c>
      <c r="D188" t="s">
        <v>260</v>
      </c>
      <c r="E188" t="s">
        <v>96</v>
      </c>
      <c r="F188" t="s">
        <v>57</v>
      </c>
      <c r="G188">
        <v>0.27</v>
      </c>
      <c r="H188" t="s">
        <v>57</v>
      </c>
      <c r="I188">
        <v>0</v>
      </c>
      <c r="J188" t="str">
        <f>HYPERLINK("https://www.eliteprospects.com/player/413249/josh-zinger")</f>
        <v>https://www.eliteprospects.com/player/413249/josh-zinger</v>
      </c>
      <c r="K188" t="s">
        <v>27</v>
      </c>
      <c r="L188" t="s">
        <v>28</v>
      </c>
      <c r="M188" t="s">
        <v>1296</v>
      </c>
      <c r="N188">
        <v>4</v>
      </c>
      <c r="O188" t="s">
        <v>30</v>
      </c>
      <c r="P188">
        <v>0.05</v>
      </c>
      <c r="Q188" t="s">
        <v>1325</v>
      </c>
      <c r="R188">
        <v>26.3</v>
      </c>
      <c r="S188">
        <v>23.7</v>
      </c>
      <c r="T188">
        <v>28.9</v>
      </c>
      <c r="U188">
        <v>5.3</v>
      </c>
      <c r="V188">
        <v>15.8</v>
      </c>
    </row>
    <row r="189" spans="1:22" x14ac:dyDescent="0.25">
      <c r="A189" t="s">
        <v>1475</v>
      </c>
      <c r="B189" t="s">
        <v>161</v>
      </c>
      <c r="C189">
        <v>22</v>
      </c>
      <c r="D189" t="s">
        <v>260</v>
      </c>
      <c r="E189" t="s">
        <v>96</v>
      </c>
      <c r="F189" t="s">
        <v>57</v>
      </c>
      <c r="G189">
        <v>0.27</v>
      </c>
      <c r="H189" t="s">
        <v>39</v>
      </c>
      <c r="I189">
        <v>-3</v>
      </c>
      <c r="J189" t="str">
        <f>HYPERLINK("https://www.eliteprospects.com/player/603728/seth-constance")</f>
        <v>https://www.eliteprospects.com/player/603728/seth-constance</v>
      </c>
      <c r="K189" t="s">
        <v>27</v>
      </c>
      <c r="L189" t="s">
        <v>28</v>
      </c>
      <c r="M189" t="s">
        <v>1296</v>
      </c>
      <c r="N189">
        <v>2</v>
      </c>
      <c r="O189" t="s">
        <v>43</v>
      </c>
      <c r="P189">
        <v>0.05</v>
      </c>
      <c r="Q189" t="s">
        <v>1325</v>
      </c>
      <c r="R189">
        <v>26.3</v>
      </c>
      <c r="S189">
        <v>23.7</v>
      </c>
      <c r="T189">
        <v>28.9</v>
      </c>
      <c r="U189">
        <v>5.3</v>
      </c>
      <c r="V189">
        <v>15.8</v>
      </c>
    </row>
    <row r="190" spans="1:22" x14ac:dyDescent="0.25">
      <c r="A190" t="s">
        <v>1476</v>
      </c>
      <c r="B190" t="s">
        <v>22</v>
      </c>
      <c r="C190">
        <v>24</v>
      </c>
      <c r="D190" t="s">
        <v>260</v>
      </c>
      <c r="E190" t="s">
        <v>96</v>
      </c>
      <c r="F190" t="s">
        <v>57</v>
      </c>
      <c r="G190">
        <v>0.25</v>
      </c>
      <c r="H190" t="s">
        <v>57</v>
      </c>
      <c r="I190">
        <v>4</v>
      </c>
      <c r="J190" t="str">
        <f>HYPERLINK("https://www.eliteprospects.com/player/566399/joel-kjellberg")</f>
        <v>https://www.eliteprospects.com/player/566399/joel-kjellberg</v>
      </c>
      <c r="K190" t="s">
        <v>27</v>
      </c>
      <c r="L190" t="s">
        <v>28</v>
      </c>
      <c r="M190" t="s">
        <v>1296</v>
      </c>
      <c r="N190">
        <v>2</v>
      </c>
      <c r="O190" t="s">
        <v>43</v>
      </c>
      <c r="P190">
        <v>0.05</v>
      </c>
      <c r="Q190" t="s">
        <v>1325</v>
      </c>
      <c r="R190">
        <v>26.3</v>
      </c>
      <c r="S190">
        <v>23.7</v>
      </c>
      <c r="T190">
        <v>28.9</v>
      </c>
      <c r="U190">
        <v>5.3</v>
      </c>
      <c r="V190">
        <v>15.8</v>
      </c>
    </row>
    <row r="191" spans="1:22" x14ac:dyDescent="0.25">
      <c r="A191" t="s">
        <v>1477</v>
      </c>
      <c r="B191" t="s">
        <v>167</v>
      </c>
      <c r="C191">
        <v>14</v>
      </c>
      <c r="D191" t="s">
        <v>132</v>
      </c>
      <c r="E191" t="s">
        <v>57</v>
      </c>
      <c r="F191" t="s">
        <v>57</v>
      </c>
      <c r="G191">
        <v>0.43</v>
      </c>
      <c r="H191" t="s">
        <v>66</v>
      </c>
      <c r="I191">
        <v>3</v>
      </c>
      <c r="J191" t="str">
        <f>HYPERLINK("https://www.eliteprospects.com/player/599383/lucas-st-louis")</f>
        <v>https://www.eliteprospects.com/player/599383/lucas-st-louis</v>
      </c>
      <c r="K191" t="s">
        <v>27</v>
      </c>
      <c r="L191" t="s">
        <v>28</v>
      </c>
      <c r="M191" t="s">
        <v>1296</v>
      </c>
      <c r="N191">
        <v>2</v>
      </c>
      <c r="O191" t="s">
        <v>43</v>
      </c>
      <c r="P191">
        <v>0.08</v>
      </c>
      <c r="Q191" t="s">
        <v>1325</v>
      </c>
      <c r="R191">
        <v>30</v>
      </c>
      <c r="S191">
        <v>25</v>
      </c>
      <c r="T191">
        <v>32.5</v>
      </c>
      <c r="U191">
        <v>5</v>
      </c>
      <c r="V191">
        <v>7.5</v>
      </c>
    </row>
    <row r="192" spans="1:22" x14ac:dyDescent="0.25">
      <c r="A192" t="s">
        <v>1478</v>
      </c>
      <c r="B192" t="s">
        <v>222</v>
      </c>
      <c r="C192">
        <v>16</v>
      </c>
      <c r="D192" t="s">
        <v>132</v>
      </c>
      <c r="E192" t="s">
        <v>57</v>
      </c>
      <c r="F192" t="s">
        <v>57</v>
      </c>
      <c r="G192">
        <v>0.38</v>
      </c>
      <c r="H192" t="s">
        <v>26</v>
      </c>
      <c r="I192">
        <v>2</v>
      </c>
      <c r="J192" t="str">
        <f>HYPERLINK("https://www.eliteprospects.com/player/852803/dylan-hunt")</f>
        <v>https://www.eliteprospects.com/player/852803/dylan-hunt</v>
      </c>
      <c r="K192" t="s">
        <v>27</v>
      </c>
      <c r="L192" t="s">
        <v>28</v>
      </c>
      <c r="M192" t="s">
        <v>1296</v>
      </c>
      <c r="N192">
        <v>1</v>
      </c>
      <c r="O192" t="s">
        <v>71</v>
      </c>
      <c r="P192">
        <v>7.0000000000000007E-2</v>
      </c>
      <c r="Q192" t="s">
        <v>1325</v>
      </c>
      <c r="R192">
        <v>30</v>
      </c>
      <c r="S192">
        <v>25</v>
      </c>
      <c r="T192">
        <v>32.5</v>
      </c>
      <c r="U192">
        <v>5</v>
      </c>
      <c r="V192">
        <v>7.5</v>
      </c>
    </row>
    <row r="193" spans="1:22" x14ac:dyDescent="0.25">
      <c r="A193" t="s">
        <v>1479</v>
      </c>
      <c r="B193" t="s">
        <v>312</v>
      </c>
      <c r="C193">
        <v>18</v>
      </c>
      <c r="D193" t="s">
        <v>132</v>
      </c>
      <c r="E193" t="s">
        <v>57</v>
      </c>
      <c r="F193" t="s">
        <v>57</v>
      </c>
      <c r="G193">
        <v>0.33</v>
      </c>
      <c r="H193" t="s">
        <v>132</v>
      </c>
      <c r="I193">
        <v>-5</v>
      </c>
      <c r="J193" t="str">
        <f>HYPERLINK("https://www.eliteprospects.com/player/476537/logan-acheson")</f>
        <v>https://www.eliteprospects.com/player/476537/logan-acheson</v>
      </c>
      <c r="K193" t="s">
        <v>27</v>
      </c>
      <c r="L193" t="s">
        <v>28</v>
      </c>
      <c r="M193" t="s">
        <v>1296</v>
      </c>
      <c r="N193">
        <v>4</v>
      </c>
      <c r="O193" t="s">
        <v>30</v>
      </c>
      <c r="P193">
        <v>0.06</v>
      </c>
      <c r="Q193" t="s">
        <v>1325</v>
      </c>
      <c r="R193">
        <v>26.3</v>
      </c>
      <c r="S193">
        <v>23.7</v>
      </c>
      <c r="T193">
        <v>28.9</v>
      </c>
      <c r="U193">
        <v>5.3</v>
      </c>
      <c r="V193">
        <v>15.8</v>
      </c>
    </row>
    <row r="194" spans="1:22" x14ac:dyDescent="0.25">
      <c r="A194" t="s">
        <v>1480</v>
      </c>
      <c r="B194" t="s">
        <v>139</v>
      </c>
      <c r="C194">
        <v>18</v>
      </c>
      <c r="D194" t="s">
        <v>132</v>
      </c>
      <c r="E194" t="s">
        <v>57</v>
      </c>
      <c r="F194" t="s">
        <v>57</v>
      </c>
      <c r="G194">
        <v>0.33</v>
      </c>
      <c r="H194" t="s">
        <v>32</v>
      </c>
      <c r="I194">
        <v>8</v>
      </c>
      <c r="J194" t="str">
        <f>HYPERLINK("https://www.eliteprospects.com/player/574853/jack-phelan")</f>
        <v>https://www.eliteprospects.com/player/574853/jack-phelan</v>
      </c>
      <c r="K194" t="s">
        <v>27</v>
      </c>
      <c r="L194" t="s">
        <v>28</v>
      </c>
      <c r="M194" t="s">
        <v>1296</v>
      </c>
      <c r="N194">
        <v>2</v>
      </c>
      <c r="O194" t="s">
        <v>43</v>
      </c>
      <c r="P194">
        <v>0.06</v>
      </c>
      <c r="Q194" t="s">
        <v>1325</v>
      </c>
      <c r="R194">
        <v>26.3</v>
      </c>
      <c r="S194">
        <v>23.7</v>
      </c>
      <c r="T194">
        <v>28.9</v>
      </c>
      <c r="U194">
        <v>5.3</v>
      </c>
      <c r="V194">
        <v>15.8</v>
      </c>
    </row>
    <row r="195" spans="1:22" x14ac:dyDescent="0.25">
      <c r="A195" t="s">
        <v>1481</v>
      </c>
      <c r="B195" t="s">
        <v>177</v>
      </c>
      <c r="C195">
        <v>19</v>
      </c>
      <c r="D195" t="s">
        <v>132</v>
      </c>
      <c r="E195" t="s">
        <v>57</v>
      </c>
      <c r="F195" t="s">
        <v>57</v>
      </c>
      <c r="G195">
        <v>0.32</v>
      </c>
      <c r="H195" t="s">
        <v>26</v>
      </c>
      <c r="I195">
        <v>0</v>
      </c>
      <c r="J195" t="str">
        <f>HYPERLINK("https://www.eliteprospects.com/player/444945/mitchell-becker")</f>
        <v>https://www.eliteprospects.com/player/444945/mitchell-becker</v>
      </c>
      <c r="K195" t="s">
        <v>27</v>
      </c>
      <c r="L195" t="s">
        <v>28</v>
      </c>
      <c r="M195" t="s">
        <v>1296</v>
      </c>
      <c r="N195">
        <v>4</v>
      </c>
      <c r="O195" t="s">
        <v>30</v>
      </c>
      <c r="P195">
        <v>0.06</v>
      </c>
      <c r="Q195" t="s">
        <v>1325</v>
      </c>
      <c r="R195">
        <v>26.3</v>
      </c>
      <c r="S195">
        <v>23.7</v>
      </c>
      <c r="T195">
        <v>28.9</v>
      </c>
      <c r="U195">
        <v>5.3</v>
      </c>
      <c r="V195">
        <v>15.8</v>
      </c>
    </row>
    <row r="196" spans="1:22" x14ac:dyDescent="0.25">
      <c r="A196" t="s">
        <v>1482</v>
      </c>
      <c r="B196" t="s">
        <v>362</v>
      </c>
      <c r="C196">
        <v>19</v>
      </c>
      <c r="D196" t="s">
        <v>132</v>
      </c>
      <c r="E196" t="s">
        <v>57</v>
      </c>
      <c r="F196" t="s">
        <v>57</v>
      </c>
      <c r="G196">
        <v>0.32</v>
      </c>
      <c r="H196" t="s">
        <v>39</v>
      </c>
      <c r="I196">
        <v>-10</v>
      </c>
      <c r="J196" t="str">
        <f>HYPERLINK("https://www.eliteprospects.com/player/600861/jacob-leblanc")</f>
        <v>https://www.eliteprospects.com/player/600861/jacob-leblanc</v>
      </c>
      <c r="K196" t="s">
        <v>27</v>
      </c>
      <c r="L196" t="s">
        <v>28</v>
      </c>
      <c r="M196" t="s">
        <v>1296</v>
      </c>
      <c r="N196">
        <v>5</v>
      </c>
      <c r="O196" t="s">
        <v>147</v>
      </c>
      <c r="P196">
        <v>0.06</v>
      </c>
      <c r="Q196" t="s">
        <v>1325</v>
      </c>
      <c r="R196">
        <v>26.3</v>
      </c>
      <c r="S196">
        <v>23.7</v>
      </c>
      <c r="T196">
        <v>28.9</v>
      </c>
      <c r="U196">
        <v>5.3</v>
      </c>
      <c r="V196">
        <v>15.8</v>
      </c>
    </row>
    <row r="197" spans="1:22" x14ac:dyDescent="0.25">
      <c r="A197" t="s">
        <v>1483</v>
      </c>
      <c r="B197" t="s">
        <v>255</v>
      </c>
      <c r="C197">
        <v>20</v>
      </c>
      <c r="D197" t="s">
        <v>132</v>
      </c>
      <c r="E197" t="s">
        <v>57</v>
      </c>
      <c r="F197" t="s">
        <v>57</v>
      </c>
      <c r="G197">
        <v>0.3</v>
      </c>
      <c r="H197" t="s">
        <v>39</v>
      </c>
      <c r="I197">
        <v>-10</v>
      </c>
      <c r="J197" t="str">
        <f>HYPERLINK("https://www.eliteprospects.com/player/466650/charlie-banquier")</f>
        <v>https://www.eliteprospects.com/player/466650/charlie-banquier</v>
      </c>
      <c r="K197" t="s">
        <v>27</v>
      </c>
      <c r="L197" t="s">
        <v>28</v>
      </c>
      <c r="M197" t="s">
        <v>1296</v>
      </c>
      <c r="N197">
        <v>3</v>
      </c>
      <c r="O197" t="s">
        <v>74</v>
      </c>
      <c r="P197">
        <v>0.06</v>
      </c>
      <c r="Q197" t="s">
        <v>1325</v>
      </c>
      <c r="R197">
        <v>26.3</v>
      </c>
      <c r="S197">
        <v>23.7</v>
      </c>
      <c r="T197">
        <v>28.9</v>
      </c>
      <c r="U197">
        <v>5.3</v>
      </c>
      <c r="V197">
        <v>15.8</v>
      </c>
    </row>
    <row r="198" spans="1:22" x14ac:dyDescent="0.25">
      <c r="A198" t="s">
        <v>1484</v>
      </c>
      <c r="B198" t="s">
        <v>134</v>
      </c>
      <c r="C198">
        <v>20</v>
      </c>
      <c r="D198" t="s">
        <v>132</v>
      </c>
      <c r="E198" t="s">
        <v>57</v>
      </c>
      <c r="F198" t="s">
        <v>57</v>
      </c>
      <c r="G198">
        <v>0.3</v>
      </c>
      <c r="H198" t="s">
        <v>125</v>
      </c>
      <c r="I198">
        <v>-2</v>
      </c>
      <c r="J198" t="str">
        <f>HYPERLINK("https://www.eliteprospects.com/player/609479/jason-gallucci")</f>
        <v>https://www.eliteprospects.com/player/609479/jason-gallucci</v>
      </c>
      <c r="K198" t="s">
        <v>27</v>
      </c>
      <c r="L198" t="s">
        <v>28</v>
      </c>
      <c r="M198" t="s">
        <v>1296</v>
      </c>
      <c r="N198">
        <v>2</v>
      </c>
      <c r="O198" t="s">
        <v>43</v>
      </c>
      <c r="P198">
        <v>0.06</v>
      </c>
      <c r="Q198" t="s">
        <v>1325</v>
      </c>
      <c r="R198">
        <v>26.3</v>
      </c>
      <c r="S198">
        <v>23.7</v>
      </c>
      <c r="T198">
        <v>28.9</v>
      </c>
      <c r="U198">
        <v>5.3</v>
      </c>
      <c r="V198">
        <v>15.8</v>
      </c>
    </row>
    <row r="199" spans="1:22" x14ac:dyDescent="0.25">
      <c r="A199" t="s">
        <v>1485</v>
      </c>
      <c r="B199" t="s">
        <v>131</v>
      </c>
      <c r="C199">
        <v>23</v>
      </c>
      <c r="D199" t="s">
        <v>132</v>
      </c>
      <c r="E199" t="s">
        <v>57</v>
      </c>
      <c r="F199" t="s">
        <v>57</v>
      </c>
      <c r="G199">
        <v>0.26</v>
      </c>
      <c r="H199" t="s">
        <v>23</v>
      </c>
      <c r="I199">
        <v>1</v>
      </c>
      <c r="J199" t="str">
        <f>HYPERLINK("https://www.eliteprospects.com/player/658954/samuel-groebner")</f>
        <v>https://www.eliteprospects.com/player/658954/samuel-groebner</v>
      </c>
      <c r="K199" t="s">
        <v>27</v>
      </c>
      <c r="L199" t="s">
        <v>28</v>
      </c>
      <c r="M199" t="s">
        <v>1296</v>
      </c>
      <c r="N199">
        <v>2</v>
      </c>
      <c r="O199" t="s">
        <v>43</v>
      </c>
      <c r="P199">
        <v>0.05</v>
      </c>
      <c r="Q199" t="s">
        <v>1325</v>
      </c>
      <c r="R199">
        <v>26.3</v>
      </c>
      <c r="S199">
        <v>23.7</v>
      </c>
      <c r="T199">
        <v>28.9</v>
      </c>
      <c r="U199">
        <v>5.3</v>
      </c>
      <c r="V199">
        <v>15.8</v>
      </c>
    </row>
    <row r="200" spans="1:22" x14ac:dyDescent="0.25">
      <c r="A200" t="s">
        <v>1486</v>
      </c>
      <c r="B200" t="s">
        <v>106</v>
      </c>
      <c r="C200">
        <v>20</v>
      </c>
      <c r="D200" t="s">
        <v>66</v>
      </c>
      <c r="E200" t="s">
        <v>260</v>
      </c>
      <c r="F200" t="s">
        <v>96</v>
      </c>
      <c r="G200">
        <v>0.25</v>
      </c>
      <c r="H200" t="s">
        <v>38</v>
      </c>
      <c r="I200">
        <v>6</v>
      </c>
      <c r="J200" t="str">
        <f>HYPERLINK("https://www.eliteprospects.com/player/640785/matthew-mayich")</f>
        <v>https://www.eliteprospects.com/player/640785/matthew-mayich</v>
      </c>
      <c r="K200" t="s">
        <v>27</v>
      </c>
      <c r="L200" t="s">
        <v>28</v>
      </c>
      <c r="M200" t="s">
        <v>1296</v>
      </c>
      <c r="N200">
        <v>5</v>
      </c>
      <c r="O200" t="s">
        <v>147</v>
      </c>
      <c r="P200">
        <v>0.05</v>
      </c>
      <c r="Q200" t="s">
        <v>1325</v>
      </c>
      <c r="R200">
        <v>26.3</v>
      </c>
      <c r="S200">
        <v>23.7</v>
      </c>
      <c r="T200">
        <v>28.9</v>
      </c>
      <c r="U200">
        <v>5.3</v>
      </c>
      <c r="V200">
        <v>15.8</v>
      </c>
    </row>
    <row r="201" spans="1:22" x14ac:dyDescent="0.25">
      <c r="A201" t="s">
        <v>1487</v>
      </c>
      <c r="B201" t="s">
        <v>82</v>
      </c>
      <c r="C201">
        <v>22</v>
      </c>
      <c r="D201" t="s">
        <v>66</v>
      </c>
      <c r="E201" t="s">
        <v>260</v>
      </c>
      <c r="F201" t="s">
        <v>96</v>
      </c>
      <c r="G201">
        <v>0.23</v>
      </c>
      <c r="H201" t="s">
        <v>38</v>
      </c>
      <c r="I201">
        <v>13</v>
      </c>
      <c r="J201" t="str">
        <f>HYPERLINK("https://www.eliteprospects.com/player/714715/maxon-vig")</f>
        <v>https://www.eliteprospects.com/player/714715/maxon-vig</v>
      </c>
      <c r="K201" t="s">
        <v>27</v>
      </c>
      <c r="L201" t="s">
        <v>28</v>
      </c>
      <c r="M201" t="s">
        <v>1296</v>
      </c>
      <c r="N201">
        <v>1</v>
      </c>
      <c r="O201" t="s">
        <v>71</v>
      </c>
      <c r="P201">
        <v>0.04</v>
      </c>
      <c r="Q201" t="s">
        <v>245</v>
      </c>
      <c r="R201">
        <v>28.6</v>
      </c>
      <c r="S201">
        <v>31.4</v>
      </c>
      <c r="T201">
        <v>28.6</v>
      </c>
      <c r="U201">
        <v>4.3</v>
      </c>
      <c r="V201">
        <v>7.1</v>
      </c>
    </row>
    <row r="202" spans="1:22" x14ac:dyDescent="0.25">
      <c r="A202" t="s">
        <v>1489</v>
      </c>
      <c r="B202" t="s">
        <v>255</v>
      </c>
      <c r="C202">
        <v>17</v>
      </c>
      <c r="D202" t="s">
        <v>140</v>
      </c>
      <c r="E202" t="s">
        <v>79</v>
      </c>
      <c r="F202" t="s">
        <v>96</v>
      </c>
      <c r="G202">
        <v>0.28999999999999998</v>
      </c>
      <c r="H202" t="s">
        <v>66</v>
      </c>
      <c r="I202">
        <v>-3</v>
      </c>
      <c r="J202" t="str">
        <f>HYPERLINK("https://www.eliteprospects.com/player/512302/justin-gibson")</f>
        <v>https://www.eliteprospects.com/player/512302/justin-gibson</v>
      </c>
      <c r="K202" t="s">
        <v>27</v>
      </c>
      <c r="L202" t="s">
        <v>28</v>
      </c>
      <c r="M202" t="s">
        <v>1296</v>
      </c>
      <c r="N202">
        <v>2</v>
      </c>
      <c r="O202" t="s">
        <v>43</v>
      </c>
      <c r="P202">
        <v>0.06</v>
      </c>
      <c r="Q202" t="s">
        <v>1325</v>
      </c>
      <c r="R202">
        <v>26.3</v>
      </c>
      <c r="S202">
        <v>23.7</v>
      </c>
      <c r="T202">
        <v>28.9</v>
      </c>
      <c r="U202">
        <v>5.3</v>
      </c>
      <c r="V202">
        <v>15.8</v>
      </c>
    </row>
    <row r="203" spans="1:22" x14ac:dyDescent="0.25">
      <c r="A203" t="s">
        <v>1490</v>
      </c>
      <c r="B203" t="s">
        <v>113</v>
      </c>
      <c r="C203">
        <v>23</v>
      </c>
      <c r="D203" t="s">
        <v>140</v>
      </c>
      <c r="E203" t="s">
        <v>79</v>
      </c>
      <c r="F203" t="s">
        <v>96</v>
      </c>
      <c r="G203">
        <v>0.22</v>
      </c>
      <c r="H203" t="s">
        <v>57</v>
      </c>
      <c r="I203">
        <v>-4</v>
      </c>
      <c r="J203" t="str">
        <f>HYPERLINK("https://www.eliteprospects.com/player/588309/jakob-stender")</f>
        <v>https://www.eliteprospects.com/player/588309/jakob-stender</v>
      </c>
      <c r="K203" t="s">
        <v>27</v>
      </c>
      <c r="L203" t="s">
        <v>28</v>
      </c>
      <c r="M203" t="s">
        <v>1296</v>
      </c>
      <c r="N203">
        <v>3</v>
      </c>
      <c r="O203" t="s">
        <v>74</v>
      </c>
      <c r="P203">
        <v>0.04</v>
      </c>
      <c r="Q203" t="s">
        <v>245</v>
      </c>
      <c r="R203">
        <v>28.6</v>
      </c>
      <c r="S203">
        <v>31.4</v>
      </c>
      <c r="T203">
        <v>28.6</v>
      </c>
      <c r="U203">
        <v>4.3</v>
      </c>
      <c r="V203">
        <v>7.1</v>
      </c>
    </row>
    <row r="204" spans="1:22" x14ac:dyDescent="0.25">
      <c r="A204" t="s">
        <v>1491</v>
      </c>
      <c r="B204" t="s">
        <v>85</v>
      </c>
      <c r="C204">
        <v>16</v>
      </c>
      <c r="D204" t="s">
        <v>79</v>
      </c>
      <c r="E204" t="s">
        <v>140</v>
      </c>
      <c r="F204" t="s">
        <v>96</v>
      </c>
      <c r="G204">
        <v>0.31</v>
      </c>
      <c r="H204" t="s">
        <v>132</v>
      </c>
      <c r="I204">
        <v>2</v>
      </c>
      <c r="J204" t="str">
        <f>HYPERLINK("https://www.eliteprospects.com/player/201889/nick-marciano")</f>
        <v>https://www.eliteprospects.com/player/201889/nick-marciano</v>
      </c>
      <c r="K204" t="s">
        <v>27</v>
      </c>
      <c r="L204" t="s">
        <v>28</v>
      </c>
      <c r="M204" t="s">
        <v>1296</v>
      </c>
      <c r="N204">
        <v>4</v>
      </c>
      <c r="O204" t="s">
        <v>30</v>
      </c>
      <c r="P204">
        <v>0.06</v>
      </c>
      <c r="Q204" t="s">
        <v>1325</v>
      </c>
      <c r="R204">
        <v>26.3</v>
      </c>
      <c r="S204">
        <v>23.7</v>
      </c>
      <c r="T204">
        <v>28.9</v>
      </c>
      <c r="U204">
        <v>5.3</v>
      </c>
      <c r="V204">
        <v>15.8</v>
      </c>
    </row>
    <row r="205" spans="1:22" x14ac:dyDescent="0.25">
      <c r="A205" t="s">
        <v>1492</v>
      </c>
      <c r="B205" t="s">
        <v>131</v>
      </c>
      <c r="C205">
        <v>17</v>
      </c>
      <c r="D205" t="s">
        <v>79</v>
      </c>
      <c r="E205" t="s">
        <v>140</v>
      </c>
      <c r="F205" t="s">
        <v>96</v>
      </c>
      <c r="G205">
        <v>0.28999999999999998</v>
      </c>
      <c r="H205" t="s">
        <v>39</v>
      </c>
      <c r="I205">
        <v>-3</v>
      </c>
      <c r="J205" t="str">
        <f>HYPERLINK("https://www.eliteprospects.com/player/603230/lukas-mccloskey")</f>
        <v>https://www.eliteprospects.com/player/603230/lukas-mccloskey</v>
      </c>
      <c r="K205" t="s">
        <v>27</v>
      </c>
      <c r="L205" t="s">
        <v>28</v>
      </c>
      <c r="M205" t="s">
        <v>1296</v>
      </c>
      <c r="N205">
        <v>2</v>
      </c>
      <c r="O205" t="s">
        <v>267</v>
      </c>
      <c r="P205">
        <v>0.06</v>
      </c>
      <c r="Q205" t="s">
        <v>1325</v>
      </c>
      <c r="R205">
        <v>26.3</v>
      </c>
      <c r="S205">
        <v>23.7</v>
      </c>
      <c r="T205">
        <v>28.9</v>
      </c>
      <c r="U205">
        <v>5.3</v>
      </c>
      <c r="V205">
        <v>15.8</v>
      </c>
    </row>
    <row r="206" spans="1:22" x14ac:dyDescent="0.25">
      <c r="A206" t="s">
        <v>1493</v>
      </c>
      <c r="B206" t="s">
        <v>162</v>
      </c>
      <c r="C206">
        <v>19</v>
      </c>
      <c r="D206" t="s">
        <v>79</v>
      </c>
      <c r="E206" t="s">
        <v>140</v>
      </c>
      <c r="F206" t="s">
        <v>96</v>
      </c>
      <c r="G206">
        <v>0.26</v>
      </c>
      <c r="H206" t="s">
        <v>23</v>
      </c>
      <c r="I206">
        <v>3</v>
      </c>
      <c r="J206" t="str">
        <f>HYPERLINK("https://www.eliteprospects.com/player/614376/alec-leonard")</f>
        <v>https://www.eliteprospects.com/player/614376/alec-leonard</v>
      </c>
      <c r="K206" t="s">
        <v>27</v>
      </c>
      <c r="L206" t="s">
        <v>28</v>
      </c>
      <c r="M206" t="s">
        <v>1296</v>
      </c>
      <c r="N206">
        <v>5</v>
      </c>
      <c r="O206" t="s">
        <v>147</v>
      </c>
      <c r="P206">
        <v>0.05</v>
      </c>
      <c r="Q206" t="s">
        <v>1325</v>
      </c>
      <c r="R206">
        <v>26.3</v>
      </c>
      <c r="S206">
        <v>23.7</v>
      </c>
      <c r="T206">
        <v>28.9</v>
      </c>
      <c r="U206">
        <v>5.3</v>
      </c>
      <c r="V206">
        <v>15.8</v>
      </c>
    </row>
    <row r="207" spans="1:22" x14ac:dyDescent="0.25">
      <c r="A207" t="s">
        <v>1494</v>
      </c>
      <c r="B207" t="s">
        <v>101</v>
      </c>
      <c r="C207">
        <v>19</v>
      </c>
      <c r="D207" t="s">
        <v>79</v>
      </c>
      <c r="E207" t="s">
        <v>140</v>
      </c>
      <c r="F207" t="s">
        <v>96</v>
      </c>
      <c r="G207">
        <v>0.26</v>
      </c>
      <c r="H207" t="s">
        <v>23</v>
      </c>
      <c r="I207">
        <v>6</v>
      </c>
      <c r="J207" t="str">
        <f>HYPERLINK("https://www.eliteprospects.com/player/512169/austen-may")</f>
        <v>https://www.eliteprospects.com/player/512169/austen-may</v>
      </c>
      <c r="K207" t="s">
        <v>27</v>
      </c>
      <c r="L207" t="s">
        <v>28</v>
      </c>
      <c r="M207" t="s">
        <v>1296</v>
      </c>
      <c r="N207">
        <v>4</v>
      </c>
      <c r="O207" t="s">
        <v>30</v>
      </c>
      <c r="P207">
        <v>0.05</v>
      </c>
      <c r="Q207" t="s">
        <v>1325</v>
      </c>
      <c r="R207">
        <v>26.3</v>
      </c>
      <c r="S207">
        <v>23.7</v>
      </c>
      <c r="T207">
        <v>28.9</v>
      </c>
      <c r="U207">
        <v>5.3</v>
      </c>
      <c r="V207">
        <v>15.8</v>
      </c>
    </row>
    <row r="208" spans="1:22" x14ac:dyDescent="0.25">
      <c r="A208" t="s">
        <v>1495</v>
      </c>
      <c r="B208" t="s">
        <v>158</v>
      </c>
      <c r="C208">
        <v>19</v>
      </c>
      <c r="D208" t="s">
        <v>79</v>
      </c>
      <c r="E208" t="s">
        <v>140</v>
      </c>
      <c r="F208" t="s">
        <v>96</v>
      </c>
      <c r="G208">
        <v>0.26</v>
      </c>
      <c r="H208" t="s">
        <v>46</v>
      </c>
      <c r="I208">
        <v>-4</v>
      </c>
      <c r="J208" t="str">
        <f>HYPERLINK("https://www.eliteprospects.com/player/716951/william-fleet")</f>
        <v>https://www.eliteprospects.com/player/716951/william-fleet</v>
      </c>
      <c r="K208" t="s">
        <v>27</v>
      </c>
      <c r="L208" t="s">
        <v>28</v>
      </c>
      <c r="M208" t="s">
        <v>1296</v>
      </c>
      <c r="N208">
        <v>1</v>
      </c>
      <c r="O208" t="s">
        <v>71</v>
      </c>
      <c r="P208">
        <v>0.05</v>
      </c>
      <c r="Q208" t="s">
        <v>1325</v>
      </c>
      <c r="R208">
        <v>26.3</v>
      </c>
      <c r="S208">
        <v>23.7</v>
      </c>
      <c r="T208">
        <v>28.9</v>
      </c>
      <c r="U208">
        <v>5.3</v>
      </c>
      <c r="V208">
        <v>15.8</v>
      </c>
    </row>
    <row r="209" spans="1:22" x14ac:dyDescent="0.25">
      <c r="A209" t="s">
        <v>1496</v>
      </c>
      <c r="B209" t="s">
        <v>184</v>
      </c>
      <c r="C209">
        <v>20</v>
      </c>
      <c r="D209" t="s">
        <v>79</v>
      </c>
      <c r="E209" t="s">
        <v>140</v>
      </c>
      <c r="F209" t="s">
        <v>96</v>
      </c>
      <c r="G209">
        <v>0.25</v>
      </c>
      <c r="H209" t="s">
        <v>26</v>
      </c>
      <c r="I209">
        <v>8</v>
      </c>
      <c r="J209" t="str">
        <f>HYPERLINK("https://www.eliteprospects.com/player/763720/brendan-dunphy")</f>
        <v>https://www.eliteprospects.com/player/763720/brendan-dunphy</v>
      </c>
      <c r="K209" t="s">
        <v>27</v>
      </c>
      <c r="L209" t="s">
        <v>28</v>
      </c>
      <c r="M209" t="s">
        <v>1296</v>
      </c>
      <c r="N209">
        <v>2</v>
      </c>
      <c r="O209" t="s">
        <v>267</v>
      </c>
      <c r="P209">
        <v>0.05</v>
      </c>
      <c r="Q209" t="s">
        <v>1325</v>
      </c>
      <c r="R209">
        <v>26.3</v>
      </c>
      <c r="S209">
        <v>23.7</v>
      </c>
      <c r="T209">
        <v>28.9</v>
      </c>
      <c r="U209">
        <v>5.3</v>
      </c>
      <c r="V209">
        <v>15.8</v>
      </c>
    </row>
    <row r="210" spans="1:22" x14ac:dyDescent="0.25">
      <c r="A210" t="s">
        <v>1497</v>
      </c>
      <c r="B210" t="s">
        <v>139</v>
      </c>
      <c r="C210">
        <v>20</v>
      </c>
      <c r="D210" t="s">
        <v>79</v>
      </c>
      <c r="E210" t="s">
        <v>140</v>
      </c>
      <c r="F210" t="s">
        <v>96</v>
      </c>
      <c r="G210">
        <v>0.25</v>
      </c>
      <c r="H210" t="s">
        <v>26</v>
      </c>
      <c r="I210">
        <v>9</v>
      </c>
      <c r="J210" t="str">
        <f>HYPERLINK("https://www.eliteprospects.com/player/526089/aiden-dubinsky")</f>
        <v>https://www.eliteprospects.com/player/526089/aiden-dubinsky</v>
      </c>
      <c r="K210" t="s">
        <v>27</v>
      </c>
      <c r="L210" t="s">
        <v>28</v>
      </c>
      <c r="M210" t="s">
        <v>1296</v>
      </c>
      <c r="N210">
        <v>4</v>
      </c>
      <c r="O210" t="s">
        <v>30</v>
      </c>
      <c r="P210">
        <v>0.05</v>
      </c>
      <c r="Q210" t="s">
        <v>1325</v>
      </c>
      <c r="R210">
        <v>26.3</v>
      </c>
      <c r="S210">
        <v>23.7</v>
      </c>
      <c r="T210">
        <v>28.9</v>
      </c>
      <c r="U210">
        <v>5.3</v>
      </c>
      <c r="V210">
        <v>15.8</v>
      </c>
    </row>
    <row r="211" spans="1:22" x14ac:dyDescent="0.25">
      <c r="A211" t="s">
        <v>1498</v>
      </c>
      <c r="B211" t="s">
        <v>88</v>
      </c>
      <c r="C211">
        <v>20</v>
      </c>
      <c r="D211" t="s">
        <v>79</v>
      </c>
      <c r="E211" t="s">
        <v>140</v>
      </c>
      <c r="F211" t="s">
        <v>96</v>
      </c>
      <c r="G211">
        <v>0.25</v>
      </c>
      <c r="H211" t="s">
        <v>32</v>
      </c>
      <c r="I211">
        <v>-3</v>
      </c>
      <c r="J211" t="str">
        <f>HYPERLINK("https://www.eliteprospects.com/player/671132/ren-morque")</f>
        <v>https://www.eliteprospects.com/player/671132/ren-morque</v>
      </c>
      <c r="K211" t="s">
        <v>27</v>
      </c>
      <c r="L211" t="s">
        <v>28</v>
      </c>
      <c r="M211" t="s">
        <v>1296</v>
      </c>
      <c r="N211">
        <v>2</v>
      </c>
      <c r="O211" t="s">
        <v>43</v>
      </c>
      <c r="P211">
        <v>0.05</v>
      </c>
      <c r="Q211" t="s">
        <v>1325</v>
      </c>
      <c r="R211">
        <v>26.3</v>
      </c>
      <c r="S211">
        <v>23.7</v>
      </c>
      <c r="T211">
        <v>28.9</v>
      </c>
      <c r="U211">
        <v>5.3</v>
      </c>
      <c r="V211">
        <v>15.8</v>
      </c>
    </row>
    <row r="212" spans="1:22" x14ac:dyDescent="0.25">
      <c r="A212" t="s">
        <v>1499</v>
      </c>
      <c r="B212" t="s">
        <v>163</v>
      </c>
      <c r="C212">
        <v>20</v>
      </c>
      <c r="D212" t="s">
        <v>79</v>
      </c>
      <c r="E212" t="s">
        <v>140</v>
      </c>
      <c r="F212" t="s">
        <v>96</v>
      </c>
      <c r="G212">
        <v>0.25</v>
      </c>
      <c r="H212" t="s">
        <v>23</v>
      </c>
      <c r="I212">
        <v>7</v>
      </c>
      <c r="J212" t="str">
        <f>HYPERLINK("https://www.eliteprospects.com/player/603571/quinn-mantei")</f>
        <v>https://www.eliteprospects.com/player/603571/quinn-mantei</v>
      </c>
      <c r="K212" t="s">
        <v>27</v>
      </c>
      <c r="L212" t="s">
        <v>28</v>
      </c>
      <c r="M212" t="s">
        <v>1296</v>
      </c>
      <c r="N212">
        <v>5</v>
      </c>
      <c r="O212" t="s">
        <v>152</v>
      </c>
      <c r="P212">
        <v>0.05</v>
      </c>
      <c r="Q212" t="s">
        <v>1325</v>
      </c>
      <c r="R212">
        <v>26.3</v>
      </c>
      <c r="S212">
        <v>23.7</v>
      </c>
      <c r="T212">
        <v>28.9</v>
      </c>
      <c r="U212">
        <v>5.3</v>
      </c>
      <c r="V212">
        <v>15.8</v>
      </c>
    </row>
    <row r="213" spans="1:22" x14ac:dyDescent="0.25">
      <c r="A213" t="s">
        <v>1500</v>
      </c>
      <c r="B213" t="s">
        <v>146</v>
      </c>
      <c r="C213">
        <v>20</v>
      </c>
      <c r="D213" t="s">
        <v>79</v>
      </c>
      <c r="E213" t="s">
        <v>140</v>
      </c>
      <c r="F213" t="s">
        <v>96</v>
      </c>
      <c r="G213">
        <v>0.25</v>
      </c>
      <c r="H213" t="s">
        <v>24</v>
      </c>
      <c r="I213">
        <v>-7</v>
      </c>
      <c r="J213" t="str">
        <f>HYPERLINK("https://www.eliteprospects.com/player/417572/john-druskinis")</f>
        <v>https://www.eliteprospects.com/player/417572/john-druskinis</v>
      </c>
      <c r="K213" t="s">
        <v>27</v>
      </c>
      <c r="L213" t="s">
        <v>28</v>
      </c>
      <c r="M213" t="s">
        <v>1296</v>
      </c>
      <c r="N213">
        <v>3</v>
      </c>
      <c r="O213" t="s">
        <v>74</v>
      </c>
      <c r="P213">
        <v>0.05</v>
      </c>
      <c r="Q213" t="s">
        <v>1325</v>
      </c>
      <c r="R213">
        <v>26.3</v>
      </c>
      <c r="S213">
        <v>23.7</v>
      </c>
      <c r="T213">
        <v>28.9</v>
      </c>
      <c r="U213">
        <v>5.3</v>
      </c>
      <c r="V213">
        <v>15.8</v>
      </c>
    </row>
    <row r="214" spans="1:22" x14ac:dyDescent="0.25">
      <c r="A214" t="s">
        <v>1501</v>
      </c>
      <c r="B214" t="s">
        <v>109</v>
      </c>
      <c r="C214">
        <v>20</v>
      </c>
      <c r="D214" t="s">
        <v>79</v>
      </c>
      <c r="E214" t="s">
        <v>140</v>
      </c>
      <c r="F214" t="s">
        <v>96</v>
      </c>
      <c r="G214">
        <v>0.25</v>
      </c>
      <c r="H214" t="s">
        <v>81</v>
      </c>
      <c r="I214">
        <v>7</v>
      </c>
      <c r="J214" t="str">
        <f>HYPERLINK("https://www.eliteprospects.com/player/618957/ej-emery")</f>
        <v>https://www.eliteprospects.com/player/618957/ej-emery</v>
      </c>
      <c r="K214" t="s">
        <v>27</v>
      </c>
      <c r="L214" t="s">
        <v>28</v>
      </c>
      <c r="M214" t="s">
        <v>1296</v>
      </c>
      <c r="N214">
        <v>2</v>
      </c>
      <c r="O214" t="s">
        <v>43</v>
      </c>
      <c r="P214">
        <v>0.05</v>
      </c>
      <c r="Q214" t="s">
        <v>1325</v>
      </c>
      <c r="R214">
        <v>26.3</v>
      </c>
      <c r="S214">
        <v>23.7</v>
      </c>
      <c r="T214">
        <v>28.9</v>
      </c>
      <c r="U214">
        <v>5.3</v>
      </c>
      <c r="V214">
        <v>15.8</v>
      </c>
    </row>
    <row r="215" spans="1:22" x14ac:dyDescent="0.25">
      <c r="A215" t="s">
        <v>1502</v>
      </c>
      <c r="B215" t="s">
        <v>37</v>
      </c>
      <c r="C215">
        <v>22</v>
      </c>
      <c r="D215" t="s">
        <v>79</v>
      </c>
      <c r="E215" t="s">
        <v>140</v>
      </c>
      <c r="F215" t="s">
        <v>96</v>
      </c>
      <c r="G215">
        <v>0.23</v>
      </c>
      <c r="H215" t="s">
        <v>65</v>
      </c>
      <c r="I215">
        <v>14</v>
      </c>
      <c r="J215" t="str">
        <f>HYPERLINK("https://www.eliteprospects.com/player/597574/adam-kleber")</f>
        <v>https://www.eliteprospects.com/player/597574/adam-kleber</v>
      </c>
      <c r="K215" t="s">
        <v>27</v>
      </c>
      <c r="L215" t="s">
        <v>28</v>
      </c>
      <c r="M215" t="s">
        <v>1296</v>
      </c>
      <c r="N215">
        <v>2</v>
      </c>
      <c r="O215" t="s">
        <v>43</v>
      </c>
      <c r="P215">
        <v>0.04</v>
      </c>
      <c r="Q215" t="s">
        <v>245</v>
      </c>
      <c r="R215">
        <v>28.6</v>
      </c>
      <c r="S215">
        <v>31.4</v>
      </c>
      <c r="T215">
        <v>28.6</v>
      </c>
      <c r="U215">
        <v>4.3</v>
      </c>
      <c r="V215">
        <v>7.1</v>
      </c>
    </row>
    <row r="216" spans="1:22" x14ac:dyDescent="0.25">
      <c r="A216" t="s">
        <v>1503</v>
      </c>
      <c r="B216" t="s">
        <v>73</v>
      </c>
      <c r="C216">
        <v>22</v>
      </c>
      <c r="D216" t="s">
        <v>79</v>
      </c>
      <c r="E216" t="s">
        <v>140</v>
      </c>
      <c r="F216" t="s">
        <v>96</v>
      </c>
      <c r="G216">
        <v>0.23</v>
      </c>
      <c r="H216" t="s">
        <v>65</v>
      </c>
      <c r="I216">
        <v>4</v>
      </c>
      <c r="J216" t="str">
        <f>HYPERLINK("https://www.eliteprospects.com/player/494423/mason-reiners")</f>
        <v>https://www.eliteprospects.com/player/494423/mason-reiners</v>
      </c>
      <c r="K216" t="s">
        <v>27</v>
      </c>
      <c r="L216" t="s">
        <v>28</v>
      </c>
      <c r="M216" t="s">
        <v>1296</v>
      </c>
      <c r="N216">
        <v>4</v>
      </c>
      <c r="O216" t="s">
        <v>30</v>
      </c>
      <c r="P216">
        <v>0.04</v>
      </c>
      <c r="Q216" t="s">
        <v>245</v>
      </c>
      <c r="R216">
        <v>28.6</v>
      </c>
      <c r="S216">
        <v>31.4</v>
      </c>
      <c r="T216">
        <v>28.6</v>
      </c>
      <c r="U216">
        <v>4.3</v>
      </c>
      <c r="V216">
        <v>7.1</v>
      </c>
    </row>
    <row r="217" spans="1:22" x14ac:dyDescent="0.25">
      <c r="A217" t="s">
        <v>1504</v>
      </c>
      <c r="B217" t="s">
        <v>222</v>
      </c>
      <c r="C217">
        <v>14</v>
      </c>
      <c r="D217" t="s">
        <v>260</v>
      </c>
      <c r="E217" t="s">
        <v>66</v>
      </c>
      <c r="F217" t="s">
        <v>96</v>
      </c>
      <c r="G217">
        <v>0.36</v>
      </c>
      <c r="H217" t="s">
        <v>79</v>
      </c>
      <c r="I217">
        <v>-18</v>
      </c>
      <c r="J217" t="str">
        <f>HYPERLINK("https://www.eliteprospects.com/player/483439/hughie-hooker")</f>
        <v>https://www.eliteprospects.com/player/483439/hughie-hooker</v>
      </c>
      <c r="K217" t="s">
        <v>27</v>
      </c>
      <c r="L217" t="s">
        <v>28</v>
      </c>
      <c r="M217" t="s">
        <v>1296</v>
      </c>
      <c r="N217">
        <v>2</v>
      </c>
      <c r="O217" t="s">
        <v>43</v>
      </c>
      <c r="P217">
        <v>7.0000000000000007E-2</v>
      </c>
      <c r="Q217" t="s">
        <v>1325</v>
      </c>
      <c r="R217">
        <v>30</v>
      </c>
      <c r="S217">
        <v>25</v>
      </c>
      <c r="T217">
        <v>32.5</v>
      </c>
      <c r="U217">
        <v>5</v>
      </c>
      <c r="V217">
        <v>7.5</v>
      </c>
    </row>
    <row r="218" spans="1:22" x14ac:dyDescent="0.25">
      <c r="A218" t="s">
        <v>1505</v>
      </c>
      <c r="B218" t="s">
        <v>200</v>
      </c>
      <c r="C218">
        <v>15</v>
      </c>
      <c r="D218" t="s">
        <v>260</v>
      </c>
      <c r="E218" t="s">
        <v>66</v>
      </c>
      <c r="F218" t="s">
        <v>96</v>
      </c>
      <c r="G218">
        <v>0.33</v>
      </c>
      <c r="H218" t="s">
        <v>79</v>
      </c>
      <c r="I218">
        <v>11</v>
      </c>
      <c r="J218" t="str">
        <f>HYPERLINK("https://www.eliteprospects.com/player/643357/luke-ashton")</f>
        <v>https://www.eliteprospects.com/player/643357/luke-ashton</v>
      </c>
      <c r="K218" t="s">
        <v>27</v>
      </c>
      <c r="L218" t="s">
        <v>28</v>
      </c>
      <c r="M218" t="s">
        <v>1296</v>
      </c>
      <c r="N218">
        <v>2</v>
      </c>
      <c r="O218" t="s">
        <v>43</v>
      </c>
      <c r="P218">
        <v>0.06</v>
      </c>
      <c r="Q218" t="s">
        <v>1325</v>
      </c>
      <c r="R218">
        <v>26.3</v>
      </c>
      <c r="S218">
        <v>23.7</v>
      </c>
      <c r="T218">
        <v>28.9</v>
      </c>
      <c r="U218">
        <v>5.3</v>
      </c>
      <c r="V218">
        <v>15.8</v>
      </c>
    </row>
    <row r="219" spans="1:22" x14ac:dyDescent="0.25">
      <c r="A219" t="s">
        <v>1506</v>
      </c>
      <c r="B219" t="s">
        <v>177</v>
      </c>
      <c r="C219">
        <v>16</v>
      </c>
      <c r="D219" t="s">
        <v>260</v>
      </c>
      <c r="E219" t="s">
        <v>66</v>
      </c>
      <c r="F219" t="s">
        <v>96</v>
      </c>
      <c r="G219">
        <v>0.31</v>
      </c>
      <c r="H219" t="s">
        <v>32</v>
      </c>
      <c r="I219">
        <v>-3</v>
      </c>
      <c r="J219" t="str">
        <f>HYPERLINK("https://www.eliteprospects.com/player/369859/jonathan-ziskie")</f>
        <v>https://www.eliteprospects.com/player/369859/jonathan-ziskie</v>
      </c>
      <c r="K219" t="s">
        <v>27</v>
      </c>
      <c r="L219" t="s">
        <v>28</v>
      </c>
      <c r="M219" t="s">
        <v>1296</v>
      </c>
      <c r="N219">
        <v>4</v>
      </c>
      <c r="O219" t="s">
        <v>30</v>
      </c>
      <c r="P219">
        <v>0.06</v>
      </c>
      <c r="Q219" t="s">
        <v>1325</v>
      </c>
      <c r="R219">
        <v>26.3</v>
      </c>
      <c r="S219">
        <v>23.7</v>
      </c>
      <c r="T219">
        <v>28.9</v>
      </c>
      <c r="U219">
        <v>5.3</v>
      </c>
      <c r="V219">
        <v>15.8</v>
      </c>
    </row>
    <row r="220" spans="1:22" x14ac:dyDescent="0.25">
      <c r="A220" t="s">
        <v>1507</v>
      </c>
      <c r="B220" t="s">
        <v>234</v>
      </c>
      <c r="C220">
        <v>17</v>
      </c>
      <c r="D220" t="s">
        <v>260</v>
      </c>
      <c r="E220" t="s">
        <v>66</v>
      </c>
      <c r="F220" t="s">
        <v>96</v>
      </c>
      <c r="G220">
        <v>0.28999999999999998</v>
      </c>
      <c r="H220" t="s">
        <v>69</v>
      </c>
      <c r="I220">
        <v>3</v>
      </c>
      <c r="J220" t="str">
        <f>HYPERLINK("https://www.eliteprospects.com/player/562137/alex-pineau")</f>
        <v>https://www.eliteprospects.com/player/562137/alex-pineau</v>
      </c>
      <c r="K220" t="s">
        <v>27</v>
      </c>
      <c r="L220" t="s">
        <v>28</v>
      </c>
      <c r="M220" t="s">
        <v>1296</v>
      </c>
      <c r="N220">
        <v>3</v>
      </c>
      <c r="O220" t="s">
        <v>74</v>
      </c>
      <c r="P220">
        <v>0.06</v>
      </c>
      <c r="Q220" t="s">
        <v>1325</v>
      </c>
      <c r="R220">
        <v>26.3</v>
      </c>
      <c r="S220">
        <v>23.7</v>
      </c>
      <c r="T220">
        <v>28.9</v>
      </c>
      <c r="U220">
        <v>5.3</v>
      </c>
      <c r="V220">
        <v>15.8</v>
      </c>
    </row>
    <row r="221" spans="1:22" x14ac:dyDescent="0.25">
      <c r="A221" t="s">
        <v>1508</v>
      </c>
      <c r="B221" t="s">
        <v>82</v>
      </c>
      <c r="C221">
        <v>18</v>
      </c>
      <c r="D221" t="s">
        <v>260</v>
      </c>
      <c r="E221" t="s">
        <v>66</v>
      </c>
      <c r="F221" t="s">
        <v>96</v>
      </c>
      <c r="G221">
        <v>0.28000000000000003</v>
      </c>
      <c r="H221" t="s">
        <v>57</v>
      </c>
      <c r="I221">
        <v>0</v>
      </c>
      <c r="J221" t="str">
        <f>HYPERLINK("https://www.eliteprospects.com/player/376336/vincent-corcoran")</f>
        <v>https://www.eliteprospects.com/player/376336/vincent-corcoran</v>
      </c>
      <c r="K221" t="s">
        <v>27</v>
      </c>
      <c r="L221" t="s">
        <v>28</v>
      </c>
      <c r="M221" t="s">
        <v>1296</v>
      </c>
      <c r="N221">
        <v>4</v>
      </c>
      <c r="O221" t="s">
        <v>30</v>
      </c>
      <c r="P221">
        <v>0.05</v>
      </c>
      <c r="Q221" t="s">
        <v>1325</v>
      </c>
      <c r="R221">
        <v>26.3</v>
      </c>
      <c r="S221">
        <v>23.7</v>
      </c>
      <c r="T221">
        <v>28.9</v>
      </c>
      <c r="U221">
        <v>5.3</v>
      </c>
      <c r="V221">
        <v>15.8</v>
      </c>
    </row>
    <row r="222" spans="1:22" x14ac:dyDescent="0.25">
      <c r="A222" t="s">
        <v>1509</v>
      </c>
      <c r="B222" t="s">
        <v>288</v>
      </c>
      <c r="C222">
        <v>18</v>
      </c>
      <c r="D222" t="s">
        <v>260</v>
      </c>
      <c r="E222" t="s">
        <v>66</v>
      </c>
      <c r="F222" t="s">
        <v>96</v>
      </c>
      <c r="G222">
        <v>0.28000000000000003</v>
      </c>
      <c r="H222" t="s">
        <v>32</v>
      </c>
      <c r="I222">
        <v>-10</v>
      </c>
      <c r="J222" t="str">
        <f>HYPERLINK("https://www.eliteprospects.com/player/691831/caeden-herrington")</f>
        <v>https://www.eliteprospects.com/player/691831/caeden-herrington</v>
      </c>
      <c r="K222" t="s">
        <v>27</v>
      </c>
      <c r="L222" t="s">
        <v>28</v>
      </c>
      <c r="M222" t="s">
        <v>1296</v>
      </c>
      <c r="N222">
        <v>1</v>
      </c>
      <c r="O222" t="s">
        <v>71</v>
      </c>
      <c r="P222">
        <v>0.05</v>
      </c>
      <c r="Q222" t="s">
        <v>1325</v>
      </c>
      <c r="R222">
        <v>26.3</v>
      </c>
      <c r="S222">
        <v>23.7</v>
      </c>
      <c r="T222">
        <v>28.9</v>
      </c>
      <c r="U222">
        <v>5.3</v>
      </c>
      <c r="V222">
        <v>15.8</v>
      </c>
    </row>
    <row r="223" spans="1:22" x14ac:dyDescent="0.25">
      <c r="A223" t="s">
        <v>1510</v>
      </c>
      <c r="B223" t="s">
        <v>103</v>
      </c>
      <c r="C223">
        <v>18</v>
      </c>
      <c r="D223" t="s">
        <v>260</v>
      </c>
      <c r="E223" t="s">
        <v>66</v>
      </c>
      <c r="F223" t="s">
        <v>96</v>
      </c>
      <c r="G223">
        <v>0.28000000000000003</v>
      </c>
      <c r="H223" t="s">
        <v>23</v>
      </c>
      <c r="I223">
        <v>1</v>
      </c>
      <c r="J223" t="str">
        <f>HYPERLINK("https://www.eliteprospects.com/player/408607/owen-murray")</f>
        <v>https://www.eliteprospects.com/player/408607/owen-murray</v>
      </c>
      <c r="K223" t="s">
        <v>27</v>
      </c>
      <c r="L223" t="s">
        <v>28</v>
      </c>
      <c r="M223" t="s">
        <v>1296</v>
      </c>
      <c r="N223">
        <v>4</v>
      </c>
      <c r="O223" t="s">
        <v>30</v>
      </c>
      <c r="P223">
        <v>0.05</v>
      </c>
      <c r="Q223" t="s">
        <v>1325</v>
      </c>
      <c r="R223">
        <v>26.3</v>
      </c>
      <c r="S223">
        <v>23.7</v>
      </c>
      <c r="T223">
        <v>28.9</v>
      </c>
      <c r="U223">
        <v>5.3</v>
      </c>
      <c r="V223">
        <v>15.8</v>
      </c>
    </row>
    <row r="224" spans="1:22" x14ac:dyDescent="0.25">
      <c r="A224" t="s">
        <v>1511</v>
      </c>
      <c r="B224" t="s">
        <v>127</v>
      </c>
      <c r="C224">
        <v>19</v>
      </c>
      <c r="D224" t="s">
        <v>260</v>
      </c>
      <c r="E224" t="s">
        <v>66</v>
      </c>
      <c r="F224" t="s">
        <v>96</v>
      </c>
      <c r="G224">
        <v>0.26</v>
      </c>
      <c r="H224" t="s">
        <v>66</v>
      </c>
      <c r="I224">
        <v>3</v>
      </c>
      <c r="J224" t="str">
        <f>HYPERLINK("https://www.eliteprospects.com/player/407657/brody-gagno")</f>
        <v>https://www.eliteprospects.com/player/407657/brody-gagno</v>
      </c>
      <c r="K224" t="s">
        <v>27</v>
      </c>
      <c r="L224" t="s">
        <v>28</v>
      </c>
      <c r="M224" t="s">
        <v>1296</v>
      </c>
      <c r="N224">
        <v>3</v>
      </c>
      <c r="O224" t="s">
        <v>74</v>
      </c>
      <c r="P224">
        <v>0.05</v>
      </c>
      <c r="Q224" t="s">
        <v>1325</v>
      </c>
      <c r="R224">
        <v>26.3</v>
      </c>
      <c r="S224">
        <v>23.7</v>
      </c>
      <c r="T224">
        <v>28.9</v>
      </c>
      <c r="U224">
        <v>5.3</v>
      </c>
      <c r="V224">
        <v>15.8</v>
      </c>
    </row>
    <row r="225" spans="1:22" x14ac:dyDescent="0.25">
      <c r="A225" t="s">
        <v>1512</v>
      </c>
      <c r="B225" t="s">
        <v>195</v>
      </c>
      <c r="C225">
        <v>19</v>
      </c>
      <c r="D225" t="s">
        <v>260</v>
      </c>
      <c r="E225" t="s">
        <v>66</v>
      </c>
      <c r="F225" t="s">
        <v>96</v>
      </c>
      <c r="G225">
        <v>0.26</v>
      </c>
      <c r="H225" t="s">
        <v>60</v>
      </c>
      <c r="I225">
        <v>2</v>
      </c>
      <c r="J225" t="str">
        <f>HYPERLINK("https://www.eliteprospects.com/player/577173/charlie-trethewey")</f>
        <v>https://www.eliteprospects.com/player/577173/charlie-trethewey</v>
      </c>
      <c r="K225" t="s">
        <v>27</v>
      </c>
      <c r="L225" t="s">
        <v>28</v>
      </c>
      <c r="M225" t="s">
        <v>1296</v>
      </c>
      <c r="N225">
        <v>1</v>
      </c>
      <c r="O225" t="s">
        <v>71</v>
      </c>
      <c r="P225">
        <v>0.05</v>
      </c>
      <c r="Q225" t="s">
        <v>1325</v>
      </c>
      <c r="R225">
        <v>26.3</v>
      </c>
      <c r="S225">
        <v>23.7</v>
      </c>
      <c r="T225">
        <v>28.9</v>
      </c>
      <c r="U225">
        <v>5.3</v>
      </c>
      <c r="V225">
        <v>15.8</v>
      </c>
    </row>
    <row r="226" spans="1:22" x14ac:dyDescent="0.25">
      <c r="A226" t="s">
        <v>1513</v>
      </c>
      <c r="B226" t="s">
        <v>131</v>
      </c>
      <c r="C226">
        <v>19</v>
      </c>
      <c r="D226" t="s">
        <v>260</v>
      </c>
      <c r="E226" t="s">
        <v>66</v>
      </c>
      <c r="F226" t="s">
        <v>96</v>
      </c>
      <c r="G226">
        <v>0.26</v>
      </c>
      <c r="H226" t="s">
        <v>34</v>
      </c>
      <c r="I226">
        <v>10</v>
      </c>
      <c r="J226" t="str">
        <f>HYPERLINK("https://www.eliteprospects.com/player/481296/easton-zueger")</f>
        <v>https://www.eliteprospects.com/player/481296/easton-zueger</v>
      </c>
      <c r="K226" t="s">
        <v>27</v>
      </c>
      <c r="L226" t="s">
        <v>28</v>
      </c>
      <c r="M226" t="s">
        <v>1296</v>
      </c>
      <c r="N226">
        <v>3</v>
      </c>
      <c r="O226" t="s">
        <v>74</v>
      </c>
      <c r="P226">
        <v>0.05</v>
      </c>
      <c r="Q226" t="s">
        <v>1325</v>
      </c>
      <c r="R226">
        <v>26.3</v>
      </c>
      <c r="S226">
        <v>23.7</v>
      </c>
      <c r="T226">
        <v>28.9</v>
      </c>
      <c r="U226">
        <v>5.3</v>
      </c>
      <c r="V226">
        <v>15.8</v>
      </c>
    </row>
    <row r="227" spans="1:22" x14ac:dyDescent="0.25">
      <c r="A227" t="s">
        <v>1514</v>
      </c>
      <c r="B227" t="s">
        <v>130</v>
      </c>
      <c r="C227">
        <v>20</v>
      </c>
      <c r="D227" t="s">
        <v>260</v>
      </c>
      <c r="E227" t="s">
        <v>66</v>
      </c>
      <c r="F227" t="s">
        <v>96</v>
      </c>
      <c r="G227">
        <v>0.25</v>
      </c>
      <c r="H227" t="s">
        <v>79</v>
      </c>
      <c r="I227">
        <v>4</v>
      </c>
      <c r="J227" t="str">
        <f>HYPERLINK("https://www.eliteprospects.com/player/512296/austin-oravetz")</f>
        <v>https://www.eliteprospects.com/player/512296/austin-oravetz</v>
      </c>
      <c r="K227" t="s">
        <v>27</v>
      </c>
      <c r="L227" t="s">
        <v>28</v>
      </c>
      <c r="M227" t="s">
        <v>1296</v>
      </c>
      <c r="N227">
        <v>3</v>
      </c>
      <c r="O227" t="s">
        <v>74</v>
      </c>
      <c r="P227">
        <v>0.05</v>
      </c>
      <c r="Q227" t="s">
        <v>1325</v>
      </c>
      <c r="R227">
        <v>26.3</v>
      </c>
      <c r="S227">
        <v>23.7</v>
      </c>
      <c r="T227">
        <v>28.9</v>
      </c>
      <c r="U227">
        <v>5.3</v>
      </c>
      <c r="V227">
        <v>15.8</v>
      </c>
    </row>
    <row r="228" spans="1:22" x14ac:dyDescent="0.25">
      <c r="A228" t="s">
        <v>1515</v>
      </c>
      <c r="B228" t="s">
        <v>134</v>
      </c>
      <c r="C228">
        <v>20</v>
      </c>
      <c r="D228" t="s">
        <v>260</v>
      </c>
      <c r="E228" t="s">
        <v>66</v>
      </c>
      <c r="F228" t="s">
        <v>96</v>
      </c>
      <c r="G228">
        <v>0.25</v>
      </c>
      <c r="H228" t="s">
        <v>66</v>
      </c>
      <c r="I228">
        <v>0</v>
      </c>
      <c r="J228" t="str">
        <f>HYPERLINK("https://www.eliteprospects.com/player/476025/robert-kincaid")</f>
        <v>https://www.eliteprospects.com/player/476025/robert-kincaid</v>
      </c>
      <c r="K228" t="s">
        <v>27</v>
      </c>
      <c r="L228" t="s">
        <v>28</v>
      </c>
      <c r="M228" t="s">
        <v>1296</v>
      </c>
      <c r="N228">
        <v>4</v>
      </c>
      <c r="O228" t="s">
        <v>30</v>
      </c>
      <c r="P228">
        <v>0.05</v>
      </c>
      <c r="Q228" t="s">
        <v>1325</v>
      </c>
      <c r="R228">
        <v>26.3</v>
      </c>
      <c r="S228">
        <v>23.7</v>
      </c>
      <c r="T228">
        <v>28.9</v>
      </c>
      <c r="U228">
        <v>5.3</v>
      </c>
      <c r="V228">
        <v>15.8</v>
      </c>
    </row>
    <row r="229" spans="1:22" x14ac:dyDescent="0.25">
      <c r="A229" t="s">
        <v>1516</v>
      </c>
      <c r="B229" t="s">
        <v>224</v>
      </c>
      <c r="C229">
        <v>20</v>
      </c>
      <c r="D229" t="s">
        <v>260</v>
      </c>
      <c r="E229" t="s">
        <v>66</v>
      </c>
      <c r="F229" t="s">
        <v>96</v>
      </c>
      <c r="G229">
        <v>0.25</v>
      </c>
      <c r="H229" t="s">
        <v>66</v>
      </c>
      <c r="I229">
        <v>-6</v>
      </c>
      <c r="J229" t="str">
        <f>HYPERLINK("https://www.eliteprospects.com/player/539638/john-babcock")</f>
        <v>https://www.eliteprospects.com/player/539638/john-babcock</v>
      </c>
      <c r="K229" t="s">
        <v>27</v>
      </c>
      <c r="L229" t="s">
        <v>28</v>
      </c>
      <c r="M229" t="s">
        <v>1296</v>
      </c>
      <c r="N229">
        <v>6</v>
      </c>
      <c r="O229" t="s">
        <v>193</v>
      </c>
      <c r="P229">
        <v>0.05</v>
      </c>
      <c r="Q229" t="s">
        <v>1325</v>
      </c>
      <c r="R229">
        <v>26.3</v>
      </c>
      <c r="S229">
        <v>23.7</v>
      </c>
      <c r="T229">
        <v>28.9</v>
      </c>
      <c r="U229">
        <v>5.3</v>
      </c>
      <c r="V229">
        <v>15.8</v>
      </c>
    </row>
    <row r="230" spans="1:22" x14ac:dyDescent="0.25">
      <c r="A230" t="s">
        <v>1517</v>
      </c>
      <c r="B230" t="s">
        <v>82</v>
      </c>
      <c r="C230">
        <v>20</v>
      </c>
      <c r="D230" t="s">
        <v>260</v>
      </c>
      <c r="E230" t="s">
        <v>66</v>
      </c>
      <c r="F230" t="s">
        <v>96</v>
      </c>
      <c r="G230">
        <v>0.25</v>
      </c>
      <c r="H230" t="s">
        <v>32</v>
      </c>
      <c r="I230">
        <v>2</v>
      </c>
      <c r="J230" t="str">
        <f>HYPERLINK("https://www.eliteprospects.com/player/606970/luke-roelofs")</f>
        <v>https://www.eliteprospects.com/player/606970/luke-roelofs</v>
      </c>
      <c r="K230" t="s">
        <v>27</v>
      </c>
      <c r="L230" t="s">
        <v>28</v>
      </c>
      <c r="M230" t="s">
        <v>1296</v>
      </c>
      <c r="N230">
        <v>2</v>
      </c>
      <c r="O230" t="s">
        <v>43</v>
      </c>
      <c r="P230">
        <v>0.05</v>
      </c>
      <c r="Q230" t="s">
        <v>1325</v>
      </c>
      <c r="R230">
        <v>26.3</v>
      </c>
      <c r="S230">
        <v>23.7</v>
      </c>
      <c r="T230">
        <v>28.9</v>
      </c>
      <c r="U230">
        <v>5.3</v>
      </c>
      <c r="V230">
        <v>15.8</v>
      </c>
    </row>
    <row r="231" spans="1:22" x14ac:dyDescent="0.25">
      <c r="A231" t="s">
        <v>1518</v>
      </c>
      <c r="B231" t="s">
        <v>103</v>
      </c>
      <c r="C231">
        <v>20</v>
      </c>
      <c r="D231" t="s">
        <v>260</v>
      </c>
      <c r="E231" t="s">
        <v>66</v>
      </c>
      <c r="F231" t="s">
        <v>96</v>
      </c>
      <c r="G231">
        <v>0.25</v>
      </c>
      <c r="H231" t="s">
        <v>23</v>
      </c>
      <c r="I231">
        <v>-3</v>
      </c>
      <c r="J231" t="str">
        <f>HYPERLINK("https://www.eliteprospects.com/player/494784/lucas-olvestad")</f>
        <v>https://www.eliteprospects.com/player/494784/lucas-olvestad</v>
      </c>
      <c r="K231" t="s">
        <v>27</v>
      </c>
      <c r="L231" t="s">
        <v>28</v>
      </c>
      <c r="M231" t="s">
        <v>1296</v>
      </c>
      <c r="N231">
        <v>4</v>
      </c>
      <c r="O231" t="s">
        <v>30</v>
      </c>
      <c r="P231">
        <v>0.05</v>
      </c>
      <c r="Q231" t="s">
        <v>1325</v>
      </c>
      <c r="R231">
        <v>26.3</v>
      </c>
      <c r="S231">
        <v>23.7</v>
      </c>
      <c r="T231">
        <v>28.9</v>
      </c>
      <c r="U231">
        <v>5.3</v>
      </c>
      <c r="V231">
        <v>15.8</v>
      </c>
    </row>
    <row r="232" spans="1:22" x14ac:dyDescent="0.25">
      <c r="A232" t="s">
        <v>1519</v>
      </c>
      <c r="B232" t="s">
        <v>50</v>
      </c>
      <c r="C232">
        <v>20</v>
      </c>
      <c r="D232" t="s">
        <v>260</v>
      </c>
      <c r="E232" t="s">
        <v>66</v>
      </c>
      <c r="F232" t="s">
        <v>96</v>
      </c>
      <c r="G232">
        <v>0.25</v>
      </c>
      <c r="H232" t="s">
        <v>47</v>
      </c>
      <c r="I232">
        <v>2</v>
      </c>
      <c r="J232" t="str">
        <f>HYPERLINK("https://www.eliteprospects.com/player/750590/drew-schock")</f>
        <v>https://www.eliteprospects.com/player/750590/drew-schock</v>
      </c>
      <c r="K232" t="s">
        <v>27</v>
      </c>
      <c r="L232" t="s">
        <v>28</v>
      </c>
      <c r="M232" t="s">
        <v>1296</v>
      </c>
      <c r="N232">
        <v>1</v>
      </c>
      <c r="O232" t="s">
        <v>71</v>
      </c>
      <c r="P232">
        <v>0.05</v>
      </c>
      <c r="Q232" t="s">
        <v>1325</v>
      </c>
      <c r="R232">
        <v>26.3</v>
      </c>
      <c r="S232">
        <v>23.7</v>
      </c>
      <c r="T232">
        <v>28.9</v>
      </c>
      <c r="U232">
        <v>5.3</v>
      </c>
      <c r="V232">
        <v>15.8</v>
      </c>
    </row>
    <row r="233" spans="1:22" x14ac:dyDescent="0.25">
      <c r="A233" t="s">
        <v>1520</v>
      </c>
      <c r="B233" t="s">
        <v>68</v>
      </c>
      <c r="C233">
        <v>21</v>
      </c>
      <c r="D233" t="s">
        <v>260</v>
      </c>
      <c r="E233" t="s">
        <v>66</v>
      </c>
      <c r="F233" t="s">
        <v>96</v>
      </c>
      <c r="G233">
        <v>0.24</v>
      </c>
      <c r="H233" t="s">
        <v>32</v>
      </c>
      <c r="I233">
        <v>14</v>
      </c>
      <c r="J233" t="str">
        <f>HYPERLINK("https://www.eliteprospects.com/player/526226/charlie-leddy")</f>
        <v>https://www.eliteprospects.com/player/526226/charlie-leddy</v>
      </c>
      <c r="K233" t="s">
        <v>27</v>
      </c>
      <c r="L233" t="s">
        <v>28</v>
      </c>
      <c r="M233" t="s">
        <v>1296</v>
      </c>
      <c r="N233">
        <v>4</v>
      </c>
      <c r="O233" t="s">
        <v>30</v>
      </c>
      <c r="P233">
        <v>0.05</v>
      </c>
      <c r="Q233" t="s">
        <v>1325</v>
      </c>
      <c r="R233">
        <v>26.3</v>
      </c>
      <c r="S233">
        <v>23.7</v>
      </c>
      <c r="T233">
        <v>28.9</v>
      </c>
      <c r="U233">
        <v>5.3</v>
      </c>
      <c r="V233">
        <v>15.8</v>
      </c>
    </row>
    <row r="234" spans="1:22" x14ac:dyDescent="0.25">
      <c r="A234" t="s">
        <v>1521</v>
      </c>
      <c r="B234" t="s">
        <v>64</v>
      </c>
      <c r="C234">
        <v>21</v>
      </c>
      <c r="D234" t="s">
        <v>260</v>
      </c>
      <c r="E234" t="s">
        <v>66</v>
      </c>
      <c r="F234" t="s">
        <v>96</v>
      </c>
      <c r="G234">
        <v>0.24</v>
      </c>
      <c r="H234" t="s">
        <v>23</v>
      </c>
      <c r="I234">
        <v>4</v>
      </c>
      <c r="J234" t="str">
        <f>HYPERLINK("https://www.eliteprospects.com/player/720101/bauer-berry")</f>
        <v>https://www.eliteprospects.com/player/720101/bauer-berry</v>
      </c>
      <c r="K234" t="s">
        <v>27</v>
      </c>
      <c r="L234" t="s">
        <v>28</v>
      </c>
      <c r="M234" t="s">
        <v>1296</v>
      </c>
      <c r="N234">
        <v>1</v>
      </c>
      <c r="O234" t="s">
        <v>71</v>
      </c>
      <c r="P234">
        <v>0.05</v>
      </c>
      <c r="Q234" t="s">
        <v>1325</v>
      </c>
      <c r="R234">
        <v>26.3</v>
      </c>
      <c r="S234">
        <v>23.7</v>
      </c>
      <c r="T234">
        <v>28.9</v>
      </c>
      <c r="U234">
        <v>5.3</v>
      </c>
      <c r="V234">
        <v>15.8</v>
      </c>
    </row>
    <row r="235" spans="1:22" x14ac:dyDescent="0.25">
      <c r="A235" t="s">
        <v>1522</v>
      </c>
      <c r="B235" t="s">
        <v>161</v>
      </c>
      <c r="C235">
        <v>22</v>
      </c>
      <c r="D235" t="s">
        <v>260</v>
      </c>
      <c r="E235" t="s">
        <v>66</v>
      </c>
      <c r="F235" t="s">
        <v>96</v>
      </c>
      <c r="G235">
        <v>0.23</v>
      </c>
      <c r="H235" t="s">
        <v>57</v>
      </c>
      <c r="I235">
        <v>7</v>
      </c>
      <c r="J235" t="str">
        <f>HYPERLINK("https://www.eliteprospects.com/player/670268/ryan-koering")</f>
        <v>https://www.eliteprospects.com/player/670268/ryan-koering</v>
      </c>
      <c r="K235" t="s">
        <v>27</v>
      </c>
      <c r="L235" t="s">
        <v>28</v>
      </c>
      <c r="M235" t="s">
        <v>1296</v>
      </c>
      <c r="N235">
        <v>2</v>
      </c>
      <c r="O235" t="s">
        <v>43</v>
      </c>
      <c r="P235">
        <v>0.04</v>
      </c>
      <c r="Q235" t="s">
        <v>245</v>
      </c>
      <c r="R235">
        <v>28.6</v>
      </c>
      <c r="S235">
        <v>31.4</v>
      </c>
      <c r="T235">
        <v>28.6</v>
      </c>
      <c r="U235">
        <v>4.3</v>
      </c>
      <c r="V235">
        <v>7.1</v>
      </c>
    </row>
    <row r="236" spans="1:22" x14ac:dyDescent="0.25">
      <c r="A236" t="s">
        <v>1523</v>
      </c>
      <c r="B236" t="s">
        <v>202</v>
      </c>
      <c r="C236">
        <v>22</v>
      </c>
      <c r="D236" t="s">
        <v>260</v>
      </c>
      <c r="E236" t="s">
        <v>66</v>
      </c>
      <c r="F236" t="s">
        <v>96</v>
      </c>
      <c r="G236">
        <v>0.23</v>
      </c>
      <c r="H236" t="s">
        <v>57</v>
      </c>
      <c r="I236">
        <v>-7</v>
      </c>
      <c r="J236" t="str">
        <f>HYPERLINK("https://www.eliteprospects.com/player/470901/marcus-broberg")</f>
        <v>https://www.eliteprospects.com/player/470901/marcus-broberg</v>
      </c>
      <c r="K236" t="s">
        <v>27</v>
      </c>
      <c r="L236" t="s">
        <v>28</v>
      </c>
      <c r="M236" t="s">
        <v>1296</v>
      </c>
      <c r="N236">
        <v>2</v>
      </c>
      <c r="O236" t="s">
        <v>43</v>
      </c>
      <c r="P236">
        <v>0.04</v>
      </c>
      <c r="Q236" t="s">
        <v>245</v>
      </c>
      <c r="R236">
        <v>28.6</v>
      </c>
      <c r="S236">
        <v>31.4</v>
      </c>
      <c r="T236">
        <v>28.6</v>
      </c>
      <c r="U236">
        <v>4.3</v>
      </c>
      <c r="V236">
        <v>7.1</v>
      </c>
    </row>
    <row r="237" spans="1:22" x14ac:dyDescent="0.25">
      <c r="A237" t="s">
        <v>1524</v>
      </c>
      <c r="B237" t="s">
        <v>205</v>
      </c>
      <c r="C237">
        <v>22</v>
      </c>
      <c r="D237" t="s">
        <v>260</v>
      </c>
      <c r="E237" t="s">
        <v>66</v>
      </c>
      <c r="F237" t="s">
        <v>96</v>
      </c>
      <c r="G237">
        <v>0.23</v>
      </c>
      <c r="H237" t="s">
        <v>38</v>
      </c>
      <c r="I237">
        <v>6</v>
      </c>
      <c r="J237" t="str">
        <f>HYPERLINK("https://www.eliteprospects.com/player/641761/mason-croucher")</f>
        <v>https://www.eliteprospects.com/player/641761/mason-croucher</v>
      </c>
      <c r="K237" t="s">
        <v>27</v>
      </c>
      <c r="L237" t="s">
        <v>28</v>
      </c>
      <c r="M237" t="s">
        <v>1296</v>
      </c>
      <c r="N237">
        <v>2</v>
      </c>
      <c r="O237" t="s">
        <v>43</v>
      </c>
      <c r="P237">
        <v>0.04</v>
      </c>
      <c r="Q237" t="s">
        <v>245</v>
      </c>
      <c r="R237">
        <v>28.6</v>
      </c>
      <c r="S237">
        <v>31.4</v>
      </c>
      <c r="T237">
        <v>28.6</v>
      </c>
      <c r="U237">
        <v>4.3</v>
      </c>
      <c r="V237">
        <v>7.1</v>
      </c>
    </row>
    <row r="238" spans="1:22" x14ac:dyDescent="0.25">
      <c r="A238" t="s">
        <v>1525</v>
      </c>
      <c r="B238" t="s">
        <v>184</v>
      </c>
      <c r="C238">
        <v>13</v>
      </c>
      <c r="D238" t="s">
        <v>132</v>
      </c>
      <c r="E238" t="s">
        <v>96</v>
      </c>
      <c r="F238" t="s">
        <v>96</v>
      </c>
      <c r="G238">
        <v>0.38</v>
      </c>
      <c r="H238" t="s">
        <v>79</v>
      </c>
      <c r="I238">
        <v>2</v>
      </c>
      <c r="J238" t="str">
        <f>HYPERLINK("https://www.eliteprospects.com/player/714973/trey-scott")</f>
        <v>https://www.eliteprospects.com/player/714973/trey-scott</v>
      </c>
      <c r="K238" t="s">
        <v>27</v>
      </c>
      <c r="L238" t="s">
        <v>28</v>
      </c>
      <c r="M238" t="s">
        <v>1296</v>
      </c>
      <c r="N238">
        <v>2</v>
      </c>
      <c r="O238" t="s">
        <v>43</v>
      </c>
      <c r="P238">
        <v>7.0000000000000007E-2</v>
      </c>
      <c r="Q238" t="s">
        <v>1325</v>
      </c>
      <c r="R238">
        <v>30</v>
      </c>
      <c r="S238">
        <v>25</v>
      </c>
      <c r="T238">
        <v>32.5</v>
      </c>
      <c r="U238">
        <v>5</v>
      </c>
      <c r="V238">
        <v>7.5</v>
      </c>
    </row>
    <row r="239" spans="1:22" x14ac:dyDescent="0.25">
      <c r="A239" t="s">
        <v>1526</v>
      </c>
      <c r="B239" t="s">
        <v>167</v>
      </c>
      <c r="C239">
        <v>13</v>
      </c>
      <c r="D239" t="s">
        <v>132</v>
      </c>
      <c r="E239" t="s">
        <v>96</v>
      </c>
      <c r="F239" t="s">
        <v>96</v>
      </c>
      <c r="G239">
        <v>0.38</v>
      </c>
      <c r="H239" t="s">
        <v>26</v>
      </c>
      <c r="I239">
        <v>-3</v>
      </c>
      <c r="J239" t="str">
        <f>HYPERLINK("https://www.eliteprospects.com/player/616229/mason-langenbrunner")</f>
        <v>https://www.eliteprospects.com/player/616229/mason-langenbrunner</v>
      </c>
      <c r="K239" t="s">
        <v>27</v>
      </c>
      <c r="L239" t="s">
        <v>28</v>
      </c>
      <c r="M239" t="s">
        <v>1296</v>
      </c>
      <c r="N239">
        <v>4</v>
      </c>
      <c r="O239" t="s">
        <v>30</v>
      </c>
      <c r="P239">
        <v>7.0000000000000007E-2</v>
      </c>
      <c r="Q239" t="s">
        <v>1325</v>
      </c>
      <c r="R239">
        <v>30</v>
      </c>
      <c r="S239">
        <v>25</v>
      </c>
      <c r="T239">
        <v>32.5</v>
      </c>
      <c r="U239">
        <v>5</v>
      </c>
      <c r="V239">
        <v>7.5</v>
      </c>
    </row>
    <row r="240" spans="1:22" x14ac:dyDescent="0.25">
      <c r="A240" t="s">
        <v>1527</v>
      </c>
      <c r="B240" t="s">
        <v>167</v>
      </c>
      <c r="C240">
        <v>14</v>
      </c>
      <c r="D240" t="s">
        <v>132</v>
      </c>
      <c r="E240" t="s">
        <v>96</v>
      </c>
      <c r="F240" t="s">
        <v>96</v>
      </c>
      <c r="G240">
        <v>0.36</v>
      </c>
      <c r="H240" t="s">
        <v>51</v>
      </c>
      <c r="I240">
        <v>0</v>
      </c>
      <c r="J240" t="str">
        <f>HYPERLINK("https://www.eliteprospects.com/player/599271/matthew-morden")</f>
        <v>https://www.eliteprospects.com/player/599271/matthew-morden</v>
      </c>
      <c r="K240" t="s">
        <v>27</v>
      </c>
      <c r="L240" t="s">
        <v>28</v>
      </c>
      <c r="M240" t="s">
        <v>1296</v>
      </c>
      <c r="N240">
        <v>3</v>
      </c>
      <c r="O240" t="s">
        <v>74</v>
      </c>
      <c r="P240">
        <v>7.0000000000000007E-2</v>
      </c>
      <c r="Q240" t="s">
        <v>1325</v>
      </c>
      <c r="R240">
        <v>30</v>
      </c>
      <c r="S240">
        <v>25</v>
      </c>
      <c r="T240">
        <v>32.5</v>
      </c>
      <c r="U240">
        <v>5</v>
      </c>
      <c r="V240">
        <v>7.5</v>
      </c>
    </row>
    <row r="241" spans="1:22" x14ac:dyDescent="0.25">
      <c r="A241" t="s">
        <v>1528</v>
      </c>
      <c r="B241" t="s">
        <v>200</v>
      </c>
      <c r="C241">
        <v>15</v>
      </c>
      <c r="D241" t="s">
        <v>132</v>
      </c>
      <c r="E241" t="s">
        <v>96</v>
      </c>
      <c r="F241" t="s">
        <v>96</v>
      </c>
      <c r="G241">
        <v>0.33</v>
      </c>
      <c r="H241" t="s">
        <v>79</v>
      </c>
      <c r="I241">
        <v>11</v>
      </c>
      <c r="J241" t="str">
        <f>HYPERLINK("https://www.eliteprospects.com/player/477411/jack-o-brien")</f>
        <v>https://www.eliteprospects.com/player/477411/jack-o-brien</v>
      </c>
      <c r="K241" t="s">
        <v>27</v>
      </c>
      <c r="L241" t="s">
        <v>28</v>
      </c>
      <c r="M241" t="s">
        <v>1296</v>
      </c>
      <c r="N241">
        <v>6</v>
      </c>
      <c r="O241" t="s">
        <v>1529</v>
      </c>
      <c r="P241">
        <v>0.06</v>
      </c>
      <c r="Q241" t="s">
        <v>1325</v>
      </c>
      <c r="R241">
        <v>26.3</v>
      </c>
      <c r="S241">
        <v>23.7</v>
      </c>
      <c r="T241">
        <v>28.9</v>
      </c>
      <c r="U241">
        <v>5.3</v>
      </c>
      <c r="V241">
        <v>15.8</v>
      </c>
    </row>
    <row r="242" spans="1:22" x14ac:dyDescent="0.25">
      <c r="A242" t="s">
        <v>1530</v>
      </c>
      <c r="B242" t="s">
        <v>127</v>
      </c>
      <c r="C242">
        <v>16</v>
      </c>
      <c r="D242" t="s">
        <v>132</v>
      </c>
      <c r="E242" t="s">
        <v>96</v>
      </c>
      <c r="F242" t="s">
        <v>96</v>
      </c>
      <c r="G242">
        <v>0.31</v>
      </c>
      <c r="H242" t="s">
        <v>75</v>
      </c>
      <c r="I242">
        <v>8</v>
      </c>
      <c r="J242" t="str">
        <f>HYPERLINK("https://www.eliteprospects.com/player/418276/lachlan-getz")</f>
        <v>https://www.eliteprospects.com/player/418276/lachlan-getz</v>
      </c>
      <c r="K242" t="s">
        <v>27</v>
      </c>
      <c r="L242" t="s">
        <v>28</v>
      </c>
      <c r="M242" t="s">
        <v>1296</v>
      </c>
      <c r="N242">
        <v>4</v>
      </c>
      <c r="O242" t="s">
        <v>30</v>
      </c>
      <c r="P242">
        <v>0.06</v>
      </c>
      <c r="Q242" t="s">
        <v>1325</v>
      </c>
      <c r="R242">
        <v>26.3</v>
      </c>
      <c r="S242">
        <v>23.7</v>
      </c>
      <c r="T242">
        <v>28.9</v>
      </c>
      <c r="U242">
        <v>5.3</v>
      </c>
      <c r="V242">
        <v>15.8</v>
      </c>
    </row>
    <row r="243" spans="1:22" x14ac:dyDescent="0.25">
      <c r="A243" t="s">
        <v>1531</v>
      </c>
      <c r="B243" t="s">
        <v>174</v>
      </c>
      <c r="C243">
        <v>17</v>
      </c>
      <c r="D243" t="s">
        <v>132</v>
      </c>
      <c r="E243" t="s">
        <v>96</v>
      </c>
      <c r="F243" t="s">
        <v>96</v>
      </c>
      <c r="G243">
        <v>0.28999999999999998</v>
      </c>
      <c r="H243" t="s">
        <v>79</v>
      </c>
      <c r="I243">
        <v>-1</v>
      </c>
      <c r="J243" t="str">
        <f>HYPERLINK("https://www.eliteprospects.com/player/704631/conner-de-haro")</f>
        <v>https://www.eliteprospects.com/player/704631/conner-de-haro</v>
      </c>
      <c r="K243" t="s">
        <v>27</v>
      </c>
      <c r="L243" t="s">
        <v>28</v>
      </c>
      <c r="M243" t="s">
        <v>1296</v>
      </c>
      <c r="N243">
        <v>1</v>
      </c>
      <c r="O243" t="s">
        <v>71</v>
      </c>
      <c r="P243">
        <v>0.06</v>
      </c>
      <c r="Q243" t="s">
        <v>1325</v>
      </c>
      <c r="R243">
        <v>26.3</v>
      </c>
      <c r="S243">
        <v>23.7</v>
      </c>
      <c r="T243">
        <v>28.9</v>
      </c>
      <c r="U243">
        <v>5.3</v>
      </c>
      <c r="V243">
        <v>15.8</v>
      </c>
    </row>
    <row r="244" spans="1:22" x14ac:dyDescent="0.25">
      <c r="A244" t="s">
        <v>1532</v>
      </c>
      <c r="B244" t="s">
        <v>234</v>
      </c>
      <c r="C244">
        <v>17</v>
      </c>
      <c r="D244" t="s">
        <v>132</v>
      </c>
      <c r="E244" t="s">
        <v>96</v>
      </c>
      <c r="F244" t="s">
        <v>96</v>
      </c>
      <c r="G244">
        <v>0.28999999999999998</v>
      </c>
      <c r="H244" t="s">
        <v>57</v>
      </c>
      <c r="I244">
        <v>6</v>
      </c>
      <c r="J244" t="str">
        <f>HYPERLINK("https://www.eliteprospects.com/player/617863/ethan-mistry")</f>
        <v>https://www.eliteprospects.com/player/617863/ethan-mistry</v>
      </c>
      <c r="K244" t="s">
        <v>27</v>
      </c>
      <c r="L244" t="s">
        <v>28</v>
      </c>
      <c r="M244" t="s">
        <v>1296</v>
      </c>
      <c r="N244">
        <v>3</v>
      </c>
      <c r="O244" t="s">
        <v>74</v>
      </c>
      <c r="P244">
        <v>0.06</v>
      </c>
      <c r="Q244" t="s">
        <v>1325</v>
      </c>
      <c r="R244">
        <v>26.3</v>
      </c>
      <c r="S244">
        <v>23.7</v>
      </c>
      <c r="T244">
        <v>28.9</v>
      </c>
      <c r="U244">
        <v>5.3</v>
      </c>
      <c r="V244">
        <v>15.8</v>
      </c>
    </row>
    <row r="245" spans="1:22" x14ac:dyDescent="0.25">
      <c r="A245" t="s">
        <v>1533</v>
      </c>
      <c r="B245" t="s">
        <v>22</v>
      </c>
      <c r="C245">
        <v>18</v>
      </c>
      <c r="D245" t="s">
        <v>132</v>
      </c>
      <c r="E245" t="s">
        <v>96</v>
      </c>
      <c r="F245" t="s">
        <v>96</v>
      </c>
      <c r="G245">
        <v>0.28000000000000003</v>
      </c>
      <c r="H245" t="s">
        <v>57</v>
      </c>
      <c r="I245">
        <v>2</v>
      </c>
      <c r="J245" t="str">
        <f>HYPERLINK("https://www.eliteprospects.com/player/623741/brasen-boser")</f>
        <v>https://www.eliteprospects.com/player/623741/brasen-boser</v>
      </c>
      <c r="K245" t="s">
        <v>27</v>
      </c>
      <c r="L245" t="s">
        <v>28</v>
      </c>
      <c r="M245" t="s">
        <v>1296</v>
      </c>
      <c r="N245">
        <v>2</v>
      </c>
      <c r="O245" t="s">
        <v>43</v>
      </c>
      <c r="P245">
        <v>0.05</v>
      </c>
      <c r="Q245" t="s">
        <v>1325</v>
      </c>
      <c r="R245">
        <v>26.3</v>
      </c>
      <c r="S245">
        <v>23.7</v>
      </c>
      <c r="T245">
        <v>28.9</v>
      </c>
      <c r="U245">
        <v>5.3</v>
      </c>
      <c r="V245">
        <v>15.8</v>
      </c>
    </row>
    <row r="246" spans="1:22" x14ac:dyDescent="0.25">
      <c r="A246" t="s">
        <v>1534</v>
      </c>
      <c r="B246" t="s">
        <v>195</v>
      </c>
      <c r="C246">
        <v>19</v>
      </c>
      <c r="D246" t="s">
        <v>132</v>
      </c>
      <c r="E246" t="s">
        <v>96</v>
      </c>
      <c r="F246" t="s">
        <v>96</v>
      </c>
      <c r="G246">
        <v>0.26</v>
      </c>
      <c r="H246" t="s">
        <v>66</v>
      </c>
      <c r="I246">
        <v>-1</v>
      </c>
      <c r="J246" t="str">
        <f>HYPERLINK("https://www.eliteprospects.com/player/635383/aiden-celebrini")</f>
        <v>https://www.eliteprospects.com/player/635383/aiden-celebrini</v>
      </c>
      <c r="K246" t="s">
        <v>27</v>
      </c>
      <c r="L246" t="s">
        <v>28</v>
      </c>
      <c r="M246" t="s">
        <v>1296</v>
      </c>
      <c r="N246">
        <v>3</v>
      </c>
      <c r="O246" t="s">
        <v>74</v>
      </c>
      <c r="P246">
        <v>0.05</v>
      </c>
      <c r="Q246" t="s">
        <v>1325</v>
      </c>
      <c r="R246">
        <v>26.3</v>
      </c>
      <c r="S246">
        <v>23.7</v>
      </c>
      <c r="T246">
        <v>28.9</v>
      </c>
      <c r="U246">
        <v>5.3</v>
      </c>
      <c r="V246">
        <v>15.8</v>
      </c>
    </row>
    <row r="247" spans="1:22" x14ac:dyDescent="0.25">
      <c r="A247" t="s">
        <v>1535</v>
      </c>
      <c r="B247" t="s">
        <v>130</v>
      </c>
      <c r="C247">
        <v>19</v>
      </c>
      <c r="D247" t="s">
        <v>132</v>
      </c>
      <c r="E247" t="s">
        <v>96</v>
      </c>
      <c r="F247" t="s">
        <v>96</v>
      </c>
      <c r="G247">
        <v>0.26</v>
      </c>
      <c r="H247" t="s">
        <v>235</v>
      </c>
      <c r="I247">
        <v>-4</v>
      </c>
      <c r="J247" t="str">
        <f>HYPERLINK("https://www.eliteprospects.com/player/643091/filip-nordberg")</f>
        <v>https://www.eliteprospects.com/player/643091/filip-nordberg</v>
      </c>
      <c r="K247" t="s">
        <v>27</v>
      </c>
      <c r="L247" t="s">
        <v>28</v>
      </c>
      <c r="M247" t="s">
        <v>1296</v>
      </c>
      <c r="N247">
        <v>1</v>
      </c>
      <c r="O247" t="s">
        <v>71</v>
      </c>
      <c r="P247">
        <v>0.05</v>
      </c>
      <c r="Q247" t="s">
        <v>1325</v>
      </c>
      <c r="R247">
        <v>26.3</v>
      </c>
      <c r="S247">
        <v>23.7</v>
      </c>
      <c r="T247">
        <v>28.9</v>
      </c>
      <c r="U247">
        <v>5.3</v>
      </c>
      <c r="V247">
        <v>15.8</v>
      </c>
    </row>
    <row r="248" spans="1:22" x14ac:dyDescent="0.25">
      <c r="A248" t="s">
        <v>1536</v>
      </c>
      <c r="B248" t="s">
        <v>162</v>
      </c>
      <c r="C248">
        <v>20</v>
      </c>
      <c r="D248" t="s">
        <v>132</v>
      </c>
      <c r="E248" t="s">
        <v>96</v>
      </c>
      <c r="F248" t="s">
        <v>96</v>
      </c>
      <c r="G248">
        <v>0.25</v>
      </c>
      <c r="H248" t="s">
        <v>32</v>
      </c>
      <c r="I248">
        <v>-4</v>
      </c>
      <c r="J248" t="str">
        <f>HYPERLINK("https://www.eliteprospects.com/player/535855/tobias-bjercke-larsen")</f>
        <v>https://www.eliteprospects.com/player/535855/tobias-bjercke-larsen</v>
      </c>
      <c r="K248" t="s">
        <v>27</v>
      </c>
      <c r="L248" t="s">
        <v>28</v>
      </c>
      <c r="M248" t="s">
        <v>1296</v>
      </c>
      <c r="N248">
        <v>2</v>
      </c>
      <c r="O248" t="s">
        <v>43</v>
      </c>
      <c r="P248">
        <v>0.05</v>
      </c>
      <c r="Q248" t="s">
        <v>1325</v>
      </c>
      <c r="R248">
        <v>26.3</v>
      </c>
      <c r="S248">
        <v>23.7</v>
      </c>
      <c r="T248">
        <v>28.9</v>
      </c>
      <c r="U248">
        <v>5.3</v>
      </c>
      <c r="V248">
        <v>15.8</v>
      </c>
    </row>
    <row r="249" spans="1:22" x14ac:dyDescent="0.25">
      <c r="A249" t="s">
        <v>1537</v>
      </c>
      <c r="B249" t="s">
        <v>171</v>
      </c>
      <c r="C249">
        <v>21</v>
      </c>
      <c r="D249" t="s">
        <v>132</v>
      </c>
      <c r="E249" t="s">
        <v>96</v>
      </c>
      <c r="F249" t="s">
        <v>96</v>
      </c>
      <c r="G249">
        <v>0.24</v>
      </c>
      <c r="H249" t="s">
        <v>66</v>
      </c>
      <c r="I249">
        <v>-3</v>
      </c>
      <c r="J249" t="str">
        <f>HYPERLINK("https://www.eliteprospects.com/player/692461/dominic-payne")</f>
        <v>https://www.eliteprospects.com/player/692461/dominic-payne</v>
      </c>
      <c r="K249" t="s">
        <v>27</v>
      </c>
      <c r="L249" t="s">
        <v>28</v>
      </c>
      <c r="M249" t="s">
        <v>1296</v>
      </c>
      <c r="N249">
        <v>2</v>
      </c>
      <c r="O249" t="s">
        <v>43</v>
      </c>
      <c r="P249">
        <v>0.05</v>
      </c>
      <c r="Q249" t="s">
        <v>1325</v>
      </c>
      <c r="R249">
        <v>26.3</v>
      </c>
      <c r="S249">
        <v>23.7</v>
      </c>
      <c r="T249">
        <v>28.9</v>
      </c>
      <c r="U249">
        <v>5.3</v>
      </c>
      <c r="V249">
        <v>15.8</v>
      </c>
    </row>
    <row r="250" spans="1:22" x14ac:dyDescent="0.25">
      <c r="A250" t="s">
        <v>1538</v>
      </c>
      <c r="B250" t="s">
        <v>184</v>
      </c>
      <c r="C250">
        <v>21</v>
      </c>
      <c r="D250" t="s">
        <v>132</v>
      </c>
      <c r="E250" t="s">
        <v>96</v>
      </c>
      <c r="F250" t="s">
        <v>96</v>
      </c>
      <c r="G250">
        <v>0.24</v>
      </c>
      <c r="H250" t="s">
        <v>66</v>
      </c>
      <c r="I250">
        <v>-2</v>
      </c>
      <c r="J250" t="str">
        <f>HYPERLINK("https://www.eliteprospects.com/player/806151/anthony-allain-samake")</f>
        <v>https://www.eliteprospects.com/player/806151/anthony-allain-samake</v>
      </c>
      <c r="K250" t="s">
        <v>27</v>
      </c>
      <c r="L250" t="s">
        <v>28</v>
      </c>
      <c r="M250" t="s">
        <v>1296</v>
      </c>
      <c r="N250">
        <v>1</v>
      </c>
      <c r="O250" t="s">
        <v>71</v>
      </c>
      <c r="P250">
        <v>0.05</v>
      </c>
      <c r="Q250" t="s">
        <v>1325</v>
      </c>
      <c r="R250">
        <v>26.3</v>
      </c>
      <c r="S250">
        <v>23.7</v>
      </c>
      <c r="T250">
        <v>28.9</v>
      </c>
      <c r="U250">
        <v>5.3</v>
      </c>
      <c r="V250">
        <v>15.8</v>
      </c>
    </row>
    <row r="251" spans="1:22" x14ac:dyDescent="0.25">
      <c r="A251" t="s">
        <v>1539</v>
      </c>
      <c r="B251" t="s">
        <v>184</v>
      </c>
      <c r="C251">
        <v>21</v>
      </c>
      <c r="D251" t="s">
        <v>132</v>
      </c>
      <c r="E251" t="s">
        <v>96</v>
      </c>
      <c r="F251" t="s">
        <v>96</v>
      </c>
      <c r="G251">
        <v>0.24</v>
      </c>
      <c r="H251" t="s">
        <v>23</v>
      </c>
      <c r="I251">
        <v>19</v>
      </c>
      <c r="J251" t="str">
        <f>HYPERLINK("https://www.eliteprospects.com/player/574619/viking-gustafsson-nyberg")</f>
        <v>https://www.eliteprospects.com/player/574619/viking-gustafsson-nyberg</v>
      </c>
      <c r="K251" t="s">
        <v>27</v>
      </c>
      <c r="L251" t="s">
        <v>28</v>
      </c>
      <c r="M251" t="s">
        <v>1296</v>
      </c>
      <c r="N251">
        <v>3</v>
      </c>
      <c r="O251" t="s">
        <v>74</v>
      </c>
      <c r="P251">
        <v>0.05</v>
      </c>
      <c r="Q251" t="s">
        <v>1325</v>
      </c>
      <c r="R251">
        <v>26.3</v>
      </c>
      <c r="S251">
        <v>23.7</v>
      </c>
      <c r="T251">
        <v>28.9</v>
      </c>
      <c r="U251">
        <v>5.3</v>
      </c>
      <c r="V251">
        <v>15.8</v>
      </c>
    </row>
    <row r="252" spans="1:22" x14ac:dyDescent="0.25">
      <c r="A252" t="s">
        <v>1540</v>
      </c>
      <c r="B252" t="s">
        <v>121</v>
      </c>
      <c r="C252">
        <v>21</v>
      </c>
      <c r="D252" t="s">
        <v>132</v>
      </c>
      <c r="E252" t="s">
        <v>96</v>
      </c>
      <c r="F252" t="s">
        <v>96</v>
      </c>
      <c r="G252">
        <v>0.24</v>
      </c>
      <c r="H252" t="s">
        <v>84</v>
      </c>
      <c r="I252">
        <v>0</v>
      </c>
      <c r="J252" t="str">
        <f>HYPERLINK("https://www.eliteprospects.com/player/518275/nate-benoit")</f>
        <v>https://www.eliteprospects.com/player/518275/nate-benoit</v>
      </c>
      <c r="K252" t="s">
        <v>27</v>
      </c>
      <c r="L252" t="s">
        <v>28</v>
      </c>
      <c r="M252" t="s">
        <v>1296</v>
      </c>
      <c r="N252">
        <v>3</v>
      </c>
      <c r="O252" t="s">
        <v>74</v>
      </c>
      <c r="P252">
        <v>0.05</v>
      </c>
      <c r="Q252" t="s">
        <v>1325</v>
      </c>
      <c r="R252">
        <v>26.3</v>
      </c>
      <c r="S252">
        <v>23.7</v>
      </c>
      <c r="T252">
        <v>28.9</v>
      </c>
      <c r="U252">
        <v>5.3</v>
      </c>
      <c r="V252">
        <v>15.8</v>
      </c>
    </row>
    <row r="253" spans="1:22" x14ac:dyDescent="0.25">
      <c r="A253" t="s">
        <v>1541</v>
      </c>
      <c r="B253" t="s">
        <v>37</v>
      </c>
      <c r="C253">
        <v>22</v>
      </c>
      <c r="D253" t="s">
        <v>132</v>
      </c>
      <c r="E253" t="s">
        <v>96</v>
      </c>
      <c r="F253" t="s">
        <v>96</v>
      </c>
      <c r="G253">
        <v>0.23</v>
      </c>
      <c r="H253" t="s">
        <v>79</v>
      </c>
      <c r="I253">
        <v>-5</v>
      </c>
      <c r="J253" t="str">
        <f>HYPERLINK("https://www.eliteprospects.com/player/658117/aaron-pionk")</f>
        <v>https://www.eliteprospects.com/player/658117/aaron-pionk</v>
      </c>
      <c r="K253" t="s">
        <v>27</v>
      </c>
      <c r="L253" t="s">
        <v>28</v>
      </c>
      <c r="M253" t="s">
        <v>1296</v>
      </c>
      <c r="N253">
        <v>3</v>
      </c>
      <c r="O253" t="s">
        <v>74</v>
      </c>
      <c r="P253">
        <v>0.04</v>
      </c>
      <c r="Q253" t="s">
        <v>245</v>
      </c>
      <c r="R253">
        <v>28.6</v>
      </c>
      <c r="S253">
        <v>31.4</v>
      </c>
      <c r="T253">
        <v>28.6</v>
      </c>
      <c r="U253">
        <v>4.3</v>
      </c>
      <c r="V253">
        <v>7.1</v>
      </c>
    </row>
    <row r="254" spans="1:22" x14ac:dyDescent="0.25">
      <c r="A254" t="s">
        <v>1542</v>
      </c>
      <c r="B254" t="s">
        <v>113</v>
      </c>
      <c r="C254">
        <v>23</v>
      </c>
      <c r="D254" t="s">
        <v>132</v>
      </c>
      <c r="E254" t="s">
        <v>96</v>
      </c>
      <c r="F254" t="s">
        <v>96</v>
      </c>
      <c r="G254">
        <v>0.22</v>
      </c>
      <c r="H254" t="s">
        <v>26</v>
      </c>
      <c r="I254">
        <v>0</v>
      </c>
      <c r="J254" t="str">
        <f>HYPERLINK("https://www.eliteprospects.com/player/487153/mason-wheeler")</f>
        <v>https://www.eliteprospects.com/player/487153/mason-wheeler</v>
      </c>
      <c r="K254" t="s">
        <v>27</v>
      </c>
      <c r="L254" t="s">
        <v>28</v>
      </c>
      <c r="M254" t="s">
        <v>1296</v>
      </c>
      <c r="N254">
        <v>4</v>
      </c>
      <c r="O254" t="s">
        <v>30</v>
      </c>
      <c r="P254">
        <v>0.04</v>
      </c>
      <c r="Q254" t="s">
        <v>245</v>
      </c>
      <c r="R254">
        <v>28.6</v>
      </c>
      <c r="S254">
        <v>31.4</v>
      </c>
      <c r="T254">
        <v>28.6</v>
      </c>
      <c r="U254">
        <v>4.3</v>
      </c>
      <c r="V254">
        <v>7.1</v>
      </c>
    </row>
    <row r="255" spans="1:22" x14ac:dyDescent="0.25">
      <c r="A255" t="s">
        <v>1543</v>
      </c>
      <c r="B255" t="s">
        <v>148</v>
      </c>
      <c r="C255">
        <v>11</v>
      </c>
      <c r="D255" t="s">
        <v>79</v>
      </c>
      <c r="E255" t="s">
        <v>79</v>
      </c>
      <c r="F255" t="s">
        <v>66</v>
      </c>
      <c r="G255">
        <v>0.36</v>
      </c>
      <c r="H255" t="s">
        <v>79</v>
      </c>
      <c r="I255">
        <v>2</v>
      </c>
      <c r="J255" t="str">
        <f>HYPERLINK("https://www.eliteprospects.com/player/724888/landon-fandel")</f>
        <v>https://www.eliteprospects.com/player/724888/landon-fandel</v>
      </c>
      <c r="K255" t="s">
        <v>27</v>
      </c>
      <c r="L255" t="s">
        <v>28</v>
      </c>
      <c r="M255" t="s">
        <v>1296</v>
      </c>
      <c r="N255">
        <v>1</v>
      </c>
      <c r="O255" t="s">
        <v>71</v>
      </c>
      <c r="P255">
        <v>7.0000000000000007E-2</v>
      </c>
      <c r="Q255" t="s">
        <v>1325</v>
      </c>
      <c r="R255">
        <v>30</v>
      </c>
      <c r="S255">
        <v>25</v>
      </c>
      <c r="T255">
        <v>32.5</v>
      </c>
      <c r="U255">
        <v>5</v>
      </c>
      <c r="V255">
        <v>7.5</v>
      </c>
    </row>
    <row r="256" spans="1:22" x14ac:dyDescent="0.25">
      <c r="A256" t="s">
        <v>1544</v>
      </c>
      <c r="B256" t="s">
        <v>130</v>
      </c>
      <c r="C256">
        <v>14</v>
      </c>
      <c r="D256" t="s">
        <v>79</v>
      </c>
      <c r="E256" t="s">
        <v>79</v>
      </c>
      <c r="F256" t="s">
        <v>66</v>
      </c>
      <c r="G256">
        <v>0.28999999999999998</v>
      </c>
      <c r="H256" t="s">
        <v>79</v>
      </c>
      <c r="I256">
        <v>9</v>
      </c>
      <c r="J256" t="str">
        <f>HYPERLINK("https://www.eliteprospects.com/player/641151/nathan-king")</f>
        <v>https://www.eliteprospects.com/player/641151/nathan-king</v>
      </c>
      <c r="K256" t="s">
        <v>27</v>
      </c>
      <c r="L256" t="s">
        <v>28</v>
      </c>
      <c r="M256" t="s">
        <v>1296</v>
      </c>
      <c r="N256">
        <v>2</v>
      </c>
      <c r="O256" t="s">
        <v>43</v>
      </c>
      <c r="P256">
        <v>0.06</v>
      </c>
      <c r="Q256" t="s">
        <v>1325</v>
      </c>
      <c r="R256">
        <v>26.3</v>
      </c>
      <c r="S256">
        <v>23.7</v>
      </c>
      <c r="T256">
        <v>28.9</v>
      </c>
      <c r="U256">
        <v>5.3</v>
      </c>
      <c r="V256">
        <v>15.8</v>
      </c>
    </row>
    <row r="257" spans="1:22" x14ac:dyDescent="0.25">
      <c r="A257" t="s">
        <v>1545</v>
      </c>
      <c r="B257" t="s">
        <v>85</v>
      </c>
      <c r="C257">
        <v>14</v>
      </c>
      <c r="D257" t="s">
        <v>79</v>
      </c>
      <c r="E257" t="s">
        <v>79</v>
      </c>
      <c r="F257" t="s">
        <v>66</v>
      </c>
      <c r="G257">
        <v>0.28999999999999998</v>
      </c>
      <c r="H257" t="s">
        <v>66</v>
      </c>
      <c r="I257">
        <v>8</v>
      </c>
      <c r="J257" t="str">
        <f>HYPERLINK("https://www.eliteprospects.com/player/478381/jayden-sison")</f>
        <v>https://www.eliteprospects.com/player/478381/jayden-sison</v>
      </c>
      <c r="K257" t="s">
        <v>27</v>
      </c>
      <c r="L257" t="s">
        <v>28</v>
      </c>
      <c r="M257" t="s">
        <v>1546</v>
      </c>
      <c r="N257">
        <v>4</v>
      </c>
      <c r="O257" t="s">
        <v>30</v>
      </c>
      <c r="P257">
        <v>0.06</v>
      </c>
      <c r="Q257" t="s">
        <v>1325</v>
      </c>
      <c r="R257">
        <v>26.3</v>
      </c>
      <c r="S257">
        <v>23.7</v>
      </c>
      <c r="T257">
        <v>28.9</v>
      </c>
      <c r="U257">
        <v>5.3</v>
      </c>
      <c r="V257">
        <v>15.8</v>
      </c>
    </row>
    <row r="258" spans="1:22" x14ac:dyDescent="0.25">
      <c r="A258" t="s">
        <v>1547</v>
      </c>
      <c r="B258" t="s">
        <v>215</v>
      </c>
      <c r="C258">
        <v>18</v>
      </c>
      <c r="D258" t="s">
        <v>79</v>
      </c>
      <c r="E258" t="s">
        <v>79</v>
      </c>
      <c r="F258" t="s">
        <v>66</v>
      </c>
      <c r="G258">
        <v>0.22</v>
      </c>
      <c r="H258" t="s">
        <v>66</v>
      </c>
      <c r="I258">
        <v>-17</v>
      </c>
      <c r="J258" t="str">
        <f>HYPERLINK("https://www.eliteprospects.com/player/664651/joe-schiller")</f>
        <v>https://www.eliteprospects.com/player/664651/joe-schiller</v>
      </c>
      <c r="K258" t="s">
        <v>27</v>
      </c>
      <c r="L258" t="s">
        <v>28</v>
      </c>
      <c r="M258" t="s">
        <v>1296</v>
      </c>
      <c r="N258">
        <v>2</v>
      </c>
      <c r="O258" t="s">
        <v>43</v>
      </c>
      <c r="P258">
        <v>0.04</v>
      </c>
      <c r="Q258" t="s">
        <v>245</v>
      </c>
      <c r="R258">
        <v>28.6</v>
      </c>
      <c r="S258">
        <v>31.4</v>
      </c>
      <c r="T258">
        <v>28.6</v>
      </c>
      <c r="U258">
        <v>4.3</v>
      </c>
      <c r="V258">
        <v>7.1</v>
      </c>
    </row>
    <row r="259" spans="1:22" x14ac:dyDescent="0.25">
      <c r="A259" t="s">
        <v>1548</v>
      </c>
      <c r="B259" t="s">
        <v>146</v>
      </c>
      <c r="C259">
        <v>19</v>
      </c>
      <c r="D259" t="s">
        <v>79</v>
      </c>
      <c r="E259" t="s">
        <v>79</v>
      </c>
      <c r="F259" t="s">
        <v>66</v>
      </c>
      <c r="G259">
        <v>0.21</v>
      </c>
      <c r="H259" t="s">
        <v>23</v>
      </c>
      <c r="I259">
        <v>6</v>
      </c>
      <c r="J259" t="str">
        <f>HYPERLINK("https://www.eliteprospects.com/player/561361/samuel-belanger")</f>
        <v>https://www.eliteprospects.com/player/561361/samuel-belanger</v>
      </c>
      <c r="K259" t="s">
        <v>27</v>
      </c>
      <c r="L259" t="s">
        <v>28</v>
      </c>
      <c r="M259" t="s">
        <v>1296</v>
      </c>
      <c r="N259">
        <v>1</v>
      </c>
      <c r="O259" t="s">
        <v>71</v>
      </c>
      <c r="P259">
        <v>0.04</v>
      </c>
      <c r="Q259" t="s">
        <v>245</v>
      </c>
      <c r="R259">
        <v>28.6</v>
      </c>
      <c r="S259">
        <v>31.4</v>
      </c>
      <c r="T259">
        <v>28.6</v>
      </c>
      <c r="U259">
        <v>4.3</v>
      </c>
      <c r="V259">
        <v>7.1</v>
      </c>
    </row>
    <row r="260" spans="1:22" x14ac:dyDescent="0.25">
      <c r="A260" t="s">
        <v>1549</v>
      </c>
      <c r="B260" t="s">
        <v>362</v>
      </c>
      <c r="C260">
        <v>19</v>
      </c>
      <c r="D260" t="s">
        <v>79</v>
      </c>
      <c r="E260" t="s">
        <v>79</v>
      </c>
      <c r="F260" t="s">
        <v>66</v>
      </c>
      <c r="G260">
        <v>0.21</v>
      </c>
      <c r="H260" t="s">
        <v>39</v>
      </c>
      <c r="I260">
        <v>-9</v>
      </c>
      <c r="J260" t="str">
        <f>HYPERLINK("https://www.eliteprospects.com/player/478661/tyler-desrochers")</f>
        <v>https://www.eliteprospects.com/player/478661/tyler-desrochers</v>
      </c>
      <c r="K260" t="s">
        <v>27</v>
      </c>
      <c r="L260" t="s">
        <v>28</v>
      </c>
      <c r="M260" t="s">
        <v>1296</v>
      </c>
      <c r="N260">
        <v>3</v>
      </c>
      <c r="O260" t="s">
        <v>74</v>
      </c>
      <c r="P260">
        <v>0.04</v>
      </c>
      <c r="Q260" t="s">
        <v>245</v>
      </c>
      <c r="R260">
        <v>28.6</v>
      </c>
      <c r="S260">
        <v>31.4</v>
      </c>
      <c r="T260">
        <v>28.6</v>
      </c>
      <c r="U260">
        <v>4.3</v>
      </c>
      <c r="V260">
        <v>7.1</v>
      </c>
    </row>
    <row r="261" spans="1:22" x14ac:dyDescent="0.25">
      <c r="A261" t="s">
        <v>1550</v>
      </c>
      <c r="B261" t="s">
        <v>114</v>
      </c>
      <c r="C261">
        <v>20</v>
      </c>
      <c r="D261" t="s">
        <v>79</v>
      </c>
      <c r="E261" t="s">
        <v>79</v>
      </c>
      <c r="F261" t="s">
        <v>66</v>
      </c>
      <c r="G261">
        <v>0.2</v>
      </c>
      <c r="H261" t="s">
        <v>57</v>
      </c>
      <c r="I261">
        <v>-6</v>
      </c>
      <c r="J261" t="str">
        <f>HYPERLINK("https://www.eliteprospects.com/player/703233/connor-gengle")</f>
        <v>https://www.eliteprospects.com/player/703233/connor-gengle</v>
      </c>
      <c r="K261" t="s">
        <v>27</v>
      </c>
      <c r="L261" t="s">
        <v>28</v>
      </c>
      <c r="M261" t="s">
        <v>1296</v>
      </c>
      <c r="N261">
        <v>1</v>
      </c>
      <c r="O261" t="s">
        <v>71</v>
      </c>
      <c r="P261">
        <v>0.04</v>
      </c>
      <c r="Q261" t="s">
        <v>245</v>
      </c>
      <c r="R261">
        <v>28.6</v>
      </c>
      <c r="S261">
        <v>31.4</v>
      </c>
      <c r="T261">
        <v>28.6</v>
      </c>
      <c r="U261">
        <v>4.3</v>
      </c>
      <c r="V261">
        <v>7.1</v>
      </c>
    </row>
    <row r="262" spans="1:22" x14ac:dyDescent="0.25">
      <c r="A262" t="s">
        <v>1551</v>
      </c>
      <c r="B262" t="s">
        <v>150</v>
      </c>
      <c r="C262">
        <v>20</v>
      </c>
      <c r="D262" t="s">
        <v>79</v>
      </c>
      <c r="E262" t="s">
        <v>79</v>
      </c>
      <c r="F262" t="s">
        <v>66</v>
      </c>
      <c r="G262">
        <v>0.2</v>
      </c>
      <c r="H262" t="s">
        <v>32</v>
      </c>
      <c r="I262">
        <v>-3</v>
      </c>
      <c r="J262" t="str">
        <f>HYPERLINK("https://www.eliteprospects.com/player/538399/william-smith")</f>
        <v>https://www.eliteprospects.com/player/538399/william-smith</v>
      </c>
      <c r="K262" t="s">
        <v>27</v>
      </c>
      <c r="L262" t="s">
        <v>28</v>
      </c>
      <c r="M262" t="s">
        <v>1296</v>
      </c>
      <c r="N262">
        <v>3</v>
      </c>
      <c r="O262" t="s">
        <v>74</v>
      </c>
      <c r="P262">
        <v>0.04</v>
      </c>
      <c r="Q262" t="s">
        <v>245</v>
      </c>
      <c r="R262">
        <v>28.6</v>
      </c>
      <c r="S262">
        <v>31.4</v>
      </c>
      <c r="T262">
        <v>28.6</v>
      </c>
      <c r="U262">
        <v>4.3</v>
      </c>
      <c r="V262">
        <v>7.1</v>
      </c>
    </row>
    <row r="263" spans="1:22" x14ac:dyDescent="0.25">
      <c r="A263" t="s">
        <v>1552</v>
      </c>
      <c r="B263" t="s">
        <v>184</v>
      </c>
      <c r="C263">
        <v>21</v>
      </c>
      <c r="D263" t="s">
        <v>79</v>
      </c>
      <c r="E263" t="s">
        <v>79</v>
      </c>
      <c r="F263" t="s">
        <v>66</v>
      </c>
      <c r="G263">
        <v>0.19</v>
      </c>
      <c r="H263" t="s">
        <v>57</v>
      </c>
      <c r="I263">
        <v>7</v>
      </c>
      <c r="J263" t="str">
        <f>HYPERLINK("https://www.eliteprospects.com/player/511516/thomas-messineo")</f>
        <v>https://www.eliteprospects.com/player/511516/thomas-messineo</v>
      </c>
      <c r="K263" t="s">
        <v>27</v>
      </c>
      <c r="L263" t="s">
        <v>28</v>
      </c>
      <c r="M263" t="s">
        <v>1296</v>
      </c>
      <c r="N263">
        <v>4</v>
      </c>
      <c r="O263" t="s">
        <v>30</v>
      </c>
      <c r="P263">
        <v>0.04</v>
      </c>
      <c r="Q263" t="s">
        <v>245</v>
      </c>
      <c r="R263">
        <v>28.6</v>
      </c>
      <c r="S263">
        <v>31.4</v>
      </c>
      <c r="T263">
        <v>28.6</v>
      </c>
      <c r="U263">
        <v>4.3</v>
      </c>
      <c r="V263">
        <v>7.1</v>
      </c>
    </row>
    <row r="264" spans="1:22" x14ac:dyDescent="0.25">
      <c r="A264" t="s">
        <v>1553</v>
      </c>
      <c r="B264" t="s">
        <v>222</v>
      </c>
      <c r="C264">
        <v>10</v>
      </c>
      <c r="D264" t="s">
        <v>260</v>
      </c>
      <c r="E264" t="s">
        <v>140</v>
      </c>
      <c r="F264" t="s">
        <v>66</v>
      </c>
      <c r="G264">
        <v>0.4</v>
      </c>
      <c r="H264" t="s">
        <v>23</v>
      </c>
      <c r="I264">
        <v>2</v>
      </c>
      <c r="J264" t="str">
        <f>HYPERLINK("https://www.eliteprospects.com/player/651955/owen-forester")</f>
        <v>https://www.eliteprospects.com/player/651955/owen-forester</v>
      </c>
      <c r="K264" t="s">
        <v>27</v>
      </c>
      <c r="L264" t="s">
        <v>28</v>
      </c>
      <c r="M264" t="s">
        <v>1296</v>
      </c>
      <c r="N264">
        <v>3</v>
      </c>
      <c r="O264" t="s">
        <v>74</v>
      </c>
      <c r="P264">
        <v>0.08</v>
      </c>
      <c r="Q264" t="s">
        <v>1325</v>
      </c>
      <c r="R264">
        <v>30</v>
      </c>
      <c r="S264">
        <v>25</v>
      </c>
      <c r="T264">
        <v>32.5</v>
      </c>
      <c r="U264">
        <v>5</v>
      </c>
      <c r="V264">
        <v>7.5</v>
      </c>
    </row>
    <row r="265" spans="1:22" x14ac:dyDescent="0.25">
      <c r="A265" t="s">
        <v>1554</v>
      </c>
      <c r="B265" t="s">
        <v>106</v>
      </c>
      <c r="C265">
        <v>15</v>
      </c>
      <c r="D265" t="s">
        <v>260</v>
      </c>
      <c r="E265" t="s">
        <v>140</v>
      </c>
      <c r="F265" t="s">
        <v>66</v>
      </c>
      <c r="G265">
        <v>0.27</v>
      </c>
      <c r="H265" t="s">
        <v>39</v>
      </c>
      <c r="I265">
        <v>3</v>
      </c>
      <c r="J265" t="str">
        <f>HYPERLINK("https://www.eliteprospects.com/player/573195/william-charles-bishop")</f>
        <v>https://www.eliteprospects.com/player/573195/william-charles-bishop</v>
      </c>
      <c r="K265" t="s">
        <v>27</v>
      </c>
      <c r="L265" t="s">
        <v>28</v>
      </c>
      <c r="M265" t="s">
        <v>1296</v>
      </c>
      <c r="N265">
        <v>5</v>
      </c>
      <c r="O265" t="s">
        <v>207</v>
      </c>
      <c r="P265">
        <v>0.05</v>
      </c>
      <c r="Q265" t="s">
        <v>1325</v>
      </c>
      <c r="R265">
        <v>26.3</v>
      </c>
      <c r="S265">
        <v>23.7</v>
      </c>
      <c r="T265">
        <v>28.9</v>
      </c>
      <c r="U265">
        <v>5.3</v>
      </c>
      <c r="V265">
        <v>15.8</v>
      </c>
    </row>
    <row r="266" spans="1:22" x14ac:dyDescent="0.25">
      <c r="A266" t="s">
        <v>1555</v>
      </c>
      <c r="B266" t="s">
        <v>86</v>
      </c>
      <c r="C266">
        <v>16</v>
      </c>
      <c r="D266" t="s">
        <v>260</v>
      </c>
      <c r="E266" t="s">
        <v>140</v>
      </c>
      <c r="F266" t="s">
        <v>66</v>
      </c>
      <c r="G266">
        <v>0.25</v>
      </c>
      <c r="H266" t="s">
        <v>57</v>
      </c>
      <c r="I266">
        <v>7</v>
      </c>
      <c r="J266" t="str">
        <f>HYPERLINK("https://www.eliteprospects.com/player/566403/owen-west")</f>
        <v>https://www.eliteprospects.com/player/566403/owen-west</v>
      </c>
      <c r="K266" t="s">
        <v>27</v>
      </c>
      <c r="L266" t="s">
        <v>28</v>
      </c>
      <c r="M266" t="s">
        <v>1296</v>
      </c>
      <c r="N266">
        <v>2</v>
      </c>
      <c r="O266" t="s">
        <v>43</v>
      </c>
      <c r="P266">
        <v>0.05</v>
      </c>
      <c r="Q266" t="s">
        <v>1325</v>
      </c>
      <c r="R266">
        <v>26.3</v>
      </c>
      <c r="S266">
        <v>23.7</v>
      </c>
      <c r="T266">
        <v>28.9</v>
      </c>
      <c r="U266">
        <v>5.3</v>
      </c>
      <c r="V266">
        <v>15.8</v>
      </c>
    </row>
    <row r="267" spans="1:22" x14ac:dyDescent="0.25">
      <c r="A267" t="s">
        <v>1556</v>
      </c>
      <c r="B267" t="s">
        <v>80</v>
      </c>
      <c r="C267">
        <v>16</v>
      </c>
      <c r="D267" t="s">
        <v>260</v>
      </c>
      <c r="E267" t="s">
        <v>140</v>
      </c>
      <c r="F267" t="s">
        <v>66</v>
      </c>
      <c r="G267">
        <v>0.25</v>
      </c>
      <c r="H267" t="s">
        <v>32</v>
      </c>
      <c r="I267">
        <v>1</v>
      </c>
      <c r="J267" t="str">
        <f>HYPERLINK("https://www.eliteprospects.com/player/603218/nicholas-fascia")</f>
        <v>https://www.eliteprospects.com/player/603218/nicholas-fascia</v>
      </c>
      <c r="K267" t="s">
        <v>27</v>
      </c>
      <c r="L267" t="s">
        <v>28</v>
      </c>
      <c r="M267" t="s">
        <v>1296</v>
      </c>
      <c r="N267">
        <v>2</v>
      </c>
      <c r="O267" t="s">
        <v>43</v>
      </c>
      <c r="P267">
        <v>0.05</v>
      </c>
      <c r="Q267" t="s">
        <v>1325</v>
      </c>
      <c r="R267">
        <v>26.3</v>
      </c>
      <c r="S267">
        <v>23.7</v>
      </c>
      <c r="T267">
        <v>28.9</v>
      </c>
      <c r="U267">
        <v>5.3</v>
      </c>
      <c r="V267">
        <v>15.8</v>
      </c>
    </row>
    <row r="268" spans="1:22" x14ac:dyDescent="0.25">
      <c r="A268" t="s">
        <v>1557</v>
      </c>
      <c r="B268" t="s">
        <v>83</v>
      </c>
      <c r="C268">
        <v>17</v>
      </c>
      <c r="D268" t="s">
        <v>260</v>
      </c>
      <c r="E268" t="s">
        <v>140</v>
      </c>
      <c r="F268" t="s">
        <v>66</v>
      </c>
      <c r="G268">
        <v>0.24</v>
      </c>
      <c r="H268" t="s">
        <v>66</v>
      </c>
      <c r="I268">
        <v>9</v>
      </c>
      <c r="J268" t="str">
        <f>HYPERLINK("https://www.eliteprospects.com/player/655344/tim-busconi")</f>
        <v>https://www.eliteprospects.com/player/655344/tim-busconi</v>
      </c>
      <c r="K268" t="s">
        <v>27</v>
      </c>
      <c r="L268" t="s">
        <v>28</v>
      </c>
      <c r="M268" t="s">
        <v>1296</v>
      </c>
      <c r="N268">
        <v>2</v>
      </c>
      <c r="O268" t="s">
        <v>43</v>
      </c>
      <c r="P268">
        <v>0.05</v>
      </c>
      <c r="Q268" t="s">
        <v>1325</v>
      </c>
      <c r="R268">
        <v>26.3</v>
      </c>
      <c r="S268">
        <v>23.7</v>
      </c>
      <c r="T268">
        <v>28.9</v>
      </c>
      <c r="U268">
        <v>5.3</v>
      </c>
      <c r="V268">
        <v>15.8</v>
      </c>
    </row>
    <row r="269" spans="1:22" x14ac:dyDescent="0.25">
      <c r="A269" t="s">
        <v>1558</v>
      </c>
      <c r="B269" t="s">
        <v>150</v>
      </c>
      <c r="C269">
        <v>17</v>
      </c>
      <c r="D269" t="s">
        <v>260</v>
      </c>
      <c r="E269" t="s">
        <v>140</v>
      </c>
      <c r="F269" t="s">
        <v>66</v>
      </c>
      <c r="G269">
        <v>0.24</v>
      </c>
      <c r="H269" t="s">
        <v>23</v>
      </c>
      <c r="I269">
        <v>-2</v>
      </c>
      <c r="J269" t="str">
        <f>HYPERLINK("https://www.eliteprospects.com/player/475289/samuel-mcginley")</f>
        <v>https://www.eliteprospects.com/player/475289/samuel-mcginley</v>
      </c>
      <c r="K269" t="s">
        <v>27</v>
      </c>
      <c r="L269" t="s">
        <v>28</v>
      </c>
      <c r="M269" t="s">
        <v>1296</v>
      </c>
      <c r="N269">
        <v>6</v>
      </c>
      <c r="O269" t="s">
        <v>263</v>
      </c>
      <c r="P269">
        <v>0.05</v>
      </c>
      <c r="Q269" t="s">
        <v>1325</v>
      </c>
      <c r="R269">
        <v>26.3</v>
      </c>
      <c r="S269">
        <v>23.7</v>
      </c>
      <c r="T269">
        <v>28.9</v>
      </c>
      <c r="U269">
        <v>5.3</v>
      </c>
      <c r="V269">
        <v>15.8</v>
      </c>
    </row>
    <row r="270" spans="1:22" x14ac:dyDescent="0.25">
      <c r="A270" t="s">
        <v>1559</v>
      </c>
      <c r="B270" t="s">
        <v>158</v>
      </c>
      <c r="C270">
        <v>18</v>
      </c>
      <c r="D270" t="s">
        <v>260</v>
      </c>
      <c r="E270" t="s">
        <v>140</v>
      </c>
      <c r="F270" t="s">
        <v>66</v>
      </c>
      <c r="G270">
        <v>0.22</v>
      </c>
      <c r="H270" t="s">
        <v>66</v>
      </c>
      <c r="I270">
        <v>-8</v>
      </c>
      <c r="J270" t="str">
        <f>HYPERLINK("https://www.eliteprospects.com/player/623763/carson-reed")</f>
        <v>https://www.eliteprospects.com/player/623763/carson-reed</v>
      </c>
      <c r="K270" t="s">
        <v>27</v>
      </c>
      <c r="L270" t="s">
        <v>28</v>
      </c>
      <c r="M270" t="s">
        <v>1296</v>
      </c>
      <c r="N270">
        <v>2</v>
      </c>
      <c r="O270" t="s">
        <v>43</v>
      </c>
      <c r="P270">
        <v>0.04</v>
      </c>
      <c r="Q270" t="s">
        <v>245</v>
      </c>
      <c r="R270">
        <v>28.6</v>
      </c>
      <c r="S270">
        <v>31.4</v>
      </c>
      <c r="T270">
        <v>28.6</v>
      </c>
      <c r="U270">
        <v>4.3</v>
      </c>
      <c r="V270">
        <v>7.1</v>
      </c>
    </row>
    <row r="271" spans="1:22" x14ac:dyDescent="0.25">
      <c r="A271" t="s">
        <v>1560</v>
      </c>
      <c r="B271" t="s">
        <v>95</v>
      </c>
      <c r="C271">
        <v>18</v>
      </c>
      <c r="D271" t="s">
        <v>260</v>
      </c>
      <c r="E271" t="s">
        <v>140</v>
      </c>
      <c r="F271" t="s">
        <v>66</v>
      </c>
      <c r="G271">
        <v>0.22</v>
      </c>
      <c r="H271" t="s">
        <v>66</v>
      </c>
      <c r="I271">
        <v>8</v>
      </c>
      <c r="J271" t="str">
        <f>HYPERLINK("https://www.eliteprospects.com/player/586596/colby-woogk")</f>
        <v>https://www.eliteprospects.com/player/586596/colby-woogk</v>
      </c>
      <c r="K271" t="s">
        <v>27</v>
      </c>
      <c r="L271" t="s">
        <v>28</v>
      </c>
      <c r="M271" t="s">
        <v>1296</v>
      </c>
      <c r="N271">
        <v>1</v>
      </c>
      <c r="O271" t="s">
        <v>71</v>
      </c>
      <c r="P271">
        <v>0.04</v>
      </c>
      <c r="Q271" t="s">
        <v>245</v>
      </c>
      <c r="R271">
        <v>28.6</v>
      </c>
      <c r="S271">
        <v>31.4</v>
      </c>
      <c r="T271">
        <v>28.6</v>
      </c>
      <c r="U271">
        <v>4.3</v>
      </c>
      <c r="V271">
        <v>7.1</v>
      </c>
    </row>
    <row r="272" spans="1:22" x14ac:dyDescent="0.25">
      <c r="A272" t="s">
        <v>1561</v>
      </c>
      <c r="B272" t="s">
        <v>119</v>
      </c>
      <c r="C272">
        <v>18</v>
      </c>
      <c r="D272" t="s">
        <v>260</v>
      </c>
      <c r="E272" t="s">
        <v>140</v>
      </c>
      <c r="F272" t="s">
        <v>66</v>
      </c>
      <c r="G272">
        <v>0.22</v>
      </c>
      <c r="H272" t="s">
        <v>26</v>
      </c>
      <c r="I272">
        <v>-3</v>
      </c>
      <c r="J272" t="str">
        <f>HYPERLINK("https://www.eliteprospects.com/player/574743/leo-gruba")</f>
        <v>https://www.eliteprospects.com/player/574743/leo-gruba</v>
      </c>
      <c r="K272" t="s">
        <v>27</v>
      </c>
      <c r="L272" t="s">
        <v>28</v>
      </c>
      <c r="M272" t="s">
        <v>1296</v>
      </c>
      <c r="N272">
        <v>2</v>
      </c>
      <c r="O272" t="s">
        <v>43</v>
      </c>
      <c r="P272">
        <v>0.04</v>
      </c>
      <c r="Q272" t="s">
        <v>245</v>
      </c>
      <c r="R272">
        <v>28.6</v>
      </c>
      <c r="S272">
        <v>31.4</v>
      </c>
      <c r="T272">
        <v>28.6</v>
      </c>
      <c r="U272">
        <v>4.3</v>
      </c>
      <c r="V272">
        <v>7.1</v>
      </c>
    </row>
    <row r="273" spans="1:22" x14ac:dyDescent="0.25">
      <c r="A273" t="s">
        <v>1562</v>
      </c>
      <c r="B273" t="s">
        <v>255</v>
      </c>
      <c r="C273">
        <v>18</v>
      </c>
      <c r="D273" t="s">
        <v>260</v>
      </c>
      <c r="E273" t="s">
        <v>140</v>
      </c>
      <c r="F273" t="s">
        <v>66</v>
      </c>
      <c r="G273">
        <v>0.22</v>
      </c>
      <c r="H273" t="s">
        <v>33</v>
      </c>
      <c r="I273">
        <v>-1</v>
      </c>
      <c r="J273" t="str">
        <f>HYPERLINK("https://www.eliteprospects.com/player/630042/matthew-rafalski")</f>
        <v>https://www.eliteprospects.com/player/630042/matthew-rafalski</v>
      </c>
      <c r="K273" t="s">
        <v>27</v>
      </c>
      <c r="L273" t="s">
        <v>28</v>
      </c>
      <c r="M273" t="s">
        <v>1296</v>
      </c>
      <c r="N273">
        <v>1</v>
      </c>
      <c r="O273" t="s">
        <v>71</v>
      </c>
      <c r="P273">
        <v>0.04</v>
      </c>
      <c r="Q273" t="s">
        <v>245</v>
      </c>
      <c r="R273">
        <v>28.6</v>
      </c>
      <c r="S273">
        <v>31.4</v>
      </c>
      <c r="T273">
        <v>28.6</v>
      </c>
      <c r="U273">
        <v>4.3</v>
      </c>
      <c r="V273">
        <v>7.1</v>
      </c>
    </row>
    <row r="274" spans="1:22" x14ac:dyDescent="0.25">
      <c r="A274" t="s">
        <v>1563</v>
      </c>
      <c r="B274" t="s">
        <v>22</v>
      </c>
      <c r="C274">
        <v>19</v>
      </c>
      <c r="D274" t="s">
        <v>260</v>
      </c>
      <c r="E274" t="s">
        <v>140</v>
      </c>
      <c r="F274" t="s">
        <v>66</v>
      </c>
      <c r="G274">
        <v>0.21</v>
      </c>
      <c r="H274" t="s">
        <v>66</v>
      </c>
      <c r="I274">
        <v>-2</v>
      </c>
      <c r="J274" t="str">
        <f>HYPERLINK("https://www.eliteprospects.com/player/572087/sam-court")</f>
        <v>https://www.eliteprospects.com/player/572087/sam-court</v>
      </c>
      <c r="K274" t="s">
        <v>27</v>
      </c>
      <c r="L274" t="s">
        <v>28</v>
      </c>
      <c r="M274" t="s">
        <v>1296</v>
      </c>
      <c r="N274">
        <v>2</v>
      </c>
      <c r="O274" t="s">
        <v>43</v>
      </c>
      <c r="P274">
        <v>0.04</v>
      </c>
      <c r="Q274" t="s">
        <v>245</v>
      </c>
      <c r="R274">
        <v>28.6</v>
      </c>
      <c r="S274">
        <v>31.4</v>
      </c>
      <c r="T274">
        <v>28.6</v>
      </c>
      <c r="U274">
        <v>4.3</v>
      </c>
      <c r="V274">
        <v>7.1</v>
      </c>
    </row>
    <row r="275" spans="1:22" x14ac:dyDescent="0.25">
      <c r="A275" t="s">
        <v>1564</v>
      </c>
      <c r="B275" t="s">
        <v>255</v>
      </c>
      <c r="C275">
        <v>19</v>
      </c>
      <c r="D275" t="s">
        <v>260</v>
      </c>
      <c r="E275" t="s">
        <v>140</v>
      </c>
      <c r="F275" t="s">
        <v>66</v>
      </c>
      <c r="G275">
        <v>0.21</v>
      </c>
      <c r="H275" t="s">
        <v>66</v>
      </c>
      <c r="I275">
        <v>-4</v>
      </c>
      <c r="J275" t="str">
        <f>HYPERLINK("https://www.eliteprospects.com/player/417479/dominick-campione")</f>
        <v>https://www.eliteprospects.com/player/417479/dominick-campione</v>
      </c>
      <c r="K275" t="s">
        <v>27</v>
      </c>
      <c r="L275" t="s">
        <v>28</v>
      </c>
      <c r="M275" t="s">
        <v>1296</v>
      </c>
      <c r="N275">
        <v>3</v>
      </c>
      <c r="O275" t="s">
        <v>74</v>
      </c>
      <c r="P275">
        <v>0.04</v>
      </c>
      <c r="Q275" t="s">
        <v>245</v>
      </c>
      <c r="R275">
        <v>28.6</v>
      </c>
      <c r="S275">
        <v>31.4</v>
      </c>
      <c r="T275">
        <v>28.6</v>
      </c>
      <c r="U275">
        <v>4.3</v>
      </c>
      <c r="V275">
        <v>7.1</v>
      </c>
    </row>
    <row r="276" spans="1:22" x14ac:dyDescent="0.25">
      <c r="A276" t="s">
        <v>1565</v>
      </c>
      <c r="B276" t="s">
        <v>171</v>
      </c>
      <c r="C276">
        <v>20</v>
      </c>
      <c r="D276" t="s">
        <v>260</v>
      </c>
      <c r="E276" t="s">
        <v>140</v>
      </c>
      <c r="F276" t="s">
        <v>66</v>
      </c>
      <c r="G276">
        <v>0.2</v>
      </c>
      <c r="H276" t="s">
        <v>66</v>
      </c>
      <c r="I276">
        <v>5</v>
      </c>
      <c r="J276" t="str">
        <f>HYPERLINK("https://www.eliteprospects.com/player/478512/sean-kilcullen")</f>
        <v>https://www.eliteprospects.com/player/478512/sean-kilcullen</v>
      </c>
      <c r="K276" t="s">
        <v>27</v>
      </c>
      <c r="L276" t="s">
        <v>28</v>
      </c>
      <c r="M276" t="s">
        <v>1296</v>
      </c>
      <c r="N276">
        <v>3</v>
      </c>
      <c r="O276" t="s">
        <v>74</v>
      </c>
      <c r="P276">
        <v>0.04</v>
      </c>
      <c r="Q276" t="s">
        <v>245</v>
      </c>
      <c r="R276">
        <v>28.6</v>
      </c>
      <c r="S276">
        <v>31.4</v>
      </c>
      <c r="T276">
        <v>28.6</v>
      </c>
      <c r="U276">
        <v>4.3</v>
      </c>
      <c r="V276">
        <v>7.1</v>
      </c>
    </row>
    <row r="277" spans="1:22" x14ac:dyDescent="0.25">
      <c r="A277" t="s">
        <v>1566</v>
      </c>
      <c r="B277" t="s">
        <v>68</v>
      </c>
      <c r="C277">
        <v>20</v>
      </c>
      <c r="D277" t="s">
        <v>260</v>
      </c>
      <c r="E277" t="s">
        <v>140</v>
      </c>
      <c r="F277" t="s">
        <v>66</v>
      </c>
      <c r="G277">
        <v>0.2</v>
      </c>
      <c r="H277" t="s">
        <v>66</v>
      </c>
      <c r="I277">
        <v>0</v>
      </c>
      <c r="J277" t="str">
        <f>HYPERLINK("https://www.eliteprospects.com/player/526086/nate-tivey")</f>
        <v>https://www.eliteprospects.com/player/526086/nate-tivey</v>
      </c>
      <c r="K277" t="s">
        <v>27</v>
      </c>
      <c r="L277" t="s">
        <v>28</v>
      </c>
      <c r="M277" t="s">
        <v>1296</v>
      </c>
      <c r="N277">
        <v>4</v>
      </c>
      <c r="O277" t="s">
        <v>62</v>
      </c>
      <c r="P277">
        <v>0.04</v>
      </c>
      <c r="Q277" t="s">
        <v>245</v>
      </c>
      <c r="R277">
        <v>28.6</v>
      </c>
      <c r="S277">
        <v>31.4</v>
      </c>
      <c r="T277">
        <v>28.6</v>
      </c>
      <c r="U277">
        <v>4.3</v>
      </c>
      <c r="V277">
        <v>7.1</v>
      </c>
    </row>
    <row r="278" spans="1:22" x14ac:dyDescent="0.25">
      <c r="A278" t="s">
        <v>1567</v>
      </c>
      <c r="B278" t="s">
        <v>127</v>
      </c>
      <c r="C278">
        <v>20</v>
      </c>
      <c r="D278" t="s">
        <v>260</v>
      </c>
      <c r="E278" t="s">
        <v>140</v>
      </c>
      <c r="F278" t="s">
        <v>66</v>
      </c>
      <c r="G278">
        <v>0.2</v>
      </c>
      <c r="H278" t="s">
        <v>38</v>
      </c>
      <c r="I278">
        <v>-5</v>
      </c>
      <c r="J278" t="str">
        <f>HYPERLINK("https://www.eliteprospects.com/player/637623/quinn-mccall")</f>
        <v>https://www.eliteprospects.com/player/637623/quinn-mccall</v>
      </c>
      <c r="K278" t="s">
        <v>27</v>
      </c>
      <c r="L278" t="s">
        <v>28</v>
      </c>
      <c r="M278" t="s">
        <v>1296</v>
      </c>
      <c r="N278">
        <v>2</v>
      </c>
      <c r="O278" t="s">
        <v>217</v>
      </c>
      <c r="P278">
        <v>0.04</v>
      </c>
      <c r="Q278" t="s">
        <v>245</v>
      </c>
      <c r="R278">
        <v>28.6</v>
      </c>
      <c r="S278">
        <v>31.4</v>
      </c>
      <c r="T278">
        <v>28.6</v>
      </c>
      <c r="U278">
        <v>4.3</v>
      </c>
      <c r="V278">
        <v>7.1</v>
      </c>
    </row>
    <row r="279" spans="1:22" x14ac:dyDescent="0.25">
      <c r="A279" t="s">
        <v>1568</v>
      </c>
      <c r="B279" t="s">
        <v>134</v>
      </c>
      <c r="C279">
        <v>20</v>
      </c>
      <c r="D279" t="s">
        <v>260</v>
      </c>
      <c r="E279" t="s">
        <v>140</v>
      </c>
      <c r="F279" t="s">
        <v>66</v>
      </c>
      <c r="G279">
        <v>0.2</v>
      </c>
      <c r="H279" t="s">
        <v>24</v>
      </c>
      <c r="I279">
        <v>2</v>
      </c>
      <c r="J279" t="str">
        <f>HYPERLINK("https://www.eliteprospects.com/player/568367/carter-patterson")</f>
        <v>https://www.eliteprospects.com/player/568367/carter-patterson</v>
      </c>
      <c r="K279" t="s">
        <v>27</v>
      </c>
      <c r="L279" t="s">
        <v>28</v>
      </c>
      <c r="M279" t="s">
        <v>1296</v>
      </c>
      <c r="N279">
        <v>2</v>
      </c>
      <c r="O279" t="s">
        <v>43</v>
      </c>
      <c r="P279">
        <v>0.04</v>
      </c>
      <c r="Q279" t="s">
        <v>245</v>
      </c>
      <c r="R279">
        <v>28.6</v>
      </c>
      <c r="S279">
        <v>31.4</v>
      </c>
      <c r="T279">
        <v>28.6</v>
      </c>
      <c r="U279">
        <v>4.3</v>
      </c>
      <c r="V279">
        <v>7.1</v>
      </c>
    </row>
    <row r="280" spans="1:22" x14ac:dyDescent="0.25">
      <c r="A280" t="s">
        <v>1569</v>
      </c>
      <c r="B280" t="s">
        <v>121</v>
      </c>
      <c r="C280">
        <v>20</v>
      </c>
      <c r="D280" t="s">
        <v>260</v>
      </c>
      <c r="E280" t="s">
        <v>140</v>
      </c>
      <c r="F280" t="s">
        <v>66</v>
      </c>
      <c r="G280">
        <v>0.2</v>
      </c>
      <c r="H280" t="s">
        <v>52</v>
      </c>
      <c r="I280">
        <v>1</v>
      </c>
      <c r="J280" t="str">
        <f>HYPERLINK("https://www.eliteprospects.com/player/201809/garrett-valk")</f>
        <v>https://www.eliteprospects.com/player/201809/garrett-valk</v>
      </c>
      <c r="K280" t="s">
        <v>27</v>
      </c>
      <c r="L280" t="s">
        <v>28</v>
      </c>
      <c r="M280" t="s">
        <v>1296</v>
      </c>
      <c r="N280">
        <v>3</v>
      </c>
      <c r="O280" t="s">
        <v>74</v>
      </c>
      <c r="P280">
        <v>0.04</v>
      </c>
      <c r="Q280" t="s">
        <v>245</v>
      </c>
      <c r="R280">
        <v>28.6</v>
      </c>
      <c r="S280">
        <v>31.4</v>
      </c>
      <c r="T280">
        <v>28.6</v>
      </c>
      <c r="U280">
        <v>4.3</v>
      </c>
      <c r="V280">
        <v>7.1</v>
      </c>
    </row>
    <row r="281" spans="1:22" x14ac:dyDescent="0.25">
      <c r="A281" t="s">
        <v>1570</v>
      </c>
      <c r="B281" t="s">
        <v>171</v>
      </c>
      <c r="C281">
        <v>21</v>
      </c>
      <c r="D281" t="s">
        <v>260</v>
      </c>
      <c r="E281" t="s">
        <v>140</v>
      </c>
      <c r="F281" t="s">
        <v>66</v>
      </c>
      <c r="G281">
        <v>0.19</v>
      </c>
      <c r="H281" t="s">
        <v>32</v>
      </c>
      <c r="I281">
        <v>-9</v>
      </c>
      <c r="J281" t="str">
        <f>HYPERLINK("https://www.eliteprospects.com/player/647080/nate-misskey")</f>
        <v>https://www.eliteprospects.com/player/647080/nate-misskey</v>
      </c>
      <c r="K281" t="s">
        <v>27</v>
      </c>
      <c r="L281" t="s">
        <v>28</v>
      </c>
      <c r="M281" t="s">
        <v>1296</v>
      </c>
      <c r="N281">
        <v>5</v>
      </c>
      <c r="O281" t="s">
        <v>152</v>
      </c>
      <c r="P281">
        <v>0.04</v>
      </c>
      <c r="Q281" t="s">
        <v>245</v>
      </c>
      <c r="R281">
        <v>28.6</v>
      </c>
      <c r="S281">
        <v>31.4</v>
      </c>
      <c r="T281">
        <v>28.6</v>
      </c>
      <c r="U281">
        <v>4.3</v>
      </c>
      <c r="V281">
        <v>7.1</v>
      </c>
    </row>
    <row r="282" spans="1:22" x14ac:dyDescent="0.25">
      <c r="A282" t="s">
        <v>1571</v>
      </c>
      <c r="B282" t="s">
        <v>171</v>
      </c>
      <c r="C282">
        <v>21</v>
      </c>
      <c r="D282" t="s">
        <v>260</v>
      </c>
      <c r="E282" t="s">
        <v>140</v>
      </c>
      <c r="F282" t="s">
        <v>66</v>
      </c>
      <c r="G282">
        <v>0.19</v>
      </c>
      <c r="H282" t="s">
        <v>38</v>
      </c>
      <c r="I282">
        <v>-1</v>
      </c>
      <c r="J282" t="str">
        <f>HYPERLINK("https://www.eliteprospects.com/player/529804/josh-mori")</f>
        <v>https://www.eliteprospects.com/player/529804/josh-mori</v>
      </c>
      <c r="K282" t="s">
        <v>27</v>
      </c>
      <c r="L282" t="s">
        <v>28</v>
      </c>
      <c r="M282" t="s">
        <v>1296</v>
      </c>
      <c r="N282">
        <v>5</v>
      </c>
      <c r="O282" t="s">
        <v>152</v>
      </c>
      <c r="P282">
        <v>0.04</v>
      </c>
      <c r="Q282" t="s">
        <v>245</v>
      </c>
      <c r="R282">
        <v>28.6</v>
      </c>
      <c r="S282">
        <v>31.4</v>
      </c>
      <c r="T282">
        <v>28.6</v>
      </c>
      <c r="U282">
        <v>4.3</v>
      </c>
      <c r="V282">
        <v>7.1</v>
      </c>
    </row>
    <row r="283" spans="1:22" x14ac:dyDescent="0.25">
      <c r="A283" t="s">
        <v>1572</v>
      </c>
      <c r="B283" t="s">
        <v>64</v>
      </c>
      <c r="C283">
        <v>22</v>
      </c>
      <c r="D283" t="s">
        <v>260</v>
      </c>
      <c r="E283" t="s">
        <v>140</v>
      </c>
      <c r="F283" t="s">
        <v>66</v>
      </c>
      <c r="G283">
        <v>0.18</v>
      </c>
      <c r="H283" t="s">
        <v>66</v>
      </c>
      <c r="I283">
        <v>6</v>
      </c>
      <c r="J283" t="str">
        <f>HYPERLINK("https://www.eliteprospects.com/player/613145/mason-poolman")</f>
        <v>https://www.eliteprospects.com/player/613145/mason-poolman</v>
      </c>
      <c r="K283" t="s">
        <v>27</v>
      </c>
      <c r="L283" t="s">
        <v>28</v>
      </c>
      <c r="M283" t="s">
        <v>1296</v>
      </c>
      <c r="N283">
        <v>3</v>
      </c>
      <c r="O283" t="s">
        <v>74</v>
      </c>
      <c r="P283">
        <v>0.03</v>
      </c>
      <c r="Q283" t="s">
        <v>245</v>
      </c>
      <c r="R283">
        <v>28.6</v>
      </c>
      <c r="S283">
        <v>31.4</v>
      </c>
      <c r="T283">
        <v>28.6</v>
      </c>
      <c r="U283">
        <v>4.3</v>
      </c>
      <c r="V283">
        <v>7.1</v>
      </c>
    </row>
    <row r="284" spans="1:22" x14ac:dyDescent="0.25">
      <c r="A284" t="s">
        <v>1573</v>
      </c>
      <c r="B284" t="s">
        <v>215</v>
      </c>
      <c r="C284">
        <v>23</v>
      </c>
      <c r="D284" t="s">
        <v>260</v>
      </c>
      <c r="E284" t="s">
        <v>140</v>
      </c>
      <c r="F284" t="s">
        <v>66</v>
      </c>
      <c r="G284">
        <v>0.17</v>
      </c>
      <c r="H284" t="s">
        <v>57</v>
      </c>
      <c r="I284">
        <v>-8</v>
      </c>
      <c r="J284" t="str">
        <f>HYPERLINK("https://www.eliteprospects.com/player/640818/warren-clark")</f>
        <v>https://www.eliteprospects.com/player/640818/warren-clark</v>
      </c>
      <c r="K284" t="s">
        <v>27</v>
      </c>
      <c r="L284" t="s">
        <v>28</v>
      </c>
      <c r="M284" t="s">
        <v>1296</v>
      </c>
      <c r="N284">
        <v>3</v>
      </c>
      <c r="O284" t="s">
        <v>74</v>
      </c>
      <c r="P284">
        <v>0.03</v>
      </c>
      <c r="Q284" t="s">
        <v>245</v>
      </c>
      <c r="R284">
        <v>28.6</v>
      </c>
      <c r="S284">
        <v>31.4</v>
      </c>
      <c r="T284">
        <v>28.6</v>
      </c>
      <c r="U284">
        <v>4.3</v>
      </c>
      <c r="V284">
        <v>7.1</v>
      </c>
    </row>
    <row r="285" spans="1:22" x14ac:dyDescent="0.25">
      <c r="A285" t="s">
        <v>1574</v>
      </c>
      <c r="B285" t="s">
        <v>116</v>
      </c>
      <c r="C285">
        <v>14</v>
      </c>
      <c r="D285" t="s">
        <v>132</v>
      </c>
      <c r="E285" t="s">
        <v>66</v>
      </c>
      <c r="F285" t="s">
        <v>66</v>
      </c>
      <c r="G285">
        <v>0.28999999999999998</v>
      </c>
      <c r="H285" t="s">
        <v>132</v>
      </c>
      <c r="I285">
        <v>-4</v>
      </c>
      <c r="J285" t="str">
        <f>HYPERLINK("https://www.eliteprospects.com/player/363840/jack-babbage")</f>
        <v>https://www.eliteprospects.com/player/363840/jack-babbage</v>
      </c>
      <c r="K285" t="s">
        <v>27</v>
      </c>
      <c r="L285" t="s">
        <v>28</v>
      </c>
      <c r="M285" t="s">
        <v>1296</v>
      </c>
      <c r="N285">
        <v>5</v>
      </c>
      <c r="O285" t="s">
        <v>67</v>
      </c>
      <c r="P285">
        <v>0.06</v>
      </c>
      <c r="Q285" t="s">
        <v>1325</v>
      </c>
      <c r="R285">
        <v>26.3</v>
      </c>
      <c r="S285">
        <v>23.7</v>
      </c>
      <c r="T285">
        <v>28.9</v>
      </c>
      <c r="U285">
        <v>5.3</v>
      </c>
      <c r="V285">
        <v>15.8</v>
      </c>
    </row>
    <row r="286" spans="1:22" x14ac:dyDescent="0.25">
      <c r="A286" t="s">
        <v>1575</v>
      </c>
      <c r="B286" t="s">
        <v>167</v>
      </c>
      <c r="C286">
        <v>14</v>
      </c>
      <c r="D286" t="s">
        <v>132</v>
      </c>
      <c r="E286" t="s">
        <v>66</v>
      </c>
      <c r="F286" t="s">
        <v>66</v>
      </c>
      <c r="G286">
        <v>0.28999999999999998</v>
      </c>
      <c r="H286" t="s">
        <v>132</v>
      </c>
      <c r="I286">
        <v>-1</v>
      </c>
      <c r="J286" t="str">
        <f>HYPERLINK("https://www.eliteprospects.com/player/679634/drake-murray")</f>
        <v>https://www.eliteprospects.com/player/679634/drake-murray</v>
      </c>
      <c r="K286" t="s">
        <v>27</v>
      </c>
      <c r="L286" t="s">
        <v>28</v>
      </c>
      <c r="M286" t="s">
        <v>1296</v>
      </c>
      <c r="N286">
        <v>1</v>
      </c>
      <c r="O286" t="s">
        <v>71</v>
      </c>
      <c r="P286">
        <v>0.06</v>
      </c>
      <c r="Q286" t="s">
        <v>1325</v>
      </c>
      <c r="R286">
        <v>26.3</v>
      </c>
      <c r="S286">
        <v>23.7</v>
      </c>
      <c r="T286">
        <v>28.9</v>
      </c>
      <c r="U286">
        <v>5.3</v>
      </c>
      <c r="V286">
        <v>15.8</v>
      </c>
    </row>
    <row r="287" spans="1:22" x14ac:dyDescent="0.25">
      <c r="A287" t="s">
        <v>1576</v>
      </c>
      <c r="B287" t="s">
        <v>131</v>
      </c>
      <c r="C287">
        <v>14</v>
      </c>
      <c r="D287" t="s">
        <v>132</v>
      </c>
      <c r="E287" t="s">
        <v>66</v>
      </c>
      <c r="F287" t="s">
        <v>66</v>
      </c>
      <c r="G287">
        <v>0.28999999999999998</v>
      </c>
      <c r="H287" t="s">
        <v>66</v>
      </c>
      <c r="I287">
        <v>1</v>
      </c>
      <c r="J287" t="str">
        <f>HYPERLINK("https://www.eliteprospects.com/player/656169/pierce-patterson")</f>
        <v>https://www.eliteprospects.com/player/656169/pierce-patterson</v>
      </c>
      <c r="K287" t="s">
        <v>27</v>
      </c>
      <c r="L287" t="s">
        <v>28</v>
      </c>
      <c r="M287" t="s">
        <v>1296</v>
      </c>
      <c r="N287">
        <v>3</v>
      </c>
      <c r="O287" t="s">
        <v>74</v>
      </c>
      <c r="P287">
        <v>0.06</v>
      </c>
      <c r="Q287" t="s">
        <v>1325</v>
      </c>
      <c r="R287">
        <v>26.3</v>
      </c>
      <c r="S287">
        <v>23.7</v>
      </c>
      <c r="T287">
        <v>28.9</v>
      </c>
      <c r="U287">
        <v>5.3</v>
      </c>
      <c r="V287">
        <v>15.8</v>
      </c>
    </row>
    <row r="288" spans="1:22" x14ac:dyDescent="0.25">
      <c r="A288" t="s">
        <v>1577</v>
      </c>
      <c r="B288" t="s">
        <v>200</v>
      </c>
      <c r="C288">
        <v>15</v>
      </c>
      <c r="D288" t="s">
        <v>132</v>
      </c>
      <c r="E288" t="s">
        <v>66</v>
      </c>
      <c r="F288" t="s">
        <v>66</v>
      </c>
      <c r="G288">
        <v>0.27</v>
      </c>
      <c r="H288" t="s">
        <v>57</v>
      </c>
      <c r="I288">
        <v>9</v>
      </c>
      <c r="J288" t="str">
        <f>HYPERLINK("https://www.eliteprospects.com/player/655167/michael-fisher")</f>
        <v>https://www.eliteprospects.com/player/655167/michael-fisher</v>
      </c>
      <c r="K288" t="s">
        <v>27</v>
      </c>
      <c r="L288" t="s">
        <v>28</v>
      </c>
      <c r="M288" t="s">
        <v>1296</v>
      </c>
      <c r="N288">
        <v>2</v>
      </c>
      <c r="O288" t="s">
        <v>43</v>
      </c>
      <c r="P288">
        <v>0.05</v>
      </c>
      <c r="Q288" t="s">
        <v>1325</v>
      </c>
      <c r="R288">
        <v>26.3</v>
      </c>
      <c r="S288">
        <v>23.7</v>
      </c>
      <c r="T288">
        <v>28.9</v>
      </c>
      <c r="U288">
        <v>5.3</v>
      </c>
      <c r="V288">
        <v>15.8</v>
      </c>
    </row>
    <row r="289" spans="1:22" x14ac:dyDescent="0.25">
      <c r="A289" t="s">
        <v>1578</v>
      </c>
      <c r="B289" t="s">
        <v>120</v>
      </c>
      <c r="C289">
        <v>15</v>
      </c>
      <c r="D289" t="s">
        <v>132</v>
      </c>
      <c r="E289" t="s">
        <v>66</v>
      </c>
      <c r="F289" t="s">
        <v>66</v>
      </c>
      <c r="G289">
        <v>0.27</v>
      </c>
      <c r="H289" t="s">
        <v>57</v>
      </c>
      <c r="I289">
        <v>0</v>
      </c>
      <c r="J289" t="str">
        <f>HYPERLINK("https://www.eliteprospects.com/player/599378/michael-hagens")</f>
        <v>https://www.eliteprospects.com/player/599378/michael-hagens</v>
      </c>
      <c r="K289" t="s">
        <v>27</v>
      </c>
      <c r="L289" t="s">
        <v>28</v>
      </c>
      <c r="M289" t="s">
        <v>1296</v>
      </c>
      <c r="N289">
        <v>2</v>
      </c>
      <c r="O289" t="s">
        <v>43</v>
      </c>
      <c r="P289">
        <v>0.05</v>
      </c>
      <c r="Q289" t="s">
        <v>1325</v>
      </c>
      <c r="R289">
        <v>26.3</v>
      </c>
      <c r="S289">
        <v>23.7</v>
      </c>
      <c r="T289">
        <v>28.9</v>
      </c>
      <c r="U289">
        <v>5.3</v>
      </c>
      <c r="V289">
        <v>15.8</v>
      </c>
    </row>
    <row r="290" spans="1:22" x14ac:dyDescent="0.25">
      <c r="A290" t="s">
        <v>1579</v>
      </c>
      <c r="B290" t="s">
        <v>119</v>
      </c>
      <c r="C290">
        <v>16</v>
      </c>
      <c r="D290" t="s">
        <v>132</v>
      </c>
      <c r="E290" t="s">
        <v>66</v>
      </c>
      <c r="F290" t="s">
        <v>66</v>
      </c>
      <c r="G290">
        <v>0.25</v>
      </c>
      <c r="H290" t="s">
        <v>79</v>
      </c>
      <c r="I290">
        <v>-2</v>
      </c>
      <c r="J290" t="str">
        <f>HYPERLINK("https://www.eliteprospects.com/player/616255/cal-thomas")</f>
        <v>https://www.eliteprospects.com/player/616255/cal-thomas</v>
      </c>
      <c r="K290" t="s">
        <v>27</v>
      </c>
      <c r="L290" t="s">
        <v>28</v>
      </c>
      <c r="M290" t="s">
        <v>1296</v>
      </c>
      <c r="N290">
        <v>4</v>
      </c>
      <c r="O290" t="s">
        <v>30</v>
      </c>
      <c r="P290">
        <v>0.05</v>
      </c>
      <c r="Q290" t="s">
        <v>1325</v>
      </c>
      <c r="R290">
        <v>26.3</v>
      </c>
      <c r="S290">
        <v>23.7</v>
      </c>
      <c r="T290">
        <v>28.9</v>
      </c>
      <c r="U290">
        <v>5.3</v>
      </c>
      <c r="V290">
        <v>15.8</v>
      </c>
    </row>
    <row r="291" spans="1:22" x14ac:dyDescent="0.25">
      <c r="A291" t="s">
        <v>1580</v>
      </c>
      <c r="B291" t="s">
        <v>85</v>
      </c>
      <c r="C291">
        <v>16</v>
      </c>
      <c r="D291" t="s">
        <v>132</v>
      </c>
      <c r="E291" t="s">
        <v>66</v>
      </c>
      <c r="F291" t="s">
        <v>66</v>
      </c>
      <c r="G291">
        <v>0.25</v>
      </c>
      <c r="H291" t="s">
        <v>66</v>
      </c>
      <c r="I291">
        <v>10</v>
      </c>
      <c r="J291" t="str">
        <f>HYPERLINK("https://www.eliteprospects.com/player/537548/ian-devlin")</f>
        <v>https://www.eliteprospects.com/player/537548/ian-devlin</v>
      </c>
      <c r="K291" t="s">
        <v>27</v>
      </c>
      <c r="L291" t="s">
        <v>28</v>
      </c>
      <c r="M291" t="s">
        <v>1296</v>
      </c>
      <c r="N291">
        <v>3</v>
      </c>
      <c r="O291" t="s">
        <v>74</v>
      </c>
      <c r="P291">
        <v>0.05</v>
      </c>
      <c r="Q291" t="s">
        <v>1325</v>
      </c>
      <c r="R291">
        <v>26.3</v>
      </c>
      <c r="S291">
        <v>23.7</v>
      </c>
      <c r="T291">
        <v>28.9</v>
      </c>
      <c r="U291">
        <v>5.3</v>
      </c>
      <c r="V291">
        <v>15.8</v>
      </c>
    </row>
    <row r="292" spans="1:22" x14ac:dyDescent="0.25">
      <c r="A292" t="s">
        <v>1581</v>
      </c>
      <c r="B292" t="s">
        <v>98</v>
      </c>
      <c r="C292">
        <v>17</v>
      </c>
      <c r="D292" t="s">
        <v>132</v>
      </c>
      <c r="E292" t="s">
        <v>66</v>
      </c>
      <c r="F292" t="s">
        <v>66</v>
      </c>
      <c r="G292">
        <v>0.24</v>
      </c>
      <c r="H292" t="s">
        <v>79</v>
      </c>
      <c r="I292">
        <v>2</v>
      </c>
      <c r="J292" t="str">
        <f>HYPERLINK("https://www.eliteprospects.com/player/551982/cal-mell")</f>
        <v>https://www.eliteprospects.com/player/551982/cal-mell</v>
      </c>
      <c r="K292" t="s">
        <v>27</v>
      </c>
      <c r="L292" t="s">
        <v>28</v>
      </c>
      <c r="M292" t="s">
        <v>1296</v>
      </c>
      <c r="N292">
        <v>4</v>
      </c>
      <c r="O292" t="s">
        <v>30</v>
      </c>
      <c r="P292">
        <v>0.05</v>
      </c>
      <c r="Q292" t="s">
        <v>1325</v>
      </c>
      <c r="R292">
        <v>26.3</v>
      </c>
      <c r="S292">
        <v>23.7</v>
      </c>
      <c r="T292">
        <v>28.9</v>
      </c>
      <c r="U292">
        <v>5.3</v>
      </c>
      <c r="V292">
        <v>15.8</v>
      </c>
    </row>
    <row r="293" spans="1:22" x14ac:dyDescent="0.25">
      <c r="A293" t="s">
        <v>1582</v>
      </c>
      <c r="B293" t="s">
        <v>146</v>
      </c>
      <c r="C293">
        <v>17</v>
      </c>
      <c r="D293" t="s">
        <v>132</v>
      </c>
      <c r="E293" t="s">
        <v>66</v>
      </c>
      <c r="F293" t="s">
        <v>66</v>
      </c>
      <c r="G293">
        <v>0.24</v>
      </c>
      <c r="H293" t="s">
        <v>57</v>
      </c>
      <c r="I293">
        <v>1</v>
      </c>
      <c r="J293" t="str">
        <f>HYPERLINK("https://www.eliteprospects.com/player/397851/bryan-huggins")</f>
        <v>https://www.eliteprospects.com/player/397851/bryan-huggins</v>
      </c>
      <c r="K293" t="s">
        <v>27</v>
      </c>
      <c r="L293" t="s">
        <v>28</v>
      </c>
      <c r="M293" t="s">
        <v>1296</v>
      </c>
      <c r="N293">
        <v>4</v>
      </c>
      <c r="O293" t="s">
        <v>30</v>
      </c>
      <c r="P293">
        <v>0.05</v>
      </c>
      <c r="Q293" t="s">
        <v>1325</v>
      </c>
      <c r="R293">
        <v>26.3</v>
      </c>
      <c r="S293">
        <v>23.7</v>
      </c>
      <c r="T293">
        <v>28.9</v>
      </c>
      <c r="U293">
        <v>5.3</v>
      </c>
      <c r="V293">
        <v>15.8</v>
      </c>
    </row>
    <row r="294" spans="1:22" x14ac:dyDescent="0.25">
      <c r="A294" t="s">
        <v>1583</v>
      </c>
      <c r="B294" t="s">
        <v>22</v>
      </c>
      <c r="C294">
        <v>18</v>
      </c>
      <c r="D294" t="s">
        <v>132</v>
      </c>
      <c r="E294" t="s">
        <v>66</v>
      </c>
      <c r="F294" t="s">
        <v>66</v>
      </c>
      <c r="G294">
        <v>0.22</v>
      </c>
      <c r="H294" t="s">
        <v>57</v>
      </c>
      <c r="I294">
        <v>-4</v>
      </c>
      <c r="J294" t="str">
        <f>HYPERLINK("https://www.eliteprospects.com/player/599134/anthony-dowd")</f>
        <v>https://www.eliteprospects.com/player/599134/anthony-dowd</v>
      </c>
      <c r="K294" t="s">
        <v>27</v>
      </c>
      <c r="L294" t="s">
        <v>28</v>
      </c>
      <c r="M294" t="s">
        <v>1296</v>
      </c>
      <c r="N294">
        <v>3</v>
      </c>
      <c r="O294" t="s">
        <v>74</v>
      </c>
      <c r="P294">
        <v>0.04</v>
      </c>
      <c r="Q294" t="s">
        <v>245</v>
      </c>
      <c r="R294">
        <v>28.6</v>
      </c>
      <c r="S294">
        <v>31.4</v>
      </c>
      <c r="T294">
        <v>28.6</v>
      </c>
      <c r="U294">
        <v>4.3</v>
      </c>
      <c r="V294">
        <v>7.1</v>
      </c>
    </row>
    <row r="295" spans="1:22" x14ac:dyDescent="0.25">
      <c r="A295" t="s">
        <v>1584</v>
      </c>
      <c r="B295" t="s">
        <v>59</v>
      </c>
      <c r="C295">
        <v>18</v>
      </c>
      <c r="D295" t="s">
        <v>132</v>
      </c>
      <c r="E295" t="s">
        <v>66</v>
      </c>
      <c r="F295" t="s">
        <v>66</v>
      </c>
      <c r="G295">
        <v>0.22</v>
      </c>
      <c r="H295" t="s">
        <v>57</v>
      </c>
      <c r="I295">
        <v>-3</v>
      </c>
      <c r="J295" t="str">
        <f>HYPERLINK("https://www.eliteprospects.com/player/576334/loic-usereau")</f>
        <v>https://www.eliteprospects.com/player/576334/loic-usereau</v>
      </c>
      <c r="K295" t="s">
        <v>27</v>
      </c>
      <c r="L295" t="s">
        <v>28</v>
      </c>
      <c r="M295" t="s">
        <v>1296</v>
      </c>
      <c r="N295">
        <v>5</v>
      </c>
      <c r="O295" t="s">
        <v>207</v>
      </c>
      <c r="P295">
        <v>0.04</v>
      </c>
      <c r="Q295" t="s">
        <v>245</v>
      </c>
      <c r="R295">
        <v>28.6</v>
      </c>
      <c r="S295">
        <v>31.4</v>
      </c>
      <c r="T295">
        <v>28.6</v>
      </c>
      <c r="U295">
        <v>4.3</v>
      </c>
      <c r="V295">
        <v>7.1</v>
      </c>
    </row>
    <row r="296" spans="1:22" x14ac:dyDescent="0.25">
      <c r="A296" t="s">
        <v>1585</v>
      </c>
      <c r="B296" t="s">
        <v>109</v>
      </c>
      <c r="C296">
        <v>18</v>
      </c>
      <c r="D296" t="s">
        <v>132</v>
      </c>
      <c r="E296" t="s">
        <v>66</v>
      </c>
      <c r="F296" t="s">
        <v>66</v>
      </c>
      <c r="G296">
        <v>0.22</v>
      </c>
      <c r="H296" t="s">
        <v>33</v>
      </c>
      <c r="I296">
        <v>2</v>
      </c>
      <c r="J296" t="str">
        <f>HYPERLINK("https://www.eliteprospects.com/player/786910/sam-laurila")</f>
        <v>https://www.eliteprospects.com/player/786910/sam-laurila</v>
      </c>
      <c r="K296" t="s">
        <v>27</v>
      </c>
      <c r="L296" t="s">
        <v>28</v>
      </c>
      <c r="M296" t="s">
        <v>1296</v>
      </c>
      <c r="N296">
        <v>1</v>
      </c>
      <c r="O296" t="s">
        <v>71</v>
      </c>
      <c r="P296">
        <v>0.04</v>
      </c>
      <c r="Q296" t="s">
        <v>245</v>
      </c>
      <c r="R296">
        <v>28.6</v>
      </c>
      <c r="S296">
        <v>31.4</v>
      </c>
      <c r="T296">
        <v>28.6</v>
      </c>
      <c r="U296">
        <v>4.3</v>
      </c>
      <c r="V296">
        <v>7.1</v>
      </c>
    </row>
    <row r="297" spans="1:22" x14ac:dyDescent="0.25">
      <c r="A297" t="s">
        <v>1586</v>
      </c>
      <c r="B297" t="s">
        <v>165</v>
      </c>
      <c r="C297">
        <v>19</v>
      </c>
      <c r="D297" t="s">
        <v>132</v>
      </c>
      <c r="E297" t="s">
        <v>66</v>
      </c>
      <c r="F297" t="s">
        <v>66</v>
      </c>
      <c r="G297">
        <v>0.21</v>
      </c>
      <c r="H297" t="s">
        <v>57</v>
      </c>
      <c r="I297">
        <v>1</v>
      </c>
      <c r="J297" t="str">
        <f>HYPERLINK("https://www.eliteprospects.com/player/705612/luke-malboeuf")</f>
        <v>https://www.eliteprospects.com/player/705612/luke-malboeuf</v>
      </c>
      <c r="K297" t="s">
        <v>27</v>
      </c>
      <c r="L297" t="s">
        <v>28</v>
      </c>
      <c r="M297" t="s">
        <v>1296</v>
      </c>
      <c r="N297">
        <v>1</v>
      </c>
      <c r="O297" t="s">
        <v>71</v>
      </c>
      <c r="P297">
        <v>0.04</v>
      </c>
      <c r="Q297" t="s">
        <v>245</v>
      </c>
      <c r="R297">
        <v>28.6</v>
      </c>
      <c r="S297">
        <v>31.4</v>
      </c>
      <c r="T297">
        <v>28.6</v>
      </c>
      <c r="U297">
        <v>4.3</v>
      </c>
      <c r="V297">
        <v>7.1</v>
      </c>
    </row>
    <row r="298" spans="1:22" x14ac:dyDescent="0.25">
      <c r="A298" t="s">
        <v>1587</v>
      </c>
      <c r="B298" t="s">
        <v>134</v>
      </c>
      <c r="C298">
        <v>20</v>
      </c>
      <c r="D298" t="s">
        <v>132</v>
      </c>
      <c r="E298" t="s">
        <v>66</v>
      </c>
      <c r="F298" t="s">
        <v>66</v>
      </c>
      <c r="G298">
        <v>0.2</v>
      </c>
      <c r="H298" t="s">
        <v>39</v>
      </c>
      <c r="I298">
        <v>-10</v>
      </c>
      <c r="J298" t="str">
        <f>HYPERLINK("https://www.eliteprospects.com/player/622358/jack-pascucci")</f>
        <v>https://www.eliteprospects.com/player/622358/jack-pascucci</v>
      </c>
      <c r="K298" t="s">
        <v>27</v>
      </c>
      <c r="L298" t="s">
        <v>28</v>
      </c>
      <c r="M298" t="s">
        <v>1296</v>
      </c>
      <c r="N298">
        <v>4</v>
      </c>
      <c r="O298" t="s">
        <v>30</v>
      </c>
      <c r="P298">
        <v>0.04</v>
      </c>
      <c r="Q298" t="s">
        <v>245</v>
      </c>
      <c r="R298">
        <v>28.6</v>
      </c>
      <c r="S298">
        <v>31.4</v>
      </c>
      <c r="T298">
        <v>28.6</v>
      </c>
      <c r="U298">
        <v>4.3</v>
      </c>
      <c r="V298">
        <v>7.1</v>
      </c>
    </row>
    <row r="299" spans="1:22" x14ac:dyDescent="0.25">
      <c r="A299" t="s">
        <v>1588</v>
      </c>
      <c r="B299" t="s">
        <v>116</v>
      </c>
      <c r="C299">
        <v>21</v>
      </c>
      <c r="D299" t="s">
        <v>132</v>
      </c>
      <c r="E299" t="s">
        <v>66</v>
      </c>
      <c r="F299" t="s">
        <v>66</v>
      </c>
      <c r="G299">
        <v>0.19</v>
      </c>
      <c r="H299" t="s">
        <v>38</v>
      </c>
      <c r="I299">
        <v>-16</v>
      </c>
      <c r="J299" t="str">
        <f>HYPERLINK("https://www.eliteprospects.com/player/726219/andrew-brown")</f>
        <v>https://www.eliteprospects.com/player/726219/andrew-brown</v>
      </c>
      <c r="K299" t="s">
        <v>27</v>
      </c>
      <c r="L299" t="s">
        <v>28</v>
      </c>
      <c r="M299" t="s">
        <v>1296</v>
      </c>
      <c r="N299">
        <v>2</v>
      </c>
      <c r="O299" t="s">
        <v>303</v>
      </c>
      <c r="P299">
        <v>0.04</v>
      </c>
      <c r="Q299" t="s">
        <v>245</v>
      </c>
      <c r="R299">
        <v>28.6</v>
      </c>
      <c r="S299">
        <v>31.4</v>
      </c>
      <c r="T299">
        <v>28.6</v>
      </c>
      <c r="U299">
        <v>4.3</v>
      </c>
      <c r="V299">
        <v>7.1</v>
      </c>
    </row>
    <row r="300" spans="1:22" x14ac:dyDescent="0.25">
      <c r="A300" t="s">
        <v>1589</v>
      </c>
      <c r="B300" t="s">
        <v>106</v>
      </c>
      <c r="C300">
        <v>22</v>
      </c>
      <c r="D300" t="s">
        <v>132</v>
      </c>
      <c r="E300" t="s">
        <v>66</v>
      </c>
      <c r="F300" t="s">
        <v>66</v>
      </c>
      <c r="G300">
        <v>0.18</v>
      </c>
      <c r="H300" t="s">
        <v>61</v>
      </c>
      <c r="I300">
        <v>-2</v>
      </c>
      <c r="J300" t="str">
        <f>HYPERLINK("https://www.eliteprospects.com/player/881837/bryce-sookro")</f>
        <v>https://www.eliteprospects.com/player/881837/bryce-sookro</v>
      </c>
      <c r="K300" t="s">
        <v>27</v>
      </c>
      <c r="L300" t="s">
        <v>28</v>
      </c>
      <c r="M300" t="s">
        <v>1296</v>
      </c>
      <c r="N300">
        <v>1</v>
      </c>
      <c r="O300" t="s">
        <v>71</v>
      </c>
      <c r="P300">
        <v>0.03</v>
      </c>
      <c r="Q300" t="s">
        <v>245</v>
      </c>
      <c r="R300">
        <v>28.6</v>
      </c>
      <c r="S300">
        <v>31.4</v>
      </c>
      <c r="T300">
        <v>28.6</v>
      </c>
      <c r="U300">
        <v>4.3</v>
      </c>
      <c r="V300">
        <v>7.1</v>
      </c>
    </row>
    <row r="301" spans="1:22" x14ac:dyDescent="0.25">
      <c r="A301" t="s">
        <v>1590</v>
      </c>
      <c r="B301" t="s">
        <v>128</v>
      </c>
      <c r="C301">
        <v>11</v>
      </c>
      <c r="D301" t="s">
        <v>140</v>
      </c>
      <c r="E301" t="s">
        <v>132</v>
      </c>
      <c r="F301" t="s">
        <v>140</v>
      </c>
      <c r="G301">
        <v>0.27</v>
      </c>
      <c r="H301" t="s">
        <v>125</v>
      </c>
      <c r="I301">
        <v>4</v>
      </c>
      <c r="J301" t="str">
        <f>HYPERLINK("https://www.eliteprospects.com/player/515083/gustav-stjernberg")</f>
        <v>https://www.eliteprospects.com/player/515083/gustav-stjernberg</v>
      </c>
      <c r="K301" t="s">
        <v>27</v>
      </c>
      <c r="L301" t="s">
        <v>28</v>
      </c>
      <c r="M301" t="s">
        <v>1296</v>
      </c>
      <c r="N301">
        <v>3</v>
      </c>
      <c r="O301" t="s">
        <v>74</v>
      </c>
      <c r="P301">
        <v>0.05</v>
      </c>
      <c r="Q301" t="s">
        <v>1325</v>
      </c>
      <c r="R301">
        <v>26.3</v>
      </c>
      <c r="S301">
        <v>23.7</v>
      </c>
      <c r="T301">
        <v>28.9</v>
      </c>
      <c r="U301">
        <v>5.3</v>
      </c>
      <c r="V301">
        <v>15.8</v>
      </c>
    </row>
    <row r="302" spans="1:22" x14ac:dyDescent="0.25">
      <c r="A302" t="s">
        <v>1591</v>
      </c>
      <c r="B302" t="s">
        <v>37</v>
      </c>
      <c r="C302">
        <v>22</v>
      </c>
      <c r="D302" t="s">
        <v>140</v>
      </c>
      <c r="E302" t="s">
        <v>132</v>
      </c>
      <c r="F302" t="s">
        <v>140</v>
      </c>
      <c r="G302">
        <v>0.14000000000000001</v>
      </c>
      <c r="H302" t="s">
        <v>66</v>
      </c>
      <c r="I302">
        <v>-6</v>
      </c>
      <c r="J302" t="str">
        <f>HYPERLINK("https://www.eliteprospects.com/player/495514/joseph-pierce")</f>
        <v>https://www.eliteprospects.com/player/495514/joseph-pierce</v>
      </c>
      <c r="K302" t="s">
        <v>27</v>
      </c>
      <c r="L302" t="s">
        <v>28</v>
      </c>
      <c r="M302" t="s">
        <v>1296</v>
      </c>
      <c r="N302">
        <v>4</v>
      </c>
      <c r="O302" t="s">
        <v>30</v>
      </c>
      <c r="P302">
        <v>0.03</v>
      </c>
      <c r="Q302" t="s">
        <v>245</v>
      </c>
      <c r="R302">
        <v>28.6</v>
      </c>
      <c r="S302">
        <v>31.4</v>
      </c>
      <c r="T302">
        <v>28.6</v>
      </c>
      <c r="U302">
        <v>4.3</v>
      </c>
      <c r="V302">
        <v>7.1</v>
      </c>
    </row>
    <row r="303" spans="1:22" x14ac:dyDescent="0.25">
      <c r="A303" t="s">
        <v>1592</v>
      </c>
      <c r="B303" t="s">
        <v>44</v>
      </c>
      <c r="C303">
        <v>14</v>
      </c>
      <c r="D303" t="s">
        <v>79</v>
      </c>
      <c r="E303" t="s">
        <v>260</v>
      </c>
      <c r="F303" t="s">
        <v>140</v>
      </c>
      <c r="G303">
        <v>0.21</v>
      </c>
      <c r="H303" t="s">
        <v>57</v>
      </c>
      <c r="I303">
        <v>3</v>
      </c>
      <c r="J303" t="str">
        <f>HYPERLINK("https://www.eliteprospects.com/player/628754/luca-fasciano")</f>
        <v>https://www.eliteprospects.com/player/628754/luca-fasciano</v>
      </c>
      <c r="K303" t="s">
        <v>27</v>
      </c>
      <c r="L303" t="s">
        <v>28</v>
      </c>
      <c r="M303" t="s">
        <v>1296</v>
      </c>
      <c r="N303">
        <v>1</v>
      </c>
      <c r="O303" t="s">
        <v>71</v>
      </c>
      <c r="P303">
        <v>0.04</v>
      </c>
      <c r="Q303" t="s">
        <v>245</v>
      </c>
      <c r="R303">
        <v>28.6</v>
      </c>
      <c r="S303">
        <v>31.4</v>
      </c>
      <c r="T303">
        <v>28.6</v>
      </c>
      <c r="U303">
        <v>4.3</v>
      </c>
      <c r="V303">
        <v>7.1</v>
      </c>
    </row>
    <row r="304" spans="1:22" x14ac:dyDescent="0.25">
      <c r="A304" t="s">
        <v>1593</v>
      </c>
      <c r="B304" t="s">
        <v>163</v>
      </c>
      <c r="C304">
        <v>17</v>
      </c>
      <c r="D304" t="s">
        <v>79</v>
      </c>
      <c r="E304" t="s">
        <v>260</v>
      </c>
      <c r="F304" t="s">
        <v>140</v>
      </c>
      <c r="G304">
        <v>0.18</v>
      </c>
      <c r="H304" t="s">
        <v>57</v>
      </c>
      <c r="I304">
        <v>3</v>
      </c>
      <c r="J304" t="str">
        <f>HYPERLINK("https://www.eliteprospects.com/player/779966/alexander-rybakov")</f>
        <v>https://www.eliteprospects.com/player/779966/alexander-rybakov</v>
      </c>
      <c r="K304" t="s">
        <v>27</v>
      </c>
      <c r="L304" t="s">
        <v>28</v>
      </c>
      <c r="M304" t="s">
        <v>1296</v>
      </c>
      <c r="N304">
        <v>1</v>
      </c>
      <c r="O304" t="s">
        <v>71</v>
      </c>
      <c r="P304">
        <v>0.03</v>
      </c>
      <c r="Q304" t="s">
        <v>245</v>
      </c>
      <c r="R304">
        <v>28.6</v>
      </c>
      <c r="S304">
        <v>31.4</v>
      </c>
      <c r="T304">
        <v>28.6</v>
      </c>
      <c r="U304">
        <v>4.3</v>
      </c>
      <c r="V304">
        <v>7.1</v>
      </c>
    </row>
    <row r="305" spans="1:22" x14ac:dyDescent="0.25">
      <c r="A305" t="s">
        <v>1594</v>
      </c>
      <c r="B305" t="s">
        <v>162</v>
      </c>
      <c r="C305">
        <v>17</v>
      </c>
      <c r="D305" t="s">
        <v>79</v>
      </c>
      <c r="E305" t="s">
        <v>260</v>
      </c>
      <c r="F305" t="s">
        <v>140</v>
      </c>
      <c r="G305">
        <v>0.18</v>
      </c>
      <c r="H305" t="s">
        <v>57</v>
      </c>
      <c r="I305">
        <v>2</v>
      </c>
      <c r="J305" t="str">
        <f>HYPERLINK("https://www.eliteprospects.com/player/499295/pat-lawn")</f>
        <v>https://www.eliteprospects.com/player/499295/pat-lawn</v>
      </c>
      <c r="K305" t="s">
        <v>27</v>
      </c>
      <c r="L305" t="s">
        <v>28</v>
      </c>
      <c r="M305" t="s">
        <v>1296</v>
      </c>
      <c r="N305">
        <v>4</v>
      </c>
      <c r="O305" t="s">
        <v>30</v>
      </c>
      <c r="P305">
        <v>0.03</v>
      </c>
      <c r="Q305" t="s">
        <v>245</v>
      </c>
      <c r="R305">
        <v>28.6</v>
      </c>
      <c r="S305">
        <v>31.4</v>
      </c>
      <c r="T305">
        <v>28.6</v>
      </c>
      <c r="U305">
        <v>4.3</v>
      </c>
      <c r="V305">
        <v>7.1</v>
      </c>
    </row>
    <row r="306" spans="1:22" x14ac:dyDescent="0.25">
      <c r="A306" t="s">
        <v>1595</v>
      </c>
      <c r="B306" t="s">
        <v>101</v>
      </c>
      <c r="C306">
        <v>19</v>
      </c>
      <c r="D306" t="s">
        <v>79</v>
      </c>
      <c r="E306" t="s">
        <v>260</v>
      </c>
      <c r="F306" t="s">
        <v>140</v>
      </c>
      <c r="G306">
        <v>0.16</v>
      </c>
      <c r="H306" t="s">
        <v>26</v>
      </c>
      <c r="I306">
        <v>-1</v>
      </c>
      <c r="J306" t="str">
        <f>HYPERLINK("https://www.eliteprospects.com/player/603583/dylan-compton")</f>
        <v>https://www.eliteprospects.com/player/603583/dylan-compton</v>
      </c>
      <c r="K306" t="s">
        <v>27</v>
      </c>
      <c r="L306" t="s">
        <v>28</v>
      </c>
      <c r="M306" t="s">
        <v>1296</v>
      </c>
      <c r="N306">
        <v>1</v>
      </c>
      <c r="O306" t="s">
        <v>71</v>
      </c>
      <c r="P306">
        <v>0.03</v>
      </c>
      <c r="Q306" t="s">
        <v>245</v>
      </c>
      <c r="R306">
        <v>28.6</v>
      </c>
      <c r="S306">
        <v>31.4</v>
      </c>
      <c r="T306">
        <v>28.6</v>
      </c>
      <c r="U306">
        <v>4.3</v>
      </c>
      <c r="V306">
        <v>7.1</v>
      </c>
    </row>
    <row r="307" spans="1:22" x14ac:dyDescent="0.25">
      <c r="A307" t="s">
        <v>1596</v>
      </c>
      <c r="B307" t="s">
        <v>177</v>
      </c>
      <c r="C307">
        <v>19</v>
      </c>
      <c r="D307" t="s">
        <v>79</v>
      </c>
      <c r="E307" t="s">
        <v>260</v>
      </c>
      <c r="F307" t="s">
        <v>140</v>
      </c>
      <c r="G307">
        <v>0.16</v>
      </c>
      <c r="H307" t="s">
        <v>23</v>
      </c>
      <c r="I307">
        <v>-11</v>
      </c>
      <c r="J307" t="str">
        <f>HYPERLINK("https://www.eliteprospects.com/player/412357/ethan-lund")</f>
        <v>https://www.eliteprospects.com/player/412357/ethan-lund</v>
      </c>
      <c r="K307" t="s">
        <v>27</v>
      </c>
      <c r="L307" t="s">
        <v>28</v>
      </c>
      <c r="M307" t="s">
        <v>1296</v>
      </c>
      <c r="N307">
        <v>4</v>
      </c>
      <c r="O307" t="s">
        <v>30</v>
      </c>
      <c r="P307">
        <v>0.03</v>
      </c>
      <c r="Q307" t="s">
        <v>245</v>
      </c>
      <c r="R307">
        <v>28.6</v>
      </c>
      <c r="S307">
        <v>31.4</v>
      </c>
      <c r="T307">
        <v>28.6</v>
      </c>
      <c r="U307">
        <v>4.3</v>
      </c>
      <c r="V307">
        <v>7.1</v>
      </c>
    </row>
    <row r="308" spans="1:22" x14ac:dyDescent="0.25">
      <c r="A308" t="s">
        <v>1597</v>
      </c>
      <c r="B308" t="s">
        <v>238</v>
      </c>
      <c r="C308">
        <v>20</v>
      </c>
      <c r="D308" t="s">
        <v>79</v>
      </c>
      <c r="E308" t="s">
        <v>260</v>
      </c>
      <c r="F308" t="s">
        <v>140</v>
      </c>
      <c r="G308">
        <v>0.15</v>
      </c>
      <c r="H308" t="s">
        <v>39</v>
      </c>
      <c r="I308">
        <v>1</v>
      </c>
      <c r="J308" t="str">
        <f>HYPERLINK("https://www.eliteprospects.com/player/352473/trevor-russell")</f>
        <v>https://www.eliteprospects.com/player/352473/trevor-russell</v>
      </c>
      <c r="K308" t="s">
        <v>27</v>
      </c>
      <c r="L308" t="s">
        <v>28</v>
      </c>
      <c r="M308" t="s">
        <v>1296</v>
      </c>
      <c r="N308">
        <v>5</v>
      </c>
      <c r="O308" t="s">
        <v>67</v>
      </c>
      <c r="P308">
        <v>0.03</v>
      </c>
      <c r="Q308" t="s">
        <v>245</v>
      </c>
      <c r="R308">
        <v>28.6</v>
      </c>
      <c r="S308">
        <v>31.4</v>
      </c>
      <c r="T308">
        <v>28.6</v>
      </c>
      <c r="U308">
        <v>4.3</v>
      </c>
      <c r="V308">
        <v>7.1</v>
      </c>
    </row>
    <row r="309" spans="1:22" x14ac:dyDescent="0.25">
      <c r="A309" t="s">
        <v>1598</v>
      </c>
      <c r="B309" t="s">
        <v>184</v>
      </c>
      <c r="C309">
        <v>13</v>
      </c>
      <c r="D309" t="s">
        <v>260</v>
      </c>
      <c r="E309" t="s">
        <v>79</v>
      </c>
      <c r="F309" t="s">
        <v>140</v>
      </c>
      <c r="G309">
        <v>0.23</v>
      </c>
      <c r="H309" t="s">
        <v>79</v>
      </c>
      <c r="I309">
        <v>-2</v>
      </c>
      <c r="J309" t="str">
        <f>HYPERLINK("https://www.eliteprospects.com/player/620273/kevin-fitzgerald")</f>
        <v>https://www.eliteprospects.com/player/620273/kevin-fitzgerald</v>
      </c>
      <c r="K309" t="s">
        <v>27</v>
      </c>
      <c r="L309" t="s">
        <v>28</v>
      </c>
      <c r="M309" t="s">
        <v>1296</v>
      </c>
      <c r="N309">
        <v>2</v>
      </c>
      <c r="O309" t="s">
        <v>43</v>
      </c>
      <c r="P309">
        <v>0.04</v>
      </c>
      <c r="Q309" t="s">
        <v>245</v>
      </c>
      <c r="R309">
        <v>28.6</v>
      </c>
      <c r="S309">
        <v>31.4</v>
      </c>
      <c r="T309">
        <v>28.6</v>
      </c>
      <c r="U309">
        <v>4.3</v>
      </c>
      <c r="V309">
        <v>7.1</v>
      </c>
    </row>
    <row r="310" spans="1:22" x14ac:dyDescent="0.25">
      <c r="A310" t="s">
        <v>1599</v>
      </c>
      <c r="B310" t="s">
        <v>180</v>
      </c>
      <c r="C310">
        <v>16</v>
      </c>
      <c r="D310" t="s">
        <v>260</v>
      </c>
      <c r="E310" t="s">
        <v>79</v>
      </c>
      <c r="F310" t="s">
        <v>140</v>
      </c>
      <c r="G310">
        <v>0.19</v>
      </c>
      <c r="H310" t="s">
        <v>491</v>
      </c>
      <c r="I310">
        <v>-5</v>
      </c>
      <c r="J310" t="str">
        <f>HYPERLINK("https://www.eliteprospects.com/player/646161/caeden-carlisle")</f>
        <v>https://www.eliteprospects.com/player/646161/caeden-carlisle</v>
      </c>
      <c r="K310" t="s">
        <v>27</v>
      </c>
      <c r="L310" t="s">
        <v>28</v>
      </c>
      <c r="M310" t="s">
        <v>1296</v>
      </c>
      <c r="N310">
        <v>7</v>
      </c>
      <c r="O310" t="s">
        <v>159</v>
      </c>
      <c r="P310">
        <v>0.04</v>
      </c>
      <c r="Q310" t="s">
        <v>245</v>
      </c>
      <c r="R310">
        <v>28.6</v>
      </c>
      <c r="S310">
        <v>31.4</v>
      </c>
      <c r="T310">
        <v>28.6</v>
      </c>
      <c r="U310">
        <v>4.3</v>
      </c>
      <c r="V310">
        <v>7.1</v>
      </c>
    </row>
    <row r="311" spans="1:22" x14ac:dyDescent="0.25">
      <c r="A311" t="s">
        <v>1600</v>
      </c>
      <c r="B311" t="s">
        <v>312</v>
      </c>
      <c r="C311">
        <v>17</v>
      </c>
      <c r="D311" t="s">
        <v>260</v>
      </c>
      <c r="E311" t="s">
        <v>79</v>
      </c>
      <c r="F311" t="s">
        <v>140</v>
      </c>
      <c r="G311">
        <v>0.18</v>
      </c>
      <c r="H311" t="s">
        <v>66</v>
      </c>
      <c r="I311">
        <v>-15</v>
      </c>
      <c r="J311" t="str">
        <f>HYPERLINK("https://www.eliteprospects.com/player/558798/camden-shasby")</f>
        <v>https://www.eliteprospects.com/player/558798/camden-shasby</v>
      </c>
      <c r="K311" t="s">
        <v>27</v>
      </c>
      <c r="L311" t="s">
        <v>28</v>
      </c>
      <c r="M311" t="s">
        <v>1296</v>
      </c>
      <c r="N311">
        <v>1</v>
      </c>
      <c r="O311" t="s">
        <v>71</v>
      </c>
      <c r="P311">
        <v>0.03</v>
      </c>
      <c r="Q311" t="s">
        <v>245</v>
      </c>
      <c r="R311">
        <v>28.6</v>
      </c>
      <c r="S311">
        <v>31.4</v>
      </c>
      <c r="T311">
        <v>28.6</v>
      </c>
      <c r="U311">
        <v>4.3</v>
      </c>
      <c r="V311">
        <v>7.1</v>
      </c>
    </row>
    <row r="312" spans="1:22" x14ac:dyDescent="0.25">
      <c r="A312" t="s">
        <v>1601</v>
      </c>
      <c r="B312" t="s">
        <v>120</v>
      </c>
      <c r="C312">
        <v>17</v>
      </c>
      <c r="D312" t="s">
        <v>260</v>
      </c>
      <c r="E312" t="s">
        <v>79</v>
      </c>
      <c r="F312" t="s">
        <v>140</v>
      </c>
      <c r="G312">
        <v>0.18</v>
      </c>
      <c r="H312" t="s">
        <v>57</v>
      </c>
      <c r="I312">
        <v>4</v>
      </c>
      <c r="J312" t="str">
        <f>HYPERLINK("https://www.eliteprospects.com/player/617529/nolan-joyce")</f>
        <v>https://www.eliteprospects.com/player/617529/nolan-joyce</v>
      </c>
      <c r="K312" t="s">
        <v>27</v>
      </c>
      <c r="L312" t="s">
        <v>28</v>
      </c>
      <c r="M312" t="s">
        <v>1296</v>
      </c>
      <c r="N312">
        <v>3</v>
      </c>
      <c r="O312" t="s">
        <v>74</v>
      </c>
      <c r="P312">
        <v>0.03</v>
      </c>
      <c r="Q312" t="s">
        <v>245</v>
      </c>
      <c r="R312">
        <v>28.6</v>
      </c>
      <c r="S312">
        <v>31.4</v>
      </c>
      <c r="T312">
        <v>28.6</v>
      </c>
      <c r="U312">
        <v>4.3</v>
      </c>
      <c r="V312">
        <v>7.1</v>
      </c>
    </row>
    <row r="313" spans="1:22" x14ac:dyDescent="0.25">
      <c r="A313" t="s">
        <v>1602</v>
      </c>
      <c r="B313" t="s">
        <v>195</v>
      </c>
      <c r="C313">
        <v>17</v>
      </c>
      <c r="D313" t="s">
        <v>260</v>
      </c>
      <c r="E313" t="s">
        <v>79</v>
      </c>
      <c r="F313" t="s">
        <v>140</v>
      </c>
      <c r="G313">
        <v>0.18</v>
      </c>
      <c r="H313" t="s">
        <v>26</v>
      </c>
      <c r="I313">
        <v>0</v>
      </c>
      <c r="J313" t="str">
        <f>HYPERLINK("https://www.eliteprospects.com/player/695245/mick-frechette")</f>
        <v>https://www.eliteprospects.com/player/695245/mick-frechette</v>
      </c>
      <c r="K313" t="s">
        <v>27</v>
      </c>
      <c r="L313" t="s">
        <v>28</v>
      </c>
      <c r="M313" t="s">
        <v>1296</v>
      </c>
      <c r="N313">
        <v>3</v>
      </c>
      <c r="O313" t="s">
        <v>74</v>
      </c>
      <c r="P313">
        <v>0.03</v>
      </c>
      <c r="Q313" t="s">
        <v>245</v>
      </c>
      <c r="R313">
        <v>28.6</v>
      </c>
      <c r="S313">
        <v>31.4</v>
      </c>
      <c r="T313">
        <v>28.6</v>
      </c>
      <c r="U313">
        <v>4.3</v>
      </c>
      <c r="V313">
        <v>7.1</v>
      </c>
    </row>
    <row r="314" spans="1:22" x14ac:dyDescent="0.25">
      <c r="A314" t="s">
        <v>1603</v>
      </c>
      <c r="B314" t="s">
        <v>109</v>
      </c>
      <c r="C314">
        <v>18</v>
      </c>
      <c r="D314" t="s">
        <v>260</v>
      </c>
      <c r="E314" t="s">
        <v>79</v>
      </c>
      <c r="F314" t="s">
        <v>140</v>
      </c>
      <c r="G314">
        <v>0.17</v>
      </c>
      <c r="H314" t="s">
        <v>26</v>
      </c>
      <c r="I314">
        <v>9</v>
      </c>
      <c r="J314" t="str">
        <f>HYPERLINK("https://www.eliteprospects.com/player/592454/bennett-zmolek")</f>
        <v>https://www.eliteprospects.com/player/592454/bennett-zmolek</v>
      </c>
      <c r="K314" t="s">
        <v>27</v>
      </c>
      <c r="L314" t="s">
        <v>28</v>
      </c>
      <c r="M314" t="s">
        <v>1296</v>
      </c>
      <c r="N314">
        <v>5</v>
      </c>
      <c r="O314" t="s">
        <v>67</v>
      </c>
      <c r="P314">
        <v>0.03</v>
      </c>
      <c r="Q314" t="s">
        <v>245</v>
      </c>
      <c r="R314">
        <v>28.6</v>
      </c>
      <c r="S314">
        <v>31.4</v>
      </c>
      <c r="T314">
        <v>28.6</v>
      </c>
      <c r="U314">
        <v>4.3</v>
      </c>
      <c r="V314">
        <v>7.1</v>
      </c>
    </row>
    <row r="315" spans="1:22" x14ac:dyDescent="0.25">
      <c r="A315" t="s">
        <v>1604</v>
      </c>
      <c r="B315" t="s">
        <v>90</v>
      </c>
      <c r="C315">
        <v>19</v>
      </c>
      <c r="D315" t="s">
        <v>260</v>
      </c>
      <c r="E315" t="s">
        <v>79</v>
      </c>
      <c r="F315" t="s">
        <v>140</v>
      </c>
      <c r="G315">
        <v>0.16</v>
      </c>
      <c r="H315" t="s">
        <v>66</v>
      </c>
      <c r="I315">
        <v>4</v>
      </c>
      <c r="J315" t="str">
        <f>HYPERLINK("https://www.eliteprospects.com/player/478439/michael-rubin")</f>
        <v>https://www.eliteprospects.com/player/478439/michael-rubin</v>
      </c>
      <c r="K315" t="s">
        <v>27</v>
      </c>
      <c r="L315" t="s">
        <v>28</v>
      </c>
      <c r="M315" t="s">
        <v>1296</v>
      </c>
      <c r="N315">
        <v>2</v>
      </c>
      <c r="O315" t="s">
        <v>43</v>
      </c>
      <c r="P315">
        <v>0.03</v>
      </c>
      <c r="Q315" t="s">
        <v>245</v>
      </c>
      <c r="R315">
        <v>28.6</v>
      </c>
      <c r="S315">
        <v>31.4</v>
      </c>
      <c r="T315">
        <v>28.6</v>
      </c>
      <c r="U315">
        <v>4.3</v>
      </c>
      <c r="V315">
        <v>7.1</v>
      </c>
    </row>
    <row r="316" spans="1:22" x14ac:dyDescent="0.25">
      <c r="A316" t="s">
        <v>1605</v>
      </c>
      <c r="B316" t="s">
        <v>130</v>
      </c>
      <c r="C316">
        <v>19</v>
      </c>
      <c r="D316" t="s">
        <v>260</v>
      </c>
      <c r="E316" t="s">
        <v>79</v>
      </c>
      <c r="F316" t="s">
        <v>140</v>
      </c>
      <c r="G316">
        <v>0.16</v>
      </c>
      <c r="H316" t="s">
        <v>57</v>
      </c>
      <c r="I316">
        <v>-2</v>
      </c>
      <c r="J316" t="str">
        <f>HYPERLINK("https://www.eliteprospects.com/player/571894/ethan-beyer")</f>
        <v>https://www.eliteprospects.com/player/571894/ethan-beyer</v>
      </c>
      <c r="K316" t="s">
        <v>27</v>
      </c>
      <c r="L316" t="s">
        <v>28</v>
      </c>
      <c r="M316" t="s">
        <v>1296</v>
      </c>
      <c r="N316">
        <v>1</v>
      </c>
      <c r="O316" t="s">
        <v>71</v>
      </c>
      <c r="P316">
        <v>0.03</v>
      </c>
      <c r="Q316" t="s">
        <v>245</v>
      </c>
      <c r="R316">
        <v>28.6</v>
      </c>
      <c r="S316">
        <v>31.4</v>
      </c>
      <c r="T316">
        <v>28.6</v>
      </c>
      <c r="U316">
        <v>4.3</v>
      </c>
      <c r="V316">
        <v>7.1</v>
      </c>
    </row>
    <row r="317" spans="1:22" x14ac:dyDescent="0.25">
      <c r="A317" t="s">
        <v>1606</v>
      </c>
      <c r="B317" t="s">
        <v>224</v>
      </c>
      <c r="C317">
        <v>19</v>
      </c>
      <c r="D317" t="s">
        <v>260</v>
      </c>
      <c r="E317" t="s">
        <v>79</v>
      </c>
      <c r="F317" t="s">
        <v>140</v>
      </c>
      <c r="G317">
        <v>0.16</v>
      </c>
      <c r="H317" t="s">
        <v>26</v>
      </c>
      <c r="I317">
        <v>-9</v>
      </c>
      <c r="J317" t="str">
        <f>HYPERLINK("https://www.eliteprospects.com/player/511962/gabriel-lunn")</f>
        <v>https://www.eliteprospects.com/player/511962/gabriel-lunn</v>
      </c>
      <c r="K317" t="s">
        <v>27</v>
      </c>
      <c r="L317" t="s">
        <v>28</v>
      </c>
      <c r="M317" t="s">
        <v>1296</v>
      </c>
      <c r="N317">
        <v>3</v>
      </c>
      <c r="O317" t="s">
        <v>74</v>
      </c>
      <c r="P317">
        <v>0.03</v>
      </c>
      <c r="Q317" t="s">
        <v>245</v>
      </c>
      <c r="R317">
        <v>28.6</v>
      </c>
      <c r="S317">
        <v>31.4</v>
      </c>
      <c r="T317">
        <v>28.6</v>
      </c>
      <c r="U317">
        <v>4.3</v>
      </c>
      <c r="V317">
        <v>7.1</v>
      </c>
    </row>
    <row r="318" spans="1:22" x14ac:dyDescent="0.25">
      <c r="A318" t="s">
        <v>1607</v>
      </c>
      <c r="B318" t="s">
        <v>73</v>
      </c>
      <c r="C318">
        <v>20</v>
      </c>
      <c r="D318" t="s">
        <v>260</v>
      </c>
      <c r="E318" t="s">
        <v>79</v>
      </c>
      <c r="F318" t="s">
        <v>140</v>
      </c>
      <c r="G318">
        <v>0.15</v>
      </c>
      <c r="H318" t="s">
        <v>132</v>
      </c>
      <c r="I318">
        <v>-6</v>
      </c>
      <c r="J318" t="str">
        <f>HYPERLINK("https://www.eliteprospects.com/player/616231/thor-byfuglien")</f>
        <v>https://www.eliteprospects.com/player/616231/thor-byfuglien</v>
      </c>
      <c r="K318" t="s">
        <v>27</v>
      </c>
      <c r="L318" t="s">
        <v>28</v>
      </c>
      <c r="M318" t="s">
        <v>1296</v>
      </c>
      <c r="N318">
        <v>2</v>
      </c>
      <c r="O318" t="s">
        <v>43</v>
      </c>
      <c r="P318">
        <v>0.03</v>
      </c>
      <c r="Q318" t="s">
        <v>245</v>
      </c>
      <c r="R318">
        <v>28.6</v>
      </c>
      <c r="S318">
        <v>31.4</v>
      </c>
      <c r="T318">
        <v>28.6</v>
      </c>
      <c r="U318">
        <v>4.3</v>
      </c>
      <c r="V318">
        <v>7.1</v>
      </c>
    </row>
    <row r="319" spans="1:22" x14ac:dyDescent="0.25">
      <c r="A319" t="s">
        <v>1608</v>
      </c>
      <c r="B319" t="s">
        <v>238</v>
      </c>
      <c r="C319">
        <v>20</v>
      </c>
      <c r="D319" t="s">
        <v>260</v>
      </c>
      <c r="E319" t="s">
        <v>79</v>
      </c>
      <c r="F319" t="s">
        <v>140</v>
      </c>
      <c r="G319">
        <v>0.15</v>
      </c>
      <c r="H319" t="s">
        <v>79</v>
      </c>
      <c r="I319">
        <v>-7</v>
      </c>
      <c r="J319" t="str">
        <f>HYPERLINK("https://www.eliteprospects.com/player/556659/gustavs-ozolins")</f>
        <v>https://www.eliteprospects.com/player/556659/gustavs-ozolins</v>
      </c>
      <c r="K319" t="s">
        <v>27</v>
      </c>
      <c r="L319" t="s">
        <v>28</v>
      </c>
      <c r="M319" t="s">
        <v>1296</v>
      </c>
      <c r="N319">
        <v>2</v>
      </c>
      <c r="O319" t="s">
        <v>43</v>
      </c>
      <c r="P319">
        <v>0.03</v>
      </c>
      <c r="Q319" t="s">
        <v>245</v>
      </c>
      <c r="R319">
        <v>28.6</v>
      </c>
      <c r="S319">
        <v>31.4</v>
      </c>
      <c r="T319">
        <v>28.6</v>
      </c>
      <c r="U319">
        <v>4.3</v>
      </c>
      <c r="V319">
        <v>7.1</v>
      </c>
    </row>
    <row r="320" spans="1:22" x14ac:dyDescent="0.25">
      <c r="A320" t="s">
        <v>1609</v>
      </c>
      <c r="B320" t="s">
        <v>165</v>
      </c>
      <c r="C320">
        <v>20</v>
      </c>
      <c r="D320" t="s">
        <v>260</v>
      </c>
      <c r="E320" t="s">
        <v>79</v>
      </c>
      <c r="F320" t="s">
        <v>140</v>
      </c>
      <c r="G320">
        <v>0.15</v>
      </c>
      <c r="H320" t="s">
        <v>66</v>
      </c>
      <c r="I320">
        <v>2</v>
      </c>
      <c r="J320" t="str">
        <f>HYPERLINK("https://www.eliteprospects.com/player/527201/jacob-napier")</f>
        <v>https://www.eliteprospects.com/player/527201/jacob-napier</v>
      </c>
      <c r="K320" t="s">
        <v>27</v>
      </c>
      <c r="L320" t="s">
        <v>28</v>
      </c>
      <c r="M320" t="s">
        <v>1296</v>
      </c>
      <c r="N320">
        <v>3</v>
      </c>
      <c r="O320" t="s">
        <v>74</v>
      </c>
      <c r="P320">
        <v>0.03</v>
      </c>
      <c r="Q320" t="s">
        <v>245</v>
      </c>
      <c r="R320">
        <v>28.6</v>
      </c>
      <c r="S320">
        <v>31.4</v>
      </c>
      <c r="T320">
        <v>28.6</v>
      </c>
      <c r="U320">
        <v>4.3</v>
      </c>
      <c r="V320">
        <v>7.1</v>
      </c>
    </row>
    <row r="321" spans="1:22" x14ac:dyDescent="0.25">
      <c r="A321" t="s">
        <v>1610</v>
      </c>
      <c r="B321" t="s">
        <v>362</v>
      </c>
      <c r="C321">
        <v>20</v>
      </c>
      <c r="D321" t="s">
        <v>260</v>
      </c>
      <c r="E321" t="s">
        <v>79</v>
      </c>
      <c r="F321" t="s">
        <v>140</v>
      </c>
      <c r="G321">
        <v>0.15</v>
      </c>
      <c r="H321" t="s">
        <v>39</v>
      </c>
      <c r="I321">
        <v>-18</v>
      </c>
      <c r="J321" t="str">
        <f>HYPERLINK("https://www.eliteprospects.com/player/295806/john-larkin")</f>
        <v>https://www.eliteprospects.com/player/295806/john-larkin</v>
      </c>
      <c r="K321" t="s">
        <v>27</v>
      </c>
      <c r="L321" t="s">
        <v>28</v>
      </c>
      <c r="M321" t="s">
        <v>1296</v>
      </c>
      <c r="N321">
        <v>4</v>
      </c>
      <c r="O321" t="s">
        <v>30</v>
      </c>
      <c r="P321">
        <v>0.03</v>
      </c>
      <c r="Q321" t="s">
        <v>245</v>
      </c>
      <c r="R321">
        <v>28.6</v>
      </c>
      <c r="S321">
        <v>31.4</v>
      </c>
      <c r="T321">
        <v>28.6</v>
      </c>
      <c r="U321">
        <v>4.3</v>
      </c>
      <c r="V321">
        <v>7.1</v>
      </c>
    </row>
    <row r="322" spans="1:22" x14ac:dyDescent="0.25">
      <c r="A322" t="s">
        <v>1611</v>
      </c>
      <c r="B322" t="s">
        <v>98</v>
      </c>
      <c r="C322">
        <v>21</v>
      </c>
      <c r="D322" t="s">
        <v>260</v>
      </c>
      <c r="E322" t="s">
        <v>79</v>
      </c>
      <c r="F322" t="s">
        <v>140</v>
      </c>
      <c r="G322">
        <v>0.14000000000000001</v>
      </c>
      <c r="H322" t="s">
        <v>24</v>
      </c>
      <c r="I322">
        <v>4</v>
      </c>
      <c r="J322" t="str">
        <f>HYPERLINK("https://www.eliteprospects.com/player/294577/nick-young")</f>
        <v>https://www.eliteprospects.com/player/294577/nick-young</v>
      </c>
      <c r="K322" t="s">
        <v>27</v>
      </c>
      <c r="L322" t="s">
        <v>28</v>
      </c>
      <c r="M322" t="s">
        <v>1296</v>
      </c>
      <c r="N322">
        <v>4</v>
      </c>
      <c r="O322" t="s">
        <v>30</v>
      </c>
      <c r="P322">
        <v>0.03</v>
      </c>
      <c r="Q322" t="s">
        <v>245</v>
      </c>
      <c r="R322">
        <v>28.6</v>
      </c>
      <c r="S322">
        <v>31.4</v>
      </c>
      <c r="T322">
        <v>28.6</v>
      </c>
      <c r="U322">
        <v>4.3</v>
      </c>
      <c r="V322">
        <v>7.1</v>
      </c>
    </row>
    <row r="323" spans="1:22" x14ac:dyDescent="0.25">
      <c r="A323" t="s">
        <v>1612</v>
      </c>
      <c r="B323" t="s">
        <v>131</v>
      </c>
      <c r="C323">
        <v>21</v>
      </c>
      <c r="D323" t="s">
        <v>260</v>
      </c>
      <c r="E323" t="s">
        <v>79</v>
      </c>
      <c r="F323" t="s">
        <v>140</v>
      </c>
      <c r="G323">
        <v>0.14000000000000001</v>
      </c>
      <c r="H323" t="s">
        <v>81</v>
      </c>
      <c r="I323">
        <v>-5</v>
      </c>
      <c r="J323" t="str">
        <f>HYPERLINK("https://www.eliteprospects.com/player/467448/sean-vlasich")</f>
        <v>https://www.eliteprospects.com/player/467448/sean-vlasich</v>
      </c>
      <c r="K323" t="s">
        <v>27</v>
      </c>
      <c r="L323" t="s">
        <v>28</v>
      </c>
      <c r="M323" t="s">
        <v>1296</v>
      </c>
      <c r="N323">
        <v>4</v>
      </c>
      <c r="O323" t="s">
        <v>30</v>
      </c>
      <c r="P323">
        <v>0.03</v>
      </c>
      <c r="Q323" t="s">
        <v>245</v>
      </c>
      <c r="R323">
        <v>28.6</v>
      </c>
      <c r="S323">
        <v>31.4</v>
      </c>
      <c r="T323">
        <v>28.6</v>
      </c>
      <c r="U323">
        <v>4.3</v>
      </c>
      <c r="V323">
        <v>7.1</v>
      </c>
    </row>
    <row r="324" spans="1:22" x14ac:dyDescent="0.25">
      <c r="A324" t="s">
        <v>1613</v>
      </c>
      <c r="B324" t="s">
        <v>88</v>
      </c>
      <c r="C324">
        <v>22</v>
      </c>
      <c r="D324" t="s">
        <v>260</v>
      </c>
      <c r="E324" t="s">
        <v>79</v>
      </c>
      <c r="F324" t="s">
        <v>140</v>
      </c>
      <c r="G324">
        <v>0.14000000000000001</v>
      </c>
      <c r="H324" t="s">
        <v>66</v>
      </c>
      <c r="I324">
        <v>-5</v>
      </c>
      <c r="J324" t="str">
        <f>HYPERLINK("https://www.eliteprospects.com/player/669850/beau-janzig")</f>
        <v>https://www.eliteprospects.com/player/669850/beau-janzig</v>
      </c>
      <c r="K324" t="s">
        <v>27</v>
      </c>
      <c r="L324" t="s">
        <v>28</v>
      </c>
      <c r="M324" t="s">
        <v>1296</v>
      </c>
      <c r="N324">
        <v>2</v>
      </c>
      <c r="O324" t="s">
        <v>43</v>
      </c>
      <c r="P324">
        <v>0.03</v>
      </c>
      <c r="Q324" t="s">
        <v>245</v>
      </c>
      <c r="R324">
        <v>28.6</v>
      </c>
      <c r="S324">
        <v>31.4</v>
      </c>
      <c r="T324">
        <v>28.6</v>
      </c>
      <c r="U324">
        <v>4.3</v>
      </c>
      <c r="V324">
        <v>7.1</v>
      </c>
    </row>
    <row r="325" spans="1:22" x14ac:dyDescent="0.25">
      <c r="A325" t="s">
        <v>1614</v>
      </c>
      <c r="B325" t="s">
        <v>189</v>
      </c>
      <c r="C325">
        <v>24</v>
      </c>
      <c r="D325" t="s">
        <v>260</v>
      </c>
      <c r="E325" t="s">
        <v>79</v>
      </c>
      <c r="F325" t="s">
        <v>140</v>
      </c>
      <c r="G325">
        <v>0.13</v>
      </c>
      <c r="H325" t="s">
        <v>564</v>
      </c>
      <c r="I325">
        <v>-7</v>
      </c>
      <c r="J325" t="str">
        <f>HYPERLINK("https://www.eliteprospects.com/player/567352/trevor-taulien")</f>
        <v>https://www.eliteprospects.com/player/567352/trevor-taulien</v>
      </c>
      <c r="K325" t="s">
        <v>27</v>
      </c>
      <c r="L325" t="s">
        <v>28</v>
      </c>
      <c r="M325" t="s">
        <v>1296</v>
      </c>
      <c r="N325">
        <v>3</v>
      </c>
      <c r="O325" t="s">
        <v>74</v>
      </c>
      <c r="P325">
        <v>0.03</v>
      </c>
      <c r="Q325" t="s">
        <v>245</v>
      </c>
      <c r="R325">
        <v>28.6</v>
      </c>
      <c r="S325">
        <v>31.4</v>
      </c>
      <c r="T325">
        <v>28.6</v>
      </c>
      <c r="U325">
        <v>4.3</v>
      </c>
      <c r="V325">
        <v>7.1</v>
      </c>
    </row>
    <row r="326" spans="1:22" x14ac:dyDescent="0.25">
      <c r="A326" t="s">
        <v>1615</v>
      </c>
      <c r="B326" t="s">
        <v>139</v>
      </c>
      <c r="C326">
        <v>12</v>
      </c>
      <c r="D326" t="s">
        <v>132</v>
      </c>
      <c r="E326" t="s">
        <v>140</v>
      </c>
      <c r="F326" t="s">
        <v>140</v>
      </c>
      <c r="G326">
        <v>0.25</v>
      </c>
      <c r="H326" t="s">
        <v>23</v>
      </c>
      <c r="I326">
        <v>8</v>
      </c>
      <c r="J326" t="str">
        <f>HYPERLINK("https://www.eliteprospects.com/player/603138/zach-schulz")</f>
        <v>https://www.eliteprospects.com/player/603138/zach-schulz</v>
      </c>
      <c r="K326" t="s">
        <v>27</v>
      </c>
      <c r="L326" t="s">
        <v>28</v>
      </c>
      <c r="M326" t="s">
        <v>1296</v>
      </c>
      <c r="N326">
        <v>3</v>
      </c>
      <c r="O326" t="s">
        <v>74</v>
      </c>
      <c r="P326">
        <v>0.05</v>
      </c>
      <c r="Q326" t="s">
        <v>1325</v>
      </c>
      <c r="R326">
        <v>26.3</v>
      </c>
      <c r="S326">
        <v>23.7</v>
      </c>
      <c r="T326">
        <v>28.9</v>
      </c>
      <c r="U326">
        <v>5.3</v>
      </c>
      <c r="V326">
        <v>15.8</v>
      </c>
    </row>
    <row r="327" spans="1:22" x14ac:dyDescent="0.25">
      <c r="A327" t="s">
        <v>1616</v>
      </c>
      <c r="B327" t="s">
        <v>195</v>
      </c>
      <c r="C327">
        <v>14</v>
      </c>
      <c r="D327" t="s">
        <v>132</v>
      </c>
      <c r="E327" t="s">
        <v>140</v>
      </c>
      <c r="F327" t="s">
        <v>140</v>
      </c>
      <c r="G327">
        <v>0.21</v>
      </c>
      <c r="H327" t="s">
        <v>66</v>
      </c>
      <c r="I327">
        <v>-4</v>
      </c>
      <c r="J327" t="str">
        <f>HYPERLINK("https://www.eliteprospects.com/player/863767/malte-vass")</f>
        <v>https://www.eliteprospects.com/player/863767/malte-vass</v>
      </c>
      <c r="K327" t="s">
        <v>27</v>
      </c>
      <c r="L327" t="s">
        <v>28</v>
      </c>
      <c r="M327" t="s">
        <v>1296</v>
      </c>
      <c r="N327">
        <v>1</v>
      </c>
      <c r="O327" t="s">
        <v>71</v>
      </c>
      <c r="P327">
        <v>0.04</v>
      </c>
      <c r="Q327" t="s">
        <v>245</v>
      </c>
      <c r="R327">
        <v>28.6</v>
      </c>
      <c r="S327">
        <v>31.4</v>
      </c>
      <c r="T327">
        <v>28.6</v>
      </c>
      <c r="U327">
        <v>4.3</v>
      </c>
      <c r="V327">
        <v>7.1</v>
      </c>
    </row>
    <row r="328" spans="1:22" x14ac:dyDescent="0.25">
      <c r="A328" t="s">
        <v>1617</v>
      </c>
      <c r="B328" t="s">
        <v>98</v>
      </c>
      <c r="C328">
        <v>14</v>
      </c>
      <c r="D328" t="s">
        <v>132</v>
      </c>
      <c r="E328" t="s">
        <v>140</v>
      </c>
      <c r="F328" t="s">
        <v>140</v>
      </c>
      <c r="G328">
        <v>0.21</v>
      </c>
      <c r="H328" t="s">
        <v>55</v>
      </c>
      <c r="I328">
        <v>-1</v>
      </c>
      <c r="J328" t="str">
        <f>HYPERLINK("https://www.eliteprospects.com/player/201886/d.j.-hart")</f>
        <v>https://www.eliteprospects.com/player/201886/d.j.-hart</v>
      </c>
      <c r="K328" t="s">
        <v>27</v>
      </c>
      <c r="L328" t="s">
        <v>28</v>
      </c>
      <c r="M328" t="s">
        <v>1296</v>
      </c>
      <c r="N328">
        <v>3</v>
      </c>
      <c r="O328" t="s">
        <v>74</v>
      </c>
      <c r="P328">
        <v>0.04</v>
      </c>
      <c r="Q328" t="s">
        <v>245</v>
      </c>
      <c r="R328">
        <v>28.6</v>
      </c>
      <c r="S328">
        <v>31.4</v>
      </c>
      <c r="T328">
        <v>28.6</v>
      </c>
      <c r="U328">
        <v>4.3</v>
      </c>
      <c r="V328">
        <v>7.1</v>
      </c>
    </row>
    <row r="329" spans="1:22" x14ac:dyDescent="0.25">
      <c r="A329" t="s">
        <v>1618</v>
      </c>
      <c r="B329" t="s">
        <v>362</v>
      </c>
      <c r="C329">
        <v>16</v>
      </c>
      <c r="D329" t="s">
        <v>132</v>
      </c>
      <c r="E329" t="s">
        <v>140</v>
      </c>
      <c r="F329" t="s">
        <v>140</v>
      </c>
      <c r="G329">
        <v>0.19</v>
      </c>
      <c r="H329" t="s">
        <v>79</v>
      </c>
      <c r="I329">
        <v>-8</v>
      </c>
      <c r="J329" t="str">
        <f>HYPERLINK("https://www.eliteprospects.com/player/201957/trent-sambrook")</f>
        <v>https://www.eliteprospects.com/player/201957/trent-sambrook</v>
      </c>
      <c r="K329" t="s">
        <v>27</v>
      </c>
      <c r="L329" t="s">
        <v>28</v>
      </c>
      <c r="M329" t="s">
        <v>1296</v>
      </c>
      <c r="N329">
        <v>3</v>
      </c>
      <c r="O329" t="s">
        <v>74</v>
      </c>
      <c r="P329">
        <v>0.04</v>
      </c>
      <c r="Q329" t="s">
        <v>245</v>
      </c>
      <c r="R329">
        <v>28.6</v>
      </c>
      <c r="S329">
        <v>31.4</v>
      </c>
      <c r="T329">
        <v>28.6</v>
      </c>
      <c r="U329">
        <v>4.3</v>
      </c>
      <c r="V329">
        <v>7.1</v>
      </c>
    </row>
    <row r="330" spans="1:22" x14ac:dyDescent="0.25">
      <c r="A330" t="s">
        <v>1619</v>
      </c>
      <c r="B330" t="s">
        <v>234</v>
      </c>
      <c r="C330">
        <v>16</v>
      </c>
      <c r="D330" t="s">
        <v>132</v>
      </c>
      <c r="E330" t="s">
        <v>140</v>
      </c>
      <c r="F330" t="s">
        <v>140</v>
      </c>
      <c r="G330">
        <v>0.19</v>
      </c>
      <c r="H330" t="s">
        <v>57</v>
      </c>
      <c r="I330">
        <v>-9</v>
      </c>
      <c r="J330" t="str">
        <f>HYPERLINK("https://www.eliteprospects.com/player/526478/owen-dyer")</f>
        <v>https://www.eliteprospects.com/player/526478/owen-dyer</v>
      </c>
      <c r="K330" t="s">
        <v>27</v>
      </c>
      <c r="L330" t="s">
        <v>28</v>
      </c>
      <c r="M330" t="s">
        <v>1296</v>
      </c>
      <c r="N330">
        <v>1</v>
      </c>
      <c r="O330" t="s">
        <v>71</v>
      </c>
      <c r="P330">
        <v>0.04</v>
      </c>
      <c r="Q330" t="s">
        <v>245</v>
      </c>
      <c r="R330">
        <v>28.6</v>
      </c>
      <c r="S330">
        <v>31.4</v>
      </c>
      <c r="T330">
        <v>28.6</v>
      </c>
      <c r="U330">
        <v>4.3</v>
      </c>
      <c r="V330">
        <v>7.1</v>
      </c>
    </row>
    <row r="331" spans="1:22" x14ac:dyDescent="0.25">
      <c r="A331" t="s">
        <v>1620</v>
      </c>
      <c r="B331" t="s">
        <v>103</v>
      </c>
      <c r="C331">
        <v>17</v>
      </c>
      <c r="D331" t="s">
        <v>132</v>
      </c>
      <c r="E331" t="s">
        <v>140</v>
      </c>
      <c r="F331" t="s">
        <v>140</v>
      </c>
      <c r="G331">
        <v>0.18</v>
      </c>
      <c r="H331" t="s">
        <v>79</v>
      </c>
      <c r="I331">
        <v>-2</v>
      </c>
      <c r="J331" t="str">
        <f>HYPERLINK("https://www.eliteprospects.com/player/623146/charlie-lieberman")</f>
        <v>https://www.eliteprospects.com/player/623146/charlie-lieberman</v>
      </c>
      <c r="K331" t="s">
        <v>27</v>
      </c>
      <c r="L331" t="s">
        <v>28</v>
      </c>
      <c r="M331" t="s">
        <v>1296</v>
      </c>
      <c r="N331">
        <v>2</v>
      </c>
      <c r="O331" t="s">
        <v>43</v>
      </c>
      <c r="P331">
        <v>0.03</v>
      </c>
      <c r="Q331" t="s">
        <v>245</v>
      </c>
      <c r="R331">
        <v>28.6</v>
      </c>
      <c r="S331">
        <v>31.4</v>
      </c>
      <c r="T331">
        <v>28.6</v>
      </c>
      <c r="U331">
        <v>4.3</v>
      </c>
      <c r="V331">
        <v>7.1</v>
      </c>
    </row>
    <row r="332" spans="1:22" x14ac:dyDescent="0.25">
      <c r="A332" t="s">
        <v>1621</v>
      </c>
      <c r="B332" t="s">
        <v>150</v>
      </c>
      <c r="C332">
        <v>17</v>
      </c>
      <c r="D332" t="s">
        <v>132</v>
      </c>
      <c r="E332" t="s">
        <v>140</v>
      </c>
      <c r="F332" t="s">
        <v>140</v>
      </c>
      <c r="G332">
        <v>0.18</v>
      </c>
      <c r="H332" t="s">
        <v>79</v>
      </c>
      <c r="I332">
        <v>-2</v>
      </c>
      <c r="J332" t="str">
        <f>HYPERLINK("https://www.eliteprospects.com/player/526476/chris-able")</f>
        <v>https://www.eliteprospects.com/player/526476/chris-able</v>
      </c>
      <c r="K332" t="s">
        <v>27</v>
      </c>
      <c r="L332" t="s">
        <v>28</v>
      </c>
      <c r="M332" t="s">
        <v>1296</v>
      </c>
      <c r="N332">
        <v>2</v>
      </c>
      <c r="O332" t="s">
        <v>43</v>
      </c>
      <c r="P332">
        <v>0.03</v>
      </c>
      <c r="Q332" t="s">
        <v>245</v>
      </c>
      <c r="R332">
        <v>28.6</v>
      </c>
      <c r="S332">
        <v>31.4</v>
      </c>
      <c r="T332">
        <v>28.6</v>
      </c>
      <c r="U332">
        <v>4.3</v>
      </c>
      <c r="V332">
        <v>7.1</v>
      </c>
    </row>
    <row r="333" spans="1:22" x14ac:dyDescent="0.25">
      <c r="A333" t="s">
        <v>1622</v>
      </c>
      <c r="B333" t="s">
        <v>158</v>
      </c>
      <c r="C333">
        <v>17</v>
      </c>
      <c r="D333" t="s">
        <v>132</v>
      </c>
      <c r="E333" t="s">
        <v>140</v>
      </c>
      <c r="F333" t="s">
        <v>140</v>
      </c>
      <c r="G333">
        <v>0.18</v>
      </c>
      <c r="H333" t="s">
        <v>79</v>
      </c>
      <c r="I333">
        <v>2</v>
      </c>
      <c r="J333" t="str">
        <f>HYPERLINK("https://www.eliteprospects.com/player/414965/noah-barlage")</f>
        <v>https://www.eliteprospects.com/player/414965/noah-barlage</v>
      </c>
      <c r="K333" t="s">
        <v>27</v>
      </c>
      <c r="L333" t="s">
        <v>28</v>
      </c>
      <c r="M333" t="s">
        <v>1296</v>
      </c>
      <c r="N333">
        <v>2</v>
      </c>
      <c r="O333" t="s">
        <v>43</v>
      </c>
      <c r="P333">
        <v>0.03</v>
      </c>
      <c r="Q333" t="s">
        <v>245</v>
      </c>
      <c r="R333">
        <v>28.6</v>
      </c>
      <c r="S333">
        <v>31.4</v>
      </c>
      <c r="T333">
        <v>28.6</v>
      </c>
      <c r="U333">
        <v>4.3</v>
      </c>
      <c r="V333">
        <v>7.1</v>
      </c>
    </row>
    <row r="334" spans="1:22" x14ac:dyDescent="0.25">
      <c r="A334" t="s">
        <v>1623</v>
      </c>
      <c r="B334" t="s">
        <v>86</v>
      </c>
      <c r="C334">
        <v>17</v>
      </c>
      <c r="D334" t="s">
        <v>132</v>
      </c>
      <c r="E334" t="s">
        <v>140</v>
      </c>
      <c r="F334" t="s">
        <v>140</v>
      </c>
      <c r="G334">
        <v>0.18</v>
      </c>
      <c r="H334" t="s">
        <v>66</v>
      </c>
      <c r="I334">
        <v>5</v>
      </c>
      <c r="J334" t="str">
        <f>HYPERLINK("https://www.eliteprospects.com/player/201772/travis-shoudy")</f>
        <v>https://www.eliteprospects.com/player/201772/travis-shoudy</v>
      </c>
      <c r="K334" t="s">
        <v>27</v>
      </c>
      <c r="L334" t="s">
        <v>28</v>
      </c>
      <c r="M334" t="s">
        <v>1296</v>
      </c>
      <c r="N334">
        <v>4</v>
      </c>
      <c r="O334" t="s">
        <v>30</v>
      </c>
      <c r="P334">
        <v>0.03</v>
      </c>
      <c r="Q334" t="s">
        <v>245</v>
      </c>
      <c r="R334">
        <v>28.6</v>
      </c>
      <c r="S334">
        <v>31.4</v>
      </c>
      <c r="T334">
        <v>28.6</v>
      </c>
      <c r="U334">
        <v>4.3</v>
      </c>
      <c r="V334">
        <v>7.1</v>
      </c>
    </row>
    <row r="335" spans="1:22" x14ac:dyDescent="0.25">
      <c r="A335" t="s">
        <v>1624</v>
      </c>
      <c r="B335" t="s">
        <v>150</v>
      </c>
      <c r="C335">
        <v>17</v>
      </c>
      <c r="D335" t="s">
        <v>132</v>
      </c>
      <c r="E335" t="s">
        <v>140</v>
      </c>
      <c r="F335" t="s">
        <v>140</v>
      </c>
      <c r="G335">
        <v>0.18</v>
      </c>
      <c r="H335" t="s">
        <v>66</v>
      </c>
      <c r="I335">
        <v>-5</v>
      </c>
      <c r="J335" t="str">
        <f>HYPERLINK("https://www.eliteprospects.com/player/538374/ethan-straky")</f>
        <v>https://www.eliteprospects.com/player/538374/ethan-straky</v>
      </c>
      <c r="K335" t="s">
        <v>27</v>
      </c>
      <c r="L335" t="s">
        <v>28</v>
      </c>
      <c r="M335" t="s">
        <v>1296</v>
      </c>
      <c r="N335">
        <v>4</v>
      </c>
      <c r="O335" t="s">
        <v>30</v>
      </c>
      <c r="P335">
        <v>0.03</v>
      </c>
      <c r="Q335" t="s">
        <v>245</v>
      </c>
      <c r="R335">
        <v>28.6</v>
      </c>
      <c r="S335">
        <v>31.4</v>
      </c>
      <c r="T335">
        <v>28.6</v>
      </c>
      <c r="U335">
        <v>4.3</v>
      </c>
      <c r="V335">
        <v>7.1</v>
      </c>
    </row>
    <row r="336" spans="1:22" x14ac:dyDescent="0.25">
      <c r="A336" t="s">
        <v>1625</v>
      </c>
      <c r="B336" t="s">
        <v>189</v>
      </c>
      <c r="C336">
        <v>17</v>
      </c>
      <c r="D336" t="s">
        <v>132</v>
      </c>
      <c r="E336" t="s">
        <v>140</v>
      </c>
      <c r="F336" t="s">
        <v>140</v>
      </c>
      <c r="G336">
        <v>0.18</v>
      </c>
      <c r="H336" t="s">
        <v>57</v>
      </c>
      <c r="I336">
        <v>-6</v>
      </c>
      <c r="J336" t="str">
        <f>HYPERLINK("https://www.eliteprospects.com/player/336953/nic-belpedio")</f>
        <v>https://www.eliteprospects.com/player/336953/nic-belpedio</v>
      </c>
      <c r="K336" t="s">
        <v>27</v>
      </c>
      <c r="L336" t="s">
        <v>28</v>
      </c>
      <c r="M336" t="s">
        <v>1296</v>
      </c>
      <c r="N336">
        <v>5</v>
      </c>
      <c r="O336" t="s">
        <v>67</v>
      </c>
      <c r="P336">
        <v>0.03</v>
      </c>
      <c r="Q336" t="s">
        <v>245</v>
      </c>
      <c r="R336">
        <v>28.6</v>
      </c>
      <c r="S336">
        <v>31.4</v>
      </c>
      <c r="T336">
        <v>28.6</v>
      </c>
      <c r="U336">
        <v>4.3</v>
      </c>
      <c r="V336">
        <v>7.1</v>
      </c>
    </row>
    <row r="337" spans="1:22" x14ac:dyDescent="0.25">
      <c r="A337" t="s">
        <v>1626</v>
      </c>
      <c r="B337" t="s">
        <v>163</v>
      </c>
      <c r="C337">
        <v>17</v>
      </c>
      <c r="D337" t="s">
        <v>132</v>
      </c>
      <c r="E337" t="s">
        <v>140</v>
      </c>
      <c r="F337" t="s">
        <v>140</v>
      </c>
      <c r="G337">
        <v>0.18</v>
      </c>
      <c r="H337" t="s">
        <v>32</v>
      </c>
      <c r="I337">
        <v>5</v>
      </c>
      <c r="J337" t="str">
        <f>HYPERLINK("https://www.eliteprospects.com/player/597873/alexander-bales")</f>
        <v>https://www.eliteprospects.com/player/597873/alexander-bales</v>
      </c>
      <c r="K337" t="s">
        <v>27</v>
      </c>
      <c r="L337" t="s">
        <v>28</v>
      </c>
      <c r="M337" t="s">
        <v>1296</v>
      </c>
      <c r="N337">
        <v>2</v>
      </c>
      <c r="O337" t="s">
        <v>43</v>
      </c>
      <c r="P337">
        <v>0.03</v>
      </c>
      <c r="Q337" t="s">
        <v>245</v>
      </c>
      <c r="R337">
        <v>28.6</v>
      </c>
      <c r="S337">
        <v>31.4</v>
      </c>
      <c r="T337">
        <v>28.6</v>
      </c>
      <c r="U337">
        <v>4.3</v>
      </c>
      <c r="V337">
        <v>7.1</v>
      </c>
    </row>
    <row r="338" spans="1:22" x14ac:dyDescent="0.25">
      <c r="A338" t="s">
        <v>1627</v>
      </c>
      <c r="B338" t="s">
        <v>158</v>
      </c>
      <c r="C338">
        <v>17</v>
      </c>
      <c r="D338" t="s">
        <v>132</v>
      </c>
      <c r="E338" t="s">
        <v>140</v>
      </c>
      <c r="F338" t="s">
        <v>140</v>
      </c>
      <c r="G338">
        <v>0.18</v>
      </c>
      <c r="H338" t="s">
        <v>55</v>
      </c>
      <c r="I338">
        <v>-5</v>
      </c>
      <c r="J338" t="str">
        <f>HYPERLINK("https://www.eliteprospects.com/player/485084/adam-cardona")</f>
        <v>https://www.eliteprospects.com/player/485084/adam-cardona</v>
      </c>
      <c r="K338" t="s">
        <v>27</v>
      </c>
      <c r="L338" t="s">
        <v>28</v>
      </c>
      <c r="M338" t="s">
        <v>1296</v>
      </c>
      <c r="N338">
        <v>3</v>
      </c>
      <c r="O338" t="s">
        <v>74</v>
      </c>
      <c r="P338">
        <v>0.03</v>
      </c>
      <c r="Q338" t="s">
        <v>245</v>
      </c>
      <c r="R338">
        <v>28.6</v>
      </c>
      <c r="S338">
        <v>31.4</v>
      </c>
      <c r="T338">
        <v>28.6</v>
      </c>
      <c r="U338">
        <v>4.3</v>
      </c>
      <c r="V338">
        <v>7.1</v>
      </c>
    </row>
    <row r="339" spans="1:22" x14ac:dyDescent="0.25">
      <c r="A339" t="s">
        <v>1628</v>
      </c>
      <c r="B339" t="s">
        <v>101</v>
      </c>
      <c r="C339">
        <v>18</v>
      </c>
      <c r="D339" t="s">
        <v>132</v>
      </c>
      <c r="E339" t="s">
        <v>140</v>
      </c>
      <c r="F339" t="s">
        <v>140</v>
      </c>
      <c r="G339">
        <v>0.17</v>
      </c>
      <c r="H339" t="s">
        <v>66</v>
      </c>
      <c r="I339">
        <v>-1</v>
      </c>
      <c r="J339" t="str">
        <f>HYPERLINK("https://www.eliteprospects.com/player/626727/jack-henry")</f>
        <v>https://www.eliteprospects.com/player/626727/jack-henry</v>
      </c>
      <c r="K339" t="s">
        <v>27</v>
      </c>
      <c r="L339" t="s">
        <v>28</v>
      </c>
      <c r="M339" t="s">
        <v>1296</v>
      </c>
      <c r="N339">
        <v>2</v>
      </c>
      <c r="O339" t="s">
        <v>43</v>
      </c>
      <c r="P339">
        <v>0.03</v>
      </c>
      <c r="Q339" t="s">
        <v>245</v>
      </c>
      <c r="R339">
        <v>28.6</v>
      </c>
      <c r="S339">
        <v>31.4</v>
      </c>
      <c r="T339">
        <v>28.6</v>
      </c>
      <c r="U339">
        <v>4.3</v>
      </c>
      <c r="V339">
        <v>7.1</v>
      </c>
    </row>
    <row r="340" spans="1:22" x14ac:dyDescent="0.25">
      <c r="A340" t="s">
        <v>1629</v>
      </c>
      <c r="B340" t="s">
        <v>312</v>
      </c>
      <c r="C340">
        <v>18</v>
      </c>
      <c r="D340" t="s">
        <v>132</v>
      </c>
      <c r="E340" t="s">
        <v>140</v>
      </c>
      <c r="F340" t="s">
        <v>140</v>
      </c>
      <c r="G340">
        <v>0.17</v>
      </c>
      <c r="H340" t="s">
        <v>32</v>
      </c>
      <c r="I340">
        <v>-13</v>
      </c>
      <c r="J340" t="str">
        <f>HYPERLINK("https://www.eliteprospects.com/player/537564/david-jesus")</f>
        <v>https://www.eliteprospects.com/player/537564/david-jesus</v>
      </c>
      <c r="K340" t="s">
        <v>27</v>
      </c>
      <c r="L340" t="s">
        <v>28</v>
      </c>
      <c r="M340" t="s">
        <v>1296</v>
      </c>
      <c r="N340">
        <v>5</v>
      </c>
      <c r="O340" t="s">
        <v>182</v>
      </c>
      <c r="P340">
        <v>0.03</v>
      </c>
      <c r="Q340" t="s">
        <v>245</v>
      </c>
      <c r="R340">
        <v>28.6</v>
      </c>
      <c r="S340">
        <v>31.4</v>
      </c>
      <c r="T340">
        <v>28.6</v>
      </c>
      <c r="U340">
        <v>4.3</v>
      </c>
      <c r="V340">
        <v>7.1</v>
      </c>
    </row>
    <row r="341" spans="1:22" x14ac:dyDescent="0.25">
      <c r="A341" t="s">
        <v>1630</v>
      </c>
      <c r="B341" t="s">
        <v>174</v>
      </c>
      <c r="C341">
        <v>19</v>
      </c>
      <c r="D341" t="s">
        <v>132</v>
      </c>
      <c r="E341" t="s">
        <v>140</v>
      </c>
      <c r="F341" t="s">
        <v>140</v>
      </c>
      <c r="G341">
        <v>0.16</v>
      </c>
      <c r="H341" t="s">
        <v>79</v>
      </c>
      <c r="I341">
        <v>-6</v>
      </c>
      <c r="J341" t="str">
        <f>HYPERLINK("https://www.eliteprospects.com/player/526057/nicholas-de-angelis")</f>
        <v>https://www.eliteprospects.com/player/526057/nicholas-de-angelis</v>
      </c>
      <c r="K341" t="s">
        <v>27</v>
      </c>
      <c r="L341" t="s">
        <v>28</v>
      </c>
      <c r="M341" t="s">
        <v>1296</v>
      </c>
      <c r="N341">
        <v>5</v>
      </c>
      <c r="O341" t="s">
        <v>147</v>
      </c>
      <c r="P341">
        <v>0.03</v>
      </c>
      <c r="Q341" t="s">
        <v>245</v>
      </c>
      <c r="R341">
        <v>28.6</v>
      </c>
      <c r="S341">
        <v>31.4</v>
      </c>
      <c r="T341">
        <v>28.6</v>
      </c>
      <c r="U341">
        <v>4.3</v>
      </c>
      <c r="V341">
        <v>7.1</v>
      </c>
    </row>
    <row r="342" spans="1:22" x14ac:dyDescent="0.25">
      <c r="A342" t="s">
        <v>1631</v>
      </c>
      <c r="B342" t="s">
        <v>80</v>
      </c>
      <c r="C342">
        <v>19</v>
      </c>
      <c r="D342" t="s">
        <v>132</v>
      </c>
      <c r="E342" t="s">
        <v>140</v>
      </c>
      <c r="F342" t="s">
        <v>140</v>
      </c>
      <c r="G342">
        <v>0.16</v>
      </c>
      <c r="H342" t="s">
        <v>26</v>
      </c>
      <c r="I342">
        <v>-1</v>
      </c>
      <c r="J342" t="str">
        <f>HYPERLINK("https://www.eliteprospects.com/player/512294/casey-aman")</f>
        <v>https://www.eliteprospects.com/player/512294/casey-aman</v>
      </c>
      <c r="K342" t="s">
        <v>27</v>
      </c>
      <c r="L342" t="s">
        <v>28</v>
      </c>
      <c r="M342" t="s">
        <v>1296</v>
      </c>
      <c r="N342">
        <v>3</v>
      </c>
      <c r="O342" t="s">
        <v>74</v>
      </c>
      <c r="P342">
        <v>0.03</v>
      </c>
      <c r="Q342" t="s">
        <v>245</v>
      </c>
      <c r="R342">
        <v>28.6</v>
      </c>
      <c r="S342">
        <v>31.4</v>
      </c>
      <c r="T342">
        <v>28.6</v>
      </c>
      <c r="U342">
        <v>4.3</v>
      </c>
      <c r="V342">
        <v>7.1</v>
      </c>
    </row>
    <row r="343" spans="1:22" x14ac:dyDescent="0.25">
      <c r="A343" t="s">
        <v>1632</v>
      </c>
      <c r="B343" t="s">
        <v>174</v>
      </c>
      <c r="C343">
        <v>19</v>
      </c>
      <c r="D343" t="s">
        <v>132</v>
      </c>
      <c r="E343" t="s">
        <v>140</v>
      </c>
      <c r="F343" t="s">
        <v>140</v>
      </c>
      <c r="G343">
        <v>0.16</v>
      </c>
      <c r="H343" t="s">
        <v>32</v>
      </c>
      <c r="I343">
        <v>1</v>
      </c>
      <c r="J343" t="str">
        <f>HYPERLINK("https://www.eliteprospects.com/player/563118/alex-carr")</f>
        <v>https://www.eliteprospects.com/player/563118/alex-carr</v>
      </c>
      <c r="K343" t="s">
        <v>27</v>
      </c>
      <c r="L343" t="s">
        <v>28</v>
      </c>
      <c r="M343" t="s">
        <v>1296</v>
      </c>
      <c r="N343">
        <v>6</v>
      </c>
      <c r="O343" t="s">
        <v>99</v>
      </c>
      <c r="P343">
        <v>0.03</v>
      </c>
      <c r="Q343" t="s">
        <v>245</v>
      </c>
      <c r="R343">
        <v>28.6</v>
      </c>
      <c r="S343">
        <v>31.4</v>
      </c>
      <c r="T343">
        <v>28.6</v>
      </c>
      <c r="U343">
        <v>4.3</v>
      </c>
      <c r="V343">
        <v>7.1</v>
      </c>
    </row>
    <row r="344" spans="1:22" x14ac:dyDescent="0.25">
      <c r="A344" t="s">
        <v>1633</v>
      </c>
      <c r="B344" t="s">
        <v>86</v>
      </c>
      <c r="C344">
        <v>20</v>
      </c>
      <c r="D344" t="s">
        <v>132</v>
      </c>
      <c r="E344" t="s">
        <v>140</v>
      </c>
      <c r="F344" t="s">
        <v>140</v>
      </c>
      <c r="G344">
        <v>0.15</v>
      </c>
      <c r="H344" t="s">
        <v>39</v>
      </c>
      <c r="I344">
        <v>8</v>
      </c>
      <c r="J344" t="str">
        <f>HYPERLINK("https://www.eliteprospects.com/player/815013/sean-barnhill")</f>
        <v>https://www.eliteprospects.com/player/815013/sean-barnhill</v>
      </c>
      <c r="K344" t="s">
        <v>27</v>
      </c>
      <c r="L344" t="s">
        <v>28</v>
      </c>
      <c r="M344" t="s">
        <v>1296</v>
      </c>
      <c r="N344">
        <v>1</v>
      </c>
      <c r="O344" t="s">
        <v>71</v>
      </c>
      <c r="P344">
        <v>0.03</v>
      </c>
      <c r="Q344" t="s">
        <v>245</v>
      </c>
      <c r="R344">
        <v>28.6</v>
      </c>
      <c r="S344">
        <v>31.4</v>
      </c>
      <c r="T344">
        <v>28.6</v>
      </c>
      <c r="U344">
        <v>4.3</v>
      </c>
      <c r="V344">
        <v>7.1</v>
      </c>
    </row>
    <row r="345" spans="1:22" x14ac:dyDescent="0.25">
      <c r="A345" t="s">
        <v>1634</v>
      </c>
      <c r="B345" t="s">
        <v>80</v>
      </c>
      <c r="C345">
        <v>20</v>
      </c>
      <c r="D345" t="s">
        <v>132</v>
      </c>
      <c r="E345" t="s">
        <v>140</v>
      </c>
      <c r="F345" t="s">
        <v>140</v>
      </c>
      <c r="G345">
        <v>0.15</v>
      </c>
      <c r="H345" t="s">
        <v>25</v>
      </c>
      <c r="I345">
        <v>3</v>
      </c>
      <c r="J345" t="str">
        <f>HYPERLINK("https://www.eliteprospects.com/player/661584/nolan-collins")</f>
        <v>https://www.eliteprospects.com/player/661584/nolan-collins</v>
      </c>
      <c r="K345" t="s">
        <v>27</v>
      </c>
      <c r="L345" t="s">
        <v>28</v>
      </c>
      <c r="M345" t="s">
        <v>1296</v>
      </c>
      <c r="N345">
        <v>5</v>
      </c>
      <c r="O345" t="s">
        <v>147</v>
      </c>
      <c r="P345">
        <v>0.03</v>
      </c>
      <c r="Q345" t="s">
        <v>245</v>
      </c>
      <c r="R345">
        <v>28.6</v>
      </c>
      <c r="S345">
        <v>31.4</v>
      </c>
      <c r="T345">
        <v>28.6</v>
      </c>
      <c r="U345">
        <v>4.3</v>
      </c>
      <c r="V345">
        <v>7.1</v>
      </c>
    </row>
    <row r="346" spans="1:22" x14ac:dyDescent="0.25">
      <c r="A346" t="s">
        <v>1635</v>
      </c>
      <c r="B346" t="s">
        <v>119</v>
      </c>
      <c r="C346">
        <v>21</v>
      </c>
      <c r="D346" t="s">
        <v>132</v>
      </c>
      <c r="E346" t="s">
        <v>140</v>
      </c>
      <c r="F346" t="s">
        <v>140</v>
      </c>
      <c r="G346">
        <v>0.14000000000000001</v>
      </c>
      <c r="H346" t="s">
        <v>26</v>
      </c>
      <c r="I346">
        <v>7</v>
      </c>
      <c r="J346" t="str">
        <f>HYPERLINK("https://www.eliteprospects.com/player/785527/jacob-rombach")</f>
        <v>https://www.eliteprospects.com/player/785527/jacob-rombach</v>
      </c>
      <c r="K346" t="s">
        <v>27</v>
      </c>
      <c r="L346" t="s">
        <v>28</v>
      </c>
      <c r="M346" t="s">
        <v>1296</v>
      </c>
      <c r="N346">
        <v>1</v>
      </c>
      <c r="O346" t="s">
        <v>71</v>
      </c>
      <c r="P346">
        <v>0.03</v>
      </c>
      <c r="Q346" t="s">
        <v>245</v>
      </c>
      <c r="R346">
        <v>28.6</v>
      </c>
      <c r="S346">
        <v>31.4</v>
      </c>
      <c r="T346">
        <v>28.6</v>
      </c>
      <c r="U346">
        <v>4.3</v>
      </c>
      <c r="V346">
        <v>7.1</v>
      </c>
    </row>
    <row r="347" spans="1:22" x14ac:dyDescent="0.25">
      <c r="A347" t="s">
        <v>1636</v>
      </c>
      <c r="B347" t="s">
        <v>124</v>
      </c>
      <c r="C347">
        <v>21</v>
      </c>
      <c r="D347" t="s">
        <v>132</v>
      </c>
      <c r="E347" t="s">
        <v>140</v>
      </c>
      <c r="F347" t="s">
        <v>140</v>
      </c>
      <c r="G347">
        <v>0.14000000000000001</v>
      </c>
      <c r="H347" t="s">
        <v>39</v>
      </c>
      <c r="I347">
        <v>-2</v>
      </c>
      <c r="J347" t="str">
        <f>HYPERLINK("https://www.eliteprospects.com/player/617842/shaun-mcewen")</f>
        <v>https://www.eliteprospects.com/player/617842/shaun-mcewen</v>
      </c>
      <c r="K347" t="s">
        <v>27</v>
      </c>
      <c r="L347" t="s">
        <v>28</v>
      </c>
      <c r="M347" t="s">
        <v>1296</v>
      </c>
      <c r="N347">
        <v>1</v>
      </c>
      <c r="O347" t="s">
        <v>71</v>
      </c>
      <c r="P347">
        <v>0.03</v>
      </c>
      <c r="Q347" t="s">
        <v>245</v>
      </c>
      <c r="R347">
        <v>28.6</v>
      </c>
      <c r="S347">
        <v>31.4</v>
      </c>
      <c r="T347">
        <v>28.6</v>
      </c>
      <c r="U347">
        <v>4.3</v>
      </c>
      <c r="V347">
        <v>7.1</v>
      </c>
    </row>
    <row r="348" spans="1:22" x14ac:dyDescent="0.25">
      <c r="A348" t="s">
        <v>1637</v>
      </c>
      <c r="B348" t="s">
        <v>146</v>
      </c>
      <c r="C348">
        <v>22</v>
      </c>
      <c r="D348" t="s">
        <v>132</v>
      </c>
      <c r="E348" t="s">
        <v>140</v>
      </c>
      <c r="F348" t="s">
        <v>140</v>
      </c>
      <c r="G348">
        <v>0.14000000000000001</v>
      </c>
      <c r="H348" t="s">
        <v>26</v>
      </c>
      <c r="I348">
        <v>8</v>
      </c>
      <c r="J348" t="str">
        <f>HYPERLINK("https://www.eliteprospects.com/player/498731/mike-brown")</f>
        <v>https://www.eliteprospects.com/player/498731/mike-brown</v>
      </c>
      <c r="K348" t="s">
        <v>27</v>
      </c>
      <c r="L348" t="s">
        <v>28</v>
      </c>
      <c r="M348" t="s">
        <v>1296</v>
      </c>
      <c r="N348">
        <v>5</v>
      </c>
      <c r="O348" t="s">
        <v>67</v>
      </c>
      <c r="P348">
        <v>0.03</v>
      </c>
      <c r="Q348" t="s">
        <v>245</v>
      </c>
      <c r="R348">
        <v>28.6</v>
      </c>
      <c r="S348">
        <v>31.4</v>
      </c>
      <c r="T348">
        <v>28.6</v>
      </c>
      <c r="U348">
        <v>4.3</v>
      </c>
      <c r="V348">
        <v>7.1</v>
      </c>
    </row>
    <row r="349" spans="1:22" x14ac:dyDescent="0.25">
      <c r="A349" t="s">
        <v>1638</v>
      </c>
      <c r="B349" t="s">
        <v>116</v>
      </c>
      <c r="C349">
        <v>22</v>
      </c>
      <c r="D349" t="s">
        <v>132</v>
      </c>
      <c r="E349" t="s">
        <v>140</v>
      </c>
      <c r="F349" t="s">
        <v>140</v>
      </c>
      <c r="G349">
        <v>0.14000000000000001</v>
      </c>
      <c r="H349" t="s">
        <v>38</v>
      </c>
      <c r="I349">
        <v>-15</v>
      </c>
      <c r="J349" t="str">
        <f>HYPERLINK("https://www.eliteprospects.com/player/639683/luke-santilli")</f>
        <v>https://www.eliteprospects.com/player/639683/luke-santilli</v>
      </c>
      <c r="K349" t="s">
        <v>27</v>
      </c>
      <c r="L349" t="s">
        <v>28</v>
      </c>
      <c r="M349" t="s">
        <v>1296</v>
      </c>
      <c r="N349">
        <v>1</v>
      </c>
      <c r="O349" t="s">
        <v>71</v>
      </c>
      <c r="P349">
        <v>0.03</v>
      </c>
      <c r="Q349" t="s">
        <v>245</v>
      </c>
      <c r="R349">
        <v>28.6</v>
      </c>
      <c r="S349">
        <v>31.4</v>
      </c>
      <c r="T349">
        <v>28.6</v>
      </c>
      <c r="U349">
        <v>4.3</v>
      </c>
      <c r="V349">
        <v>7.1</v>
      </c>
    </row>
    <row r="350" spans="1:22" x14ac:dyDescent="0.25">
      <c r="A350" t="s">
        <v>1639</v>
      </c>
      <c r="B350" t="s">
        <v>189</v>
      </c>
      <c r="C350">
        <v>22</v>
      </c>
      <c r="D350" t="s">
        <v>132</v>
      </c>
      <c r="E350" t="s">
        <v>140</v>
      </c>
      <c r="F350" t="s">
        <v>140</v>
      </c>
      <c r="G350">
        <v>0.14000000000000001</v>
      </c>
      <c r="H350" t="s">
        <v>55</v>
      </c>
      <c r="I350">
        <v>0</v>
      </c>
      <c r="J350" t="str">
        <f>HYPERLINK("https://www.eliteprospects.com/player/553206/logan-heroux")</f>
        <v>https://www.eliteprospects.com/player/553206/logan-heroux</v>
      </c>
      <c r="K350" t="s">
        <v>27</v>
      </c>
      <c r="L350" t="s">
        <v>28</v>
      </c>
      <c r="M350" t="s">
        <v>1296</v>
      </c>
      <c r="N350">
        <v>2</v>
      </c>
      <c r="O350" t="s">
        <v>43</v>
      </c>
      <c r="P350">
        <v>0.03</v>
      </c>
      <c r="Q350" t="s">
        <v>245</v>
      </c>
      <c r="R350">
        <v>28.6</v>
      </c>
      <c r="S350">
        <v>31.4</v>
      </c>
      <c r="T350">
        <v>28.6</v>
      </c>
      <c r="U350">
        <v>4.3</v>
      </c>
      <c r="V350">
        <v>7.1</v>
      </c>
    </row>
    <row r="351" spans="1:22" x14ac:dyDescent="0.25">
      <c r="A351" t="s">
        <v>1640</v>
      </c>
      <c r="B351" t="s">
        <v>64</v>
      </c>
      <c r="C351">
        <v>22</v>
      </c>
      <c r="D351" t="s">
        <v>132</v>
      </c>
      <c r="E351" t="s">
        <v>140</v>
      </c>
      <c r="F351" t="s">
        <v>140</v>
      </c>
      <c r="G351">
        <v>0.14000000000000001</v>
      </c>
      <c r="H351" t="s">
        <v>125</v>
      </c>
      <c r="I351">
        <v>0</v>
      </c>
      <c r="J351" t="str">
        <f>HYPERLINK("https://www.eliteprospects.com/player/417351/cole-miller")</f>
        <v>https://www.eliteprospects.com/player/417351/cole-miller</v>
      </c>
      <c r="K351" t="s">
        <v>27</v>
      </c>
      <c r="L351" t="s">
        <v>28</v>
      </c>
      <c r="M351" t="s">
        <v>1296</v>
      </c>
      <c r="N351">
        <v>3</v>
      </c>
      <c r="O351" t="s">
        <v>74</v>
      </c>
      <c r="P351">
        <v>0.03</v>
      </c>
      <c r="Q351" t="s">
        <v>245</v>
      </c>
      <c r="R351">
        <v>28.6</v>
      </c>
      <c r="S351">
        <v>31.4</v>
      </c>
      <c r="T351">
        <v>28.6</v>
      </c>
      <c r="U351">
        <v>4.3</v>
      </c>
      <c r="V351">
        <v>7.1</v>
      </c>
    </row>
    <row r="352" spans="1:22" x14ac:dyDescent="0.25">
      <c r="A352" t="s">
        <v>1641</v>
      </c>
      <c r="B352" t="s">
        <v>145</v>
      </c>
      <c r="C352">
        <v>23</v>
      </c>
      <c r="D352" t="s">
        <v>132</v>
      </c>
      <c r="E352" t="s">
        <v>140</v>
      </c>
      <c r="F352" t="s">
        <v>140</v>
      </c>
      <c r="G352">
        <v>0.13</v>
      </c>
      <c r="H352" t="s">
        <v>66</v>
      </c>
      <c r="I352">
        <v>5</v>
      </c>
      <c r="J352" t="str">
        <f>HYPERLINK("https://www.eliteprospects.com/player/535715/cale-ashcroft")</f>
        <v>https://www.eliteprospects.com/player/535715/cale-ashcroft</v>
      </c>
      <c r="K352" t="s">
        <v>27</v>
      </c>
      <c r="L352" t="s">
        <v>28</v>
      </c>
      <c r="M352" t="s">
        <v>1296</v>
      </c>
      <c r="N352">
        <v>3</v>
      </c>
      <c r="O352" t="s">
        <v>74</v>
      </c>
      <c r="P352">
        <v>0.03</v>
      </c>
      <c r="Q352" t="s">
        <v>245</v>
      </c>
      <c r="R352">
        <v>28.6</v>
      </c>
      <c r="S352">
        <v>31.4</v>
      </c>
      <c r="T352">
        <v>28.6</v>
      </c>
      <c r="U352">
        <v>4.3</v>
      </c>
      <c r="V352">
        <v>7.1</v>
      </c>
    </row>
    <row r="353" spans="1:22" x14ac:dyDescent="0.25">
      <c r="A353" t="s">
        <v>1642</v>
      </c>
      <c r="B353" t="s">
        <v>22</v>
      </c>
      <c r="C353">
        <v>24</v>
      </c>
      <c r="D353" t="s">
        <v>132</v>
      </c>
      <c r="E353" t="s">
        <v>140</v>
      </c>
      <c r="F353" t="s">
        <v>140</v>
      </c>
      <c r="G353">
        <v>0.13</v>
      </c>
      <c r="H353" t="s">
        <v>24</v>
      </c>
      <c r="I353">
        <v>-4</v>
      </c>
      <c r="J353" t="str">
        <f>HYPERLINK("https://www.eliteprospects.com/player/794994/richard-baran")</f>
        <v>https://www.eliteprospects.com/player/794994/richard-baran</v>
      </c>
      <c r="K353" t="s">
        <v>27</v>
      </c>
      <c r="L353" t="s">
        <v>28</v>
      </c>
      <c r="M353" t="s">
        <v>1296</v>
      </c>
      <c r="N353">
        <v>1</v>
      </c>
      <c r="O353" t="s">
        <v>71</v>
      </c>
      <c r="P353">
        <v>0.03</v>
      </c>
      <c r="Q353" t="s">
        <v>245</v>
      </c>
      <c r="R353">
        <v>28.6</v>
      </c>
      <c r="S353">
        <v>31.4</v>
      </c>
      <c r="T353">
        <v>28.6</v>
      </c>
      <c r="U353">
        <v>4.3</v>
      </c>
      <c r="V353">
        <v>7.1</v>
      </c>
    </row>
    <row r="354" spans="1:22" x14ac:dyDescent="0.25">
      <c r="A354" t="s">
        <v>1643</v>
      </c>
      <c r="B354" t="s">
        <v>83</v>
      </c>
      <c r="C354">
        <v>14</v>
      </c>
      <c r="D354" t="s">
        <v>79</v>
      </c>
      <c r="E354" t="s">
        <v>132</v>
      </c>
      <c r="F354" t="s">
        <v>79</v>
      </c>
      <c r="G354">
        <v>0.14000000000000001</v>
      </c>
      <c r="H354" t="s">
        <v>132</v>
      </c>
      <c r="I354">
        <v>0</v>
      </c>
      <c r="J354" t="str">
        <f>HYPERLINK("https://www.eliteprospects.com/player/586609/matthew-fusco")</f>
        <v>https://www.eliteprospects.com/player/586609/matthew-fusco</v>
      </c>
      <c r="K354" t="s">
        <v>27</v>
      </c>
      <c r="L354" t="s">
        <v>28</v>
      </c>
      <c r="M354" t="s">
        <v>1296</v>
      </c>
      <c r="N354">
        <v>3</v>
      </c>
      <c r="O354" t="s">
        <v>74</v>
      </c>
      <c r="P354">
        <v>0.03</v>
      </c>
      <c r="Q354" t="s">
        <v>245</v>
      </c>
      <c r="R354">
        <v>28.6</v>
      </c>
      <c r="S354">
        <v>31.4</v>
      </c>
      <c r="T354">
        <v>28.6</v>
      </c>
      <c r="U354">
        <v>4.3</v>
      </c>
      <c r="V354">
        <v>7.1</v>
      </c>
    </row>
    <row r="355" spans="1:22" x14ac:dyDescent="0.25">
      <c r="A355" t="s">
        <v>1644</v>
      </c>
      <c r="B355" t="s">
        <v>312</v>
      </c>
      <c r="C355">
        <v>17</v>
      </c>
      <c r="D355" t="s">
        <v>79</v>
      </c>
      <c r="E355" t="s">
        <v>132</v>
      </c>
      <c r="F355" t="s">
        <v>79</v>
      </c>
      <c r="G355">
        <v>0.12</v>
      </c>
      <c r="H355" t="s">
        <v>57</v>
      </c>
      <c r="I355">
        <v>-11</v>
      </c>
      <c r="J355" t="str">
        <f>HYPERLINK("https://www.eliteprospects.com/player/506461/ethan-warrener")</f>
        <v>https://www.eliteprospects.com/player/506461/ethan-warrener</v>
      </c>
      <c r="K355" t="s">
        <v>27</v>
      </c>
      <c r="L355" t="s">
        <v>28</v>
      </c>
      <c r="M355" t="s">
        <v>1296</v>
      </c>
      <c r="N355">
        <v>2</v>
      </c>
      <c r="O355" t="s">
        <v>43</v>
      </c>
      <c r="P355">
        <v>0.02</v>
      </c>
      <c r="Q355" t="s">
        <v>245</v>
      </c>
      <c r="R355">
        <v>28.6</v>
      </c>
      <c r="S355">
        <v>31.4</v>
      </c>
      <c r="T355">
        <v>28.6</v>
      </c>
      <c r="U355">
        <v>4.3</v>
      </c>
      <c r="V355">
        <v>7.1</v>
      </c>
    </row>
    <row r="356" spans="1:22" x14ac:dyDescent="0.25">
      <c r="A356" t="s">
        <v>1645</v>
      </c>
      <c r="B356" t="s">
        <v>165</v>
      </c>
      <c r="C356">
        <v>17</v>
      </c>
      <c r="D356" t="s">
        <v>79</v>
      </c>
      <c r="E356" t="s">
        <v>132</v>
      </c>
      <c r="F356" t="s">
        <v>79</v>
      </c>
      <c r="G356">
        <v>0.12</v>
      </c>
      <c r="H356" t="s">
        <v>23</v>
      </c>
      <c r="I356">
        <v>-1</v>
      </c>
      <c r="J356" t="str">
        <f>HYPERLINK("https://www.eliteprospects.com/player/481351/antonio-fernandez")</f>
        <v>https://www.eliteprospects.com/player/481351/antonio-fernandez</v>
      </c>
      <c r="K356" t="s">
        <v>27</v>
      </c>
      <c r="L356" t="s">
        <v>28</v>
      </c>
      <c r="M356" t="s">
        <v>1296</v>
      </c>
      <c r="N356">
        <v>3</v>
      </c>
      <c r="O356" t="s">
        <v>74</v>
      </c>
      <c r="P356">
        <v>0.02</v>
      </c>
      <c r="Q356" t="s">
        <v>245</v>
      </c>
      <c r="R356">
        <v>28.6</v>
      </c>
      <c r="S356">
        <v>31.4</v>
      </c>
      <c r="T356">
        <v>28.6</v>
      </c>
      <c r="U356">
        <v>4.3</v>
      </c>
      <c r="V356">
        <v>7.1</v>
      </c>
    </row>
    <row r="357" spans="1:22" x14ac:dyDescent="0.25">
      <c r="A357" t="s">
        <v>1646</v>
      </c>
      <c r="B357" t="s">
        <v>148</v>
      </c>
      <c r="C357">
        <v>23</v>
      </c>
      <c r="D357" t="s">
        <v>79</v>
      </c>
      <c r="E357" t="s">
        <v>132</v>
      </c>
      <c r="F357" t="s">
        <v>79</v>
      </c>
      <c r="G357">
        <v>0.09</v>
      </c>
      <c r="H357" t="s">
        <v>32</v>
      </c>
      <c r="I357">
        <v>-3</v>
      </c>
      <c r="J357" t="str">
        <f>HYPERLINK("https://www.eliteprospects.com/player/628578/samo-meritahti")</f>
        <v>https://www.eliteprospects.com/player/628578/samo-meritahti</v>
      </c>
      <c r="K357" t="s">
        <v>27</v>
      </c>
      <c r="L357" t="s">
        <v>28</v>
      </c>
      <c r="M357" t="s">
        <v>1296</v>
      </c>
      <c r="N357">
        <v>2</v>
      </c>
      <c r="O357" t="s">
        <v>43</v>
      </c>
      <c r="P357">
        <v>0.02</v>
      </c>
      <c r="Q357" t="s">
        <v>245</v>
      </c>
      <c r="R357">
        <v>28.6</v>
      </c>
      <c r="S357">
        <v>31.4</v>
      </c>
      <c r="T357">
        <v>28.6</v>
      </c>
      <c r="U357">
        <v>4.3</v>
      </c>
      <c r="V357">
        <v>7.1</v>
      </c>
    </row>
    <row r="358" spans="1:22" x14ac:dyDescent="0.25">
      <c r="A358" t="s">
        <v>1647</v>
      </c>
      <c r="B358" t="s">
        <v>82</v>
      </c>
      <c r="C358">
        <v>12</v>
      </c>
      <c r="D358" t="s">
        <v>260</v>
      </c>
      <c r="E358" t="s">
        <v>260</v>
      </c>
      <c r="F358" t="s">
        <v>79</v>
      </c>
      <c r="G358">
        <v>0.17</v>
      </c>
      <c r="H358" t="s">
        <v>132</v>
      </c>
      <c r="I358">
        <v>1</v>
      </c>
      <c r="J358" t="str">
        <f>HYPERLINK("https://www.eliteprospects.com/player/428800/patrik-satosaari")</f>
        <v>https://www.eliteprospects.com/player/428800/patrik-satosaari</v>
      </c>
      <c r="K358" t="s">
        <v>27</v>
      </c>
      <c r="L358" t="s">
        <v>28</v>
      </c>
      <c r="M358" t="s">
        <v>1296</v>
      </c>
      <c r="N358">
        <v>4</v>
      </c>
      <c r="O358" t="s">
        <v>30</v>
      </c>
      <c r="P358">
        <v>0.03</v>
      </c>
      <c r="Q358" t="s">
        <v>245</v>
      </c>
      <c r="R358">
        <v>28.6</v>
      </c>
      <c r="S358">
        <v>31.4</v>
      </c>
      <c r="T358">
        <v>28.6</v>
      </c>
      <c r="U358">
        <v>4.3</v>
      </c>
      <c r="V358">
        <v>7.1</v>
      </c>
    </row>
    <row r="359" spans="1:22" x14ac:dyDescent="0.25">
      <c r="A359" t="s">
        <v>1648</v>
      </c>
      <c r="B359" t="s">
        <v>114</v>
      </c>
      <c r="C359">
        <v>12</v>
      </c>
      <c r="D359" t="s">
        <v>260</v>
      </c>
      <c r="E359" t="s">
        <v>260</v>
      </c>
      <c r="F359" t="s">
        <v>79</v>
      </c>
      <c r="G359">
        <v>0.17</v>
      </c>
      <c r="H359" t="s">
        <v>51</v>
      </c>
      <c r="I359">
        <v>-2</v>
      </c>
      <c r="J359" t="str">
        <f>HYPERLINK("https://www.eliteprospects.com/player/565770/brody-mortensen")</f>
        <v>https://www.eliteprospects.com/player/565770/brody-mortensen</v>
      </c>
      <c r="K359" t="s">
        <v>27</v>
      </c>
      <c r="L359" t="s">
        <v>28</v>
      </c>
      <c r="M359" t="s">
        <v>1296</v>
      </c>
      <c r="N359">
        <v>2</v>
      </c>
      <c r="O359" t="s">
        <v>43</v>
      </c>
      <c r="P359">
        <v>0.03</v>
      </c>
      <c r="Q359" t="s">
        <v>245</v>
      </c>
      <c r="R359">
        <v>28.6</v>
      </c>
      <c r="S359">
        <v>31.4</v>
      </c>
      <c r="T359">
        <v>28.6</v>
      </c>
      <c r="U359">
        <v>4.3</v>
      </c>
      <c r="V359">
        <v>7.1</v>
      </c>
    </row>
    <row r="360" spans="1:22" x14ac:dyDescent="0.25">
      <c r="A360" t="s">
        <v>1649</v>
      </c>
      <c r="B360" t="s">
        <v>165</v>
      </c>
      <c r="C360">
        <v>13</v>
      </c>
      <c r="D360" t="s">
        <v>260</v>
      </c>
      <c r="E360" t="s">
        <v>260</v>
      </c>
      <c r="F360" t="s">
        <v>79</v>
      </c>
      <c r="G360">
        <v>0.15</v>
      </c>
      <c r="H360" t="s">
        <v>132</v>
      </c>
      <c r="I360">
        <v>2</v>
      </c>
      <c r="J360" t="str">
        <f>HYPERLINK("https://www.eliteprospects.com/player/290047/bobby-metz")</f>
        <v>https://www.eliteprospects.com/player/290047/bobby-metz</v>
      </c>
      <c r="K360" t="s">
        <v>27</v>
      </c>
      <c r="L360" t="s">
        <v>28</v>
      </c>
      <c r="M360" t="s">
        <v>1296</v>
      </c>
      <c r="N360">
        <v>4</v>
      </c>
      <c r="O360" t="s">
        <v>30</v>
      </c>
      <c r="P360">
        <v>0.03</v>
      </c>
      <c r="Q360" t="s">
        <v>245</v>
      </c>
      <c r="R360">
        <v>28.6</v>
      </c>
      <c r="S360">
        <v>31.4</v>
      </c>
      <c r="T360">
        <v>28.6</v>
      </c>
      <c r="U360">
        <v>4.3</v>
      </c>
      <c r="V360">
        <v>7.1</v>
      </c>
    </row>
    <row r="361" spans="1:22" x14ac:dyDescent="0.25">
      <c r="A361" t="s">
        <v>1650</v>
      </c>
      <c r="B361" t="s">
        <v>146</v>
      </c>
      <c r="C361">
        <v>13</v>
      </c>
      <c r="D361" t="s">
        <v>260</v>
      </c>
      <c r="E361" t="s">
        <v>260</v>
      </c>
      <c r="F361" t="s">
        <v>79</v>
      </c>
      <c r="G361">
        <v>0.15</v>
      </c>
      <c r="H361" t="s">
        <v>79</v>
      </c>
      <c r="I361">
        <v>-2</v>
      </c>
      <c r="J361" t="str">
        <f>HYPERLINK("https://www.eliteprospects.com/player/556515/tyson-galloway")</f>
        <v>https://www.eliteprospects.com/player/556515/tyson-galloway</v>
      </c>
      <c r="K361" t="s">
        <v>27</v>
      </c>
      <c r="L361" t="s">
        <v>28</v>
      </c>
      <c r="M361" t="s">
        <v>1296</v>
      </c>
      <c r="N361">
        <v>6</v>
      </c>
      <c r="O361" t="s">
        <v>193</v>
      </c>
      <c r="P361">
        <v>0.03</v>
      </c>
      <c r="Q361" t="s">
        <v>245</v>
      </c>
      <c r="R361">
        <v>28.6</v>
      </c>
      <c r="S361">
        <v>31.4</v>
      </c>
      <c r="T361">
        <v>28.6</v>
      </c>
      <c r="U361">
        <v>4.3</v>
      </c>
      <c r="V361">
        <v>7.1</v>
      </c>
    </row>
    <row r="362" spans="1:22" x14ac:dyDescent="0.25">
      <c r="A362" t="s">
        <v>1651</v>
      </c>
      <c r="B362" t="s">
        <v>362</v>
      </c>
      <c r="C362">
        <v>13</v>
      </c>
      <c r="D362" t="s">
        <v>260</v>
      </c>
      <c r="E362" t="s">
        <v>260</v>
      </c>
      <c r="F362" t="s">
        <v>79</v>
      </c>
      <c r="G362">
        <v>0.15</v>
      </c>
      <c r="H362" t="s">
        <v>32</v>
      </c>
      <c r="I362">
        <v>-9</v>
      </c>
      <c r="J362" t="str">
        <f>HYPERLINK("https://www.eliteprospects.com/player/570743/francesco-iasenza")</f>
        <v>https://www.eliteprospects.com/player/570743/francesco-iasenza</v>
      </c>
      <c r="K362" t="s">
        <v>27</v>
      </c>
      <c r="L362" t="s">
        <v>28</v>
      </c>
      <c r="M362" t="s">
        <v>1296</v>
      </c>
      <c r="N362">
        <v>6</v>
      </c>
      <c r="O362" t="s">
        <v>99</v>
      </c>
      <c r="P362">
        <v>0.03</v>
      </c>
      <c r="Q362" t="s">
        <v>245</v>
      </c>
      <c r="R362">
        <v>28.6</v>
      </c>
      <c r="S362">
        <v>31.4</v>
      </c>
      <c r="T362">
        <v>28.6</v>
      </c>
      <c r="U362">
        <v>4.3</v>
      </c>
      <c r="V362">
        <v>7.1</v>
      </c>
    </row>
    <row r="363" spans="1:22" x14ac:dyDescent="0.25">
      <c r="A363" t="s">
        <v>1652</v>
      </c>
      <c r="B363" t="s">
        <v>174</v>
      </c>
      <c r="C363">
        <v>14</v>
      </c>
      <c r="D363" t="s">
        <v>260</v>
      </c>
      <c r="E363" t="s">
        <v>260</v>
      </c>
      <c r="F363" t="s">
        <v>79</v>
      </c>
      <c r="G363">
        <v>0.14000000000000001</v>
      </c>
      <c r="H363" t="s">
        <v>79</v>
      </c>
      <c r="I363">
        <v>0</v>
      </c>
      <c r="J363" t="str">
        <f>HYPERLINK("https://www.eliteprospects.com/player/603202/josh-player")</f>
        <v>https://www.eliteprospects.com/player/603202/josh-player</v>
      </c>
      <c r="K363" t="s">
        <v>27</v>
      </c>
      <c r="L363" t="s">
        <v>28</v>
      </c>
      <c r="M363" t="s">
        <v>1296</v>
      </c>
      <c r="N363">
        <v>2</v>
      </c>
      <c r="O363" t="s">
        <v>43</v>
      </c>
      <c r="P363">
        <v>0.03</v>
      </c>
      <c r="Q363" t="s">
        <v>245</v>
      </c>
      <c r="R363">
        <v>28.6</v>
      </c>
      <c r="S363">
        <v>31.4</v>
      </c>
      <c r="T363">
        <v>28.6</v>
      </c>
      <c r="U363">
        <v>4.3</v>
      </c>
      <c r="V363">
        <v>7.1</v>
      </c>
    </row>
    <row r="364" spans="1:22" x14ac:dyDescent="0.25">
      <c r="A364" t="s">
        <v>1653</v>
      </c>
      <c r="B364" t="s">
        <v>114</v>
      </c>
      <c r="C364">
        <v>14</v>
      </c>
      <c r="D364" t="s">
        <v>260</v>
      </c>
      <c r="E364" t="s">
        <v>260</v>
      </c>
      <c r="F364" t="s">
        <v>79</v>
      </c>
      <c r="G364">
        <v>0.14000000000000001</v>
      </c>
      <c r="H364" t="s">
        <v>26</v>
      </c>
      <c r="I364">
        <v>-2</v>
      </c>
      <c r="J364" t="str">
        <f>HYPERLINK("https://www.eliteprospects.com/player/613836/jacob-delaney")</f>
        <v>https://www.eliteprospects.com/player/613836/jacob-delaney</v>
      </c>
      <c r="K364" t="s">
        <v>27</v>
      </c>
      <c r="L364" t="s">
        <v>28</v>
      </c>
      <c r="M364" t="s">
        <v>1296</v>
      </c>
      <c r="N364">
        <v>1</v>
      </c>
      <c r="O364" t="s">
        <v>71</v>
      </c>
      <c r="P364">
        <v>0.03</v>
      </c>
      <c r="Q364" t="s">
        <v>245</v>
      </c>
      <c r="R364">
        <v>28.6</v>
      </c>
      <c r="S364">
        <v>31.4</v>
      </c>
      <c r="T364">
        <v>28.6</v>
      </c>
      <c r="U364">
        <v>4.3</v>
      </c>
      <c r="V364">
        <v>7.1</v>
      </c>
    </row>
    <row r="365" spans="1:22" x14ac:dyDescent="0.25">
      <c r="A365" t="s">
        <v>1654</v>
      </c>
      <c r="B365" t="s">
        <v>222</v>
      </c>
      <c r="C365">
        <v>16</v>
      </c>
      <c r="D365" t="s">
        <v>260</v>
      </c>
      <c r="E365" t="s">
        <v>260</v>
      </c>
      <c r="F365" t="s">
        <v>79</v>
      </c>
      <c r="G365">
        <v>0.13</v>
      </c>
      <c r="H365" t="s">
        <v>39</v>
      </c>
      <c r="I365">
        <v>-6</v>
      </c>
      <c r="J365" t="str">
        <f>HYPERLINK("https://www.eliteprospects.com/player/675843/hudson-miller")</f>
        <v>https://www.eliteprospects.com/player/675843/hudson-miller</v>
      </c>
      <c r="K365" t="s">
        <v>27</v>
      </c>
      <c r="L365" t="s">
        <v>28</v>
      </c>
      <c r="M365" t="s">
        <v>1296</v>
      </c>
      <c r="N365">
        <v>1</v>
      </c>
      <c r="O365" t="s">
        <v>71</v>
      </c>
      <c r="P365">
        <v>0.03</v>
      </c>
      <c r="Q365" t="s">
        <v>245</v>
      </c>
      <c r="R365">
        <v>28.6</v>
      </c>
      <c r="S365">
        <v>31.4</v>
      </c>
      <c r="T365">
        <v>28.6</v>
      </c>
      <c r="U365">
        <v>4.3</v>
      </c>
      <c r="V365">
        <v>7.1</v>
      </c>
    </row>
    <row r="366" spans="1:22" x14ac:dyDescent="0.25">
      <c r="A366" t="s">
        <v>1655</v>
      </c>
      <c r="B366" t="s">
        <v>119</v>
      </c>
      <c r="C366">
        <v>17</v>
      </c>
      <c r="D366" t="s">
        <v>260</v>
      </c>
      <c r="E366" t="s">
        <v>260</v>
      </c>
      <c r="F366" t="s">
        <v>79</v>
      </c>
      <c r="G366">
        <v>0.12</v>
      </c>
      <c r="H366" t="s">
        <v>132</v>
      </c>
      <c r="I366">
        <v>-2</v>
      </c>
      <c r="J366" t="str">
        <f>HYPERLINK("https://www.eliteprospects.com/player/623764/max-rud")</f>
        <v>https://www.eliteprospects.com/player/623764/max-rud</v>
      </c>
      <c r="K366" t="s">
        <v>27</v>
      </c>
      <c r="L366" t="s">
        <v>28</v>
      </c>
      <c r="M366" t="s">
        <v>1296</v>
      </c>
      <c r="N366">
        <v>3</v>
      </c>
      <c r="O366" t="s">
        <v>74</v>
      </c>
      <c r="P366">
        <v>0.02</v>
      </c>
      <c r="Q366" t="s">
        <v>245</v>
      </c>
      <c r="R366">
        <v>28.6</v>
      </c>
      <c r="S366">
        <v>31.4</v>
      </c>
      <c r="T366">
        <v>28.6</v>
      </c>
      <c r="U366">
        <v>4.3</v>
      </c>
      <c r="V366">
        <v>7.1</v>
      </c>
    </row>
    <row r="367" spans="1:22" x14ac:dyDescent="0.25">
      <c r="A367" t="s">
        <v>1656</v>
      </c>
      <c r="B367" t="s">
        <v>128</v>
      </c>
      <c r="C367">
        <v>17</v>
      </c>
      <c r="D367" t="s">
        <v>260</v>
      </c>
      <c r="E367" t="s">
        <v>260</v>
      </c>
      <c r="F367" t="s">
        <v>79</v>
      </c>
      <c r="G367">
        <v>0.12</v>
      </c>
      <c r="H367" t="s">
        <v>84</v>
      </c>
      <c r="I367">
        <v>-2</v>
      </c>
      <c r="J367" t="str">
        <f>HYPERLINK("https://www.eliteprospects.com/player/717246/ivan-korodiuk")</f>
        <v>https://www.eliteprospects.com/player/717246/ivan-korodiuk</v>
      </c>
      <c r="K367" t="s">
        <v>27</v>
      </c>
      <c r="L367" t="s">
        <v>28</v>
      </c>
      <c r="M367" t="s">
        <v>1296</v>
      </c>
      <c r="N367">
        <v>2</v>
      </c>
      <c r="O367" t="s">
        <v>43</v>
      </c>
      <c r="P367">
        <v>0.02</v>
      </c>
      <c r="Q367" t="s">
        <v>245</v>
      </c>
      <c r="R367">
        <v>28.6</v>
      </c>
      <c r="S367">
        <v>31.4</v>
      </c>
      <c r="T367">
        <v>28.6</v>
      </c>
      <c r="U367">
        <v>4.3</v>
      </c>
      <c r="V367">
        <v>7.1</v>
      </c>
    </row>
    <row r="368" spans="1:22" x14ac:dyDescent="0.25">
      <c r="A368" t="s">
        <v>1657</v>
      </c>
      <c r="B368" t="s">
        <v>238</v>
      </c>
      <c r="C368">
        <v>17</v>
      </c>
      <c r="D368" t="s">
        <v>260</v>
      </c>
      <c r="E368" t="s">
        <v>260</v>
      </c>
      <c r="F368" t="s">
        <v>79</v>
      </c>
      <c r="G368">
        <v>0.12</v>
      </c>
      <c r="H368" t="s">
        <v>84</v>
      </c>
      <c r="I368">
        <v>-7</v>
      </c>
      <c r="J368" t="str">
        <f>HYPERLINK("https://www.eliteprospects.com/player/478259/james-goffredo")</f>
        <v>https://www.eliteprospects.com/player/478259/james-goffredo</v>
      </c>
      <c r="K368" t="s">
        <v>27</v>
      </c>
      <c r="L368" t="s">
        <v>28</v>
      </c>
      <c r="M368" t="s">
        <v>1296</v>
      </c>
      <c r="N368">
        <v>3</v>
      </c>
      <c r="O368" t="s">
        <v>74</v>
      </c>
      <c r="P368">
        <v>0.02</v>
      </c>
      <c r="Q368" t="s">
        <v>245</v>
      </c>
      <c r="R368">
        <v>28.6</v>
      </c>
      <c r="S368">
        <v>31.4</v>
      </c>
      <c r="T368">
        <v>28.6</v>
      </c>
      <c r="U368">
        <v>4.3</v>
      </c>
      <c r="V368">
        <v>7.1</v>
      </c>
    </row>
    <row r="369" spans="1:22" x14ac:dyDescent="0.25">
      <c r="A369" t="s">
        <v>1658</v>
      </c>
      <c r="B369" t="s">
        <v>116</v>
      </c>
      <c r="C369">
        <v>18</v>
      </c>
      <c r="D369" t="s">
        <v>260</v>
      </c>
      <c r="E369" t="s">
        <v>260</v>
      </c>
      <c r="F369" t="s">
        <v>79</v>
      </c>
      <c r="G369">
        <v>0.11</v>
      </c>
      <c r="H369" t="s">
        <v>132</v>
      </c>
      <c r="I369">
        <v>-4</v>
      </c>
      <c r="J369" t="str">
        <f>HYPERLINK("https://www.eliteprospects.com/player/478559/jake-lammens")</f>
        <v>https://www.eliteprospects.com/player/478559/jake-lammens</v>
      </c>
      <c r="K369" t="s">
        <v>27</v>
      </c>
      <c r="L369" t="s">
        <v>28</v>
      </c>
      <c r="M369" t="s">
        <v>1296</v>
      </c>
      <c r="N369">
        <v>3</v>
      </c>
      <c r="O369" t="s">
        <v>74</v>
      </c>
      <c r="P369">
        <v>0.02</v>
      </c>
      <c r="Q369" t="s">
        <v>245</v>
      </c>
      <c r="R369">
        <v>28.6</v>
      </c>
      <c r="S369">
        <v>31.4</v>
      </c>
      <c r="T369">
        <v>28.6</v>
      </c>
      <c r="U369">
        <v>4.3</v>
      </c>
      <c r="V369">
        <v>7.1</v>
      </c>
    </row>
    <row r="370" spans="1:22" x14ac:dyDescent="0.25">
      <c r="A370" t="s">
        <v>1659</v>
      </c>
      <c r="B370" t="s">
        <v>189</v>
      </c>
      <c r="C370">
        <v>18</v>
      </c>
      <c r="D370" t="s">
        <v>260</v>
      </c>
      <c r="E370" t="s">
        <v>260</v>
      </c>
      <c r="F370" t="s">
        <v>79</v>
      </c>
      <c r="G370">
        <v>0.11</v>
      </c>
      <c r="H370" t="s">
        <v>23</v>
      </c>
      <c r="I370">
        <v>-10</v>
      </c>
      <c r="J370" t="str">
        <f>HYPERLINK("https://www.eliteprospects.com/player/395047/valtteri-piironen")</f>
        <v>https://www.eliteprospects.com/player/395047/valtteri-piironen</v>
      </c>
      <c r="K370" t="s">
        <v>27</v>
      </c>
      <c r="L370" t="s">
        <v>28</v>
      </c>
      <c r="M370" t="s">
        <v>1296</v>
      </c>
      <c r="N370">
        <v>4</v>
      </c>
      <c r="O370" t="s">
        <v>30</v>
      </c>
      <c r="P370">
        <v>0.02</v>
      </c>
      <c r="Q370" t="s">
        <v>245</v>
      </c>
      <c r="R370">
        <v>28.6</v>
      </c>
      <c r="S370">
        <v>31.4</v>
      </c>
      <c r="T370">
        <v>28.6</v>
      </c>
      <c r="U370">
        <v>4.3</v>
      </c>
      <c r="V370">
        <v>7.1</v>
      </c>
    </row>
    <row r="371" spans="1:22" x14ac:dyDescent="0.25">
      <c r="A371" t="s">
        <v>1660</v>
      </c>
      <c r="B371" t="s">
        <v>224</v>
      </c>
      <c r="C371">
        <v>19</v>
      </c>
      <c r="D371" t="s">
        <v>260</v>
      </c>
      <c r="E371" t="s">
        <v>260</v>
      </c>
      <c r="F371" t="s">
        <v>79</v>
      </c>
      <c r="G371">
        <v>0.11</v>
      </c>
      <c r="H371" t="s">
        <v>26</v>
      </c>
      <c r="I371">
        <v>-4</v>
      </c>
      <c r="J371" t="str">
        <f>HYPERLINK("https://www.eliteprospects.com/player/385677/greg-japchen")</f>
        <v>https://www.eliteprospects.com/player/385677/greg-japchen</v>
      </c>
      <c r="K371" t="s">
        <v>27</v>
      </c>
      <c r="L371" t="s">
        <v>28</v>
      </c>
      <c r="M371" t="s">
        <v>1296</v>
      </c>
      <c r="N371">
        <v>4</v>
      </c>
      <c r="O371" t="s">
        <v>30</v>
      </c>
      <c r="P371">
        <v>0.02</v>
      </c>
      <c r="Q371" t="s">
        <v>245</v>
      </c>
      <c r="R371">
        <v>28.6</v>
      </c>
      <c r="S371">
        <v>31.4</v>
      </c>
      <c r="T371">
        <v>28.6</v>
      </c>
      <c r="U371">
        <v>4.3</v>
      </c>
      <c r="V371">
        <v>7.1</v>
      </c>
    </row>
    <row r="372" spans="1:22" x14ac:dyDescent="0.25">
      <c r="A372" t="s">
        <v>1661</v>
      </c>
      <c r="B372" t="s">
        <v>163</v>
      </c>
      <c r="C372">
        <v>19</v>
      </c>
      <c r="D372" t="s">
        <v>260</v>
      </c>
      <c r="E372" t="s">
        <v>260</v>
      </c>
      <c r="F372" t="s">
        <v>79</v>
      </c>
      <c r="G372">
        <v>0.11</v>
      </c>
      <c r="H372" t="s">
        <v>26</v>
      </c>
      <c r="I372">
        <v>6</v>
      </c>
      <c r="J372" t="str">
        <f>HYPERLINK("https://www.eliteprospects.com/player/626540/donovan-mccoy")</f>
        <v>https://www.eliteprospects.com/player/626540/donovan-mccoy</v>
      </c>
      <c r="K372" t="s">
        <v>27</v>
      </c>
      <c r="L372" t="s">
        <v>28</v>
      </c>
      <c r="M372" t="s">
        <v>1296</v>
      </c>
      <c r="N372">
        <v>7</v>
      </c>
      <c r="O372" t="s">
        <v>159</v>
      </c>
      <c r="P372">
        <v>0.02</v>
      </c>
      <c r="Q372" t="s">
        <v>245</v>
      </c>
      <c r="R372">
        <v>28.6</v>
      </c>
      <c r="S372">
        <v>31.4</v>
      </c>
      <c r="T372">
        <v>28.6</v>
      </c>
      <c r="U372">
        <v>4.3</v>
      </c>
      <c r="V372">
        <v>7.1</v>
      </c>
    </row>
    <row r="373" spans="1:22" x14ac:dyDescent="0.25">
      <c r="A373" t="s">
        <v>1662</v>
      </c>
      <c r="B373" t="s">
        <v>103</v>
      </c>
      <c r="C373">
        <v>20</v>
      </c>
      <c r="D373" t="s">
        <v>260</v>
      </c>
      <c r="E373" t="s">
        <v>260</v>
      </c>
      <c r="F373" t="s">
        <v>79</v>
      </c>
      <c r="G373">
        <v>0.1</v>
      </c>
      <c r="H373" t="s">
        <v>132</v>
      </c>
      <c r="I373">
        <v>-4</v>
      </c>
      <c r="J373" t="str">
        <f>HYPERLINK("https://www.eliteprospects.com/player/822279/landon-nycz")</f>
        <v>https://www.eliteprospects.com/player/822279/landon-nycz</v>
      </c>
      <c r="K373" t="s">
        <v>27</v>
      </c>
      <c r="L373" t="s">
        <v>28</v>
      </c>
      <c r="M373" t="s">
        <v>1296</v>
      </c>
      <c r="N373">
        <v>1</v>
      </c>
      <c r="O373" t="s">
        <v>71</v>
      </c>
      <c r="P373">
        <v>0.02</v>
      </c>
      <c r="Q373" t="s">
        <v>245</v>
      </c>
      <c r="R373">
        <v>28.6</v>
      </c>
      <c r="S373">
        <v>31.4</v>
      </c>
      <c r="T373">
        <v>28.6</v>
      </c>
      <c r="U373">
        <v>4.3</v>
      </c>
      <c r="V373">
        <v>7.1</v>
      </c>
    </row>
    <row r="374" spans="1:22" x14ac:dyDescent="0.25">
      <c r="A374" t="s">
        <v>1663</v>
      </c>
      <c r="B374" t="s">
        <v>119</v>
      </c>
      <c r="C374">
        <v>21</v>
      </c>
      <c r="D374" t="s">
        <v>260</v>
      </c>
      <c r="E374" t="s">
        <v>260</v>
      </c>
      <c r="F374" t="s">
        <v>79</v>
      </c>
      <c r="G374">
        <v>0.1</v>
      </c>
      <c r="H374" t="s">
        <v>26</v>
      </c>
      <c r="I374">
        <v>5</v>
      </c>
      <c r="J374" t="str">
        <f>HYPERLINK("https://www.eliteprospects.com/player/597751/john-whipple")</f>
        <v>https://www.eliteprospects.com/player/597751/john-whipple</v>
      </c>
      <c r="K374" t="s">
        <v>27</v>
      </c>
      <c r="L374" t="s">
        <v>28</v>
      </c>
      <c r="M374" t="s">
        <v>1296</v>
      </c>
      <c r="N374">
        <v>2</v>
      </c>
      <c r="O374" t="s">
        <v>43</v>
      </c>
      <c r="P374">
        <v>0.02</v>
      </c>
      <c r="Q374" t="s">
        <v>245</v>
      </c>
      <c r="R374">
        <v>28.6</v>
      </c>
      <c r="S374">
        <v>31.4</v>
      </c>
      <c r="T374">
        <v>28.6</v>
      </c>
      <c r="U374">
        <v>4.3</v>
      </c>
      <c r="V374">
        <v>7.1</v>
      </c>
    </row>
    <row r="375" spans="1:22" x14ac:dyDescent="0.25">
      <c r="A375" t="s">
        <v>1664</v>
      </c>
      <c r="B375" t="s">
        <v>59</v>
      </c>
      <c r="C375">
        <v>10</v>
      </c>
      <c r="D375" t="s">
        <v>132</v>
      </c>
      <c r="E375" t="s">
        <v>79</v>
      </c>
      <c r="F375" t="s">
        <v>79</v>
      </c>
      <c r="G375">
        <v>0.2</v>
      </c>
      <c r="H375" t="s">
        <v>132</v>
      </c>
      <c r="I375">
        <v>0</v>
      </c>
      <c r="J375" t="str">
        <f>HYPERLINK("https://www.eliteprospects.com/player/649021/luke-coughlin")</f>
        <v>https://www.eliteprospects.com/player/649021/luke-coughlin</v>
      </c>
      <c r="K375" t="s">
        <v>27</v>
      </c>
      <c r="L375" t="s">
        <v>28</v>
      </c>
      <c r="M375" t="s">
        <v>1296</v>
      </c>
      <c r="N375">
        <v>5</v>
      </c>
      <c r="O375" t="s">
        <v>207</v>
      </c>
      <c r="P375">
        <v>0.04</v>
      </c>
      <c r="Q375" t="s">
        <v>245</v>
      </c>
      <c r="R375">
        <v>28.6</v>
      </c>
      <c r="S375">
        <v>31.4</v>
      </c>
      <c r="T375">
        <v>28.6</v>
      </c>
      <c r="U375">
        <v>4.3</v>
      </c>
      <c r="V375">
        <v>7.1</v>
      </c>
    </row>
    <row r="376" spans="1:22" x14ac:dyDescent="0.25">
      <c r="A376" t="s">
        <v>1665</v>
      </c>
      <c r="B376" t="s">
        <v>59</v>
      </c>
      <c r="C376">
        <v>10</v>
      </c>
      <c r="D376" t="s">
        <v>132</v>
      </c>
      <c r="E376" t="s">
        <v>79</v>
      </c>
      <c r="F376" t="s">
        <v>79</v>
      </c>
      <c r="G376">
        <v>0.2</v>
      </c>
      <c r="H376" t="s">
        <v>66</v>
      </c>
      <c r="I376">
        <v>-1</v>
      </c>
      <c r="J376" t="str">
        <f>HYPERLINK("https://www.eliteprospects.com/player/464784/simon-motew")</f>
        <v>https://www.eliteprospects.com/player/464784/simon-motew</v>
      </c>
      <c r="K376" t="s">
        <v>27</v>
      </c>
      <c r="L376" t="s">
        <v>28</v>
      </c>
      <c r="M376" t="s">
        <v>1296</v>
      </c>
      <c r="N376">
        <v>5</v>
      </c>
      <c r="O376" t="s">
        <v>147</v>
      </c>
      <c r="P376">
        <v>0.04</v>
      </c>
      <c r="Q376" t="s">
        <v>245</v>
      </c>
      <c r="R376">
        <v>28.6</v>
      </c>
      <c r="S376">
        <v>31.4</v>
      </c>
      <c r="T376">
        <v>28.6</v>
      </c>
      <c r="U376">
        <v>4.3</v>
      </c>
      <c r="V376">
        <v>7.1</v>
      </c>
    </row>
    <row r="377" spans="1:22" x14ac:dyDescent="0.25">
      <c r="A377" t="s">
        <v>1666</v>
      </c>
      <c r="B377" t="s">
        <v>90</v>
      </c>
      <c r="C377">
        <v>10</v>
      </c>
      <c r="D377" t="s">
        <v>132</v>
      </c>
      <c r="E377" t="s">
        <v>79</v>
      </c>
      <c r="F377" t="s">
        <v>79</v>
      </c>
      <c r="G377">
        <v>0.2</v>
      </c>
      <c r="H377" t="s">
        <v>32</v>
      </c>
      <c r="I377">
        <v>2</v>
      </c>
      <c r="J377" t="str">
        <f>HYPERLINK("https://www.eliteprospects.com/player/651961/noah-van-vliet")</f>
        <v>https://www.eliteprospects.com/player/651961/noah-van-vliet</v>
      </c>
      <c r="K377" t="s">
        <v>27</v>
      </c>
      <c r="L377" t="s">
        <v>28</v>
      </c>
      <c r="M377" t="s">
        <v>1296</v>
      </c>
      <c r="N377">
        <v>5</v>
      </c>
      <c r="O377" t="s">
        <v>147</v>
      </c>
      <c r="P377">
        <v>0.04</v>
      </c>
      <c r="Q377" t="s">
        <v>245</v>
      </c>
      <c r="R377">
        <v>28.6</v>
      </c>
      <c r="S377">
        <v>31.4</v>
      </c>
      <c r="T377">
        <v>28.6</v>
      </c>
      <c r="U377">
        <v>4.3</v>
      </c>
      <c r="V377">
        <v>7.1</v>
      </c>
    </row>
    <row r="378" spans="1:22" x14ac:dyDescent="0.25">
      <c r="A378" t="s">
        <v>1667</v>
      </c>
      <c r="B378" t="s">
        <v>128</v>
      </c>
      <c r="C378">
        <v>11</v>
      </c>
      <c r="D378" t="s">
        <v>132</v>
      </c>
      <c r="E378" t="s">
        <v>79</v>
      </c>
      <c r="F378" t="s">
        <v>79</v>
      </c>
      <c r="G378">
        <v>0.18</v>
      </c>
      <c r="H378" t="s">
        <v>66</v>
      </c>
      <c r="I378">
        <v>0</v>
      </c>
      <c r="J378" t="str">
        <f>HYPERLINK("https://www.eliteprospects.com/player/279769/jack-blake")</f>
        <v>https://www.eliteprospects.com/player/279769/jack-blake</v>
      </c>
      <c r="K378" t="s">
        <v>27</v>
      </c>
      <c r="L378" t="s">
        <v>28</v>
      </c>
      <c r="M378" t="s">
        <v>1296</v>
      </c>
      <c r="N378">
        <v>4</v>
      </c>
      <c r="O378" t="s">
        <v>30</v>
      </c>
      <c r="P378">
        <v>0.03</v>
      </c>
      <c r="Q378" t="s">
        <v>245</v>
      </c>
      <c r="R378">
        <v>28.6</v>
      </c>
      <c r="S378">
        <v>31.4</v>
      </c>
      <c r="T378">
        <v>28.6</v>
      </c>
      <c r="U378">
        <v>4.3</v>
      </c>
      <c r="V378">
        <v>7.1</v>
      </c>
    </row>
    <row r="379" spans="1:22" x14ac:dyDescent="0.25">
      <c r="A379" t="s">
        <v>1668</v>
      </c>
      <c r="B379" t="s">
        <v>134</v>
      </c>
      <c r="C379">
        <v>12</v>
      </c>
      <c r="D379" t="s">
        <v>132</v>
      </c>
      <c r="E379" t="s">
        <v>79</v>
      </c>
      <c r="F379" t="s">
        <v>79</v>
      </c>
      <c r="G379">
        <v>0.17</v>
      </c>
      <c r="H379" t="s">
        <v>132</v>
      </c>
      <c r="I379">
        <v>3</v>
      </c>
      <c r="J379" t="str">
        <f>HYPERLINK("https://www.eliteprospects.com/player/565736/luke-marshall")</f>
        <v>https://www.eliteprospects.com/player/565736/luke-marshall</v>
      </c>
      <c r="K379" t="s">
        <v>27</v>
      </c>
      <c r="L379" t="s">
        <v>28</v>
      </c>
      <c r="M379" t="s">
        <v>1296</v>
      </c>
      <c r="N379">
        <v>2</v>
      </c>
      <c r="O379" t="s">
        <v>43</v>
      </c>
      <c r="P379">
        <v>0.03</v>
      </c>
      <c r="Q379" t="s">
        <v>245</v>
      </c>
      <c r="R379">
        <v>28.6</v>
      </c>
      <c r="S379">
        <v>31.4</v>
      </c>
      <c r="T379">
        <v>28.6</v>
      </c>
      <c r="U379">
        <v>4.3</v>
      </c>
      <c r="V379">
        <v>7.1</v>
      </c>
    </row>
    <row r="380" spans="1:22" x14ac:dyDescent="0.25">
      <c r="A380" t="s">
        <v>1669</v>
      </c>
      <c r="B380" t="s">
        <v>109</v>
      </c>
      <c r="C380">
        <v>12</v>
      </c>
      <c r="D380" t="s">
        <v>132</v>
      </c>
      <c r="E380" t="s">
        <v>79</v>
      </c>
      <c r="F380" t="s">
        <v>79</v>
      </c>
      <c r="G380">
        <v>0.17</v>
      </c>
      <c r="H380" t="s">
        <v>55</v>
      </c>
      <c r="I380">
        <v>4</v>
      </c>
      <c r="J380" t="str">
        <f>HYPERLINK("https://www.eliteprospects.com/player/483485/jayden-jubenvill")</f>
        <v>https://www.eliteprospects.com/player/483485/jayden-jubenvill</v>
      </c>
      <c r="K380" t="s">
        <v>27</v>
      </c>
      <c r="L380" t="s">
        <v>28</v>
      </c>
      <c r="M380" t="s">
        <v>1296</v>
      </c>
      <c r="N380">
        <v>2</v>
      </c>
      <c r="O380" t="s">
        <v>43</v>
      </c>
      <c r="P380">
        <v>0.03</v>
      </c>
      <c r="Q380" t="s">
        <v>245</v>
      </c>
      <c r="R380">
        <v>28.6</v>
      </c>
      <c r="S380">
        <v>31.4</v>
      </c>
      <c r="T380">
        <v>28.6</v>
      </c>
      <c r="U380">
        <v>4.3</v>
      </c>
      <c r="V380">
        <v>7.1</v>
      </c>
    </row>
    <row r="381" spans="1:22" x14ac:dyDescent="0.25">
      <c r="A381" t="s">
        <v>1670</v>
      </c>
      <c r="B381" t="s">
        <v>163</v>
      </c>
      <c r="C381">
        <v>13</v>
      </c>
      <c r="D381" t="s">
        <v>132</v>
      </c>
      <c r="E381" t="s">
        <v>79</v>
      </c>
      <c r="F381" t="s">
        <v>79</v>
      </c>
      <c r="G381">
        <v>0.15</v>
      </c>
      <c r="H381" t="s">
        <v>132</v>
      </c>
      <c r="I381">
        <v>2</v>
      </c>
      <c r="J381" t="str">
        <f>HYPERLINK("https://www.eliteprospects.com/player/657771/martin-masa")</f>
        <v>https://www.eliteprospects.com/player/657771/martin-masa</v>
      </c>
      <c r="K381" t="s">
        <v>27</v>
      </c>
      <c r="L381" t="s">
        <v>28</v>
      </c>
      <c r="M381" t="s">
        <v>1296</v>
      </c>
      <c r="N381">
        <v>1</v>
      </c>
      <c r="O381" t="s">
        <v>71</v>
      </c>
      <c r="P381">
        <v>0.03</v>
      </c>
      <c r="Q381" t="s">
        <v>245</v>
      </c>
      <c r="R381">
        <v>28.6</v>
      </c>
      <c r="S381">
        <v>31.4</v>
      </c>
      <c r="T381">
        <v>28.6</v>
      </c>
      <c r="U381">
        <v>4.3</v>
      </c>
      <c r="V381">
        <v>7.1</v>
      </c>
    </row>
    <row r="382" spans="1:22" x14ac:dyDescent="0.25">
      <c r="A382" t="s">
        <v>1671</v>
      </c>
      <c r="B382" t="s">
        <v>148</v>
      </c>
      <c r="C382">
        <v>13</v>
      </c>
      <c r="D382" t="s">
        <v>132</v>
      </c>
      <c r="E382" t="s">
        <v>79</v>
      </c>
      <c r="F382" t="s">
        <v>79</v>
      </c>
      <c r="G382">
        <v>0.15</v>
      </c>
      <c r="H382" t="s">
        <v>66</v>
      </c>
      <c r="I382">
        <v>2</v>
      </c>
      <c r="J382" t="str">
        <f>HYPERLINK("https://www.eliteprospects.com/player/623769/carter-theissen")</f>
        <v>https://www.eliteprospects.com/player/623769/carter-theissen</v>
      </c>
      <c r="K382" t="s">
        <v>27</v>
      </c>
      <c r="L382" t="s">
        <v>28</v>
      </c>
      <c r="M382" t="s">
        <v>1296</v>
      </c>
      <c r="N382">
        <v>2</v>
      </c>
      <c r="O382" t="s">
        <v>43</v>
      </c>
      <c r="P382">
        <v>0.03</v>
      </c>
      <c r="Q382" t="s">
        <v>245</v>
      </c>
      <c r="R382">
        <v>28.6</v>
      </c>
      <c r="S382">
        <v>31.4</v>
      </c>
      <c r="T382">
        <v>28.6</v>
      </c>
      <c r="U382">
        <v>4.3</v>
      </c>
      <c r="V382">
        <v>7.1</v>
      </c>
    </row>
    <row r="383" spans="1:22" x14ac:dyDescent="0.25">
      <c r="A383" t="s">
        <v>1672</v>
      </c>
      <c r="B383" t="s">
        <v>121</v>
      </c>
      <c r="C383">
        <v>14</v>
      </c>
      <c r="D383" t="s">
        <v>132</v>
      </c>
      <c r="E383" t="s">
        <v>79</v>
      </c>
      <c r="F383" t="s">
        <v>79</v>
      </c>
      <c r="G383">
        <v>0.14000000000000001</v>
      </c>
      <c r="H383" t="s">
        <v>79</v>
      </c>
      <c r="I383">
        <v>-4</v>
      </c>
      <c r="J383" t="str">
        <f>HYPERLINK("https://www.eliteprospects.com/player/467132/blake-matheson")</f>
        <v>https://www.eliteprospects.com/player/467132/blake-matheson</v>
      </c>
      <c r="K383" t="s">
        <v>27</v>
      </c>
      <c r="L383" t="s">
        <v>28</v>
      </c>
      <c r="M383" t="s">
        <v>1296</v>
      </c>
      <c r="N383">
        <v>1</v>
      </c>
      <c r="O383" t="s">
        <v>71</v>
      </c>
      <c r="P383">
        <v>0.03</v>
      </c>
      <c r="Q383" t="s">
        <v>245</v>
      </c>
      <c r="R383">
        <v>28.6</v>
      </c>
      <c r="S383">
        <v>31.4</v>
      </c>
      <c r="T383">
        <v>28.6</v>
      </c>
      <c r="U383">
        <v>4.3</v>
      </c>
      <c r="V383">
        <v>7.1</v>
      </c>
    </row>
    <row r="384" spans="1:22" x14ac:dyDescent="0.25">
      <c r="A384" t="s">
        <v>1673</v>
      </c>
      <c r="B384" t="s">
        <v>362</v>
      </c>
      <c r="C384">
        <v>14</v>
      </c>
      <c r="D384" t="s">
        <v>132</v>
      </c>
      <c r="E384" t="s">
        <v>79</v>
      </c>
      <c r="F384" t="s">
        <v>79</v>
      </c>
      <c r="G384">
        <v>0.14000000000000001</v>
      </c>
      <c r="H384" t="s">
        <v>26</v>
      </c>
      <c r="I384">
        <v>-8</v>
      </c>
      <c r="J384" t="str">
        <f>HYPERLINK("https://www.eliteprospects.com/player/420027/lukas-klemm")</f>
        <v>https://www.eliteprospects.com/player/420027/lukas-klemm</v>
      </c>
      <c r="K384" t="s">
        <v>27</v>
      </c>
      <c r="L384" t="s">
        <v>28</v>
      </c>
      <c r="M384" t="s">
        <v>1296</v>
      </c>
      <c r="N384">
        <v>1</v>
      </c>
      <c r="O384" t="s">
        <v>71</v>
      </c>
      <c r="P384">
        <v>0.03</v>
      </c>
      <c r="Q384" t="s">
        <v>245</v>
      </c>
      <c r="R384">
        <v>28.6</v>
      </c>
      <c r="S384">
        <v>31.4</v>
      </c>
      <c r="T384">
        <v>28.6</v>
      </c>
      <c r="U384">
        <v>4.3</v>
      </c>
      <c r="V384">
        <v>7.1</v>
      </c>
    </row>
    <row r="385" spans="1:22" x14ac:dyDescent="0.25">
      <c r="A385" t="s">
        <v>1674</v>
      </c>
      <c r="B385" t="s">
        <v>150</v>
      </c>
      <c r="C385">
        <v>16</v>
      </c>
      <c r="D385" t="s">
        <v>132</v>
      </c>
      <c r="E385" t="s">
        <v>79</v>
      </c>
      <c r="F385" t="s">
        <v>79</v>
      </c>
      <c r="G385">
        <v>0.13</v>
      </c>
      <c r="H385" t="s">
        <v>57</v>
      </c>
      <c r="I385">
        <v>1</v>
      </c>
      <c r="J385" t="str">
        <f>HYPERLINK("https://www.eliteprospects.com/player/704503/bryce-ingles")</f>
        <v>https://www.eliteprospects.com/player/704503/bryce-ingles</v>
      </c>
      <c r="K385" t="s">
        <v>27</v>
      </c>
      <c r="L385" t="s">
        <v>28</v>
      </c>
      <c r="M385" t="s">
        <v>1296</v>
      </c>
      <c r="N385">
        <v>1</v>
      </c>
      <c r="O385" t="s">
        <v>71</v>
      </c>
      <c r="P385">
        <v>0.03</v>
      </c>
      <c r="Q385" t="s">
        <v>245</v>
      </c>
      <c r="R385">
        <v>28.6</v>
      </c>
      <c r="S385">
        <v>31.4</v>
      </c>
      <c r="T385">
        <v>28.6</v>
      </c>
      <c r="U385">
        <v>4.3</v>
      </c>
      <c r="V385">
        <v>7.1</v>
      </c>
    </row>
    <row r="386" spans="1:22" x14ac:dyDescent="0.25">
      <c r="A386" t="s">
        <v>1675</v>
      </c>
      <c r="B386" t="s">
        <v>288</v>
      </c>
      <c r="C386">
        <v>16</v>
      </c>
      <c r="D386" t="s">
        <v>132</v>
      </c>
      <c r="E386" t="s">
        <v>79</v>
      </c>
      <c r="F386" t="s">
        <v>79</v>
      </c>
      <c r="G386">
        <v>0.13</v>
      </c>
      <c r="H386" t="s">
        <v>57</v>
      </c>
      <c r="I386">
        <v>-4</v>
      </c>
      <c r="J386" t="str">
        <f>HYPERLINK("https://www.eliteprospects.com/player/563125/duncan-ramsay")</f>
        <v>https://www.eliteprospects.com/player/563125/duncan-ramsay</v>
      </c>
      <c r="K386" t="s">
        <v>27</v>
      </c>
      <c r="L386" t="s">
        <v>28</v>
      </c>
      <c r="M386" t="s">
        <v>1296</v>
      </c>
      <c r="N386">
        <v>3</v>
      </c>
      <c r="O386" t="s">
        <v>74</v>
      </c>
      <c r="P386">
        <v>0.03</v>
      </c>
      <c r="Q386" t="s">
        <v>245</v>
      </c>
      <c r="R386">
        <v>28.6</v>
      </c>
      <c r="S386">
        <v>31.4</v>
      </c>
      <c r="T386">
        <v>28.6</v>
      </c>
      <c r="U386">
        <v>4.3</v>
      </c>
      <c r="V386">
        <v>7.1</v>
      </c>
    </row>
    <row r="387" spans="1:22" x14ac:dyDescent="0.25">
      <c r="A387" t="s">
        <v>1676</v>
      </c>
      <c r="B387" t="s">
        <v>85</v>
      </c>
      <c r="C387">
        <v>16</v>
      </c>
      <c r="D387" t="s">
        <v>132</v>
      </c>
      <c r="E387" t="s">
        <v>79</v>
      </c>
      <c r="F387" t="s">
        <v>79</v>
      </c>
      <c r="G387">
        <v>0.13</v>
      </c>
      <c r="H387" t="s">
        <v>60</v>
      </c>
      <c r="I387">
        <v>1</v>
      </c>
      <c r="J387" t="str">
        <f>HYPERLINK("https://www.eliteprospects.com/player/470021/david-ma")</f>
        <v>https://www.eliteprospects.com/player/470021/david-ma</v>
      </c>
      <c r="K387" t="s">
        <v>27</v>
      </c>
      <c r="L387" t="s">
        <v>28</v>
      </c>
      <c r="M387" t="s">
        <v>1296</v>
      </c>
      <c r="N387">
        <v>5</v>
      </c>
      <c r="O387" t="s">
        <v>67</v>
      </c>
      <c r="P387">
        <v>0.03</v>
      </c>
      <c r="Q387" t="s">
        <v>245</v>
      </c>
      <c r="R387">
        <v>28.6</v>
      </c>
      <c r="S387">
        <v>31.4</v>
      </c>
      <c r="T387">
        <v>28.6</v>
      </c>
      <c r="U387">
        <v>4.3</v>
      </c>
      <c r="V387">
        <v>7.1</v>
      </c>
    </row>
    <row r="388" spans="1:22" x14ac:dyDescent="0.25">
      <c r="A388" t="s">
        <v>1677</v>
      </c>
      <c r="B388" t="s">
        <v>80</v>
      </c>
      <c r="C388">
        <v>17</v>
      </c>
      <c r="D388" t="s">
        <v>132</v>
      </c>
      <c r="E388" t="s">
        <v>79</v>
      </c>
      <c r="F388" t="s">
        <v>79</v>
      </c>
      <c r="G388">
        <v>0.12</v>
      </c>
      <c r="H388" t="s">
        <v>55</v>
      </c>
      <c r="I388">
        <v>-2</v>
      </c>
      <c r="J388" t="str">
        <f>HYPERLINK("https://www.eliteprospects.com/player/512291/carter-schade")</f>
        <v>https://www.eliteprospects.com/player/512291/carter-schade</v>
      </c>
      <c r="K388" t="s">
        <v>27</v>
      </c>
      <c r="L388" t="s">
        <v>28</v>
      </c>
      <c r="M388" t="s">
        <v>1296</v>
      </c>
      <c r="N388">
        <v>4</v>
      </c>
      <c r="O388" t="s">
        <v>30</v>
      </c>
      <c r="P388">
        <v>0.02</v>
      </c>
      <c r="Q388" t="s">
        <v>245</v>
      </c>
      <c r="R388">
        <v>28.6</v>
      </c>
      <c r="S388">
        <v>31.4</v>
      </c>
      <c r="T388">
        <v>28.6</v>
      </c>
      <c r="U388">
        <v>4.3</v>
      </c>
      <c r="V388">
        <v>7.1</v>
      </c>
    </row>
    <row r="389" spans="1:22" x14ac:dyDescent="0.25">
      <c r="A389" t="s">
        <v>1678</v>
      </c>
      <c r="B389" t="s">
        <v>158</v>
      </c>
      <c r="C389">
        <v>18</v>
      </c>
      <c r="D389" t="s">
        <v>132</v>
      </c>
      <c r="E389" t="s">
        <v>79</v>
      </c>
      <c r="F389" t="s">
        <v>79</v>
      </c>
      <c r="G389">
        <v>0.11</v>
      </c>
      <c r="H389" t="s">
        <v>57</v>
      </c>
      <c r="I389">
        <v>-11</v>
      </c>
      <c r="J389" t="str">
        <f>HYPERLINK("https://www.eliteprospects.com/player/603673/jackson-anderson")</f>
        <v>https://www.eliteprospects.com/player/603673/jackson-anderson</v>
      </c>
      <c r="K389" t="s">
        <v>27</v>
      </c>
      <c r="L389" t="s">
        <v>28</v>
      </c>
      <c r="M389" t="s">
        <v>1296</v>
      </c>
      <c r="N389">
        <v>1</v>
      </c>
      <c r="O389" t="s">
        <v>71</v>
      </c>
      <c r="P389">
        <v>0.02</v>
      </c>
      <c r="Q389" t="s">
        <v>245</v>
      </c>
      <c r="R389">
        <v>28.6</v>
      </c>
      <c r="S389">
        <v>31.4</v>
      </c>
      <c r="T389">
        <v>28.6</v>
      </c>
      <c r="U389">
        <v>4.3</v>
      </c>
      <c r="V389">
        <v>7.1</v>
      </c>
    </row>
    <row r="390" spans="1:22" x14ac:dyDescent="0.25">
      <c r="A390" t="s">
        <v>1679</v>
      </c>
      <c r="B390" t="s">
        <v>180</v>
      </c>
      <c r="C390">
        <v>20</v>
      </c>
      <c r="D390" t="s">
        <v>132</v>
      </c>
      <c r="E390" t="s">
        <v>79</v>
      </c>
      <c r="F390" t="s">
        <v>79</v>
      </c>
      <c r="G390">
        <v>0.1</v>
      </c>
      <c r="H390" t="s">
        <v>23</v>
      </c>
      <c r="I390">
        <v>-7</v>
      </c>
      <c r="J390" t="str">
        <f>HYPERLINK("https://www.eliteprospects.com/player/580444/jaedon-kerr")</f>
        <v>https://www.eliteprospects.com/player/580444/jaedon-kerr</v>
      </c>
      <c r="K390" t="s">
        <v>27</v>
      </c>
      <c r="L390" t="s">
        <v>28</v>
      </c>
      <c r="M390" t="s">
        <v>1296</v>
      </c>
      <c r="N390">
        <v>2</v>
      </c>
      <c r="O390" t="s">
        <v>43</v>
      </c>
      <c r="P390">
        <v>0.02</v>
      </c>
      <c r="Q390" t="s">
        <v>245</v>
      </c>
      <c r="R390">
        <v>28.6</v>
      </c>
      <c r="S390">
        <v>31.4</v>
      </c>
      <c r="T390">
        <v>28.6</v>
      </c>
      <c r="U390">
        <v>4.3</v>
      </c>
      <c r="V390">
        <v>7.1</v>
      </c>
    </row>
    <row r="391" spans="1:22" x14ac:dyDescent="0.25">
      <c r="A391" t="s">
        <v>1680</v>
      </c>
      <c r="B391" t="s">
        <v>238</v>
      </c>
      <c r="C391">
        <v>20</v>
      </c>
      <c r="D391" t="s">
        <v>132</v>
      </c>
      <c r="E391" t="s">
        <v>79</v>
      </c>
      <c r="F391" t="s">
        <v>79</v>
      </c>
      <c r="G391">
        <v>0.1</v>
      </c>
      <c r="H391" t="s">
        <v>23</v>
      </c>
      <c r="I391">
        <v>-11</v>
      </c>
      <c r="J391" t="str">
        <f>HYPERLINK("https://www.eliteprospects.com/player/632606/gunnar-vandamme")</f>
        <v>https://www.eliteprospects.com/player/632606/gunnar-vandamme</v>
      </c>
      <c r="K391" t="s">
        <v>27</v>
      </c>
      <c r="L391" t="s">
        <v>28</v>
      </c>
      <c r="M391" t="s">
        <v>1296</v>
      </c>
      <c r="N391">
        <v>3</v>
      </c>
      <c r="O391" t="s">
        <v>74</v>
      </c>
      <c r="P391">
        <v>0.02</v>
      </c>
      <c r="Q391" t="s">
        <v>245</v>
      </c>
      <c r="R391">
        <v>28.6</v>
      </c>
      <c r="S391">
        <v>31.4</v>
      </c>
      <c r="T391">
        <v>28.6</v>
      </c>
      <c r="U391">
        <v>4.3</v>
      </c>
      <c r="V391">
        <v>7.1</v>
      </c>
    </row>
    <row r="392" spans="1:22" x14ac:dyDescent="0.25">
      <c r="A392" t="s">
        <v>1681</v>
      </c>
      <c r="B392" t="s">
        <v>121</v>
      </c>
      <c r="C392">
        <v>20</v>
      </c>
      <c r="D392" t="s">
        <v>132</v>
      </c>
      <c r="E392" t="s">
        <v>79</v>
      </c>
      <c r="F392" t="s">
        <v>79</v>
      </c>
      <c r="G392">
        <v>0.1</v>
      </c>
      <c r="H392" t="s">
        <v>61</v>
      </c>
      <c r="I392">
        <v>4</v>
      </c>
      <c r="J392" t="str">
        <f>HYPERLINK("https://www.eliteprospects.com/player/526365/blake-dangos")</f>
        <v>https://www.eliteprospects.com/player/526365/blake-dangos</v>
      </c>
      <c r="K392" t="s">
        <v>27</v>
      </c>
      <c r="L392" t="s">
        <v>28</v>
      </c>
      <c r="M392" t="s">
        <v>1296</v>
      </c>
      <c r="N392">
        <v>4</v>
      </c>
      <c r="O392" t="s">
        <v>30</v>
      </c>
      <c r="P392">
        <v>0.02</v>
      </c>
      <c r="Q392" t="s">
        <v>245</v>
      </c>
      <c r="R392">
        <v>28.6</v>
      </c>
      <c r="S392">
        <v>31.4</v>
      </c>
      <c r="T392">
        <v>28.6</v>
      </c>
      <c r="U392">
        <v>4.3</v>
      </c>
      <c r="V392">
        <v>7.1</v>
      </c>
    </row>
    <row r="393" spans="1:22" x14ac:dyDescent="0.25">
      <c r="A393" t="s">
        <v>1682</v>
      </c>
      <c r="B393" t="s">
        <v>109</v>
      </c>
      <c r="C393">
        <v>20</v>
      </c>
      <c r="D393" t="s">
        <v>132</v>
      </c>
      <c r="E393" t="s">
        <v>79</v>
      </c>
      <c r="F393" t="s">
        <v>79</v>
      </c>
      <c r="G393">
        <v>0.1</v>
      </c>
      <c r="H393" t="s">
        <v>46</v>
      </c>
      <c r="I393">
        <v>9</v>
      </c>
      <c r="J393" t="str">
        <f>HYPERLINK("https://www.eliteprospects.com/player/637628/andrew-strathmann")</f>
        <v>https://www.eliteprospects.com/player/637628/andrew-strathmann</v>
      </c>
      <c r="K393" t="s">
        <v>27</v>
      </c>
      <c r="L393" t="s">
        <v>28</v>
      </c>
      <c r="M393" t="s">
        <v>1296</v>
      </c>
      <c r="N393">
        <v>2</v>
      </c>
      <c r="O393" t="s">
        <v>43</v>
      </c>
      <c r="P393">
        <v>0.02</v>
      </c>
      <c r="Q393" t="s">
        <v>245</v>
      </c>
      <c r="R393">
        <v>28.6</v>
      </c>
      <c r="S393">
        <v>31.4</v>
      </c>
      <c r="T393">
        <v>28.6</v>
      </c>
      <c r="U393">
        <v>4.3</v>
      </c>
      <c r="V393">
        <v>7.1</v>
      </c>
    </row>
    <row r="394" spans="1:22" x14ac:dyDescent="0.25">
      <c r="A394" t="s">
        <v>1683</v>
      </c>
      <c r="B394" t="s">
        <v>37</v>
      </c>
      <c r="C394">
        <v>21</v>
      </c>
      <c r="D394" t="s">
        <v>132</v>
      </c>
      <c r="E394" t="s">
        <v>79</v>
      </c>
      <c r="F394" t="s">
        <v>79</v>
      </c>
      <c r="G394">
        <v>0.1</v>
      </c>
      <c r="H394" t="s">
        <v>269</v>
      </c>
      <c r="I394">
        <v>7</v>
      </c>
      <c r="J394" t="str">
        <f>HYPERLINK("https://www.eliteprospects.com/player/717255/brady-cleveland")</f>
        <v>https://www.eliteprospects.com/player/717255/brady-cleveland</v>
      </c>
      <c r="K394" t="s">
        <v>27</v>
      </c>
      <c r="L394" t="s">
        <v>28</v>
      </c>
      <c r="M394" t="s">
        <v>1296</v>
      </c>
      <c r="N394">
        <v>3</v>
      </c>
      <c r="O394" t="s">
        <v>74</v>
      </c>
      <c r="P394">
        <v>0.02</v>
      </c>
      <c r="Q394" t="s">
        <v>245</v>
      </c>
      <c r="R394">
        <v>28.6</v>
      </c>
      <c r="S394">
        <v>31.4</v>
      </c>
      <c r="T394">
        <v>28.6</v>
      </c>
      <c r="U394">
        <v>4.3</v>
      </c>
      <c r="V394">
        <v>7.1</v>
      </c>
    </row>
    <row r="395" spans="1:22" x14ac:dyDescent="0.25">
      <c r="A395" t="s">
        <v>1684</v>
      </c>
      <c r="B395" t="s">
        <v>124</v>
      </c>
      <c r="C395">
        <v>22</v>
      </c>
      <c r="D395" t="s">
        <v>132</v>
      </c>
      <c r="E395" t="s">
        <v>79</v>
      </c>
      <c r="F395" t="s">
        <v>79</v>
      </c>
      <c r="G395">
        <v>0.09</v>
      </c>
      <c r="H395" t="s">
        <v>66</v>
      </c>
      <c r="I395">
        <v>-3</v>
      </c>
      <c r="J395" t="str">
        <f>HYPERLINK("https://www.eliteprospects.com/player/702975/michael-phelan")</f>
        <v>https://www.eliteprospects.com/player/702975/michael-phelan</v>
      </c>
      <c r="K395" t="s">
        <v>27</v>
      </c>
      <c r="L395" t="s">
        <v>28</v>
      </c>
      <c r="M395" t="s">
        <v>1296</v>
      </c>
      <c r="N395">
        <v>1</v>
      </c>
      <c r="O395" t="s">
        <v>71</v>
      </c>
      <c r="P395">
        <v>0.02</v>
      </c>
      <c r="Q395" t="s">
        <v>245</v>
      </c>
      <c r="R395">
        <v>28.6</v>
      </c>
      <c r="S395">
        <v>31.4</v>
      </c>
      <c r="T395">
        <v>28.6</v>
      </c>
      <c r="U395">
        <v>4.3</v>
      </c>
      <c r="V395">
        <v>7.1</v>
      </c>
    </row>
    <row r="396" spans="1:22" x14ac:dyDescent="0.25">
      <c r="A396" t="s">
        <v>1685</v>
      </c>
      <c r="B396" t="s">
        <v>148</v>
      </c>
      <c r="C396">
        <v>23</v>
      </c>
      <c r="D396" t="s">
        <v>132</v>
      </c>
      <c r="E396" t="s">
        <v>79</v>
      </c>
      <c r="F396" t="s">
        <v>79</v>
      </c>
      <c r="G396">
        <v>0.09</v>
      </c>
      <c r="H396" t="s">
        <v>26</v>
      </c>
      <c r="I396">
        <v>4</v>
      </c>
      <c r="J396" t="str">
        <f>HYPERLINK("https://www.eliteprospects.com/player/603581/maxwell-chakrabarti")</f>
        <v>https://www.eliteprospects.com/player/603581/maxwell-chakrabarti</v>
      </c>
      <c r="K396" t="s">
        <v>27</v>
      </c>
      <c r="L396" t="s">
        <v>28</v>
      </c>
      <c r="M396" t="s">
        <v>1296</v>
      </c>
      <c r="N396">
        <v>1</v>
      </c>
      <c r="O396" t="s">
        <v>71</v>
      </c>
      <c r="P396">
        <v>0.02</v>
      </c>
      <c r="Q396" t="s">
        <v>245</v>
      </c>
      <c r="R396">
        <v>28.6</v>
      </c>
      <c r="S396">
        <v>31.4</v>
      </c>
      <c r="T396">
        <v>28.6</v>
      </c>
      <c r="U396">
        <v>4.3</v>
      </c>
      <c r="V396">
        <v>7.1</v>
      </c>
    </row>
    <row r="397" spans="1:22" x14ac:dyDescent="0.25">
      <c r="A397" t="s">
        <v>1686</v>
      </c>
      <c r="B397" t="s">
        <v>362</v>
      </c>
      <c r="C397">
        <v>11</v>
      </c>
      <c r="D397" t="s">
        <v>260</v>
      </c>
      <c r="E397" t="s">
        <v>132</v>
      </c>
      <c r="F397" t="s">
        <v>260</v>
      </c>
      <c r="G397">
        <v>0.09</v>
      </c>
      <c r="H397" t="s">
        <v>79</v>
      </c>
      <c r="I397">
        <v>0</v>
      </c>
      <c r="J397" t="str">
        <f>HYPERLINK("https://www.eliteprospects.com/player/415040/tyler-nasca")</f>
        <v>https://www.eliteprospects.com/player/415040/tyler-nasca</v>
      </c>
      <c r="K397" t="s">
        <v>27</v>
      </c>
      <c r="L397" t="s">
        <v>28</v>
      </c>
      <c r="M397" t="s">
        <v>1296</v>
      </c>
      <c r="N397">
        <v>4</v>
      </c>
      <c r="O397" t="s">
        <v>30</v>
      </c>
      <c r="P397">
        <v>0.02</v>
      </c>
      <c r="Q397" t="s">
        <v>245</v>
      </c>
      <c r="R397">
        <v>28.6</v>
      </c>
      <c r="S397">
        <v>31.4</v>
      </c>
      <c r="T397">
        <v>28.6</v>
      </c>
      <c r="U397">
        <v>4.3</v>
      </c>
      <c r="V397">
        <v>7.1</v>
      </c>
    </row>
    <row r="398" spans="1:22" x14ac:dyDescent="0.25">
      <c r="A398" t="s">
        <v>1687</v>
      </c>
      <c r="B398" t="s">
        <v>73</v>
      </c>
      <c r="C398">
        <v>11</v>
      </c>
      <c r="D398" t="s">
        <v>260</v>
      </c>
      <c r="E398" t="s">
        <v>132</v>
      </c>
      <c r="F398" t="s">
        <v>260</v>
      </c>
      <c r="G398">
        <v>0.09</v>
      </c>
      <c r="H398" t="s">
        <v>57</v>
      </c>
      <c r="I398">
        <v>-1</v>
      </c>
      <c r="J398" t="str">
        <f>HYPERLINK("https://www.eliteprospects.com/player/693200/joe-belisle")</f>
        <v>https://www.eliteprospects.com/player/693200/joe-belisle</v>
      </c>
      <c r="K398" t="s">
        <v>27</v>
      </c>
      <c r="L398" t="s">
        <v>28</v>
      </c>
      <c r="M398" t="s">
        <v>1296</v>
      </c>
      <c r="N398">
        <v>1</v>
      </c>
      <c r="O398" t="s">
        <v>71</v>
      </c>
      <c r="P398">
        <v>0.02</v>
      </c>
      <c r="Q398" t="s">
        <v>245</v>
      </c>
      <c r="R398">
        <v>28.6</v>
      </c>
      <c r="S398">
        <v>31.4</v>
      </c>
      <c r="T398">
        <v>28.6</v>
      </c>
      <c r="U398">
        <v>4.3</v>
      </c>
      <c r="V398">
        <v>7.1</v>
      </c>
    </row>
    <row r="399" spans="1:22" x14ac:dyDescent="0.25">
      <c r="A399" t="s">
        <v>1688</v>
      </c>
      <c r="B399" t="s">
        <v>50</v>
      </c>
      <c r="C399">
        <v>11</v>
      </c>
      <c r="D399" t="s">
        <v>260</v>
      </c>
      <c r="E399" t="s">
        <v>132</v>
      </c>
      <c r="F399" t="s">
        <v>260</v>
      </c>
      <c r="G399">
        <v>0.09</v>
      </c>
      <c r="H399" t="s">
        <v>55</v>
      </c>
      <c r="I399">
        <v>3</v>
      </c>
      <c r="J399" t="str">
        <f>HYPERLINK("https://www.eliteprospects.com/player/603136/matthew-mania")</f>
        <v>https://www.eliteprospects.com/player/603136/matthew-mania</v>
      </c>
      <c r="K399" t="s">
        <v>27</v>
      </c>
      <c r="L399" t="s">
        <v>28</v>
      </c>
      <c r="M399" t="s">
        <v>1296</v>
      </c>
      <c r="N399">
        <v>5</v>
      </c>
      <c r="O399" t="s">
        <v>147</v>
      </c>
      <c r="P399">
        <v>0.02</v>
      </c>
      <c r="Q399" t="s">
        <v>245</v>
      </c>
      <c r="R399">
        <v>28.6</v>
      </c>
      <c r="S399">
        <v>31.4</v>
      </c>
      <c r="T399">
        <v>28.6</v>
      </c>
      <c r="U399">
        <v>4.3</v>
      </c>
      <c r="V399">
        <v>7.1</v>
      </c>
    </row>
    <row r="400" spans="1:22" x14ac:dyDescent="0.25">
      <c r="A400" t="s">
        <v>1689</v>
      </c>
      <c r="B400" t="s">
        <v>22</v>
      </c>
      <c r="C400">
        <v>13</v>
      </c>
      <c r="D400" t="s">
        <v>260</v>
      </c>
      <c r="E400" t="s">
        <v>132</v>
      </c>
      <c r="F400" t="s">
        <v>260</v>
      </c>
      <c r="G400">
        <v>0.08</v>
      </c>
      <c r="H400" t="s">
        <v>32</v>
      </c>
      <c r="I400">
        <v>-3</v>
      </c>
      <c r="J400" t="str">
        <f>HYPERLINK("https://www.eliteprospects.com/player/645494/tucker-ness")</f>
        <v>https://www.eliteprospects.com/player/645494/tucker-ness</v>
      </c>
      <c r="K400" t="s">
        <v>27</v>
      </c>
      <c r="L400" t="s">
        <v>28</v>
      </c>
      <c r="M400" t="s">
        <v>1296</v>
      </c>
      <c r="N400">
        <v>4</v>
      </c>
      <c r="O400" t="s">
        <v>30</v>
      </c>
      <c r="P400">
        <v>0.02</v>
      </c>
      <c r="Q400" t="s">
        <v>245</v>
      </c>
      <c r="R400">
        <v>28.6</v>
      </c>
      <c r="S400">
        <v>31.4</v>
      </c>
      <c r="T400">
        <v>28.6</v>
      </c>
      <c r="U400">
        <v>4.3</v>
      </c>
      <c r="V400">
        <v>7.1</v>
      </c>
    </row>
    <row r="401" spans="1:22" x14ac:dyDescent="0.25">
      <c r="A401" t="s">
        <v>1690</v>
      </c>
      <c r="B401" t="s">
        <v>82</v>
      </c>
      <c r="C401">
        <v>14</v>
      </c>
      <c r="D401" t="s">
        <v>260</v>
      </c>
      <c r="E401" t="s">
        <v>132</v>
      </c>
      <c r="F401" t="s">
        <v>260</v>
      </c>
      <c r="G401">
        <v>7.0000000000000007E-2</v>
      </c>
      <c r="H401" t="s">
        <v>26</v>
      </c>
      <c r="I401">
        <v>4</v>
      </c>
      <c r="J401" t="str">
        <f>HYPERLINK("https://www.eliteprospects.com/player/572385/benjamin-vigneault")</f>
        <v>https://www.eliteprospects.com/player/572385/benjamin-vigneault</v>
      </c>
      <c r="K401" t="s">
        <v>27</v>
      </c>
      <c r="L401" t="s">
        <v>28</v>
      </c>
      <c r="M401" t="s">
        <v>1296</v>
      </c>
      <c r="N401">
        <v>5</v>
      </c>
      <c r="O401" t="s">
        <v>207</v>
      </c>
      <c r="P401">
        <v>0.01</v>
      </c>
      <c r="Q401" t="s">
        <v>245</v>
      </c>
      <c r="R401">
        <v>28.6</v>
      </c>
      <c r="S401">
        <v>31.4</v>
      </c>
      <c r="T401">
        <v>28.6</v>
      </c>
      <c r="U401">
        <v>4.3</v>
      </c>
      <c r="V401">
        <v>7.1</v>
      </c>
    </row>
    <row r="402" spans="1:22" x14ac:dyDescent="0.25">
      <c r="A402" t="s">
        <v>1691</v>
      </c>
      <c r="B402" t="s">
        <v>90</v>
      </c>
      <c r="C402">
        <v>14</v>
      </c>
      <c r="D402" t="s">
        <v>260</v>
      </c>
      <c r="E402" t="s">
        <v>132</v>
      </c>
      <c r="F402" t="s">
        <v>260</v>
      </c>
      <c r="G402">
        <v>7.0000000000000007E-2</v>
      </c>
      <c r="H402" t="s">
        <v>60</v>
      </c>
      <c r="I402">
        <v>3</v>
      </c>
      <c r="J402" t="str">
        <f>HYPERLINK("https://www.eliteprospects.com/player/511963/liam-lesakowski")</f>
        <v>https://www.eliteprospects.com/player/511963/liam-lesakowski</v>
      </c>
      <c r="K402" t="s">
        <v>27</v>
      </c>
      <c r="L402" t="s">
        <v>28</v>
      </c>
      <c r="M402" t="s">
        <v>1296</v>
      </c>
      <c r="N402">
        <v>3</v>
      </c>
      <c r="O402" t="s">
        <v>74</v>
      </c>
      <c r="P402">
        <v>0.01</v>
      </c>
      <c r="Q402" t="s">
        <v>245</v>
      </c>
      <c r="R402">
        <v>28.6</v>
      </c>
      <c r="S402">
        <v>31.4</v>
      </c>
      <c r="T402">
        <v>28.6</v>
      </c>
      <c r="U402">
        <v>4.3</v>
      </c>
      <c r="V402">
        <v>7.1</v>
      </c>
    </row>
    <row r="403" spans="1:22" x14ac:dyDescent="0.25">
      <c r="A403" t="s">
        <v>1692</v>
      </c>
      <c r="B403" t="s">
        <v>128</v>
      </c>
      <c r="C403">
        <v>15</v>
      </c>
      <c r="D403" t="s">
        <v>260</v>
      </c>
      <c r="E403" t="s">
        <v>132</v>
      </c>
      <c r="F403" t="s">
        <v>260</v>
      </c>
      <c r="G403">
        <v>7.0000000000000007E-2</v>
      </c>
      <c r="H403" t="s">
        <v>132</v>
      </c>
      <c r="I403">
        <v>-3</v>
      </c>
      <c r="J403" t="str">
        <f>HYPERLINK("https://www.eliteprospects.com/player/557689/rihards-simanovics")</f>
        <v>https://www.eliteprospects.com/player/557689/rihards-simanovics</v>
      </c>
      <c r="K403" t="s">
        <v>27</v>
      </c>
      <c r="L403" t="s">
        <v>28</v>
      </c>
      <c r="M403" t="s">
        <v>1296</v>
      </c>
      <c r="N403">
        <v>3</v>
      </c>
      <c r="O403" t="s">
        <v>74</v>
      </c>
      <c r="P403">
        <v>0.01</v>
      </c>
      <c r="Q403" t="s">
        <v>245</v>
      </c>
      <c r="R403">
        <v>28.6</v>
      </c>
      <c r="S403">
        <v>31.4</v>
      </c>
      <c r="T403">
        <v>28.6</v>
      </c>
      <c r="U403">
        <v>4.3</v>
      </c>
      <c r="V403">
        <v>7.1</v>
      </c>
    </row>
    <row r="404" spans="1:22" x14ac:dyDescent="0.25">
      <c r="A404" t="s">
        <v>1693</v>
      </c>
      <c r="B404" t="s">
        <v>234</v>
      </c>
      <c r="C404">
        <v>15</v>
      </c>
      <c r="D404" t="s">
        <v>260</v>
      </c>
      <c r="E404" t="s">
        <v>132</v>
      </c>
      <c r="F404" t="s">
        <v>260</v>
      </c>
      <c r="G404">
        <v>7.0000000000000007E-2</v>
      </c>
      <c r="H404" t="s">
        <v>66</v>
      </c>
      <c r="I404">
        <v>-3</v>
      </c>
      <c r="J404" t="str">
        <f>HYPERLINK("https://www.eliteprospects.com/player/586599/ashton-bynum")</f>
        <v>https://www.eliteprospects.com/player/586599/ashton-bynum</v>
      </c>
      <c r="K404" t="s">
        <v>27</v>
      </c>
      <c r="L404" t="s">
        <v>28</v>
      </c>
      <c r="M404" t="s">
        <v>1296</v>
      </c>
      <c r="N404">
        <v>1</v>
      </c>
      <c r="O404" t="s">
        <v>71</v>
      </c>
      <c r="P404">
        <v>0.01</v>
      </c>
      <c r="Q404" t="s">
        <v>245</v>
      </c>
      <c r="R404">
        <v>28.6</v>
      </c>
      <c r="S404">
        <v>31.4</v>
      </c>
      <c r="T404">
        <v>28.6</v>
      </c>
      <c r="U404">
        <v>4.3</v>
      </c>
      <c r="V404">
        <v>7.1</v>
      </c>
    </row>
    <row r="405" spans="1:22" x14ac:dyDescent="0.25">
      <c r="A405" t="s">
        <v>1694</v>
      </c>
      <c r="B405" t="s">
        <v>119</v>
      </c>
      <c r="C405">
        <v>16</v>
      </c>
      <c r="D405" t="s">
        <v>260</v>
      </c>
      <c r="E405" t="s">
        <v>132</v>
      </c>
      <c r="F405" t="s">
        <v>260</v>
      </c>
      <c r="G405">
        <v>0.06</v>
      </c>
      <c r="H405" t="s">
        <v>132</v>
      </c>
      <c r="I405">
        <v>-1</v>
      </c>
      <c r="J405" t="str">
        <f>HYPERLINK("https://www.eliteprospects.com/player/623740/axel-begley")</f>
        <v>https://www.eliteprospects.com/player/623740/axel-begley</v>
      </c>
      <c r="K405" t="s">
        <v>27</v>
      </c>
      <c r="L405" t="s">
        <v>28</v>
      </c>
      <c r="M405" t="s">
        <v>1296</v>
      </c>
      <c r="N405">
        <v>3</v>
      </c>
      <c r="O405" t="s">
        <v>74</v>
      </c>
      <c r="P405">
        <v>0.01</v>
      </c>
      <c r="Q405" t="s">
        <v>245</v>
      </c>
      <c r="R405">
        <v>28.6</v>
      </c>
      <c r="S405">
        <v>31.4</v>
      </c>
      <c r="T405">
        <v>28.6</v>
      </c>
      <c r="U405">
        <v>4.3</v>
      </c>
      <c r="V405">
        <v>7.1</v>
      </c>
    </row>
    <row r="406" spans="1:22" x14ac:dyDescent="0.25">
      <c r="A406" t="s">
        <v>1695</v>
      </c>
      <c r="B406" t="s">
        <v>205</v>
      </c>
      <c r="C406">
        <v>16</v>
      </c>
      <c r="D406" t="s">
        <v>260</v>
      </c>
      <c r="E406" t="s">
        <v>132</v>
      </c>
      <c r="F406" t="s">
        <v>260</v>
      </c>
      <c r="G406">
        <v>0.06</v>
      </c>
      <c r="H406" t="s">
        <v>57</v>
      </c>
      <c r="I406">
        <v>11</v>
      </c>
      <c r="J406" t="str">
        <f>HYPERLINK("https://www.eliteprospects.com/player/511931/ryan-williams")</f>
        <v>https://www.eliteprospects.com/player/511931/ryan-williams</v>
      </c>
      <c r="K406" t="s">
        <v>27</v>
      </c>
      <c r="L406" t="s">
        <v>28</v>
      </c>
      <c r="M406" t="s">
        <v>1296</v>
      </c>
      <c r="N406">
        <v>2</v>
      </c>
      <c r="O406" t="s">
        <v>43</v>
      </c>
      <c r="P406">
        <v>0.01</v>
      </c>
      <c r="Q406" t="s">
        <v>245</v>
      </c>
      <c r="R406">
        <v>28.6</v>
      </c>
      <c r="S406">
        <v>31.4</v>
      </c>
      <c r="T406">
        <v>28.6</v>
      </c>
      <c r="U406">
        <v>4.3</v>
      </c>
      <c r="V406">
        <v>7.1</v>
      </c>
    </row>
    <row r="407" spans="1:22" x14ac:dyDescent="0.25">
      <c r="A407" t="s">
        <v>1696</v>
      </c>
      <c r="B407" t="s">
        <v>120</v>
      </c>
      <c r="C407">
        <v>18</v>
      </c>
      <c r="D407" t="s">
        <v>260</v>
      </c>
      <c r="E407" t="s">
        <v>132</v>
      </c>
      <c r="F407" t="s">
        <v>260</v>
      </c>
      <c r="G407">
        <v>0.06</v>
      </c>
      <c r="H407" t="s">
        <v>39</v>
      </c>
      <c r="I407">
        <v>0</v>
      </c>
      <c r="J407" t="str">
        <f>HYPERLINK("https://www.eliteprospects.com/player/597634/will-skahan")</f>
        <v>https://www.eliteprospects.com/player/597634/will-skahan</v>
      </c>
      <c r="K407" t="s">
        <v>27</v>
      </c>
      <c r="L407" t="s">
        <v>28</v>
      </c>
      <c r="M407" t="s">
        <v>1296</v>
      </c>
      <c r="N407">
        <v>2</v>
      </c>
      <c r="O407" t="s">
        <v>43</v>
      </c>
      <c r="P407">
        <v>0.01</v>
      </c>
      <c r="Q407" t="s">
        <v>245</v>
      </c>
      <c r="R407">
        <v>28.6</v>
      </c>
      <c r="S407">
        <v>31.4</v>
      </c>
      <c r="T407">
        <v>28.6</v>
      </c>
      <c r="U407">
        <v>4.3</v>
      </c>
      <c r="V407">
        <v>7.1</v>
      </c>
    </row>
    <row r="408" spans="1:22" x14ac:dyDescent="0.25">
      <c r="A408" t="s">
        <v>1697</v>
      </c>
      <c r="B408" t="s">
        <v>113</v>
      </c>
      <c r="C408">
        <v>18</v>
      </c>
      <c r="D408" t="s">
        <v>260</v>
      </c>
      <c r="E408" t="s">
        <v>132</v>
      </c>
      <c r="F408" t="s">
        <v>260</v>
      </c>
      <c r="G408">
        <v>0.06</v>
      </c>
      <c r="H408" t="s">
        <v>33</v>
      </c>
      <c r="I408">
        <v>0</v>
      </c>
      <c r="J408" t="str">
        <f>HYPERLINK("https://www.eliteprospects.com/player/623001/bryce-strand")</f>
        <v>https://www.eliteprospects.com/player/623001/bryce-strand</v>
      </c>
      <c r="K408" t="s">
        <v>27</v>
      </c>
      <c r="L408" t="s">
        <v>28</v>
      </c>
      <c r="M408" t="s">
        <v>1296</v>
      </c>
      <c r="N408">
        <v>1</v>
      </c>
      <c r="O408" t="s">
        <v>71</v>
      </c>
      <c r="P408">
        <v>0.01</v>
      </c>
      <c r="Q408" t="s">
        <v>245</v>
      </c>
      <c r="R408">
        <v>28.6</v>
      </c>
      <c r="S408">
        <v>31.4</v>
      </c>
      <c r="T408">
        <v>28.6</v>
      </c>
      <c r="U408">
        <v>4.3</v>
      </c>
      <c r="V408">
        <v>7.1</v>
      </c>
    </row>
    <row r="409" spans="1:22" x14ac:dyDescent="0.25">
      <c r="A409" t="s">
        <v>1698</v>
      </c>
      <c r="B409" t="s">
        <v>116</v>
      </c>
      <c r="C409">
        <v>19</v>
      </c>
      <c r="D409" t="s">
        <v>260</v>
      </c>
      <c r="E409" t="s">
        <v>132</v>
      </c>
      <c r="F409" t="s">
        <v>260</v>
      </c>
      <c r="G409">
        <v>0.05</v>
      </c>
      <c r="H409" t="s">
        <v>280</v>
      </c>
      <c r="I409">
        <v>-9</v>
      </c>
      <c r="J409" t="str">
        <f>HYPERLINK("https://www.eliteprospects.com/player/472609/isack-bandu")</f>
        <v>https://www.eliteprospects.com/player/472609/isack-bandu</v>
      </c>
      <c r="K409" t="s">
        <v>27</v>
      </c>
      <c r="L409" t="s">
        <v>28</v>
      </c>
      <c r="M409" t="s">
        <v>1296</v>
      </c>
      <c r="N409">
        <v>4</v>
      </c>
      <c r="O409" t="s">
        <v>30</v>
      </c>
      <c r="P409">
        <v>0.01</v>
      </c>
      <c r="Q409" t="s">
        <v>245</v>
      </c>
      <c r="R409">
        <v>28.6</v>
      </c>
      <c r="S409">
        <v>31.4</v>
      </c>
      <c r="T409">
        <v>28.6</v>
      </c>
      <c r="U409">
        <v>4.3</v>
      </c>
      <c r="V409">
        <v>7.1</v>
      </c>
    </row>
    <row r="410" spans="1:22" x14ac:dyDescent="0.25">
      <c r="A410" t="s">
        <v>1699</v>
      </c>
      <c r="B410" t="s">
        <v>145</v>
      </c>
      <c r="C410">
        <v>23</v>
      </c>
      <c r="D410" t="s">
        <v>260</v>
      </c>
      <c r="E410" t="s">
        <v>132</v>
      </c>
      <c r="F410" t="s">
        <v>260</v>
      </c>
      <c r="G410">
        <v>0.04</v>
      </c>
      <c r="H410" t="s">
        <v>57</v>
      </c>
      <c r="I410">
        <v>3</v>
      </c>
      <c r="J410" t="str">
        <f>HYPERLINK("https://www.eliteprospects.com/player/506280/kent-anderson")</f>
        <v>https://www.eliteprospects.com/player/506280/kent-anderson</v>
      </c>
      <c r="K410" t="s">
        <v>27</v>
      </c>
      <c r="L410" t="s">
        <v>28</v>
      </c>
      <c r="M410" t="s">
        <v>1296</v>
      </c>
      <c r="N410">
        <v>4</v>
      </c>
      <c r="O410" t="s">
        <v>30</v>
      </c>
      <c r="P410">
        <v>0.01</v>
      </c>
      <c r="Q410" t="s">
        <v>245</v>
      </c>
      <c r="R410">
        <v>28.6</v>
      </c>
      <c r="S410">
        <v>31.4</v>
      </c>
      <c r="T410">
        <v>28.6</v>
      </c>
      <c r="U410">
        <v>4.3</v>
      </c>
      <c r="V410">
        <v>7.1</v>
      </c>
    </row>
    <row r="411" spans="1:22" x14ac:dyDescent="0.25">
      <c r="A411" t="s">
        <v>1700</v>
      </c>
      <c r="B411" t="s">
        <v>121</v>
      </c>
      <c r="C411">
        <v>10</v>
      </c>
      <c r="D411" t="s">
        <v>132</v>
      </c>
      <c r="E411" t="s">
        <v>260</v>
      </c>
      <c r="F411" t="s">
        <v>260</v>
      </c>
      <c r="G411">
        <v>0.1</v>
      </c>
      <c r="H411" t="s">
        <v>132</v>
      </c>
      <c r="I411">
        <v>-2</v>
      </c>
      <c r="J411" t="str">
        <f>HYPERLINK("https://www.eliteprospects.com/player/714074/jack-darby")</f>
        <v>https://www.eliteprospects.com/player/714074/jack-darby</v>
      </c>
      <c r="K411" t="s">
        <v>27</v>
      </c>
      <c r="L411" t="s">
        <v>28</v>
      </c>
      <c r="M411" t="s">
        <v>1296</v>
      </c>
      <c r="N411">
        <v>1</v>
      </c>
      <c r="O411" t="s">
        <v>71</v>
      </c>
      <c r="P411">
        <v>0.02</v>
      </c>
      <c r="Q411" t="s">
        <v>245</v>
      </c>
      <c r="R411">
        <v>28.6</v>
      </c>
      <c r="S411">
        <v>31.4</v>
      </c>
      <c r="T411">
        <v>28.6</v>
      </c>
      <c r="U411">
        <v>4.3</v>
      </c>
      <c r="V411">
        <v>7.1</v>
      </c>
    </row>
    <row r="412" spans="1:22" x14ac:dyDescent="0.25">
      <c r="A412" t="s">
        <v>1701</v>
      </c>
      <c r="B412" t="s">
        <v>131</v>
      </c>
      <c r="C412">
        <v>11</v>
      </c>
      <c r="D412" t="s">
        <v>132</v>
      </c>
      <c r="E412" t="s">
        <v>260</v>
      </c>
      <c r="F412" t="s">
        <v>260</v>
      </c>
      <c r="G412">
        <v>0.09</v>
      </c>
      <c r="H412" t="s">
        <v>132</v>
      </c>
      <c r="I412">
        <v>2</v>
      </c>
      <c r="J412" t="str">
        <f>HYPERLINK("https://www.eliteprospects.com/player/549062/liam-chapman")</f>
        <v>https://www.eliteprospects.com/player/549062/liam-chapman</v>
      </c>
      <c r="K412" t="s">
        <v>27</v>
      </c>
      <c r="L412" t="s">
        <v>28</v>
      </c>
      <c r="M412" t="s">
        <v>1296</v>
      </c>
      <c r="N412">
        <v>1</v>
      </c>
      <c r="O412" t="s">
        <v>71</v>
      </c>
      <c r="P412">
        <v>0.02</v>
      </c>
      <c r="Q412" t="s">
        <v>245</v>
      </c>
      <c r="R412">
        <v>28.6</v>
      </c>
      <c r="S412">
        <v>31.4</v>
      </c>
      <c r="T412">
        <v>28.6</v>
      </c>
      <c r="U412">
        <v>4.3</v>
      </c>
      <c r="V412">
        <v>7.1</v>
      </c>
    </row>
    <row r="413" spans="1:22" x14ac:dyDescent="0.25">
      <c r="A413" t="s">
        <v>1702</v>
      </c>
      <c r="B413" t="s">
        <v>177</v>
      </c>
      <c r="C413">
        <v>11</v>
      </c>
      <c r="D413" t="s">
        <v>132</v>
      </c>
      <c r="E413" t="s">
        <v>260</v>
      </c>
      <c r="F413" t="s">
        <v>260</v>
      </c>
      <c r="G413">
        <v>0.09</v>
      </c>
      <c r="H413" t="s">
        <v>132</v>
      </c>
      <c r="I413">
        <v>-2</v>
      </c>
      <c r="J413" t="str">
        <f>HYPERLINK("https://www.eliteprospects.com/player/426165/ray-murakami")</f>
        <v>https://www.eliteprospects.com/player/426165/ray-murakami</v>
      </c>
      <c r="K413" t="s">
        <v>27</v>
      </c>
      <c r="L413" t="s">
        <v>28</v>
      </c>
      <c r="M413" t="s">
        <v>1296</v>
      </c>
      <c r="N413">
        <v>2</v>
      </c>
      <c r="O413" t="s">
        <v>43</v>
      </c>
      <c r="P413">
        <v>0.02</v>
      </c>
      <c r="Q413" t="s">
        <v>245</v>
      </c>
      <c r="R413">
        <v>28.6</v>
      </c>
      <c r="S413">
        <v>31.4</v>
      </c>
      <c r="T413">
        <v>28.6</v>
      </c>
      <c r="U413">
        <v>4.3</v>
      </c>
      <c r="V413">
        <v>7.1</v>
      </c>
    </row>
    <row r="414" spans="1:22" x14ac:dyDescent="0.25">
      <c r="A414" t="s">
        <v>1703</v>
      </c>
      <c r="B414" t="s">
        <v>134</v>
      </c>
      <c r="C414">
        <v>11</v>
      </c>
      <c r="D414" t="s">
        <v>132</v>
      </c>
      <c r="E414" t="s">
        <v>260</v>
      </c>
      <c r="F414" t="s">
        <v>260</v>
      </c>
      <c r="G414">
        <v>0.09</v>
      </c>
      <c r="H414" t="s">
        <v>79</v>
      </c>
      <c r="I414">
        <v>0</v>
      </c>
      <c r="J414" t="str">
        <f>HYPERLINK("https://www.eliteprospects.com/player/582767/joseph-messina")</f>
        <v>https://www.eliteprospects.com/player/582767/joseph-messina</v>
      </c>
      <c r="K414" t="s">
        <v>27</v>
      </c>
      <c r="L414" t="s">
        <v>28</v>
      </c>
      <c r="M414" t="s">
        <v>1296</v>
      </c>
      <c r="N414">
        <v>3</v>
      </c>
      <c r="O414" t="s">
        <v>74</v>
      </c>
      <c r="P414">
        <v>0.02</v>
      </c>
      <c r="Q414" t="s">
        <v>245</v>
      </c>
      <c r="R414">
        <v>28.6</v>
      </c>
      <c r="S414">
        <v>31.4</v>
      </c>
      <c r="T414">
        <v>28.6</v>
      </c>
      <c r="U414">
        <v>4.3</v>
      </c>
      <c r="V414">
        <v>7.1</v>
      </c>
    </row>
    <row r="415" spans="1:22" x14ac:dyDescent="0.25">
      <c r="A415" t="s">
        <v>1704</v>
      </c>
      <c r="B415" t="s">
        <v>59</v>
      </c>
      <c r="C415">
        <v>11</v>
      </c>
      <c r="D415" t="s">
        <v>132</v>
      </c>
      <c r="E415" t="s">
        <v>260</v>
      </c>
      <c r="F415" t="s">
        <v>260</v>
      </c>
      <c r="G415">
        <v>0.09</v>
      </c>
      <c r="H415" t="s">
        <v>60</v>
      </c>
      <c r="I415">
        <v>-3</v>
      </c>
      <c r="J415" t="str">
        <f>HYPERLINK("https://www.eliteprospects.com/player/422417/bodie-nobes")</f>
        <v>https://www.eliteprospects.com/player/422417/bodie-nobes</v>
      </c>
      <c r="K415" t="s">
        <v>27</v>
      </c>
      <c r="L415" t="s">
        <v>28</v>
      </c>
      <c r="M415" t="s">
        <v>1296</v>
      </c>
      <c r="N415">
        <v>3</v>
      </c>
      <c r="O415" t="s">
        <v>74</v>
      </c>
      <c r="P415">
        <v>0.02</v>
      </c>
      <c r="Q415" t="s">
        <v>245</v>
      </c>
      <c r="R415">
        <v>28.6</v>
      </c>
      <c r="S415">
        <v>31.4</v>
      </c>
      <c r="T415">
        <v>28.6</v>
      </c>
      <c r="U415">
        <v>4.3</v>
      </c>
      <c r="V415">
        <v>7.1</v>
      </c>
    </row>
    <row r="416" spans="1:22" x14ac:dyDescent="0.25">
      <c r="A416" t="s">
        <v>1705</v>
      </c>
      <c r="B416" t="s">
        <v>224</v>
      </c>
      <c r="C416">
        <v>12</v>
      </c>
      <c r="D416" t="s">
        <v>132</v>
      </c>
      <c r="E416" t="s">
        <v>260</v>
      </c>
      <c r="F416" t="s">
        <v>260</v>
      </c>
      <c r="G416">
        <v>0.08</v>
      </c>
      <c r="H416" t="s">
        <v>57</v>
      </c>
      <c r="I416">
        <v>-6</v>
      </c>
      <c r="J416" t="str">
        <f>HYPERLINK("https://www.eliteprospects.com/player/478357/luke-van-why")</f>
        <v>https://www.eliteprospects.com/player/478357/luke-van-why</v>
      </c>
      <c r="K416" t="s">
        <v>27</v>
      </c>
      <c r="L416" t="s">
        <v>28</v>
      </c>
      <c r="M416" t="s">
        <v>1296</v>
      </c>
      <c r="N416">
        <v>3</v>
      </c>
      <c r="O416" t="s">
        <v>74</v>
      </c>
      <c r="P416">
        <v>0.02</v>
      </c>
      <c r="Q416" t="s">
        <v>245</v>
      </c>
      <c r="R416">
        <v>28.6</v>
      </c>
      <c r="S416">
        <v>31.4</v>
      </c>
      <c r="T416">
        <v>28.6</v>
      </c>
      <c r="U416">
        <v>4.3</v>
      </c>
      <c r="V416">
        <v>7.1</v>
      </c>
    </row>
    <row r="417" spans="1:22" x14ac:dyDescent="0.25">
      <c r="A417" t="s">
        <v>1706</v>
      </c>
      <c r="B417" t="s">
        <v>64</v>
      </c>
      <c r="C417">
        <v>13</v>
      </c>
      <c r="D417" t="s">
        <v>132</v>
      </c>
      <c r="E417" t="s">
        <v>260</v>
      </c>
      <c r="F417" t="s">
        <v>260</v>
      </c>
      <c r="G417">
        <v>0.08</v>
      </c>
      <c r="H417" t="s">
        <v>66</v>
      </c>
      <c r="I417">
        <v>0</v>
      </c>
      <c r="J417" t="str">
        <f>HYPERLINK("https://www.eliteprospects.com/player/636405/colton-jamieson")</f>
        <v>https://www.eliteprospects.com/player/636405/colton-jamieson</v>
      </c>
      <c r="K417" t="s">
        <v>27</v>
      </c>
      <c r="L417" t="s">
        <v>28</v>
      </c>
      <c r="M417" t="s">
        <v>1296</v>
      </c>
      <c r="N417">
        <v>1</v>
      </c>
      <c r="O417" t="s">
        <v>71</v>
      </c>
      <c r="P417">
        <v>0.02</v>
      </c>
      <c r="Q417" t="s">
        <v>245</v>
      </c>
      <c r="R417">
        <v>28.6</v>
      </c>
      <c r="S417">
        <v>31.4</v>
      </c>
      <c r="T417">
        <v>28.6</v>
      </c>
      <c r="U417">
        <v>4.3</v>
      </c>
      <c r="V417">
        <v>7.1</v>
      </c>
    </row>
    <row r="418" spans="1:22" x14ac:dyDescent="0.25">
      <c r="A418" t="s">
        <v>1707</v>
      </c>
      <c r="B418" t="s">
        <v>202</v>
      </c>
      <c r="C418">
        <v>13</v>
      </c>
      <c r="D418" t="s">
        <v>132</v>
      </c>
      <c r="E418" t="s">
        <v>260</v>
      </c>
      <c r="F418" t="s">
        <v>260</v>
      </c>
      <c r="G418">
        <v>0.08</v>
      </c>
      <c r="H418" t="s">
        <v>57</v>
      </c>
      <c r="I418">
        <v>-4</v>
      </c>
      <c r="J418" t="str">
        <f>HYPERLINK("https://www.eliteprospects.com/player/664611/joe-gramer")</f>
        <v>https://www.eliteprospects.com/player/664611/joe-gramer</v>
      </c>
      <c r="K418" t="s">
        <v>27</v>
      </c>
      <c r="L418" t="s">
        <v>28</v>
      </c>
      <c r="M418" t="s">
        <v>1296</v>
      </c>
      <c r="N418">
        <v>3</v>
      </c>
      <c r="O418" t="s">
        <v>1708</v>
      </c>
      <c r="P418">
        <v>0.02</v>
      </c>
      <c r="Q418" t="s">
        <v>245</v>
      </c>
      <c r="R418">
        <v>28.6</v>
      </c>
      <c r="S418">
        <v>31.4</v>
      </c>
      <c r="T418">
        <v>28.6</v>
      </c>
      <c r="U418">
        <v>4.3</v>
      </c>
      <c r="V418">
        <v>7.1</v>
      </c>
    </row>
    <row r="419" spans="1:22" x14ac:dyDescent="0.25">
      <c r="A419" t="s">
        <v>1709</v>
      </c>
      <c r="B419" t="s">
        <v>82</v>
      </c>
      <c r="C419">
        <v>14</v>
      </c>
      <c r="D419" t="s">
        <v>132</v>
      </c>
      <c r="E419" t="s">
        <v>260</v>
      </c>
      <c r="F419" t="s">
        <v>260</v>
      </c>
      <c r="G419">
        <v>7.0000000000000007E-2</v>
      </c>
      <c r="H419" t="s">
        <v>66</v>
      </c>
      <c r="I419">
        <v>-1</v>
      </c>
      <c r="J419" t="str">
        <f>HYPERLINK("https://www.eliteprospects.com/player/529249/isa-parekh")</f>
        <v>https://www.eliteprospects.com/player/529249/isa-parekh</v>
      </c>
      <c r="K419" t="s">
        <v>27</v>
      </c>
      <c r="L419" t="s">
        <v>28</v>
      </c>
      <c r="M419" t="s">
        <v>1296</v>
      </c>
      <c r="N419">
        <v>2</v>
      </c>
      <c r="O419" t="s">
        <v>43</v>
      </c>
      <c r="P419">
        <v>0.01</v>
      </c>
      <c r="Q419" t="s">
        <v>245</v>
      </c>
      <c r="R419">
        <v>28.6</v>
      </c>
      <c r="S419">
        <v>31.4</v>
      </c>
      <c r="T419">
        <v>28.6</v>
      </c>
      <c r="U419">
        <v>4.3</v>
      </c>
      <c r="V419">
        <v>7.1</v>
      </c>
    </row>
    <row r="420" spans="1:22" x14ac:dyDescent="0.25">
      <c r="A420" t="s">
        <v>1710</v>
      </c>
      <c r="B420" t="s">
        <v>238</v>
      </c>
      <c r="C420">
        <v>15</v>
      </c>
      <c r="D420" t="s">
        <v>132</v>
      </c>
      <c r="E420" t="s">
        <v>260</v>
      </c>
      <c r="F420" t="s">
        <v>260</v>
      </c>
      <c r="G420">
        <v>7.0000000000000007E-2</v>
      </c>
      <c r="H420" t="s">
        <v>79</v>
      </c>
      <c r="I420">
        <v>-5</v>
      </c>
      <c r="J420" t="str">
        <f>HYPERLINK("https://www.eliteprospects.com/player/598317/lucas-lemieux")</f>
        <v>https://www.eliteprospects.com/player/598317/lucas-lemieux</v>
      </c>
      <c r="K420" t="s">
        <v>27</v>
      </c>
      <c r="L420" t="s">
        <v>28</v>
      </c>
      <c r="M420" t="s">
        <v>1296</v>
      </c>
      <c r="N420">
        <v>1</v>
      </c>
      <c r="O420" t="s">
        <v>71</v>
      </c>
      <c r="P420">
        <v>0.01</v>
      </c>
      <c r="Q420" t="s">
        <v>245</v>
      </c>
      <c r="R420">
        <v>28.6</v>
      </c>
      <c r="S420">
        <v>31.4</v>
      </c>
      <c r="T420">
        <v>28.6</v>
      </c>
      <c r="U420">
        <v>4.3</v>
      </c>
      <c r="V420">
        <v>7.1</v>
      </c>
    </row>
    <row r="421" spans="1:22" x14ac:dyDescent="0.25">
      <c r="A421" t="s">
        <v>1711</v>
      </c>
      <c r="B421" t="s">
        <v>114</v>
      </c>
      <c r="C421">
        <v>15</v>
      </c>
      <c r="D421" t="s">
        <v>132</v>
      </c>
      <c r="E421" t="s">
        <v>260</v>
      </c>
      <c r="F421" t="s">
        <v>260</v>
      </c>
      <c r="G421">
        <v>7.0000000000000007E-2</v>
      </c>
      <c r="H421" t="s">
        <v>66</v>
      </c>
      <c r="I421">
        <v>-5</v>
      </c>
      <c r="J421" t="str">
        <f>HYPERLINK("https://www.eliteprospects.com/player/623773/brady-yakesh")</f>
        <v>https://www.eliteprospects.com/player/623773/brady-yakesh</v>
      </c>
      <c r="K421" t="s">
        <v>27</v>
      </c>
      <c r="L421" t="s">
        <v>28</v>
      </c>
      <c r="M421" t="s">
        <v>1296</v>
      </c>
      <c r="N421">
        <v>2</v>
      </c>
      <c r="O421" t="s">
        <v>43</v>
      </c>
      <c r="P421">
        <v>0.01</v>
      </c>
      <c r="Q421" t="s">
        <v>245</v>
      </c>
      <c r="R421">
        <v>28.6</v>
      </c>
      <c r="S421">
        <v>31.4</v>
      </c>
      <c r="T421">
        <v>28.6</v>
      </c>
      <c r="U421">
        <v>4.3</v>
      </c>
      <c r="V421">
        <v>7.1</v>
      </c>
    </row>
    <row r="422" spans="1:22" x14ac:dyDescent="0.25">
      <c r="A422" t="s">
        <v>1712</v>
      </c>
      <c r="B422" t="s">
        <v>205</v>
      </c>
      <c r="C422">
        <v>15</v>
      </c>
      <c r="D422" t="s">
        <v>132</v>
      </c>
      <c r="E422" t="s">
        <v>260</v>
      </c>
      <c r="F422" t="s">
        <v>260</v>
      </c>
      <c r="G422">
        <v>7.0000000000000007E-2</v>
      </c>
      <c r="H422" t="s">
        <v>66</v>
      </c>
      <c r="I422">
        <v>-3</v>
      </c>
      <c r="J422" t="str">
        <f>HYPERLINK("https://www.eliteprospects.com/player/648864/brock-reinhart")</f>
        <v>https://www.eliteprospects.com/player/648864/brock-reinhart</v>
      </c>
      <c r="K422" t="s">
        <v>27</v>
      </c>
      <c r="L422" t="s">
        <v>28</v>
      </c>
      <c r="M422" t="s">
        <v>1296</v>
      </c>
      <c r="N422">
        <v>1</v>
      </c>
      <c r="O422" t="s">
        <v>71</v>
      </c>
      <c r="P422">
        <v>0.01</v>
      </c>
      <c r="Q422" t="s">
        <v>245</v>
      </c>
      <c r="R422">
        <v>28.6</v>
      </c>
      <c r="S422">
        <v>31.4</v>
      </c>
      <c r="T422">
        <v>28.6</v>
      </c>
      <c r="U422">
        <v>4.3</v>
      </c>
      <c r="V422">
        <v>7.1</v>
      </c>
    </row>
    <row r="423" spans="1:22" x14ac:dyDescent="0.25">
      <c r="A423" t="s">
        <v>1713</v>
      </c>
      <c r="B423" t="s">
        <v>120</v>
      </c>
      <c r="C423">
        <v>16</v>
      </c>
      <c r="D423" t="s">
        <v>132</v>
      </c>
      <c r="E423" t="s">
        <v>260</v>
      </c>
      <c r="F423" t="s">
        <v>260</v>
      </c>
      <c r="G423">
        <v>0.06</v>
      </c>
      <c r="H423" t="s">
        <v>79</v>
      </c>
      <c r="I423">
        <v>1</v>
      </c>
      <c r="J423" t="str">
        <f>HYPERLINK("https://www.eliteprospects.com/player/644924/kristian-kostadinski")</f>
        <v>https://www.eliteprospects.com/player/644924/kristian-kostadinski</v>
      </c>
      <c r="K423" t="s">
        <v>27</v>
      </c>
      <c r="L423" t="s">
        <v>28</v>
      </c>
      <c r="M423" t="s">
        <v>1296</v>
      </c>
      <c r="N423">
        <v>1</v>
      </c>
      <c r="O423" t="s">
        <v>71</v>
      </c>
      <c r="P423">
        <v>0.01</v>
      </c>
      <c r="Q423" t="s">
        <v>245</v>
      </c>
      <c r="R423">
        <v>28.6</v>
      </c>
      <c r="S423">
        <v>31.4</v>
      </c>
      <c r="T423">
        <v>28.6</v>
      </c>
      <c r="U423">
        <v>4.3</v>
      </c>
      <c r="V423">
        <v>7.1</v>
      </c>
    </row>
    <row r="424" spans="1:22" x14ac:dyDescent="0.25">
      <c r="A424" t="s">
        <v>1714</v>
      </c>
      <c r="B424" t="s">
        <v>161</v>
      </c>
      <c r="C424">
        <v>16</v>
      </c>
      <c r="D424" t="s">
        <v>132</v>
      </c>
      <c r="E424" t="s">
        <v>260</v>
      </c>
      <c r="F424" t="s">
        <v>260</v>
      </c>
      <c r="G424">
        <v>0.06</v>
      </c>
      <c r="H424" t="s">
        <v>79</v>
      </c>
      <c r="I424">
        <v>1</v>
      </c>
      <c r="J424" t="str">
        <f>HYPERLINK("https://www.eliteprospects.com/player/623739/nick-baer")</f>
        <v>https://www.eliteprospects.com/player/623739/nick-baer</v>
      </c>
      <c r="K424" t="s">
        <v>27</v>
      </c>
      <c r="L424" t="s">
        <v>28</v>
      </c>
      <c r="M424" t="s">
        <v>1296</v>
      </c>
      <c r="N424">
        <v>2</v>
      </c>
      <c r="O424" t="s">
        <v>43</v>
      </c>
      <c r="P424">
        <v>0.01</v>
      </c>
      <c r="Q424" t="s">
        <v>245</v>
      </c>
      <c r="R424">
        <v>28.6</v>
      </c>
      <c r="S424">
        <v>31.4</v>
      </c>
      <c r="T424">
        <v>28.6</v>
      </c>
      <c r="U424">
        <v>4.3</v>
      </c>
      <c r="V424">
        <v>7.1</v>
      </c>
    </row>
    <row r="425" spans="1:22" x14ac:dyDescent="0.25">
      <c r="A425" t="s">
        <v>1715</v>
      </c>
      <c r="B425" t="s">
        <v>177</v>
      </c>
      <c r="C425">
        <v>16</v>
      </c>
      <c r="D425" t="s">
        <v>132</v>
      </c>
      <c r="E425" t="s">
        <v>260</v>
      </c>
      <c r="F425" t="s">
        <v>260</v>
      </c>
      <c r="G425">
        <v>0.06</v>
      </c>
      <c r="H425" t="s">
        <v>26</v>
      </c>
      <c r="I425">
        <v>3</v>
      </c>
      <c r="J425" t="str">
        <f>HYPERLINK("https://www.eliteprospects.com/player/535647/cameron-eke")</f>
        <v>https://www.eliteprospects.com/player/535647/cameron-eke</v>
      </c>
      <c r="K425" t="s">
        <v>27</v>
      </c>
      <c r="L425" t="s">
        <v>28</v>
      </c>
      <c r="M425" t="s">
        <v>1296</v>
      </c>
      <c r="N425">
        <v>1</v>
      </c>
      <c r="O425" t="s">
        <v>71</v>
      </c>
      <c r="P425">
        <v>0.01</v>
      </c>
      <c r="Q425" t="s">
        <v>245</v>
      </c>
      <c r="R425">
        <v>28.6</v>
      </c>
      <c r="S425">
        <v>31.4</v>
      </c>
      <c r="T425">
        <v>28.6</v>
      </c>
      <c r="U425">
        <v>4.3</v>
      </c>
      <c r="V425">
        <v>7.1</v>
      </c>
    </row>
    <row r="426" spans="1:22" x14ac:dyDescent="0.25">
      <c r="A426" t="s">
        <v>1716</v>
      </c>
      <c r="B426" t="s">
        <v>124</v>
      </c>
      <c r="C426">
        <v>16</v>
      </c>
      <c r="D426" t="s">
        <v>132</v>
      </c>
      <c r="E426" t="s">
        <v>260</v>
      </c>
      <c r="F426" t="s">
        <v>260</v>
      </c>
      <c r="G426">
        <v>0.06</v>
      </c>
      <c r="H426" t="s">
        <v>39</v>
      </c>
      <c r="I426">
        <v>-4</v>
      </c>
      <c r="J426" t="str">
        <f>HYPERLINK("https://www.eliteprospects.com/player/418235/kyle-aucoin")</f>
        <v>https://www.eliteprospects.com/player/418235/kyle-aucoin</v>
      </c>
      <c r="K426" t="s">
        <v>27</v>
      </c>
      <c r="L426" t="s">
        <v>28</v>
      </c>
      <c r="M426" t="s">
        <v>1296</v>
      </c>
      <c r="N426">
        <v>5</v>
      </c>
      <c r="O426" t="s">
        <v>67</v>
      </c>
      <c r="P426">
        <v>0.01</v>
      </c>
      <c r="Q426" t="s">
        <v>245</v>
      </c>
      <c r="R426">
        <v>28.6</v>
      </c>
      <c r="S426">
        <v>31.4</v>
      </c>
      <c r="T426">
        <v>28.6</v>
      </c>
      <c r="U426">
        <v>4.3</v>
      </c>
      <c r="V426">
        <v>7.1</v>
      </c>
    </row>
    <row r="427" spans="1:22" x14ac:dyDescent="0.25">
      <c r="A427" t="s">
        <v>1717</v>
      </c>
      <c r="B427" t="s">
        <v>83</v>
      </c>
      <c r="C427">
        <v>17</v>
      </c>
      <c r="D427" t="s">
        <v>132</v>
      </c>
      <c r="E427" t="s">
        <v>260</v>
      </c>
      <c r="F427" t="s">
        <v>260</v>
      </c>
      <c r="G427">
        <v>0.06</v>
      </c>
      <c r="H427" t="s">
        <v>26</v>
      </c>
      <c r="I427">
        <v>-1</v>
      </c>
      <c r="J427" t="str">
        <f>HYPERLINK("https://www.eliteprospects.com/player/411232/tucker-mcrae")</f>
        <v>https://www.eliteprospects.com/player/411232/tucker-mcrae</v>
      </c>
      <c r="K427" t="s">
        <v>27</v>
      </c>
      <c r="L427" t="s">
        <v>28</v>
      </c>
      <c r="M427" t="s">
        <v>1296</v>
      </c>
      <c r="N427">
        <v>4</v>
      </c>
      <c r="O427" t="s">
        <v>30</v>
      </c>
      <c r="P427">
        <v>0.01</v>
      </c>
      <c r="Q427" t="s">
        <v>245</v>
      </c>
      <c r="R427">
        <v>28.6</v>
      </c>
      <c r="S427">
        <v>31.4</v>
      </c>
      <c r="T427">
        <v>28.6</v>
      </c>
      <c r="U427">
        <v>4.3</v>
      </c>
      <c r="V427">
        <v>7.1</v>
      </c>
    </row>
    <row r="428" spans="1:22" x14ac:dyDescent="0.25">
      <c r="A428" t="s">
        <v>1718</v>
      </c>
      <c r="B428" t="s">
        <v>174</v>
      </c>
      <c r="C428">
        <v>18</v>
      </c>
      <c r="D428" t="s">
        <v>132</v>
      </c>
      <c r="E428" t="s">
        <v>260</v>
      </c>
      <c r="F428" t="s">
        <v>260</v>
      </c>
      <c r="G428">
        <v>0.06</v>
      </c>
      <c r="H428" t="s">
        <v>26</v>
      </c>
      <c r="I428">
        <v>-6</v>
      </c>
      <c r="J428" t="str">
        <f>HYPERLINK("https://www.eliteprospects.com/player/473290/oscar-plandowski")</f>
        <v>https://www.eliteprospects.com/player/473290/oscar-plandowski</v>
      </c>
      <c r="K428" t="s">
        <v>27</v>
      </c>
      <c r="L428" t="s">
        <v>28</v>
      </c>
      <c r="M428" t="s">
        <v>1296</v>
      </c>
      <c r="N428">
        <v>6</v>
      </c>
      <c r="O428" t="s">
        <v>99</v>
      </c>
      <c r="P428">
        <v>0.01</v>
      </c>
      <c r="Q428" t="s">
        <v>245</v>
      </c>
      <c r="R428">
        <v>28.6</v>
      </c>
      <c r="S428">
        <v>31.4</v>
      </c>
      <c r="T428">
        <v>28.6</v>
      </c>
      <c r="U428">
        <v>4.3</v>
      </c>
      <c r="V428">
        <v>7.1</v>
      </c>
    </row>
    <row r="429" spans="1:22" x14ac:dyDescent="0.25">
      <c r="A429" t="s">
        <v>1719</v>
      </c>
      <c r="B429" t="s">
        <v>119</v>
      </c>
      <c r="C429">
        <v>19</v>
      </c>
      <c r="D429" t="s">
        <v>132</v>
      </c>
      <c r="E429" t="s">
        <v>260</v>
      </c>
      <c r="F429" t="s">
        <v>260</v>
      </c>
      <c r="G429">
        <v>0.05</v>
      </c>
      <c r="H429" t="s">
        <v>57</v>
      </c>
      <c r="I429">
        <v>-6</v>
      </c>
      <c r="J429" t="str">
        <f>HYPERLINK("https://www.eliteprospects.com/player/597843/finn-mclaughlin")</f>
        <v>https://www.eliteprospects.com/player/597843/finn-mclaughlin</v>
      </c>
      <c r="K429" t="s">
        <v>27</v>
      </c>
      <c r="L429" t="s">
        <v>28</v>
      </c>
      <c r="M429" t="s">
        <v>1296</v>
      </c>
      <c r="N429">
        <v>1</v>
      </c>
      <c r="O429" t="s">
        <v>71</v>
      </c>
      <c r="P429">
        <v>0.01</v>
      </c>
      <c r="Q429" t="s">
        <v>245</v>
      </c>
      <c r="R429">
        <v>28.6</v>
      </c>
      <c r="S429">
        <v>31.4</v>
      </c>
      <c r="T429">
        <v>28.6</v>
      </c>
      <c r="U429">
        <v>4.3</v>
      </c>
      <c r="V429">
        <v>7.1</v>
      </c>
    </row>
    <row r="430" spans="1:22" x14ac:dyDescent="0.25">
      <c r="A430" t="s">
        <v>1720</v>
      </c>
      <c r="B430" t="s">
        <v>116</v>
      </c>
      <c r="C430">
        <v>19</v>
      </c>
      <c r="D430" t="s">
        <v>132</v>
      </c>
      <c r="E430" t="s">
        <v>260</v>
      </c>
      <c r="F430" t="s">
        <v>260</v>
      </c>
      <c r="G430">
        <v>0.05</v>
      </c>
      <c r="H430" t="s">
        <v>32</v>
      </c>
      <c r="I430">
        <v>-10</v>
      </c>
      <c r="J430" t="str">
        <f>HYPERLINK("https://www.eliteprospects.com/player/478378/jan-olenginski")</f>
        <v>https://www.eliteprospects.com/player/478378/jan-olenginski</v>
      </c>
      <c r="K430" t="s">
        <v>27</v>
      </c>
      <c r="L430" t="s">
        <v>28</v>
      </c>
      <c r="M430" t="s">
        <v>1296</v>
      </c>
      <c r="N430">
        <v>3</v>
      </c>
      <c r="O430" t="s">
        <v>74</v>
      </c>
      <c r="P430">
        <v>0.01</v>
      </c>
      <c r="Q430" t="s">
        <v>245</v>
      </c>
      <c r="R430">
        <v>28.6</v>
      </c>
      <c r="S430">
        <v>31.4</v>
      </c>
      <c r="T430">
        <v>28.6</v>
      </c>
      <c r="U430">
        <v>4.3</v>
      </c>
      <c r="V430">
        <v>7.1</v>
      </c>
    </row>
    <row r="431" spans="1:22" x14ac:dyDescent="0.25">
      <c r="A431" t="s">
        <v>1721</v>
      </c>
      <c r="B431" t="s">
        <v>163</v>
      </c>
      <c r="C431">
        <v>19</v>
      </c>
      <c r="D431" t="s">
        <v>132</v>
      </c>
      <c r="E431" t="s">
        <v>260</v>
      </c>
      <c r="F431" t="s">
        <v>260</v>
      </c>
      <c r="G431">
        <v>0.05</v>
      </c>
      <c r="H431" t="s">
        <v>39</v>
      </c>
      <c r="I431">
        <v>-2</v>
      </c>
      <c r="J431" t="str">
        <f>HYPERLINK("https://www.eliteprospects.com/player/472442/tomas-machu")</f>
        <v>https://www.eliteprospects.com/player/472442/tomas-machu</v>
      </c>
      <c r="K431" t="s">
        <v>27</v>
      </c>
      <c r="L431" t="s">
        <v>28</v>
      </c>
      <c r="M431" t="s">
        <v>1296</v>
      </c>
      <c r="N431">
        <v>2</v>
      </c>
      <c r="O431" t="s">
        <v>43</v>
      </c>
      <c r="P431">
        <v>0.01</v>
      </c>
      <c r="Q431" t="s">
        <v>245</v>
      </c>
      <c r="R431">
        <v>28.6</v>
      </c>
      <c r="S431">
        <v>31.4</v>
      </c>
      <c r="T431">
        <v>28.6</v>
      </c>
      <c r="U431">
        <v>4.3</v>
      </c>
      <c r="V431">
        <v>7.1</v>
      </c>
    </row>
    <row r="432" spans="1:22" x14ac:dyDescent="0.25">
      <c r="A432" t="s">
        <v>1722</v>
      </c>
      <c r="B432" t="s">
        <v>255</v>
      </c>
      <c r="C432">
        <v>19</v>
      </c>
      <c r="D432" t="s">
        <v>132</v>
      </c>
      <c r="E432" t="s">
        <v>260</v>
      </c>
      <c r="F432" t="s">
        <v>260</v>
      </c>
      <c r="G432">
        <v>0.05</v>
      </c>
      <c r="H432" t="s">
        <v>39</v>
      </c>
      <c r="I432">
        <v>-2</v>
      </c>
      <c r="J432" t="str">
        <f>HYPERLINK("https://www.eliteprospects.com/player/553224/david-posma")</f>
        <v>https://www.eliteprospects.com/player/553224/david-posma</v>
      </c>
      <c r="K432" t="s">
        <v>27</v>
      </c>
      <c r="L432" t="s">
        <v>28</v>
      </c>
      <c r="M432" t="s">
        <v>1296</v>
      </c>
      <c r="N432">
        <v>4</v>
      </c>
      <c r="O432" t="s">
        <v>30</v>
      </c>
      <c r="P432">
        <v>0.01</v>
      </c>
      <c r="Q432" t="s">
        <v>245</v>
      </c>
      <c r="R432">
        <v>28.6</v>
      </c>
      <c r="S432">
        <v>31.4</v>
      </c>
      <c r="T432">
        <v>28.6</v>
      </c>
      <c r="U432">
        <v>4.3</v>
      </c>
      <c r="V432">
        <v>7.1</v>
      </c>
    </row>
    <row r="433" spans="1:22" x14ac:dyDescent="0.25">
      <c r="A433" t="s">
        <v>1723</v>
      </c>
      <c r="B433" t="s">
        <v>205</v>
      </c>
      <c r="C433">
        <v>20</v>
      </c>
      <c r="D433" t="s">
        <v>132</v>
      </c>
      <c r="E433" t="s">
        <v>260</v>
      </c>
      <c r="F433" t="s">
        <v>260</v>
      </c>
      <c r="G433">
        <v>0.05</v>
      </c>
      <c r="H433" t="s">
        <v>84</v>
      </c>
      <c r="I433">
        <v>5</v>
      </c>
      <c r="J433" t="str">
        <f>HYPERLINK("https://www.eliteprospects.com/player/478397/kevin-scott")</f>
        <v>https://www.eliteprospects.com/player/478397/kevin-scott</v>
      </c>
      <c r="K433" t="s">
        <v>27</v>
      </c>
      <c r="L433" t="s">
        <v>28</v>
      </c>
      <c r="M433" t="s">
        <v>1296</v>
      </c>
      <c r="N433">
        <v>3</v>
      </c>
      <c r="O433" t="s">
        <v>74</v>
      </c>
      <c r="P433">
        <v>0.01</v>
      </c>
      <c r="Q433" t="s">
        <v>245</v>
      </c>
      <c r="R433">
        <v>28.6</v>
      </c>
      <c r="S433">
        <v>31.4</v>
      </c>
      <c r="T433">
        <v>28.6</v>
      </c>
      <c r="U433">
        <v>4.3</v>
      </c>
      <c r="V433">
        <v>7.1</v>
      </c>
    </row>
    <row r="434" spans="1:22" x14ac:dyDescent="0.25">
      <c r="A434" t="s">
        <v>1724</v>
      </c>
      <c r="B434" t="s">
        <v>130</v>
      </c>
      <c r="C434">
        <v>20</v>
      </c>
      <c r="D434" t="s">
        <v>132</v>
      </c>
      <c r="E434" t="s">
        <v>260</v>
      </c>
      <c r="F434" t="s">
        <v>260</v>
      </c>
      <c r="G434">
        <v>0.05</v>
      </c>
      <c r="H434" t="s">
        <v>125</v>
      </c>
      <c r="I434">
        <v>3</v>
      </c>
      <c r="J434" t="str">
        <f>HYPERLINK("https://www.eliteprospects.com/player/475353/cameron-kungle")</f>
        <v>https://www.eliteprospects.com/player/475353/cameron-kungle</v>
      </c>
      <c r="K434" t="s">
        <v>27</v>
      </c>
      <c r="L434" t="s">
        <v>28</v>
      </c>
      <c r="M434" t="s">
        <v>1296</v>
      </c>
      <c r="N434">
        <v>3</v>
      </c>
      <c r="O434" t="s">
        <v>74</v>
      </c>
      <c r="P434">
        <v>0.01</v>
      </c>
      <c r="Q434" t="s">
        <v>245</v>
      </c>
      <c r="R434">
        <v>28.6</v>
      </c>
      <c r="S434">
        <v>31.4</v>
      </c>
      <c r="T434">
        <v>28.6</v>
      </c>
      <c r="U434">
        <v>4.3</v>
      </c>
      <c r="V434">
        <v>7.1</v>
      </c>
    </row>
    <row r="435" spans="1:22" x14ac:dyDescent="0.25">
      <c r="A435" t="s">
        <v>1725</v>
      </c>
      <c r="B435" t="s">
        <v>161</v>
      </c>
      <c r="C435">
        <v>21</v>
      </c>
      <c r="D435" t="s">
        <v>132</v>
      </c>
      <c r="E435" t="s">
        <v>260</v>
      </c>
      <c r="F435" t="s">
        <v>260</v>
      </c>
      <c r="G435">
        <v>0.05</v>
      </c>
      <c r="H435" t="s">
        <v>51</v>
      </c>
      <c r="I435">
        <v>2</v>
      </c>
      <c r="J435" t="str">
        <f>HYPERLINK("https://www.eliteprospects.com/player/573945/matteo-mann")</f>
        <v>https://www.eliteprospects.com/player/573945/matteo-mann</v>
      </c>
      <c r="K435" t="s">
        <v>27</v>
      </c>
      <c r="L435" t="s">
        <v>28</v>
      </c>
      <c r="M435" t="s">
        <v>1296</v>
      </c>
      <c r="N435">
        <v>6</v>
      </c>
      <c r="O435" t="s">
        <v>99</v>
      </c>
      <c r="P435">
        <v>0.01</v>
      </c>
      <c r="Q435" t="s">
        <v>245</v>
      </c>
      <c r="R435">
        <v>28.6</v>
      </c>
      <c r="S435">
        <v>31.4</v>
      </c>
      <c r="T435">
        <v>28.6</v>
      </c>
      <c r="U435">
        <v>4.3</v>
      </c>
      <c r="V435">
        <v>7.1</v>
      </c>
    </row>
    <row r="436" spans="1:22" x14ac:dyDescent="0.25">
      <c r="A436" t="s">
        <v>1726</v>
      </c>
      <c r="B436" t="s">
        <v>106</v>
      </c>
      <c r="C436">
        <v>21</v>
      </c>
      <c r="D436" t="s">
        <v>132</v>
      </c>
      <c r="E436" t="s">
        <v>260</v>
      </c>
      <c r="F436" t="s">
        <v>260</v>
      </c>
      <c r="G436">
        <v>0.05</v>
      </c>
      <c r="H436" t="s">
        <v>24</v>
      </c>
      <c r="I436">
        <v>-3</v>
      </c>
      <c r="J436" t="str">
        <f>HYPERLINK("https://www.eliteprospects.com/player/651974/jack-sparkes")</f>
        <v>https://www.eliteprospects.com/player/651974/jack-sparkes</v>
      </c>
      <c r="K436" t="s">
        <v>27</v>
      </c>
      <c r="L436" t="s">
        <v>28</v>
      </c>
      <c r="M436" t="s">
        <v>1296</v>
      </c>
      <c r="N436">
        <v>2</v>
      </c>
      <c r="O436" t="s">
        <v>43</v>
      </c>
      <c r="P436">
        <v>0.01</v>
      </c>
      <c r="Q436" t="s">
        <v>245</v>
      </c>
      <c r="R436">
        <v>28.6</v>
      </c>
      <c r="S436">
        <v>31.4</v>
      </c>
      <c r="T436">
        <v>28.6</v>
      </c>
      <c r="U436">
        <v>4.3</v>
      </c>
      <c r="V436">
        <v>7.1</v>
      </c>
    </row>
    <row r="437" spans="1:22" x14ac:dyDescent="0.25">
      <c r="A437" t="s">
        <v>1727</v>
      </c>
      <c r="B437" t="s">
        <v>146</v>
      </c>
      <c r="C437">
        <v>22</v>
      </c>
      <c r="D437" t="s">
        <v>132</v>
      </c>
      <c r="E437" t="s">
        <v>260</v>
      </c>
      <c r="F437" t="s">
        <v>260</v>
      </c>
      <c r="G437">
        <v>0.05</v>
      </c>
      <c r="H437" t="s">
        <v>132</v>
      </c>
      <c r="I437">
        <v>-3</v>
      </c>
      <c r="J437" t="str">
        <f>HYPERLINK("https://www.eliteprospects.com/player/486071/luke-antonacci")</f>
        <v>https://www.eliteprospects.com/player/486071/luke-antonacci</v>
      </c>
      <c r="K437" t="s">
        <v>27</v>
      </c>
      <c r="L437" t="s">
        <v>28</v>
      </c>
      <c r="M437" t="s">
        <v>1296</v>
      </c>
      <c r="N437">
        <v>4</v>
      </c>
      <c r="O437" t="s">
        <v>30</v>
      </c>
      <c r="P437">
        <v>0.01</v>
      </c>
      <c r="Q437" t="s">
        <v>245</v>
      </c>
      <c r="R437">
        <v>28.6</v>
      </c>
      <c r="S437">
        <v>31.4</v>
      </c>
      <c r="T437">
        <v>28.6</v>
      </c>
      <c r="U437">
        <v>4.3</v>
      </c>
      <c r="V437">
        <v>7.1</v>
      </c>
    </row>
    <row r="438" spans="1:22" x14ac:dyDescent="0.25">
      <c r="A438" t="s">
        <v>1728</v>
      </c>
      <c r="B438" t="s">
        <v>113</v>
      </c>
      <c r="C438">
        <v>22</v>
      </c>
      <c r="D438" t="s">
        <v>132</v>
      </c>
      <c r="E438" t="s">
        <v>260</v>
      </c>
      <c r="F438" t="s">
        <v>260</v>
      </c>
      <c r="G438">
        <v>0.05</v>
      </c>
      <c r="H438" t="s">
        <v>79</v>
      </c>
      <c r="I438">
        <v>0</v>
      </c>
      <c r="J438" t="str">
        <f>HYPERLINK("https://www.eliteprospects.com/player/664617/liam-hupka")</f>
        <v>https://www.eliteprospects.com/player/664617/liam-hupka</v>
      </c>
      <c r="K438" t="s">
        <v>27</v>
      </c>
      <c r="L438" t="s">
        <v>28</v>
      </c>
      <c r="M438" t="s">
        <v>1296</v>
      </c>
      <c r="N438">
        <v>1</v>
      </c>
      <c r="O438" t="s">
        <v>71</v>
      </c>
      <c r="P438">
        <v>0.01</v>
      </c>
      <c r="Q438" t="s">
        <v>245</v>
      </c>
      <c r="R438">
        <v>28.6</v>
      </c>
      <c r="S438">
        <v>31.4</v>
      </c>
      <c r="T438">
        <v>28.6</v>
      </c>
      <c r="U438">
        <v>4.3</v>
      </c>
      <c r="V438">
        <v>7.1</v>
      </c>
    </row>
    <row r="439" spans="1:22" x14ac:dyDescent="0.25">
      <c r="A439" t="s">
        <v>1729</v>
      </c>
      <c r="B439" t="s">
        <v>148</v>
      </c>
      <c r="C439">
        <v>22</v>
      </c>
      <c r="D439" t="s">
        <v>132</v>
      </c>
      <c r="E439" t="s">
        <v>260</v>
      </c>
      <c r="F439" t="s">
        <v>260</v>
      </c>
      <c r="G439">
        <v>0.05</v>
      </c>
      <c r="H439" t="s">
        <v>66</v>
      </c>
      <c r="I439">
        <v>3</v>
      </c>
      <c r="J439" t="str">
        <f>HYPERLINK("https://www.eliteprospects.com/player/497305/will-svenddal")</f>
        <v>https://www.eliteprospects.com/player/497305/will-svenddal</v>
      </c>
      <c r="K439" t="s">
        <v>27</v>
      </c>
      <c r="L439" t="s">
        <v>28</v>
      </c>
      <c r="M439" t="s">
        <v>1296</v>
      </c>
      <c r="N439">
        <v>3</v>
      </c>
      <c r="O439" t="s">
        <v>74</v>
      </c>
      <c r="P439">
        <v>0.01</v>
      </c>
      <c r="Q439" t="s">
        <v>245</v>
      </c>
      <c r="R439">
        <v>28.6</v>
      </c>
      <c r="S439">
        <v>31.4</v>
      </c>
      <c r="T439">
        <v>28.6</v>
      </c>
      <c r="U439">
        <v>4.3</v>
      </c>
      <c r="V439">
        <v>7.1</v>
      </c>
    </row>
    <row r="440" spans="1:22" x14ac:dyDescent="0.25">
      <c r="A440" t="s">
        <v>1730</v>
      </c>
      <c r="B440" t="s">
        <v>215</v>
      </c>
      <c r="C440">
        <v>24</v>
      </c>
      <c r="D440" t="s">
        <v>132</v>
      </c>
      <c r="E440" t="s">
        <v>260</v>
      </c>
      <c r="F440" t="s">
        <v>260</v>
      </c>
      <c r="G440">
        <v>0.04</v>
      </c>
      <c r="H440" t="s">
        <v>32</v>
      </c>
      <c r="I440">
        <v>-11</v>
      </c>
      <c r="J440" t="str">
        <f>HYPERLINK("https://www.eliteprospects.com/player/634009/anthony-cliche")</f>
        <v>https://www.eliteprospects.com/player/634009/anthony-cliche</v>
      </c>
      <c r="K440" t="s">
        <v>27</v>
      </c>
      <c r="L440" t="s">
        <v>28</v>
      </c>
      <c r="M440" t="s">
        <v>1296</v>
      </c>
      <c r="N440">
        <v>2</v>
      </c>
      <c r="O440" t="s">
        <v>43</v>
      </c>
      <c r="P440">
        <v>0.01</v>
      </c>
      <c r="Q440" t="s">
        <v>245</v>
      </c>
      <c r="R440">
        <v>28.6</v>
      </c>
      <c r="S440">
        <v>31.4</v>
      </c>
      <c r="T440">
        <v>28.6</v>
      </c>
      <c r="U440">
        <v>4.3</v>
      </c>
      <c r="V440">
        <v>7.1</v>
      </c>
    </row>
    <row r="441" spans="1:22" x14ac:dyDescent="0.25">
      <c r="A441" t="s">
        <v>1731</v>
      </c>
      <c r="B441" t="s">
        <v>64</v>
      </c>
      <c r="C441">
        <v>10</v>
      </c>
      <c r="D441" t="s">
        <v>132</v>
      </c>
      <c r="E441" t="s">
        <v>132</v>
      </c>
      <c r="F441" t="s">
        <v>132</v>
      </c>
      <c r="G441">
        <v>0</v>
      </c>
      <c r="H441" t="s">
        <v>132</v>
      </c>
      <c r="I441">
        <v>0</v>
      </c>
      <c r="J441" t="str">
        <f>HYPERLINK("https://www.eliteprospects.com/player/645485/carson-peters")</f>
        <v>https://www.eliteprospects.com/player/645485/carson-peters</v>
      </c>
      <c r="K441" t="s">
        <v>27</v>
      </c>
      <c r="L441" t="s">
        <v>28</v>
      </c>
      <c r="M441" t="s">
        <v>1296</v>
      </c>
      <c r="N441">
        <v>4</v>
      </c>
      <c r="O441" t="s">
        <v>30</v>
      </c>
      <c r="P441">
        <v>0</v>
      </c>
      <c r="Q441" t="s">
        <v>245</v>
      </c>
      <c r="R441">
        <v>28.6</v>
      </c>
      <c r="S441">
        <v>31.4</v>
      </c>
      <c r="T441">
        <v>28.6</v>
      </c>
      <c r="U441">
        <v>4.3</v>
      </c>
      <c r="V441">
        <v>7.1</v>
      </c>
    </row>
    <row r="442" spans="1:22" x14ac:dyDescent="0.25">
      <c r="A442" t="s">
        <v>1732</v>
      </c>
      <c r="B442" t="s">
        <v>88</v>
      </c>
      <c r="C442">
        <v>10</v>
      </c>
      <c r="D442" t="s">
        <v>132</v>
      </c>
      <c r="E442" t="s">
        <v>132</v>
      </c>
      <c r="F442" t="s">
        <v>132</v>
      </c>
      <c r="G442">
        <v>0</v>
      </c>
      <c r="H442" t="s">
        <v>132</v>
      </c>
      <c r="I442">
        <v>0</v>
      </c>
      <c r="J442" t="str">
        <f>HYPERLINK("https://www.eliteprospects.com/player/664616/simon-houge")</f>
        <v>https://www.eliteprospects.com/player/664616/simon-houge</v>
      </c>
      <c r="K442" t="s">
        <v>27</v>
      </c>
      <c r="L442" t="s">
        <v>28</v>
      </c>
      <c r="M442" t="s">
        <v>1296</v>
      </c>
      <c r="N442">
        <v>1</v>
      </c>
      <c r="O442" t="s">
        <v>71</v>
      </c>
      <c r="P442">
        <v>0</v>
      </c>
      <c r="Q442" t="s">
        <v>245</v>
      </c>
      <c r="R442">
        <v>28.6</v>
      </c>
      <c r="S442">
        <v>31.4</v>
      </c>
      <c r="T442">
        <v>28.6</v>
      </c>
      <c r="U442">
        <v>4.3</v>
      </c>
      <c r="V442">
        <v>7.1</v>
      </c>
    </row>
    <row r="443" spans="1:22" x14ac:dyDescent="0.25">
      <c r="A443" t="s">
        <v>1733</v>
      </c>
      <c r="B443" t="s">
        <v>162</v>
      </c>
      <c r="C443">
        <v>10</v>
      </c>
      <c r="D443" t="s">
        <v>132</v>
      </c>
      <c r="E443" t="s">
        <v>132</v>
      </c>
      <c r="F443" t="s">
        <v>132</v>
      </c>
      <c r="G443">
        <v>0</v>
      </c>
      <c r="H443" t="s">
        <v>79</v>
      </c>
      <c r="I443">
        <v>0</v>
      </c>
      <c r="J443" t="str">
        <f>HYPERLINK("https://www.eliteprospects.com/player/659502/jack-farrell")</f>
        <v>https://www.eliteprospects.com/player/659502/jack-farrell</v>
      </c>
      <c r="K443" t="s">
        <v>27</v>
      </c>
      <c r="L443" t="s">
        <v>28</v>
      </c>
      <c r="M443" t="s">
        <v>1296</v>
      </c>
      <c r="N443">
        <v>1</v>
      </c>
      <c r="O443" t="s">
        <v>71</v>
      </c>
      <c r="P443">
        <v>0</v>
      </c>
      <c r="Q443" t="s">
        <v>245</v>
      </c>
      <c r="R443">
        <v>28.6</v>
      </c>
      <c r="S443">
        <v>31.4</v>
      </c>
      <c r="T443">
        <v>28.6</v>
      </c>
      <c r="U443">
        <v>4.3</v>
      </c>
      <c r="V443">
        <v>7.1</v>
      </c>
    </row>
    <row r="444" spans="1:22" x14ac:dyDescent="0.25">
      <c r="A444" t="s">
        <v>1734</v>
      </c>
      <c r="B444" t="s">
        <v>312</v>
      </c>
      <c r="C444">
        <v>10</v>
      </c>
      <c r="D444" t="s">
        <v>132</v>
      </c>
      <c r="E444" t="s">
        <v>132</v>
      </c>
      <c r="F444" t="s">
        <v>132</v>
      </c>
      <c r="G444">
        <v>0</v>
      </c>
      <c r="H444" t="s">
        <v>79</v>
      </c>
      <c r="I444">
        <v>-4</v>
      </c>
      <c r="J444" t="str">
        <f>HYPERLINK("https://www.eliteprospects.com/player/479831/nolan-gagnon")</f>
        <v>https://www.eliteprospects.com/player/479831/nolan-gagnon</v>
      </c>
      <c r="K444" t="s">
        <v>27</v>
      </c>
      <c r="L444" t="s">
        <v>28</v>
      </c>
      <c r="M444" t="s">
        <v>1296</v>
      </c>
      <c r="N444">
        <v>2</v>
      </c>
      <c r="O444" t="s">
        <v>43</v>
      </c>
      <c r="P444">
        <v>0</v>
      </c>
      <c r="Q444" t="s">
        <v>245</v>
      </c>
      <c r="R444">
        <v>28.6</v>
      </c>
      <c r="S444">
        <v>31.4</v>
      </c>
      <c r="T444">
        <v>28.6</v>
      </c>
      <c r="U444">
        <v>4.3</v>
      </c>
      <c r="V444">
        <v>7.1</v>
      </c>
    </row>
    <row r="445" spans="1:22" x14ac:dyDescent="0.25">
      <c r="A445" t="s">
        <v>1735</v>
      </c>
      <c r="B445" t="s">
        <v>131</v>
      </c>
      <c r="C445">
        <v>10</v>
      </c>
      <c r="D445" t="s">
        <v>132</v>
      </c>
      <c r="E445" t="s">
        <v>132</v>
      </c>
      <c r="F445" t="s">
        <v>132</v>
      </c>
      <c r="G445">
        <v>0</v>
      </c>
      <c r="H445" t="s">
        <v>79</v>
      </c>
      <c r="I445">
        <v>-1</v>
      </c>
      <c r="J445" t="str">
        <f>HYPERLINK("https://www.eliteprospects.com/player/495925/jon-bell")</f>
        <v>https://www.eliteprospects.com/player/495925/jon-bell</v>
      </c>
      <c r="K445" t="s">
        <v>27</v>
      </c>
      <c r="L445" t="s">
        <v>28</v>
      </c>
      <c r="M445" t="s">
        <v>1296</v>
      </c>
      <c r="N445">
        <v>3</v>
      </c>
      <c r="O445" t="s">
        <v>74</v>
      </c>
      <c r="P445">
        <v>0</v>
      </c>
      <c r="Q445" t="s">
        <v>245</v>
      </c>
      <c r="R445">
        <v>28.6</v>
      </c>
      <c r="S445">
        <v>31.4</v>
      </c>
      <c r="T445">
        <v>28.6</v>
      </c>
      <c r="U445">
        <v>4.3</v>
      </c>
      <c r="V445">
        <v>7.1</v>
      </c>
    </row>
    <row r="446" spans="1:22" x14ac:dyDescent="0.25">
      <c r="A446" t="s">
        <v>1736</v>
      </c>
      <c r="B446" t="s">
        <v>44</v>
      </c>
      <c r="C446">
        <v>10</v>
      </c>
      <c r="D446" t="s">
        <v>132</v>
      </c>
      <c r="E446" t="s">
        <v>132</v>
      </c>
      <c r="F446" t="s">
        <v>132</v>
      </c>
      <c r="G446">
        <v>0</v>
      </c>
      <c r="H446" t="s">
        <v>66</v>
      </c>
      <c r="I446">
        <v>-3</v>
      </c>
      <c r="J446" t="str">
        <f>HYPERLINK("https://www.eliteprospects.com/player/554233/kasper-vaharautio")</f>
        <v>https://www.eliteprospects.com/player/554233/kasper-vaharautio</v>
      </c>
      <c r="K446" t="s">
        <v>27</v>
      </c>
      <c r="L446" t="s">
        <v>28</v>
      </c>
      <c r="M446" t="s">
        <v>1296</v>
      </c>
      <c r="N446">
        <v>4</v>
      </c>
      <c r="O446" t="s">
        <v>30</v>
      </c>
      <c r="P446">
        <v>0</v>
      </c>
      <c r="Q446" t="s">
        <v>245</v>
      </c>
      <c r="R446">
        <v>28.6</v>
      </c>
      <c r="S446">
        <v>31.4</v>
      </c>
      <c r="T446">
        <v>28.6</v>
      </c>
      <c r="U446">
        <v>4.3</v>
      </c>
      <c r="V446">
        <v>7.1</v>
      </c>
    </row>
    <row r="447" spans="1:22" x14ac:dyDescent="0.25">
      <c r="A447" t="s">
        <v>1737</v>
      </c>
      <c r="B447" t="s">
        <v>205</v>
      </c>
      <c r="C447">
        <v>11</v>
      </c>
      <c r="D447" t="s">
        <v>132</v>
      </c>
      <c r="E447" t="s">
        <v>132</v>
      </c>
      <c r="F447" t="s">
        <v>132</v>
      </c>
      <c r="G447">
        <v>0</v>
      </c>
      <c r="H447" t="s">
        <v>79</v>
      </c>
      <c r="I447">
        <v>-5</v>
      </c>
      <c r="J447" t="str">
        <f>HYPERLINK("https://www.eliteprospects.com/player/400904/gustav-blom")</f>
        <v>https://www.eliteprospects.com/player/400904/gustav-blom</v>
      </c>
      <c r="K447" t="s">
        <v>27</v>
      </c>
      <c r="L447" t="s">
        <v>28</v>
      </c>
      <c r="M447" t="s">
        <v>1296</v>
      </c>
      <c r="N447">
        <v>4</v>
      </c>
      <c r="O447" t="s">
        <v>30</v>
      </c>
      <c r="P447">
        <v>0</v>
      </c>
      <c r="Q447" t="s">
        <v>245</v>
      </c>
      <c r="R447">
        <v>28.6</v>
      </c>
      <c r="S447">
        <v>31.4</v>
      </c>
      <c r="T447">
        <v>28.6</v>
      </c>
      <c r="U447">
        <v>4.3</v>
      </c>
      <c r="V447">
        <v>7.1</v>
      </c>
    </row>
    <row r="448" spans="1:22" x14ac:dyDescent="0.25">
      <c r="A448" t="s">
        <v>1738</v>
      </c>
      <c r="B448" t="s">
        <v>234</v>
      </c>
      <c r="C448">
        <v>11</v>
      </c>
      <c r="D448" t="s">
        <v>132</v>
      </c>
      <c r="E448" t="s">
        <v>132</v>
      </c>
      <c r="F448" t="s">
        <v>132</v>
      </c>
      <c r="G448">
        <v>0</v>
      </c>
      <c r="H448" t="s">
        <v>79</v>
      </c>
      <c r="I448">
        <v>1</v>
      </c>
      <c r="J448" t="str">
        <f>HYPERLINK("https://www.eliteprospects.com/player/651979/jack-hewitt")</f>
        <v>https://www.eliteprospects.com/player/651979/jack-hewitt</v>
      </c>
      <c r="K448" t="s">
        <v>27</v>
      </c>
      <c r="L448" t="s">
        <v>28</v>
      </c>
      <c r="M448" t="s">
        <v>1296</v>
      </c>
      <c r="N448">
        <v>2</v>
      </c>
      <c r="O448" t="s">
        <v>43</v>
      </c>
      <c r="P448">
        <v>0</v>
      </c>
      <c r="Q448" t="s">
        <v>245</v>
      </c>
      <c r="R448">
        <v>28.6</v>
      </c>
      <c r="S448">
        <v>31.4</v>
      </c>
      <c r="T448">
        <v>28.6</v>
      </c>
      <c r="U448">
        <v>4.3</v>
      </c>
      <c r="V448">
        <v>7.1</v>
      </c>
    </row>
    <row r="449" spans="1:22" x14ac:dyDescent="0.25">
      <c r="A449" t="s">
        <v>1739</v>
      </c>
      <c r="B449" t="s">
        <v>116</v>
      </c>
      <c r="C449">
        <v>11</v>
      </c>
      <c r="D449" t="s">
        <v>132</v>
      </c>
      <c r="E449" t="s">
        <v>132</v>
      </c>
      <c r="F449" t="s">
        <v>132</v>
      </c>
      <c r="G449">
        <v>0</v>
      </c>
      <c r="H449" t="s">
        <v>66</v>
      </c>
      <c r="I449">
        <v>-4</v>
      </c>
      <c r="J449" t="str">
        <f>HYPERLINK("https://www.eliteprospects.com/player/675870/teddy-mallgrave")</f>
        <v>https://www.eliteprospects.com/player/675870/teddy-mallgrave</v>
      </c>
      <c r="K449" t="s">
        <v>27</v>
      </c>
      <c r="L449" t="s">
        <v>28</v>
      </c>
      <c r="M449" t="s">
        <v>1296</v>
      </c>
      <c r="N449">
        <v>1</v>
      </c>
      <c r="O449" t="s">
        <v>71</v>
      </c>
      <c r="P449">
        <v>0</v>
      </c>
      <c r="Q449" t="s">
        <v>245</v>
      </c>
      <c r="R449">
        <v>28.6</v>
      </c>
      <c r="S449">
        <v>31.4</v>
      </c>
      <c r="T449">
        <v>28.6</v>
      </c>
      <c r="U449">
        <v>4.3</v>
      </c>
      <c r="V449">
        <v>7.1</v>
      </c>
    </row>
    <row r="450" spans="1:22" x14ac:dyDescent="0.25">
      <c r="A450" t="s">
        <v>1740</v>
      </c>
      <c r="B450" t="s">
        <v>288</v>
      </c>
      <c r="C450">
        <v>12</v>
      </c>
      <c r="D450" t="s">
        <v>132</v>
      </c>
      <c r="E450" t="s">
        <v>132</v>
      </c>
      <c r="F450" t="s">
        <v>132</v>
      </c>
      <c r="G450">
        <v>0</v>
      </c>
      <c r="H450" t="s">
        <v>132</v>
      </c>
      <c r="I450">
        <v>-3</v>
      </c>
      <c r="J450" t="str">
        <f>HYPERLINK("https://www.eliteprospects.com/player/701591/charlie-kinsman")</f>
        <v>https://www.eliteprospects.com/player/701591/charlie-kinsman</v>
      </c>
      <c r="K450" t="s">
        <v>27</v>
      </c>
      <c r="L450" t="s">
        <v>28</v>
      </c>
      <c r="M450" t="s">
        <v>1296</v>
      </c>
      <c r="N450">
        <v>2</v>
      </c>
      <c r="O450" t="s">
        <v>43</v>
      </c>
      <c r="P450">
        <v>0</v>
      </c>
      <c r="Q450" t="s">
        <v>245</v>
      </c>
      <c r="R450">
        <v>28.6</v>
      </c>
      <c r="S450">
        <v>31.4</v>
      </c>
      <c r="T450">
        <v>28.6</v>
      </c>
      <c r="U450">
        <v>4.3</v>
      </c>
      <c r="V450">
        <v>7.1</v>
      </c>
    </row>
    <row r="451" spans="1:22" x14ac:dyDescent="0.25">
      <c r="A451" t="s">
        <v>1741</v>
      </c>
      <c r="B451" t="s">
        <v>101</v>
      </c>
      <c r="C451">
        <v>12</v>
      </c>
      <c r="D451" t="s">
        <v>132</v>
      </c>
      <c r="E451" t="s">
        <v>132</v>
      </c>
      <c r="F451" t="s">
        <v>132</v>
      </c>
      <c r="G451">
        <v>0</v>
      </c>
      <c r="H451" t="s">
        <v>79</v>
      </c>
      <c r="I451">
        <v>2</v>
      </c>
      <c r="J451" t="str">
        <f>HYPERLINK("https://www.eliteprospects.com/player/689837/noah-jones")</f>
        <v>https://www.eliteprospects.com/player/689837/noah-jones</v>
      </c>
      <c r="K451" t="s">
        <v>27</v>
      </c>
      <c r="L451" t="s">
        <v>28</v>
      </c>
      <c r="M451" t="s">
        <v>1296</v>
      </c>
      <c r="N451">
        <v>1</v>
      </c>
      <c r="O451" t="s">
        <v>71</v>
      </c>
      <c r="P451">
        <v>0</v>
      </c>
      <c r="Q451" t="s">
        <v>245</v>
      </c>
      <c r="R451">
        <v>28.6</v>
      </c>
      <c r="S451">
        <v>31.4</v>
      </c>
      <c r="T451">
        <v>28.6</v>
      </c>
      <c r="U451">
        <v>4.3</v>
      </c>
      <c r="V451">
        <v>7.1</v>
      </c>
    </row>
    <row r="452" spans="1:22" x14ac:dyDescent="0.25">
      <c r="A452" t="s">
        <v>1742</v>
      </c>
      <c r="B452" t="s">
        <v>222</v>
      </c>
      <c r="C452">
        <v>12</v>
      </c>
      <c r="D452" t="s">
        <v>132</v>
      </c>
      <c r="E452" t="s">
        <v>132</v>
      </c>
      <c r="F452" t="s">
        <v>132</v>
      </c>
      <c r="G452">
        <v>0</v>
      </c>
      <c r="H452" t="s">
        <v>79</v>
      </c>
      <c r="I452">
        <v>-3</v>
      </c>
      <c r="J452" t="str">
        <f>HYPERLINK("https://www.eliteprospects.com/player/478684/bayard-hall")</f>
        <v>https://www.eliteprospects.com/player/478684/bayard-hall</v>
      </c>
      <c r="K452" t="s">
        <v>27</v>
      </c>
      <c r="L452" t="s">
        <v>28</v>
      </c>
      <c r="M452" t="s">
        <v>1296</v>
      </c>
      <c r="N452">
        <v>4</v>
      </c>
      <c r="O452" t="s">
        <v>30</v>
      </c>
      <c r="P452">
        <v>0</v>
      </c>
      <c r="Q452" t="s">
        <v>245</v>
      </c>
      <c r="R452">
        <v>28.6</v>
      </c>
      <c r="S452">
        <v>31.4</v>
      </c>
      <c r="T452">
        <v>28.6</v>
      </c>
      <c r="U452">
        <v>4.3</v>
      </c>
      <c r="V452">
        <v>7.1</v>
      </c>
    </row>
    <row r="453" spans="1:22" x14ac:dyDescent="0.25">
      <c r="A453" t="s">
        <v>1743</v>
      </c>
      <c r="B453" t="s">
        <v>288</v>
      </c>
      <c r="C453">
        <v>12</v>
      </c>
      <c r="D453" t="s">
        <v>132</v>
      </c>
      <c r="E453" t="s">
        <v>132</v>
      </c>
      <c r="F453" t="s">
        <v>132</v>
      </c>
      <c r="G453">
        <v>0</v>
      </c>
      <c r="H453" t="s">
        <v>79</v>
      </c>
      <c r="I453">
        <v>-5</v>
      </c>
      <c r="J453" t="str">
        <f>HYPERLINK("https://www.eliteprospects.com/player/478622/dylan-gratton")</f>
        <v>https://www.eliteprospects.com/player/478622/dylan-gratton</v>
      </c>
      <c r="K453" t="s">
        <v>27</v>
      </c>
      <c r="L453" t="s">
        <v>28</v>
      </c>
      <c r="M453" t="s">
        <v>1296</v>
      </c>
      <c r="N453">
        <v>4</v>
      </c>
      <c r="O453" t="s">
        <v>30</v>
      </c>
      <c r="P453">
        <v>0</v>
      </c>
      <c r="Q453" t="s">
        <v>245</v>
      </c>
      <c r="R453">
        <v>28.6</v>
      </c>
      <c r="S453">
        <v>31.4</v>
      </c>
      <c r="T453">
        <v>28.6</v>
      </c>
      <c r="U453">
        <v>4.3</v>
      </c>
      <c r="V453">
        <v>7.1</v>
      </c>
    </row>
    <row r="454" spans="1:22" x14ac:dyDescent="0.25">
      <c r="A454" t="s">
        <v>1744</v>
      </c>
      <c r="B454" t="s">
        <v>288</v>
      </c>
      <c r="C454">
        <v>12</v>
      </c>
      <c r="D454" t="s">
        <v>132</v>
      </c>
      <c r="E454" t="s">
        <v>132</v>
      </c>
      <c r="F454" t="s">
        <v>132</v>
      </c>
      <c r="G454">
        <v>0</v>
      </c>
      <c r="H454" t="s">
        <v>66</v>
      </c>
      <c r="I454">
        <v>-5</v>
      </c>
      <c r="J454" t="str">
        <f>HYPERLINK("https://www.eliteprospects.com/player/549060/p.j.-forgione")</f>
        <v>https://www.eliteprospects.com/player/549060/p.j.-forgione</v>
      </c>
      <c r="K454" t="s">
        <v>27</v>
      </c>
      <c r="L454" t="s">
        <v>28</v>
      </c>
      <c r="M454" t="s">
        <v>1296</v>
      </c>
      <c r="N454">
        <v>5</v>
      </c>
      <c r="O454" t="s">
        <v>147</v>
      </c>
      <c r="P454">
        <v>0</v>
      </c>
      <c r="Q454" t="s">
        <v>245</v>
      </c>
      <c r="R454">
        <v>28.6</v>
      </c>
      <c r="S454">
        <v>31.4</v>
      </c>
      <c r="T454">
        <v>28.6</v>
      </c>
      <c r="U454">
        <v>4.3</v>
      </c>
      <c r="V454">
        <v>7.1</v>
      </c>
    </row>
    <row r="455" spans="1:22" x14ac:dyDescent="0.25">
      <c r="A455" t="s">
        <v>1745</v>
      </c>
      <c r="B455" t="s">
        <v>130</v>
      </c>
      <c r="C455">
        <v>12</v>
      </c>
      <c r="D455" t="s">
        <v>132</v>
      </c>
      <c r="E455" t="s">
        <v>132</v>
      </c>
      <c r="F455" t="s">
        <v>132</v>
      </c>
      <c r="G455">
        <v>0</v>
      </c>
      <c r="H455" t="s">
        <v>66</v>
      </c>
      <c r="I455">
        <v>-2</v>
      </c>
      <c r="J455" t="str">
        <f>HYPERLINK("https://www.eliteprospects.com/player/551572/matthew-campbell")</f>
        <v>https://www.eliteprospects.com/player/551572/matthew-campbell</v>
      </c>
      <c r="K455" t="s">
        <v>27</v>
      </c>
      <c r="L455" t="s">
        <v>28</v>
      </c>
      <c r="M455" t="s">
        <v>1296</v>
      </c>
      <c r="N455">
        <v>4</v>
      </c>
      <c r="O455" t="s">
        <v>30</v>
      </c>
      <c r="P455">
        <v>0</v>
      </c>
      <c r="Q455" t="s">
        <v>245</v>
      </c>
      <c r="R455">
        <v>28.6</v>
      </c>
      <c r="S455">
        <v>31.4</v>
      </c>
      <c r="T455">
        <v>28.6</v>
      </c>
      <c r="U455">
        <v>4.3</v>
      </c>
      <c r="V455">
        <v>7.1</v>
      </c>
    </row>
    <row r="456" spans="1:22" x14ac:dyDescent="0.25">
      <c r="A456" t="s">
        <v>1746</v>
      </c>
      <c r="B456" t="s">
        <v>215</v>
      </c>
      <c r="C456">
        <v>12</v>
      </c>
      <c r="D456" t="s">
        <v>132</v>
      </c>
      <c r="E456" t="s">
        <v>132</v>
      </c>
      <c r="F456" t="s">
        <v>132</v>
      </c>
      <c r="G456">
        <v>0</v>
      </c>
      <c r="H456" t="s">
        <v>26</v>
      </c>
      <c r="I456">
        <v>-7</v>
      </c>
      <c r="J456" t="str">
        <f>HYPERLINK("https://www.eliteprospects.com/player/535818/evan-johnson")</f>
        <v>https://www.eliteprospects.com/player/535818/evan-johnson</v>
      </c>
      <c r="K456" t="s">
        <v>27</v>
      </c>
      <c r="L456" t="s">
        <v>28</v>
      </c>
      <c r="M456" t="s">
        <v>1296</v>
      </c>
      <c r="N456">
        <v>1</v>
      </c>
      <c r="O456" t="s">
        <v>71</v>
      </c>
      <c r="P456">
        <v>0</v>
      </c>
      <c r="Q456" t="s">
        <v>245</v>
      </c>
      <c r="R456">
        <v>28.6</v>
      </c>
      <c r="S456">
        <v>31.4</v>
      </c>
      <c r="T456">
        <v>28.6</v>
      </c>
      <c r="U456">
        <v>4.3</v>
      </c>
      <c r="V456">
        <v>7.1</v>
      </c>
    </row>
    <row r="457" spans="1:22" x14ac:dyDescent="0.25">
      <c r="A457" t="s">
        <v>1747</v>
      </c>
      <c r="B457" t="s">
        <v>224</v>
      </c>
      <c r="C457">
        <v>13</v>
      </c>
      <c r="D457" t="s">
        <v>132</v>
      </c>
      <c r="E457" t="s">
        <v>132</v>
      </c>
      <c r="F457" t="s">
        <v>132</v>
      </c>
      <c r="G457">
        <v>0</v>
      </c>
      <c r="H457" t="s">
        <v>57</v>
      </c>
      <c r="I457">
        <v>-1</v>
      </c>
      <c r="J457" t="str">
        <f>HYPERLINK("https://www.eliteprospects.com/player/496438/j.r.-ashmead")</f>
        <v>https://www.eliteprospects.com/player/496438/j.r.-ashmead</v>
      </c>
      <c r="K457" t="s">
        <v>27</v>
      </c>
      <c r="L457" t="s">
        <v>28</v>
      </c>
      <c r="M457" t="s">
        <v>1296</v>
      </c>
      <c r="N457">
        <v>2</v>
      </c>
      <c r="O457" t="s">
        <v>43</v>
      </c>
      <c r="P457">
        <v>0</v>
      </c>
      <c r="Q457" t="s">
        <v>245</v>
      </c>
      <c r="R457">
        <v>28.6</v>
      </c>
      <c r="S457">
        <v>31.4</v>
      </c>
      <c r="T457">
        <v>28.6</v>
      </c>
      <c r="U457">
        <v>4.3</v>
      </c>
      <c r="V457">
        <v>7.1</v>
      </c>
    </row>
    <row r="458" spans="1:22" x14ac:dyDescent="0.25">
      <c r="A458" t="s">
        <v>1748</v>
      </c>
      <c r="B458" t="s">
        <v>150</v>
      </c>
      <c r="C458">
        <v>13</v>
      </c>
      <c r="D458" t="s">
        <v>132</v>
      </c>
      <c r="E458" t="s">
        <v>132</v>
      </c>
      <c r="F458" t="s">
        <v>132</v>
      </c>
      <c r="G458">
        <v>0</v>
      </c>
      <c r="H458" t="s">
        <v>57</v>
      </c>
      <c r="I458">
        <v>-6</v>
      </c>
      <c r="J458" t="str">
        <f>HYPERLINK("https://www.eliteprospects.com/player/603640/chris-romaine")</f>
        <v>https://www.eliteprospects.com/player/603640/chris-romaine</v>
      </c>
      <c r="K458" t="s">
        <v>27</v>
      </c>
      <c r="L458" t="s">
        <v>28</v>
      </c>
      <c r="M458" t="s">
        <v>1296</v>
      </c>
      <c r="N458">
        <v>2</v>
      </c>
      <c r="O458" t="s">
        <v>43</v>
      </c>
      <c r="P458">
        <v>0</v>
      </c>
      <c r="Q458" t="s">
        <v>245</v>
      </c>
      <c r="R458">
        <v>28.6</v>
      </c>
      <c r="S458">
        <v>31.4</v>
      </c>
      <c r="T458">
        <v>28.6</v>
      </c>
      <c r="U458">
        <v>4.3</v>
      </c>
      <c r="V458">
        <v>7.1</v>
      </c>
    </row>
    <row r="459" spans="1:22" x14ac:dyDescent="0.25">
      <c r="A459" t="s">
        <v>1749</v>
      </c>
      <c r="B459" t="s">
        <v>103</v>
      </c>
      <c r="C459">
        <v>14</v>
      </c>
      <c r="D459" t="s">
        <v>132</v>
      </c>
      <c r="E459" t="s">
        <v>132</v>
      </c>
      <c r="F459" t="s">
        <v>132</v>
      </c>
      <c r="G459">
        <v>0</v>
      </c>
      <c r="H459" t="s">
        <v>132</v>
      </c>
      <c r="I459">
        <v>-2</v>
      </c>
      <c r="J459" t="str">
        <f>HYPERLINK("https://www.eliteprospects.com/player/723502/coleson-hanrahan")</f>
        <v>https://www.eliteprospects.com/player/723502/coleson-hanrahan</v>
      </c>
      <c r="K459" t="s">
        <v>27</v>
      </c>
      <c r="L459" t="s">
        <v>28</v>
      </c>
      <c r="M459" t="s">
        <v>1296</v>
      </c>
      <c r="N459">
        <v>1</v>
      </c>
      <c r="O459" t="s">
        <v>71</v>
      </c>
      <c r="P459">
        <v>0</v>
      </c>
      <c r="Q459" t="s">
        <v>245</v>
      </c>
      <c r="R459">
        <v>28.6</v>
      </c>
      <c r="S459">
        <v>31.4</v>
      </c>
      <c r="T459">
        <v>28.6</v>
      </c>
      <c r="U459">
        <v>4.3</v>
      </c>
      <c r="V459">
        <v>7.1</v>
      </c>
    </row>
    <row r="460" spans="1:22" x14ac:dyDescent="0.25">
      <c r="A460" t="s">
        <v>1750</v>
      </c>
      <c r="B460" t="s">
        <v>167</v>
      </c>
      <c r="C460">
        <v>14</v>
      </c>
      <c r="D460" t="s">
        <v>132</v>
      </c>
      <c r="E460" t="s">
        <v>132</v>
      </c>
      <c r="F460" t="s">
        <v>132</v>
      </c>
      <c r="G460">
        <v>0</v>
      </c>
      <c r="H460" t="s">
        <v>26</v>
      </c>
      <c r="I460">
        <v>-8</v>
      </c>
      <c r="J460" t="str">
        <f>HYPERLINK("https://www.eliteprospects.com/player/705815/sean-keohane")</f>
        <v>https://www.eliteprospects.com/player/705815/sean-keohane</v>
      </c>
      <c r="K460" t="s">
        <v>27</v>
      </c>
      <c r="L460" t="s">
        <v>28</v>
      </c>
      <c r="M460" t="s">
        <v>1296</v>
      </c>
      <c r="N460">
        <v>2</v>
      </c>
      <c r="O460" t="s">
        <v>43</v>
      </c>
      <c r="P460">
        <v>0</v>
      </c>
      <c r="Q460" t="s">
        <v>245</v>
      </c>
      <c r="R460">
        <v>28.6</v>
      </c>
      <c r="S460">
        <v>31.4</v>
      </c>
      <c r="T460">
        <v>28.6</v>
      </c>
      <c r="U460">
        <v>4.3</v>
      </c>
      <c r="V460">
        <v>7.1</v>
      </c>
    </row>
    <row r="461" spans="1:22" x14ac:dyDescent="0.25">
      <c r="A461" t="s">
        <v>1751</v>
      </c>
      <c r="B461" t="s">
        <v>68</v>
      </c>
      <c r="C461">
        <v>15</v>
      </c>
      <c r="D461" t="s">
        <v>132</v>
      </c>
      <c r="E461" t="s">
        <v>132</v>
      </c>
      <c r="F461" t="s">
        <v>132</v>
      </c>
      <c r="G461">
        <v>0</v>
      </c>
      <c r="H461" t="s">
        <v>132</v>
      </c>
      <c r="I461">
        <v>-3</v>
      </c>
      <c r="J461" t="str">
        <f>HYPERLINK("https://www.eliteprospects.com/player/639712/brady-schultz")</f>
        <v>https://www.eliteprospects.com/player/639712/brady-schultz</v>
      </c>
      <c r="K461" t="s">
        <v>27</v>
      </c>
      <c r="L461" t="s">
        <v>28</v>
      </c>
      <c r="M461" t="s">
        <v>1296</v>
      </c>
      <c r="N461">
        <v>5</v>
      </c>
      <c r="O461" t="s">
        <v>207</v>
      </c>
      <c r="P461">
        <v>0</v>
      </c>
      <c r="Q461" t="s">
        <v>245</v>
      </c>
      <c r="R461">
        <v>28.6</v>
      </c>
      <c r="S461">
        <v>31.4</v>
      </c>
      <c r="T461">
        <v>28.6</v>
      </c>
      <c r="U461">
        <v>4.3</v>
      </c>
      <c r="V461">
        <v>7.1</v>
      </c>
    </row>
    <row r="462" spans="1:22" x14ac:dyDescent="0.25">
      <c r="A462" t="s">
        <v>1752</v>
      </c>
      <c r="B462" t="s">
        <v>124</v>
      </c>
      <c r="C462">
        <v>15</v>
      </c>
      <c r="D462" t="s">
        <v>132</v>
      </c>
      <c r="E462" t="s">
        <v>132</v>
      </c>
      <c r="F462" t="s">
        <v>132</v>
      </c>
      <c r="G462">
        <v>0</v>
      </c>
      <c r="H462" t="s">
        <v>66</v>
      </c>
      <c r="I462">
        <v>-5</v>
      </c>
      <c r="J462" t="str">
        <f>HYPERLINK("https://www.eliteprospects.com/player/201720/nick-donato")</f>
        <v>https://www.eliteprospects.com/player/201720/nick-donato</v>
      </c>
      <c r="K462" t="s">
        <v>27</v>
      </c>
      <c r="L462" t="s">
        <v>28</v>
      </c>
      <c r="M462" t="s">
        <v>1296</v>
      </c>
      <c r="N462">
        <v>4</v>
      </c>
      <c r="O462" t="s">
        <v>30</v>
      </c>
      <c r="P462">
        <v>0</v>
      </c>
      <c r="Q462" t="s">
        <v>245</v>
      </c>
      <c r="R462">
        <v>28.6</v>
      </c>
      <c r="S462">
        <v>31.4</v>
      </c>
      <c r="T462">
        <v>28.6</v>
      </c>
      <c r="U462">
        <v>4.3</v>
      </c>
      <c r="V462">
        <v>7.1</v>
      </c>
    </row>
    <row r="463" spans="1:22" x14ac:dyDescent="0.25">
      <c r="A463" t="s">
        <v>1753</v>
      </c>
      <c r="B463" t="s">
        <v>362</v>
      </c>
      <c r="C463">
        <v>15</v>
      </c>
      <c r="D463" t="s">
        <v>132</v>
      </c>
      <c r="E463" t="s">
        <v>132</v>
      </c>
      <c r="F463" t="s">
        <v>132</v>
      </c>
      <c r="G463">
        <v>0</v>
      </c>
      <c r="H463" t="s">
        <v>66</v>
      </c>
      <c r="I463">
        <v>-4</v>
      </c>
      <c r="J463" t="str">
        <f>HYPERLINK("https://www.eliteprospects.com/player/477550/jaryd-sych")</f>
        <v>https://www.eliteprospects.com/player/477550/jaryd-sych</v>
      </c>
      <c r="K463" t="s">
        <v>27</v>
      </c>
      <c r="L463" t="s">
        <v>28</v>
      </c>
      <c r="M463" t="s">
        <v>1296</v>
      </c>
      <c r="N463">
        <v>3</v>
      </c>
      <c r="O463" t="s">
        <v>74</v>
      </c>
      <c r="P463">
        <v>0</v>
      </c>
      <c r="Q463" t="s">
        <v>245</v>
      </c>
      <c r="R463">
        <v>28.6</v>
      </c>
      <c r="S463">
        <v>31.4</v>
      </c>
      <c r="T463">
        <v>28.6</v>
      </c>
      <c r="U463">
        <v>4.3</v>
      </c>
      <c r="V463">
        <v>7.1</v>
      </c>
    </row>
    <row r="464" spans="1:22" x14ac:dyDescent="0.25">
      <c r="A464" t="s">
        <v>1754</v>
      </c>
      <c r="B464" t="s">
        <v>234</v>
      </c>
      <c r="C464">
        <v>15</v>
      </c>
      <c r="D464" t="s">
        <v>132</v>
      </c>
      <c r="E464" t="s">
        <v>132</v>
      </c>
      <c r="F464" t="s">
        <v>132</v>
      </c>
      <c r="G464">
        <v>0</v>
      </c>
      <c r="H464" t="s">
        <v>57</v>
      </c>
      <c r="I464">
        <v>-2</v>
      </c>
      <c r="J464" t="str">
        <f>HYPERLINK("https://www.eliteprospects.com/player/499084/nick-traggio")</f>
        <v>https://www.eliteprospects.com/player/499084/nick-traggio</v>
      </c>
      <c r="K464" t="s">
        <v>27</v>
      </c>
      <c r="L464" t="s">
        <v>28</v>
      </c>
      <c r="M464" t="s">
        <v>1296</v>
      </c>
      <c r="N464">
        <v>4</v>
      </c>
      <c r="O464" t="s">
        <v>30</v>
      </c>
      <c r="P464">
        <v>0</v>
      </c>
      <c r="Q464" t="s">
        <v>245</v>
      </c>
      <c r="R464">
        <v>28.6</v>
      </c>
      <c r="S464">
        <v>31.4</v>
      </c>
      <c r="T464">
        <v>28.6</v>
      </c>
      <c r="U464">
        <v>4.3</v>
      </c>
      <c r="V464">
        <v>7.1</v>
      </c>
    </row>
    <row r="465" spans="1:22" x14ac:dyDescent="0.25">
      <c r="A465" t="s">
        <v>1755</v>
      </c>
      <c r="B465" t="s">
        <v>362</v>
      </c>
      <c r="C465">
        <v>15</v>
      </c>
      <c r="D465" t="s">
        <v>132</v>
      </c>
      <c r="E465" t="s">
        <v>132</v>
      </c>
      <c r="F465" t="s">
        <v>132</v>
      </c>
      <c r="G465">
        <v>0</v>
      </c>
      <c r="H465" t="s">
        <v>32</v>
      </c>
      <c r="I465">
        <v>-9</v>
      </c>
      <c r="J465" t="str">
        <f>HYPERLINK("https://www.eliteprospects.com/player/675929/kaden-muir")</f>
        <v>https://www.eliteprospects.com/player/675929/kaden-muir</v>
      </c>
      <c r="K465" t="s">
        <v>27</v>
      </c>
      <c r="L465" t="s">
        <v>28</v>
      </c>
      <c r="M465" t="s">
        <v>1296</v>
      </c>
      <c r="N465">
        <v>2</v>
      </c>
      <c r="O465" t="s">
        <v>43</v>
      </c>
      <c r="P465">
        <v>0</v>
      </c>
      <c r="Q465" t="s">
        <v>245</v>
      </c>
      <c r="R465">
        <v>28.6</v>
      </c>
      <c r="S465">
        <v>31.4</v>
      </c>
      <c r="T465">
        <v>28.6</v>
      </c>
      <c r="U465">
        <v>4.3</v>
      </c>
      <c r="V465">
        <v>7.1</v>
      </c>
    </row>
    <row r="466" spans="1:22" x14ac:dyDescent="0.25">
      <c r="A466" t="s">
        <v>1756</v>
      </c>
      <c r="B466" t="s">
        <v>37</v>
      </c>
      <c r="C466">
        <v>16</v>
      </c>
      <c r="D466" t="s">
        <v>132</v>
      </c>
      <c r="E466" t="s">
        <v>132</v>
      </c>
      <c r="F466" t="s">
        <v>132</v>
      </c>
      <c r="G466">
        <v>0</v>
      </c>
      <c r="H466" t="s">
        <v>79</v>
      </c>
      <c r="I466">
        <v>-1</v>
      </c>
      <c r="J466" t="str">
        <f>HYPERLINK("https://www.eliteprospects.com/player/339291/riley-bodnarchuk")</f>
        <v>https://www.eliteprospects.com/player/339291/riley-bodnarchuk</v>
      </c>
      <c r="K466" t="s">
        <v>27</v>
      </c>
      <c r="L466" t="s">
        <v>28</v>
      </c>
      <c r="M466" t="s">
        <v>1296</v>
      </c>
      <c r="N466">
        <v>4</v>
      </c>
      <c r="O466" t="s">
        <v>30</v>
      </c>
      <c r="P466">
        <v>0</v>
      </c>
      <c r="Q466" t="s">
        <v>245</v>
      </c>
      <c r="R466">
        <v>28.6</v>
      </c>
      <c r="S466">
        <v>31.4</v>
      </c>
      <c r="T466">
        <v>28.6</v>
      </c>
      <c r="U466">
        <v>4.3</v>
      </c>
      <c r="V466">
        <v>7.1</v>
      </c>
    </row>
    <row r="467" spans="1:22" x14ac:dyDescent="0.25">
      <c r="A467" t="s">
        <v>1757</v>
      </c>
      <c r="B467" t="s">
        <v>222</v>
      </c>
      <c r="C467">
        <v>16</v>
      </c>
      <c r="D467" t="s">
        <v>132</v>
      </c>
      <c r="E467" t="s">
        <v>132</v>
      </c>
      <c r="F467" t="s">
        <v>132</v>
      </c>
      <c r="G467">
        <v>0</v>
      </c>
      <c r="H467" t="s">
        <v>66</v>
      </c>
      <c r="I467">
        <v>-1</v>
      </c>
      <c r="J467" t="str">
        <f>HYPERLINK("https://www.eliteprospects.com/player/499252/tucker-hartmann")</f>
        <v>https://www.eliteprospects.com/player/499252/tucker-hartmann</v>
      </c>
      <c r="K467" t="s">
        <v>27</v>
      </c>
      <c r="L467" t="s">
        <v>28</v>
      </c>
      <c r="M467" t="s">
        <v>1296</v>
      </c>
      <c r="N467">
        <v>4</v>
      </c>
      <c r="O467" t="s">
        <v>30</v>
      </c>
      <c r="P467">
        <v>0</v>
      </c>
      <c r="Q467" t="s">
        <v>245</v>
      </c>
      <c r="R467">
        <v>28.6</v>
      </c>
      <c r="S467">
        <v>31.4</v>
      </c>
      <c r="T467">
        <v>28.6</v>
      </c>
      <c r="U467">
        <v>4.3</v>
      </c>
      <c r="V467">
        <v>7.1</v>
      </c>
    </row>
    <row r="468" spans="1:22" x14ac:dyDescent="0.25">
      <c r="A468" t="s">
        <v>1758</v>
      </c>
      <c r="B468" t="s">
        <v>362</v>
      </c>
      <c r="C468">
        <v>17</v>
      </c>
      <c r="D468" t="s">
        <v>132</v>
      </c>
      <c r="E468" t="s">
        <v>132</v>
      </c>
      <c r="F468" t="s">
        <v>132</v>
      </c>
      <c r="G468">
        <v>0</v>
      </c>
      <c r="H468" t="s">
        <v>57</v>
      </c>
      <c r="I468">
        <v>-14</v>
      </c>
      <c r="J468" t="str">
        <f>HYPERLINK("https://www.eliteprospects.com/player/364222/caleb-price")</f>
        <v>https://www.eliteprospects.com/player/364222/caleb-price</v>
      </c>
      <c r="K468" t="s">
        <v>27</v>
      </c>
      <c r="L468" t="s">
        <v>28</v>
      </c>
      <c r="M468" t="s">
        <v>1296</v>
      </c>
      <c r="N468">
        <v>4</v>
      </c>
      <c r="O468" t="s">
        <v>30</v>
      </c>
      <c r="P468">
        <v>0</v>
      </c>
      <c r="Q468" t="s">
        <v>245</v>
      </c>
      <c r="R468">
        <v>28.6</v>
      </c>
      <c r="S468">
        <v>31.4</v>
      </c>
      <c r="T468">
        <v>28.6</v>
      </c>
      <c r="U468">
        <v>4.3</v>
      </c>
      <c r="V468">
        <v>7.1</v>
      </c>
    </row>
    <row r="469" spans="1:22" x14ac:dyDescent="0.25">
      <c r="A469" t="s">
        <v>1759</v>
      </c>
      <c r="B469" t="s">
        <v>195</v>
      </c>
      <c r="C469">
        <v>18</v>
      </c>
      <c r="D469" t="s">
        <v>132</v>
      </c>
      <c r="E469" t="s">
        <v>132</v>
      </c>
      <c r="F469" t="s">
        <v>132</v>
      </c>
      <c r="G469">
        <v>0</v>
      </c>
      <c r="H469" t="s">
        <v>23</v>
      </c>
      <c r="I469">
        <v>-7</v>
      </c>
      <c r="J469" t="str">
        <f>HYPERLINK("https://www.eliteprospects.com/player/851367/carter-amico")</f>
        <v>https://www.eliteprospects.com/player/851367/carter-amico</v>
      </c>
      <c r="K469" t="s">
        <v>27</v>
      </c>
      <c r="L469" t="s">
        <v>28</v>
      </c>
      <c r="M469" t="s">
        <v>1296</v>
      </c>
      <c r="N469">
        <v>1</v>
      </c>
      <c r="O469" t="s">
        <v>71</v>
      </c>
      <c r="P469">
        <v>0</v>
      </c>
      <c r="Q469" t="s">
        <v>245</v>
      </c>
      <c r="R469">
        <v>28.6</v>
      </c>
      <c r="S469">
        <v>31.4</v>
      </c>
      <c r="T469">
        <v>28.6</v>
      </c>
      <c r="U469">
        <v>4.3</v>
      </c>
      <c r="V469">
        <v>7.1</v>
      </c>
    </row>
    <row r="470" spans="1:22" x14ac:dyDescent="0.25">
      <c r="A470" t="s">
        <v>1760</v>
      </c>
      <c r="B470" t="s">
        <v>312</v>
      </c>
      <c r="C470">
        <v>18</v>
      </c>
      <c r="D470" t="s">
        <v>132</v>
      </c>
      <c r="E470" t="s">
        <v>132</v>
      </c>
      <c r="F470" t="s">
        <v>132</v>
      </c>
      <c r="G470">
        <v>0</v>
      </c>
      <c r="H470" t="s">
        <v>55</v>
      </c>
      <c r="I470">
        <v>-9</v>
      </c>
      <c r="J470" t="str">
        <f>HYPERLINK("https://www.eliteprospects.com/player/551352/john-paul-steele")</f>
        <v>https://www.eliteprospects.com/player/551352/john-paul-steele</v>
      </c>
      <c r="K470" t="s">
        <v>27</v>
      </c>
      <c r="L470" t="s">
        <v>28</v>
      </c>
      <c r="M470" t="s">
        <v>1296</v>
      </c>
      <c r="N470">
        <v>2</v>
      </c>
      <c r="O470" t="s">
        <v>43</v>
      </c>
      <c r="P470">
        <v>0</v>
      </c>
      <c r="Q470" t="s">
        <v>245</v>
      </c>
      <c r="R470">
        <v>28.6</v>
      </c>
      <c r="S470">
        <v>31.4</v>
      </c>
      <c r="T470">
        <v>28.6</v>
      </c>
      <c r="U470">
        <v>4.3</v>
      </c>
      <c r="V470">
        <v>7.1</v>
      </c>
    </row>
    <row r="471" spans="1:22" x14ac:dyDescent="0.25">
      <c r="A471" t="s">
        <v>1761</v>
      </c>
      <c r="B471" t="s">
        <v>177</v>
      </c>
      <c r="C471">
        <v>19</v>
      </c>
      <c r="D471" t="s">
        <v>132</v>
      </c>
      <c r="E471" t="s">
        <v>132</v>
      </c>
      <c r="F471" t="s">
        <v>132</v>
      </c>
      <c r="G471">
        <v>0</v>
      </c>
      <c r="H471" t="s">
        <v>57</v>
      </c>
      <c r="I471">
        <v>-9</v>
      </c>
      <c r="J471" t="str">
        <f>HYPERLINK("https://www.eliteprospects.com/player/477336/ross-roloson")</f>
        <v>https://www.eliteprospects.com/player/477336/ross-roloson</v>
      </c>
      <c r="K471" t="s">
        <v>27</v>
      </c>
      <c r="L471" t="s">
        <v>28</v>
      </c>
      <c r="M471" t="s">
        <v>1296</v>
      </c>
      <c r="N471">
        <v>3</v>
      </c>
      <c r="O471" t="s">
        <v>74</v>
      </c>
      <c r="P471">
        <v>0</v>
      </c>
      <c r="Q471" t="s">
        <v>245</v>
      </c>
      <c r="R471">
        <v>28.6</v>
      </c>
      <c r="S471">
        <v>31.4</v>
      </c>
      <c r="T471">
        <v>28.6</v>
      </c>
      <c r="U471">
        <v>4.3</v>
      </c>
      <c r="V471">
        <v>7.1</v>
      </c>
    </row>
    <row r="472" spans="1:22" x14ac:dyDescent="0.25">
      <c r="A472" t="s">
        <v>1762</v>
      </c>
      <c r="B472" t="s">
        <v>255</v>
      </c>
      <c r="C472">
        <v>20</v>
      </c>
      <c r="D472" t="s">
        <v>132</v>
      </c>
      <c r="E472" t="s">
        <v>132</v>
      </c>
      <c r="F472" t="s">
        <v>132</v>
      </c>
      <c r="G472">
        <v>0</v>
      </c>
      <c r="H472" t="s">
        <v>66</v>
      </c>
      <c r="I472">
        <v>-9</v>
      </c>
      <c r="J472" t="str">
        <f>HYPERLINK("https://www.eliteprospects.com/player/655465/devon-carlstrom")</f>
        <v>https://www.eliteprospects.com/player/655465/devon-carlstrom</v>
      </c>
      <c r="K472" t="s">
        <v>27</v>
      </c>
      <c r="L472" t="s">
        <v>28</v>
      </c>
      <c r="M472" t="s">
        <v>1296</v>
      </c>
      <c r="N472">
        <v>3</v>
      </c>
      <c r="O472" t="s">
        <v>74</v>
      </c>
      <c r="P472">
        <v>0</v>
      </c>
      <c r="Q472" t="s">
        <v>245</v>
      </c>
      <c r="R472">
        <v>28.6</v>
      </c>
      <c r="S472">
        <v>31.4</v>
      </c>
      <c r="T472">
        <v>28.6</v>
      </c>
      <c r="U472">
        <v>4.3</v>
      </c>
      <c r="V472">
        <v>7.1</v>
      </c>
    </row>
    <row r="473" spans="1:22" x14ac:dyDescent="0.25">
      <c r="A473" t="s">
        <v>1763</v>
      </c>
      <c r="B473" t="s">
        <v>180</v>
      </c>
      <c r="C473">
        <v>20</v>
      </c>
      <c r="D473" t="s">
        <v>132</v>
      </c>
      <c r="E473" t="s">
        <v>132</v>
      </c>
      <c r="F473" t="s">
        <v>132</v>
      </c>
      <c r="G473">
        <v>0</v>
      </c>
      <c r="H473" t="s">
        <v>26</v>
      </c>
      <c r="I473">
        <v>-17</v>
      </c>
      <c r="J473" t="str">
        <f>HYPERLINK("https://www.eliteprospects.com/player/512130/jimmy-jurcev")</f>
        <v>https://www.eliteprospects.com/player/512130/jimmy-jurcev</v>
      </c>
      <c r="K473" t="s">
        <v>27</v>
      </c>
      <c r="L473" t="s">
        <v>28</v>
      </c>
      <c r="M473" t="s">
        <v>1296</v>
      </c>
      <c r="N473">
        <v>2</v>
      </c>
      <c r="O473" t="s">
        <v>43</v>
      </c>
      <c r="P473">
        <v>0</v>
      </c>
      <c r="Q473" t="s">
        <v>245</v>
      </c>
      <c r="R473">
        <v>28.6</v>
      </c>
      <c r="S473">
        <v>31.4</v>
      </c>
      <c r="T473">
        <v>28.6</v>
      </c>
      <c r="U473">
        <v>4.3</v>
      </c>
      <c r="V473">
        <v>7.1</v>
      </c>
    </row>
    <row r="474" spans="1:22" x14ac:dyDescent="0.25">
      <c r="A474" t="s">
        <v>1764</v>
      </c>
      <c r="B474" t="s">
        <v>22</v>
      </c>
      <c r="C474">
        <v>20</v>
      </c>
      <c r="D474" t="s">
        <v>132</v>
      </c>
      <c r="E474" t="s">
        <v>132</v>
      </c>
      <c r="F474" t="s">
        <v>132</v>
      </c>
      <c r="G474">
        <v>0</v>
      </c>
      <c r="H474" t="s">
        <v>55</v>
      </c>
      <c r="I474">
        <v>0</v>
      </c>
      <c r="J474" t="str">
        <f>HYPERLINK("https://www.eliteprospects.com/player/863700/lincoln-kuehne")</f>
        <v>https://www.eliteprospects.com/player/863700/lincoln-kuehne</v>
      </c>
      <c r="K474" t="s">
        <v>27</v>
      </c>
      <c r="L474" t="s">
        <v>28</v>
      </c>
      <c r="M474" t="s">
        <v>1296</v>
      </c>
      <c r="N474">
        <v>1</v>
      </c>
      <c r="O474" t="s">
        <v>71</v>
      </c>
      <c r="P474">
        <v>0</v>
      </c>
      <c r="Q474" t="s">
        <v>245</v>
      </c>
      <c r="R474">
        <v>28.6</v>
      </c>
      <c r="S474">
        <v>31.4</v>
      </c>
      <c r="T474">
        <v>28.6</v>
      </c>
      <c r="U474">
        <v>4.3</v>
      </c>
      <c r="V474">
        <v>7.1</v>
      </c>
    </row>
    <row r="475" spans="1:22" x14ac:dyDescent="0.25">
      <c r="A475" t="s">
        <v>1765</v>
      </c>
      <c r="B475" t="s">
        <v>215</v>
      </c>
      <c r="C475">
        <v>21</v>
      </c>
      <c r="D475" t="s">
        <v>132</v>
      </c>
      <c r="E475" t="s">
        <v>132</v>
      </c>
      <c r="F475" t="s">
        <v>132</v>
      </c>
      <c r="G475">
        <v>0</v>
      </c>
      <c r="H475" t="s">
        <v>57</v>
      </c>
      <c r="I475">
        <v>-12</v>
      </c>
      <c r="J475" t="str">
        <f>HYPERLINK("https://www.eliteprospects.com/player/290337/nicolas-ardanaz")</f>
        <v>https://www.eliteprospects.com/player/290337/nicolas-ardanaz</v>
      </c>
      <c r="K475" t="s">
        <v>27</v>
      </c>
      <c r="L475" t="s">
        <v>28</v>
      </c>
      <c r="M475" t="s">
        <v>1296</v>
      </c>
      <c r="N475">
        <v>4</v>
      </c>
      <c r="O475" t="s">
        <v>30</v>
      </c>
      <c r="P475">
        <v>0</v>
      </c>
      <c r="Q475" t="s">
        <v>245</v>
      </c>
      <c r="R475">
        <v>28.6</v>
      </c>
      <c r="S475">
        <v>31.4</v>
      </c>
      <c r="T475">
        <v>28.6</v>
      </c>
      <c r="U475">
        <v>4.3</v>
      </c>
      <c r="V475">
        <v>7.1</v>
      </c>
    </row>
    <row r="476" spans="1:22" x14ac:dyDescent="0.25">
      <c r="A476" t="s">
        <v>1766</v>
      </c>
      <c r="B476" t="s">
        <v>215</v>
      </c>
      <c r="C476">
        <v>23</v>
      </c>
      <c r="D476" t="s">
        <v>132</v>
      </c>
      <c r="E476" t="s">
        <v>132</v>
      </c>
      <c r="F476" t="s">
        <v>132</v>
      </c>
      <c r="G476">
        <v>0</v>
      </c>
      <c r="H476" t="s">
        <v>23</v>
      </c>
      <c r="I476">
        <v>-11</v>
      </c>
      <c r="J476" t="str">
        <f>HYPERLINK("https://www.eliteprospects.com/player/524857/zane-demsey")</f>
        <v>https://www.eliteprospects.com/player/524857/zane-demsey</v>
      </c>
      <c r="K476" t="s">
        <v>27</v>
      </c>
      <c r="L476" t="s">
        <v>28</v>
      </c>
      <c r="M476" t="s">
        <v>1296</v>
      </c>
      <c r="N476">
        <v>4</v>
      </c>
      <c r="O476" t="s">
        <v>30</v>
      </c>
      <c r="P476">
        <v>0</v>
      </c>
      <c r="Q476" t="s">
        <v>245</v>
      </c>
      <c r="R476">
        <v>28.6</v>
      </c>
      <c r="S476">
        <v>31.4</v>
      </c>
      <c r="T476">
        <v>28.6</v>
      </c>
      <c r="U476">
        <v>4.3</v>
      </c>
      <c r="V476">
        <v>7.1</v>
      </c>
    </row>
    <row r="477" spans="1:22" x14ac:dyDescent="0.25">
      <c r="A477" t="s">
        <v>1767</v>
      </c>
      <c r="B477" t="s">
        <v>520</v>
      </c>
      <c r="C477">
        <v>41</v>
      </c>
      <c r="D477" t="s">
        <v>45</v>
      </c>
      <c r="E477" t="s">
        <v>518</v>
      </c>
      <c r="F477" t="s">
        <v>136</v>
      </c>
      <c r="G477">
        <v>1.1200000000000001</v>
      </c>
      <c r="H477" t="s">
        <v>33</v>
      </c>
      <c r="I477">
        <v>20</v>
      </c>
      <c r="J477" t="str">
        <f>HYPERLINK("https://www.eliteprospects.com/player/617221/carson-woodall")</f>
        <v>https://www.eliteprospects.com/player/617221/carson-woodall</v>
      </c>
      <c r="K477" t="s">
        <v>27</v>
      </c>
      <c r="L477" t="s">
        <v>485</v>
      </c>
      <c r="M477" t="s">
        <v>1296</v>
      </c>
      <c r="N477">
        <v>4</v>
      </c>
      <c r="O477" t="s">
        <v>486</v>
      </c>
      <c r="P477">
        <v>0.16</v>
      </c>
      <c r="Q477" t="s">
        <v>1300</v>
      </c>
      <c r="R477">
        <v>30.8</v>
      </c>
      <c r="S477">
        <v>20.5</v>
      </c>
      <c r="T477">
        <v>10.3</v>
      </c>
      <c r="U477">
        <v>10.3</v>
      </c>
      <c r="V477">
        <v>28.2</v>
      </c>
    </row>
    <row r="478" spans="1:22" x14ac:dyDescent="0.25">
      <c r="A478" t="s">
        <v>1768</v>
      </c>
      <c r="B478" t="s">
        <v>510</v>
      </c>
      <c r="C478">
        <v>34</v>
      </c>
      <c r="D478" t="s">
        <v>41</v>
      </c>
      <c r="E478" t="s">
        <v>84</v>
      </c>
      <c r="F478" t="s">
        <v>53</v>
      </c>
      <c r="G478">
        <v>1.1200000000000001</v>
      </c>
      <c r="H478" t="s">
        <v>40</v>
      </c>
      <c r="I478">
        <v>26</v>
      </c>
      <c r="J478" t="str">
        <f>HYPERLINK("https://www.eliteprospects.com/player/576955/chase-reid")</f>
        <v>https://www.eliteprospects.com/player/576955/chase-reid</v>
      </c>
      <c r="K478" t="s">
        <v>27</v>
      </c>
      <c r="L478" t="s">
        <v>485</v>
      </c>
      <c r="M478" t="s">
        <v>1296</v>
      </c>
      <c r="N478">
        <v>2</v>
      </c>
      <c r="O478" t="s">
        <v>501</v>
      </c>
      <c r="P478">
        <v>0.16</v>
      </c>
      <c r="Q478" t="s">
        <v>1300</v>
      </c>
      <c r="R478">
        <v>30.8</v>
      </c>
      <c r="S478">
        <v>20.5</v>
      </c>
      <c r="T478">
        <v>10.3</v>
      </c>
      <c r="U478">
        <v>10.3</v>
      </c>
      <c r="V478">
        <v>28.2</v>
      </c>
    </row>
    <row r="479" spans="1:22" x14ac:dyDescent="0.25">
      <c r="A479" t="s">
        <v>1769</v>
      </c>
      <c r="B479" t="s">
        <v>520</v>
      </c>
      <c r="C479">
        <v>35</v>
      </c>
      <c r="D479" t="s">
        <v>69</v>
      </c>
      <c r="E479" t="s">
        <v>125</v>
      </c>
      <c r="F479" t="s">
        <v>518</v>
      </c>
      <c r="G479">
        <v>1.06</v>
      </c>
      <c r="H479" t="s">
        <v>32</v>
      </c>
      <c r="I479">
        <v>13</v>
      </c>
      <c r="J479" t="str">
        <f>HYPERLINK("https://www.eliteprospects.com/player/597708/anthony-cristoforo")</f>
        <v>https://www.eliteprospects.com/player/597708/anthony-cristoforo</v>
      </c>
      <c r="K479" t="s">
        <v>27</v>
      </c>
      <c r="L479" t="s">
        <v>485</v>
      </c>
      <c r="M479" t="s">
        <v>1296</v>
      </c>
      <c r="N479">
        <v>4</v>
      </c>
      <c r="O479" t="s">
        <v>486</v>
      </c>
      <c r="P479">
        <v>0.15</v>
      </c>
      <c r="Q479" t="s">
        <v>1300</v>
      </c>
      <c r="R479">
        <v>30.8</v>
      </c>
      <c r="S479">
        <v>20.5</v>
      </c>
      <c r="T479">
        <v>10.3</v>
      </c>
      <c r="U479">
        <v>10.3</v>
      </c>
      <c r="V479">
        <v>28.2</v>
      </c>
    </row>
    <row r="480" spans="1:22" x14ac:dyDescent="0.25">
      <c r="A480" t="s">
        <v>1770</v>
      </c>
      <c r="B480" t="s">
        <v>515</v>
      </c>
      <c r="C480">
        <v>30</v>
      </c>
      <c r="D480" t="s">
        <v>33</v>
      </c>
      <c r="E480" t="s">
        <v>41</v>
      </c>
      <c r="F480" t="s">
        <v>280</v>
      </c>
      <c r="G480">
        <v>1.2</v>
      </c>
      <c r="H480" t="s">
        <v>513</v>
      </c>
      <c r="I480">
        <v>24</v>
      </c>
      <c r="J480" t="str">
        <f>HYPERLINK("https://www.eliteprospects.com/player/911129/kashawn-aitcheson")</f>
        <v>https://www.eliteprospects.com/player/911129/kashawn-aitcheson</v>
      </c>
      <c r="K480" t="s">
        <v>27</v>
      </c>
      <c r="L480" t="s">
        <v>485</v>
      </c>
      <c r="M480" t="s">
        <v>1296</v>
      </c>
      <c r="N480">
        <v>4</v>
      </c>
      <c r="O480" t="s">
        <v>486</v>
      </c>
      <c r="P480">
        <v>0.17</v>
      </c>
      <c r="Q480" t="s">
        <v>1300</v>
      </c>
      <c r="R480">
        <v>30.8</v>
      </c>
      <c r="S480">
        <v>20.5</v>
      </c>
      <c r="T480">
        <v>10.3</v>
      </c>
      <c r="U480">
        <v>10.3</v>
      </c>
      <c r="V480">
        <v>28.2</v>
      </c>
    </row>
    <row r="481" spans="1:22" x14ac:dyDescent="0.25">
      <c r="A481" t="s">
        <v>1771</v>
      </c>
      <c r="B481" t="s">
        <v>493</v>
      </c>
      <c r="C481">
        <v>28</v>
      </c>
      <c r="D481" t="s">
        <v>65</v>
      </c>
      <c r="E481" t="s">
        <v>24</v>
      </c>
      <c r="F481" t="s">
        <v>269</v>
      </c>
      <c r="G481">
        <v>1.18</v>
      </c>
      <c r="H481" t="s">
        <v>51</v>
      </c>
      <c r="I481">
        <v>23</v>
      </c>
      <c r="J481" t="str">
        <f>HYPERLINK("https://www.eliteprospects.com/player/755151/adam-ji%C5%99icek")</f>
        <v>https://www.eliteprospects.com/player/755151/adam-ji%C5%99icek</v>
      </c>
      <c r="K481" t="s">
        <v>27</v>
      </c>
      <c r="L481" t="s">
        <v>485</v>
      </c>
      <c r="M481" t="s">
        <v>1296</v>
      </c>
      <c r="N481">
        <v>2</v>
      </c>
      <c r="O481" t="s">
        <v>501</v>
      </c>
      <c r="P481">
        <v>0.17</v>
      </c>
      <c r="Q481" t="s">
        <v>1300</v>
      </c>
      <c r="R481">
        <v>30.8</v>
      </c>
      <c r="S481">
        <v>20.5</v>
      </c>
      <c r="T481">
        <v>10.3</v>
      </c>
      <c r="U481">
        <v>10.3</v>
      </c>
      <c r="V481">
        <v>28.2</v>
      </c>
    </row>
    <row r="482" spans="1:22" x14ac:dyDescent="0.25">
      <c r="A482" t="s">
        <v>1772</v>
      </c>
      <c r="B482" t="s">
        <v>496</v>
      </c>
      <c r="C482">
        <v>41</v>
      </c>
      <c r="D482" t="s">
        <v>78</v>
      </c>
      <c r="E482" t="s">
        <v>125</v>
      </c>
      <c r="F482" t="s">
        <v>269</v>
      </c>
      <c r="G482">
        <v>0.8</v>
      </c>
      <c r="H482" t="s">
        <v>265</v>
      </c>
      <c r="I482">
        <v>-5</v>
      </c>
      <c r="J482" t="str">
        <f>HYPERLINK("https://www.eliteprospects.com/player/747321/levi-harper")</f>
        <v>https://www.eliteprospects.com/player/747321/levi-harper</v>
      </c>
      <c r="K482" t="s">
        <v>27</v>
      </c>
      <c r="L482" t="s">
        <v>485</v>
      </c>
      <c r="M482" t="s">
        <v>1296</v>
      </c>
      <c r="N482">
        <v>1</v>
      </c>
      <c r="O482" t="s">
        <v>494</v>
      </c>
      <c r="P482">
        <v>0.12</v>
      </c>
      <c r="Q482" t="s">
        <v>1300</v>
      </c>
      <c r="R482">
        <v>30.8</v>
      </c>
      <c r="S482">
        <v>20.5</v>
      </c>
      <c r="T482">
        <v>10.3</v>
      </c>
      <c r="U482">
        <v>10.3</v>
      </c>
      <c r="V482">
        <v>28.2</v>
      </c>
    </row>
    <row r="483" spans="1:22" x14ac:dyDescent="0.25">
      <c r="A483" t="s">
        <v>1773</v>
      </c>
      <c r="B483" t="s">
        <v>521</v>
      </c>
      <c r="C483">
        <v>41</v>
      </c>
      <c r="D483" t="s">
        <v>140</v>
      </c>
      <c r="E483" t="s">
        <v>61</v>
      </c>
      <c r="F483" t="s">
        <v>40</v>
      </c>
      <c r="G483">
        <v>0.73</v>
      </c>
      <c r="H483" t="s">
        <v>55</v>
      </c>
      <c r="I483">
        <v>23</v>
      </c>
      <c r="J483" t="str">
        <f>HYPERLINK("https://www.eliteprospects.com/player/890491/kohyn-eshkawkogan")</f>
        <v>https://www.eliteprospects.com/player/890491/kohyn-eshkawkogan</v>
      </c>
      <c r="K483" t="s">
        <v>27</v>
      </c>
      <c r="L483" t="s">
        <v>485</v>
      </c>
      <c r="M483" t="s">
        <v>1296</v>
      </c>
      <c r="N483">
        <v>2</v>
      </c>
      <c r="O483" t="s">
        <v>501</v>
      </c>
      <c r="P483">
        <v>0.11</v>
      </c>
      <c r="Q483" t="s">
        <v>1325</v>
      </c>
      <c r="R483">
        <v>27.3</v>
      </c>
      <c r="S483">
        <v>22.7</v>
      </c>
      <c r="T483">
        <v>27.3</v>
      </c>
      <c r="U483">
        <v>4.5</v>
      </c>
      <c r="V483">
        <v>18.2</v>
      </c>
    </row>
    <row r="484" spans="1:22" x14ac:dyDescent="0.25">
      <c r="A484" t="s">
        <v>1774</v>
      </c>
      <c r="B484" t="s">
        <v>504</v>
      </c>
      <c r="C484">
        <v>30</v>
      </c>
      <c r="D484" t="s">
        <v>45</v>
      </c>
      <c r="E484" t="s">
        <v>24</v>
      </c>
      <c r="F484" t="s">
        <v>46</v>
      </c>
      <c r="G484">
        <v>0.97</v>
      </c>
      <c r="H484" t="s">
        <v>38</v>
      </c>
      <c r="I484">
        <v>15</v>
      </c>
      <c r="J484" t="str">
        <f>HYPERLINK("https://www.eliteprospects.com/player/577216/cameron-reid")</f>
        <v>https://www.eliteprospects.com/player/577216/cameron-reid</v>
      </c>
      <c r="K484" t="s">
        <v>27</v>
      </c>
      <c r="L484" t="s">
        <v>485</v>
      </c>
      <c r="M484" t="s">
        <v>1296</v>
      </c>
      <c r="N484">
        <v>3</v>
      </c>
      <c r="O484" t="s">
        <v>492</v>
      </c>
      <c r="P484">
        <v>0.14000000000000001</v>
      </c>
      <c r="Q484" t="s">
        <v>1300</v>
      </c>
      <c r="R484">
        <v>30.8</v>
      </c>
      <c r="S484">
        <v>20.5</v>
      </c>
      <c r="T484">
        <v>10.3</v>
      </c>
      <c r="U484">
        <v>10.3</v>
      </c>
      <c r="V484">
        <v>28.2</v>
      </c>
    </row>
    <row r="485" spans="1:22" x14ac:dyDescent="0.25">
      <c r="A485" t="s">
        <v>1775</v>
      </c>
      <c r="B485" t="s">
        <v>488</v>
      </c>
      <c r="C485">
        <v>38</v>
      </c>
      <c r="D485" t="s">
        <v>45</v>
      </c>
      <c r="E485" t="s">
        <v>24</v>
      </c>
      <c r="F485" t="s">
        <v>46</v>
      </c>
      <c r="G485">
        <v>0.76</v>
      </c>
      <c r="H485" t="s">
        <v>55</v>
      </c>
      <c r="I485">
        <v>-14</v>
      </c>
      <c r="J485" t="str">
        <f>HYPERLINK("https://www.eliteprospects.com/player/835568/artyom-gonchar")</f>
        <v>https://www.eliteprospects.com/player/835568/artyom-gonchar</v>
      </c>
      <c r="K485" t="s">
        <v>27</v>
      </c>
      <c r="L485" t="s">
        <v>485</v>
      </c>
      <c r="M485" t="s">
        <v>1296</v>
      </c>
      <c r="N485">
        <v>1</v>
      </c>
      <c r="O485" t="s">
        <v>494</v>
      </c>
      <c r="P485">
        <v>0.11</v>
      </c>
      <c r="Q485" t="s">
        <v>1325</v>
      </c>
      <c r="R485">
        <v>27.3</v>
      </c>
      <c r="S485">
        <v>22.7</v>
      </c>
      <c r="T485">
        <v>27.3</v>
      </c>
      <c r="U485">
        <v>4.5</v>
      </c>
      <c r="V485">
        <v>18.2</v>
      </c>
    </row>
    <row r="486" spans="1:22" x14ac:dyDescent="0.25">
      <c r="A486" t="s">
        <v>1776</v>
      </c>
      <c r="B486" t="s">
        <v>498</v>
      </c>
      <c r="C486">
        <v>41</v>
      </c>
      <c r="D486" t="s">
        <v>78</v>
      </c>
      <c r="E486" t="s">
        <v>47</v>
      </c>
      <c r="F486" t="s">
        <v>46</v>
      </c>
      <c r="G486">
        <v>0.71</v>
      </c>
      <c r="H486" t="s">
        <v>24</v>
      </c>
      <c r="I486">
        <v>2</v>
      </c>
      <c r="J486" t="str">
        <f>HYPERLINK("https://www.eliteprospects.com/player/685530/lenny-greenberg")</f>
        <v>https://www.eliteprospects.com/player/685530/lenny-greenberg</v>
      </c>
      <c r="K486" t="s">
        <v>27</v>
      </c>
      <c r="L486" t="s">
        <v>485</v>
      </c>
      <c r="M486" t="s">
        <v>1296</v>
      </c>
      <c r="N486">
        <v>2</v>
      </c>
      <c r="O486" t="s">
        <v>501</v>
      </c>
      <c r="P486">
        <v>0.1</v>
      </c>
      <c r="Q486" t="s">
        <v>1325</v>
      </c>
      <c r="R486">
        <v>27.3</v>
      </c>
      <c r="S486">
        <v>22.7</v>
      </c>
      <c r="T486">
        <v>27.3</v>
      </c>
      <c r="U486">
        <v>4.5</v>
      </c>
      <c r="V486">
        <v>18.2</v>
      </c>
    </row>
    <row r="487" spans="1:22" x14ac:dyDescent="0.25">
      <c r="A487" t="s">
        <v>1777</v>
      </c>
      <c r="B487" t="s">
        <v>498</v>
      </c>
      <c r="C487">
        <v>40</v>
      </c>
      <c r="D487" t="s">
        <v>79</v>
      </c>
      <c r="E487" t="s">
        <v>125</v>
      </c>
      <c r="F487" t="s">
        <v>52</v>
      </c>
      <c r="G487">
        <v>0.7</v>
      </c>
      <c r="H487" t="s">
        <v>24</v>
      </c>
      <c r="I487">
        <v>-12</v>
      </c>
      <c r="J487" t="str">
        <f>HYPERLINK("https://www.eliteprospects.com/player/812551/john-alex-banks")</f>
        <v>https://www.eliteprospects.com/player/812551/john-alex-banks</v>
      </c>
      <c r="K487" t="s">
        <v>27</v>
      </c>
      <c r="L487" t="s">
        <v>485</v>
      </c>
      <c r="M487" t="s">
        <v>1296</v>
      </c>
      <c r="N487">
        <v>1</v>
      </c>
      <c r="O487" t="s">
        <v>494</v>
      </c>
      <c r="P487">
        <v>0.1</v>
      </c>
      <c r="Q487" t="s">
        <v>1325</v>
      </c>
      <c r="R487">
        <v>27.3</v>
      </c>
      <c r="S487">
        <v>22.7</v>
      </c>
      <c r="T487">
        <v>27.3</v>
      </c>
      <c r="U487">
        <v>4.5</v>
      </c>
      <c r="V487">
        <v>18.2</v>
      </c>
    </row>
    <row r="488" spans="1:22" x14ac:dyDescent="0.25">
      <c r="A488" t="s">
        <v>1778</v>
      </c>
      <c r="B488" t="s">
        <v>507</v>
      </c>
      <c r="C488">
        <v>39</v>
      </c>
      <c r="D488" t="s">
        <v>69</v>
      </c>
      <c r="E488" t="s">
        <v>38</v>
      </c>
      <c r="F488" t="s">
        <v>61</v>
      </c>
      <c r="G488">
        <v>0.69</v>
      </c>
      <c r="H488" t="s">
        <v>136</v>
      </c>
      <c r="I488">
        <v>15</v>
      </c>
      <c r="J488" t="str">
        <f>HYPERLINK("https://www.eliteprospects.com/player/878802/jared-woolley")</f>
        <v>https://www.eliteprospects.com/player/878802/jared-woolley</v>
      </c>
      <c r="K488" t="s">
        <v>27</v>
      </c>
      <c r="L488" t="s">
        <v>485</v>
      </c>
      <c r="M488" t="s">
        <v>1296</v>
      </c>
      <c r="N488">
        <v>3</v>
      </c>
      <c r="O488" t="s">
        <v>492</v>
      </c>
      <c r="P488">
        <v>0.1</v>
      </c>
      <c r="Q488" t="s">
        <v>1325</v>
      </c>
      <c r="R488">
        <v>27.3</v>
      </c>
      <c r="S488">
        <v>22.7</v>
      </c>
      <c r="T488">
        <v>27.3</v>
      </c>
      <c r="U488">
        <v>4.5</v>
      </c>
      <c r="V488">
        <v>18.2</v>
      </c>
    </row>
    <row r="489" spans="1:22" x14ac:dyDescent="0.25">
      <c r="A489" t="s">
        <v>1779</v>
      </c>
      <c r="B489" t="s">
        <v>484</v>
      </c>
      <c r="C489">
        <v>41</v>
      </c>
      <c r="D489" t="s">
        <v>57</v>
      </c>
      <c r="E489" t="s">
        <v>33</v>
      </c>
      <c r="F489" t="s">
        <v>61</v>
      </c>
      <c r="G489">
        <v>0.66</v>
      </c>
      <c r="H489" t="s">
        <v>24</v>
      </c>
      <c r="I489">
        <v>9</v>
      </c>
      <c r="J489" t="str">
        <f>HYPERLINK("https://www.eliteprospects.com/player/682666/urban-podrekar")</f>
        <v>https://www.eliteprospects.com/player/682666/urban-podrekar</v>
      </c>
      <c r="K489" t="s">
        <v>27</v>
      </c>
      <c r="L489" t="s">
        <v>485</v>
      </c>
      <c r="M489" t="s">
        <v>1296</v>
      </c>
      <c r="N489">
        <v>3</v>
      </c>
      <c r="O489" t="s">
        <v>492</v>
      </c>
      <c r="P489">
        <v>0.1</v>
      </c>
      <c r="Q489" t="s">
        <v>1325</v>
      </c>
      <c r="R489">
        <v>27.3</v>
      </c>
      <c r="S489">
        <v>22.7</v>
      </c>
      <c r="T489">
        <v>27.3</v>
      </c>
      <c r="U489">
        <v>4.5</v>
      </c>
      <c r="V489">
        <v>18.2</v>
      </c>
    </row>
    <row r="490" spans="1:22" x14ac:dyDescent="0.25">
      <c r="A490" t="s">
        <v>1780</v>
      </c>
      <c r="B490" t="s">
        <v>507</v>
      </c>
      <c r="C490">
        <v>37</v>
      </c>
      <c r="D490" t="s">
        <v>66</v>
      </c>
      <c r="E490" t="s">
        <v>47</v>
      </c>
      <c r="F490" t="s">
        <v>125</v>
      </c>
      <c r="G490">
        <v>0.7</v>
      </c>
      <c r="H490" t="s">
        <v>544</v>
      </c>
      <c r="I490">
        <v>-6</v>
      </c>
      <c r="J490" t="str">
        <f>HYPERLINK("https://www.eliteprospects.com/player/692910/lukas-fischer")</f>
        <v>https://www.eliteprospects.com/player/692910/lukas-fischer</v>
      </c>
      <c r="K490" t="s">
        <v>27</v>
      </c>
      <c r="L490" t="s">
        <v>485</v>
      </c>
      <c r="M490" t="s">
        <v>1296</v>
      </c>
      <c r="N490">
        <v>4</v>
      </c>
      <c r="O490" t="s">
        <v>486</v>
      </c>
      <c r="P490">
        <v>0.1</v>
      </c>
      <c r="Q490" t="s">
        <v>1325</v>
      </c>
      <c r="R490">
        <v>27.3</v>
      </c>
      <c r="S490">
        <v>22.7</v>
      </c>
      <c r="T490">
        <v>27.3</v>
      </c>
      <c r="U490">
        <v>4.5</v>
      </c>
      <c r="V490">
        <v>18.2</v>
      </c>
    </row>
    <row r="491" spans="1:22" x14ac:dyDescent="0.25">
      <c r="A491" t="s">
        <v>1781</v>
      </c>
      <c r="B491" t="s">
        <v>507</v>
      </c>
      <c r="C491">
        <v>41</v>
      </c>
      <c r="D491" t="s">
        <v>66</v>
      </c>
      <c r="E491" t="s">
        <v>47</v>
      </c>
      <c r="F491" t="s">
        <v>125</v>
      </c>
      <c r="G491">
        <v>0.63</v>
      </c>
      <c r="H491" t="s">
        <v>125</v>
      </c>
      <c r="I491">
        <v>4</v>
      </c>
      <c r="J491" t="str">
        <f>HYPERLINK("https://www.eliteprospects.com/player/814143/parker-von-richter")</f>
        <v>https://www.eliteprospects.com/player/814143/parker-von-richter</v>
      </c>
      <c r="K491" t="s">
        <v>27</v>
      </c>
      <c r="L491" t="s">
        <v>485</v>
      </c>
      <c r="M491" t="s">
        <v>1296</v>
      </c>
      <c r="N491">
        <v>4</v>
      </c>
      <c r="O491" t="s">
        <v>486</v>
      </c>
      <c r="P491">
        <v>0.09</v>
      </c>
      <c r="Q491" t="s">
        <v>1325</v>
      </c>
      <c r="R491">
        <v>27.3</v>
      </c>
      <c r="S491">
        <v>22.7</v>
      </c>
      <c r="T491">
        <v>27.3</v>
      </c>
      <c r="U491">
        <v>4.5</v>
      </c>
      <c r="V491">
        <v>18.2</v>
      </c>
    </row>
    <row r="492" spans="1:22" x14ac:dyDescent="0.25">
      <c r="A492" t="s">
        <v>1782</v>
      </c>
      <c r="B492" t="s">
        <v>507</v>
      </c>
      <c r="C492">
        <v>29</v>
      </c>
      <c r="D492" t="s">
        <v>26</v>
      </c>
      <c r="E492" t="s">
        <v>60</v>
      </c>
      <c r="F492" t="s">
        <v>75</v>
      </c>
      <c r="G492">
        <v>0.86</v>
      </c>
      <c r="H492" t="s">
        <v>26</v>
      </c>
      <c r="I492">
        <v>10</v>
      </c>
      <c r="J492" t="str">
        <f>HYPERLINK("https://www.eliteprospects.com/player/619063/jakub-fibigr")</f>
        <v>https://www.eliteprospects.com/player/619063/jakub-fibigr</v>
      </c>
      <c r="K492" t="s">
        <v>27</v>
      </c>
      <c r="L492" t="s">
        <v>485</v>
      </c>
      <c r="M492" t="s">
        <v>1296</v>
      </c>
      <c r="N492">
        <v>3</v>
      </c>
      <c r="O492" t="s">
        <v>492</v>
      </c>
      <c r="P492">
        <v>0.12</v>
      </c>
      <c r="Q492" t="s">
        <v>1300</v>
      </c>
      <c r="R492">
        <v>30.8</v>
      </c>
      <c r="S492">
        <v>20.5</v>
      </c>
      <c r="T492">
        <v>10.3</v>
      </c>
      <c r="U492">
        <v>10.3</v>
      </c>
      <c r="V492">
        <v>28.2</v>
      </c>
    </row>
    <row r="493" spans="1:22" x14ac:dyDescent="0.25">
      <c r="A493" t="s">
        <v>1783</v>
      </c>
      <c r="B493" t="s">
        <v>507</v>
      </c>
      <c r="C493">
        <v>41</v>
      </c>
      <c r="D493" t="s">
        <v>78</v>
      </c>
      <c r="E493" t="s">
        <v>60</v>
      </c>
      <c r="F493" t="s">
        <v>81</v>
      </c>
      <c r="G493">
        <v>0.59</v>
      </c>
      <c r="H493" t="s">
        <v>55</v>
      </c>
      <c r="I493">
        <v>23</v>
      </c>
      <c r="J493" t="str">
        <f>HYPERLINK("https://www.eliteprospects.com/player/595304/jakub-chromiak")</f>
        <v>https://www.eliteprospects.com/player/595304/jakub-chromiak</v>
      </c>
      <c r="K493" t="s">
        <v>27</v>
      </c>
      <c r="L493" t="s">
        <v>485</v>
      </c>
      <c r="M493" t="s">
        <v>1296</v>
      </c>
      <c r="N493">
        <v>4</v>
      </c>
      <c r="O493" t="s">
        <v>486</v>
      </c>
      <c r="P493">
        <v>0.08</v>
      </c>
      <c r="Q493" t="s">
        <v>1325</v>
      </c>
      <c r="R493">
        <v>30</v>
      </c>
      <c r="S493">
        <v>25</v>
      </c>
      <c r="T493">
        <v>32.5</v>
      </c>
      <c r="U493">
        <v>5</v>
      </c>
      <c r="V493">
        <v>7.5</v>
      </c>
    </row>
    <row r="494" spans="1:22" x14ac:dyDescent="0.25">
      <c r="A494" t="s">
        <v>1784</v>
      </c>
      <c r="B494" t="s">
        <v>532</v>
      </c>
      <c r="C494">
        <v>41</v>
      </c>
      <c r="D494" t="s">
        <v>96</v>
      </c>
      <c r="E494" t="s">
        <v>55</v>
      </c>
      <c r="F494" t="s">
        <v>84</v>
      </c>
      <c r="G494">
        <v>0.56000000000000005</v>
      </c>
      <c r="H494" t="s">
        <v>23</v>
      </c>
      <c r="I494">
        <v>7</v>
      </c>
      <c r="J494" t="str">
        <f>HYPERLINK("https://www.eliteprospects.com/player/597699/andoni-fimis")</f>
        <v>https://www.eliteprospects.com/player/597699/andoni-fimis</v>
      </c>
      <c r="K494" t="s">
        <v>27</v>
      </c>
      <c r="L494" t="s">
        <v>485</v>
      </c>
      <c r="M494" t="s">
        <v>1296</v>
      </c>
      <c r="N494">
        <v>2</v>
      </c>
      <c r="O494" t="s">
        <v>501</v>
      </c>
      <c r="P494">
        <v>0.08</v>
      </c>
      <c r="Q494" t="s">
        <v>1325</v>
      </c>
      <c r="R494">
        <v>30</v>
      </c>
      <c r="S494">
        <v>25</v>
      </c>
      <c r="T494">
        <v>32.5</v>
      </c>
      <c r="U494">
        <v>5</v>
      </c>
      <c r="V494">
        <v>7.5</v>
      </c>
    </row>
    <row r="495" spans="1:22" x14ac:dyDescent="0.25">
      <c r="A495" t="s">
        <v>1785</v>
      </c>
      <c r="B495" t="s">
        <v>493</v>
      </c>
      <c r="C495">
        <v>37</v>
      </c>
      <c r="D495" t="s">
        <v>79</v>
      </c>
      <c r="E495" t="s">
        <v>33</v>
      </c>
      <c r="F495" t="s">
        <v>84</v>
      </c>
      <c r="G495">
        <v>0.62</v>
      </c>
      <c r="H495" t="s">
        <v>57</v>
      </c>
      <c r="I495">
        <v>25</v>
      </c>
      <c r="J495" t="str">
        <f>HYPERLINK("https://www.eliteprospects.com/player/577016/edison-engle")</f>
        <v>https://www.eliteprospects.com/player/577016/edison-engle</v>
      </c>
      <c r="K495" t="s">
        <v>27</v>
      </c>
      <c r="L495" t="s">
        <v>485</v>
      </c>
      <c r="M495" t="s">
        <v>1296</v>
      </c>
      <c r="N495">
        <v>1</v>
      </c>
      <c r="O495" t="s">
        <v>494</v>
      </c>
      <c r="P495">
        <v>0.09</v>
      </c>
      <c r="Q495" t="s">
        <v>1325</v>
      </c>
      <c r="R495">
        <v>27.3</v>
      </c>
      <c r="S495">
        <v>22.7</v>
      </c>
      <c r="T495">
        <v>27.3</v>
      </c>
      <c r="U495">
        <v>4.5</v>
      </c>
      <c r="V495">
        <v>18.2</v>
      </c>
    </row>
    <row r="496" spans="1:22" x14ac:dyDescent="0.25">
      <c r="A496" t="s">
        <v>1786</v>
      </c>
      <c r="B496" t="s">
        <v>532</v>
      </c>
      <c r="C496">
        <v>32</v>
      </c>
      <c r="D496" t="s">
        <v>69</v>
      </c>
      <c r="E496" t="s">
        <v>69</v>
      </c>
      <c r="F496" t="s">
        <v>47</v>
      </c>
      <c r="G496">
        <v>0.69</v>
      </c>
      <c r="H496" t="s">
        <v>513</v>
      </c>
      <c r="I496">
        <v>-17</v>
      </c>
      <c r="J496" t="str">
        <f>HYPERLINK("https://www.eliteprospects.com/player/576953/henry-brzustewicz")</f>
        <v>https://www.eliteprospects.com/player/576953/henry-brzustewicz</v>
      </c>
      <c r="K496" t="s">
        <v>27</v>
      </c>
      <c r="L496" t="s">
        <v>485</v>
      </c>
      <c r="M496" t="s">
        <v>1296</v>
      </c>
      <c r="N496">
        <v>3</v>
      </c>
      <c r="O496" t="s">
        <v>492</v>
      </c>
      <c r="P496">
        <v>0.1</v>
      </c>
      <c r="Q496" t="s">
        <v>1325</v>
      </c>
      <c r="R496">
        <v>27.3</v>
      </c>
      <c r="S496">
        <v>22.7</v>
      </c>
      <c r="T496">
        <v>27.3</v>
      </c>
      <c r="U496">
        <v>4.5</v>
      </c>
      <c r="V496">
        <v>18.2</v>
      </c>
    </row>
    <row r="497" spans="1:22" x14ac:dyDescent="0.25">
      <c r="A497" t="s">
        <v>1787</v>
      </c>
      <c r="B497" t="s">
        <v>561</v>
      </c>
      <c r="C497">
        <v>38</v>
      </c>
      <c r="D497" t="s">
        <v>45</v>
      </c>
      <c r="E497" t="s">
        <v>65</v>
      </c>
      <c r="F497" t="s">
        <v>47</v>
      </c>
      <c r="G497">
        <v>0.57999999999999996</v>
      </c>
      <c r="H497" t="s">
        <v>41</v>
      </c>
      <c r="I497">
        <v>-7</v>
      </c>
      <c r="J497" t="str">
        <f>HYPERLINK("https://www.eliteprospects.com/player/618575/maleek-mcgowan")</f>
        <v>https://www.eliteprospects.com/player/618575/maleek-mcgowan</v>
      </c>
      <c r="K497" t="s">
        <v>27</v>
      </c>
      <c r="L497" t="s">
        <v>485</v>
      </c>
      <c r="M497" t="s">
        <v>1296</v>
      </c>
      <c r="N497">
        <v>5</v>
      </c>
      <c r="O497" t="s">
        <v>508</v>
      </c>
      <c r="P497">
        <v>0.08</v>
      </c>
      <c r="Q497" t="s">
        <v>1325</v>
      </c>
      <c r="R497">
        <v>30</v>
      </c>
      <c r="S497">
        <v>25</v>
      </c>
      <c r="T497">
        <v>32.5</v>
      </c>
      <c r="U497">
        <v>5</v>
      </c>
      <c r="V497">
        <v>7.5</v>
      </c>
    </row>
    <row r="498" spans="1:22" x14ac:dyDescent="0.25">
      <c r="A498" t="s">
        <v>1788</v>
      </c>
      <c r="B498" t="s">
        <v>526</v>
      </c>
      <c r="C498">
        <v>28</v>
      </c>
      <c r="D498" t="s">
        <v>140</v>
      </c>
      <c r="E498" t="s">
        <v>51</v>
      </c>
      <c r="F498" t="s">
        <v>47</v>
      </c>
      <c r="G498">
        <v>0.79</v>
      </c>
      <c r="H498" t="s">
        <v>51</v>
      </c>
      <c r="I498">
        <v>-14</v>
      </c>
      <c r="J498" t="str">
        <f>HYPERLINK("https://www.eliteprospects.com/player/618578/james-petrovski")</f>
        <v>https://www.eliteprospects.com/player/618578/james-petrovski</v>
      </c>
      <c r="K498" t="s">
        <v>27</v>
      </c>
      <c r="L498" t="s">
        <v>485</v>
      </c>
      <c r="M498" t="s">
        <v>1296</v>
      </c>
      <c r="N498">
        <v>5</v>
      </c>
      <c r="O498" t="s">
        <v>508</v>
      </c>
      <c r="P498">
        <v>0.11</v>
      </c>
      <c r="Q498" t="s">
        <v>1325</v>
      </c>
      <c r="R498">
        <v>27.3</v>
      </c>
      <c r="S498">
        <v>22.7</v>
      </c>
      <c r="T498">
        <v>27.3</v>
      </c>
      <c r="U498">
        <v>4.5</v>
      </c>
      <c r="V498">
        <v>18.2</v>
      </c>
    </row>
    <row r="499" spans="1:22" x14ac:dyDescent="0.25">
      <c r="A499" t="s">
        <v>1789</v>
      </c>
      <c r="B499" t="s">
        <v>496</v>
      </c>
      <c r="C499">
        <v>41</v>
      </c>
      <c r="D499" t="s">
        <v>140</v>
      </c>
      <c r="E499" t="s">
        <v>51</v>
      </c>
      <c r="F499" t="s">
        <v>47</v>
      </c>
      <c r="G499">
        <v>0.54</v>
      </c>
      <c r="H499" t="s">
        <v>52</v>
      </c>
      <c r="I499">
        <v>-19</v>
      </c>
      <c r="J499" t="str">
        <f>HYPERLINK("https://www.eliteprospects.com/player/603557/james-guo")</f>
        <v>https://www.eliteprospects.com/player/603557/james-guo</v>
      </c>
      <c r="K499" t="s">
        <v>27</v>
      </c>
      <c r="L499" t="s">
        <v>485</v>
      </c>
      <c r="M499" t="s">
        <v>1296</v>
      </c>
      <c r="N499">
        <v>5</v>
      </c>
      <c r="O499" t="s">
        <v>508</v>
      </c>
      <c r="P499">
        <v>0.08</v>
      </c>
      <c r="Q499" t="s">
        <v>1325</v>
      </c>
      <c r="R499">
        <v>30</v>
      </c>
      <c r="S499">
        <v>25</v>
      </c>
      <c r="T499">
        <v>32.5</v>
      </c>
      <c r="U499">
        <v>5</v>
      </c>
      <c r="V499">
        <v>7.5</v>
      </c>
    </row>
    <row r="500" spans="1:22" x14ac:dyDescent="0.25">
      <c r="A500" t="s">
        <v>1790</v>
      </c>
      <c r="B500" t="s">
        <v>515</v>
      </c>
      <c r="C500">
        <v>40</v>
      </c>
      <c r="D500" t="s">
        <v>140</v>
      </c>
      <c r="E500" t="s">
        <v>55</v>
      </c>
      <c r="F500" t="s">
        <v>33</v>
      </c>
      <c r="G500">
        <v>0.53</v>
      </c>
      <c r="H500" t="s">
        <v>23</v>
      </c>
      <c r="I500">
        <v>7</v>
      </c>
      <c r="J500" t="str">
        <f>HYPERLINK("https://www.eliteprospects.com/player/942117/cole-emerton")</f>
        <v>https://www.eliteprospects.com/player/942117/cole-emerton</v>
      </c>
      <c r="K500" t="s">
        <v>27</v>
      </c>
      <c r="L500" t="s">
        <v>485</v>
      </c>
      <c r="M500" t="s">
        <v>1296</v>
      </c>
      <c r="N500">
        <v>1</v>
      </c>
      <c r="O500" t="s">
        <v>494</v>
      </c>
      <c r="P500">
        <v>0.08</v>
      </c>
      <c r="Q500" t="s">
        <v>1325</v>
      </c>
      <c r="R500">
        <v>30</v>
      </c>
      <c r="S500">
        <v>25</v>
      </c>
      <c r="T500">
        <v>32.5</v>
      </c>
      <c r="U500">
        <v>5</v>
      </c>
      <c r="V500">
        <v>7.5</v>
      </c>
    </row>
    <row r="501" spans="1:22" x14ac:dyDescent="0.25">
      <c r="A501" t="s">
        <v>1791</v>
      </c>
      <c r="B501" t="s">
        <v>493</v>
      </c>
      <c r="C501">
        <v>31</v>
      </c>
      <c r="D501" t="s">
        <v>57</v>
      </c>
      <c r="E501" t="s">
        <v>39</v>
      </c>
      <c r="F501" t="s">
        <v>24</v>
      </c>
      <c r="G501">
        <v>0.65</v>
      </c>
      <c r="H501" t="s">
        <v>55</v>
      </c>
      <c r="I501">
        <v>18</v>
      </c>
      <c r="J501" t="str">
        <f>HYPERLINK("https://www.eliteprospects.com/player/899355/vladimir-dravecky")</f>
        <v>https://www.eliteprospects.com/player/899355/vladimir-dravecky</v>
      </c>
      <c r="K501" t="s">
        <v>27</v>
      </c>
      <c r="L501" t="s">
        <v>485</v>
      </c>
      <c r="M501" t="s">
        <v>1296</v>
      </c>
      <c r="N501">
        <v>1</v>
      </c>
      <c r="O501" t="s">
        <v>494</v>
      </c>
      <c r="P501">
        <v>0.09</v>
      </c>
      <c r="Q501" t="s">
        <v>1325</v>
      </c>
      <c r="R501">
        <v>27.3</v>
      </c>
      <c r="S501">
        <v>22.7</v>
      </c>
      <c r="T501">
        <v>27.3</v>
      </c>
      <c r="U501">
        <v>4.5</v>
      </c>
      <c r="V501">
        <v>18.2</v>
      </c>
    </row>
    <row r="502" spans="1:22" x14ac:dyDescent="0.25">
      <c r="A502" t="s">
        <v>1792</v>
      </c>
      <c r="B502" t="s">
        <v>510</v>
      </c>
      <c r="C502">
        <v>35</v>
      </c>
      <c r="D502" t="s">
        <v>57</v>
      </c>
      <c r="E502" t="s">
        <v>65</v>
      </c>
      <c r="F502" t="s">
        <v>51</v>
      </c>
      <c r="G502">
        <v>0.54</v>
      </c>
      <c r="H502" t="s">
        <v>39</v>
      </c>
      <c r="I502">
        <v>14</v>
      </c>
      <c r="J502" t="str">
        <f>HYPERLINK("https://www.eliteprospects.com/player/902024/jakub-winkelhofer")</f>
        <v>https://www.eliteprospects.com/player/902024/jakub-winkelhofer</v>
      </c>
      <c r="K502" t="s">
        <v>27</v>
      </c>
      <c r="L502" t="s">
        <v>485</v>
      </c>
      <c r="M502" t="s">
        <v>1296</v>
      </c>
      <c r="N502">
        <v>1</v>
      </c>
      <c r="O502" t="s">
        <v>494</v>
      </c>
      <c r="P502">
        <v>0.08</v>
      </c>
      <c r="Q502" t="s">
        <v>1325</v>
      </c>
      <c r="R502">
        <v>30</v>
      </c>
      <c r="S502">
        <v>25</v>
      </c>
      <c r="T502">
        <v>32.5</v>
      </c>
      <c r="U502">
        <v>5</v>
      </c>
      <c r="V502">
        <v>7.5</v>
      </c>
    </row>
    <row r="503" spans="1:22" x14ac:dyDescent="0.25">
      <c r="A503" t="s">
        <v>1793</v>
      </c>
      <c r="B503" t="s">
        <v>536</v>
      </c>
      <c r="C503">
        <v>36</v>
      </c>
      <c r="D503" t="s">
        <v>140</v>
      </c>
      <c r="E503" t="s">
        <v>38</v>
      </c>
      <c r="F503" t="s">
        <v>51</v>
      </c>
      <c r="G503">
        <v>0.53</v>
      </c>
      <c r="H503" t="s">
        <v>427</v>
      </c>
      <c r="I503">
        <v>-30</v>
      </c>
      <c r="J503" t="str">
        <f>HYPERLINK("https://www.eliteprospects.com/player/726355/mitch-young")</f>
        <v>https://www.eliteprospects.com/player/726355/mitch-young</v>
      </c>
      <c r="K503" t="s">
        <v>27</v>
      </c>
      <c r="L503" t="s">
        <v>485</v>
      </c>
      <c r="M503" t="s">
        <v>1296</v>
      </c>
      <c r="N503">
        <v>4</v>
      </c>
      <c r="O503" t="s">
        <v>486</v>
      </c>
      <c r="P503">
        <v>0.08</v>
      </c>
      <c r="Q503" t="s">
        <v>1325</v>
      </c>
      <c r="R503">
        <v>30</v>
      </c>
      <c r="S503">
        <v>25</v>
      </c>
      <c r="T503">
        <v>32.5</v>
      </c>
      <c r="U503">
        <v>5</v>
      </c>
      <c r="V503">
        <v>7.5</v>
      </c>
    </row>
    <row r="504" spans="1:22" x14ac:dyDescent="0.25">
      <c r="A504" t="s">
        <v>1794</v>
      </c>
      <c r="B504" t="s">
        <v>561</v>
      </c>
      <c r="C504">
        <v>42</v>
      </c>
      <c r="D504" t="s">
        <v>260</v>
      </c>
      <c r="E504" t="s">
        <v>55</v>
      </c>
      <c r="F504" t="s">
        <v>51</v>
      </c>
      <c r="G504">
        <v>0.45</v>
      </c>
      <c r="H504" t="s">
        <v>125</v>
      </c>
      <c r="I504">
        <v>-12</v>
      </c>
      <c r="J504" t="str">
        <f>HYPERLINK("https://www.eliteprospects.com/player/577202/vann-williamson")</f>
        <v>https://www.eliteprospects.com/player/577202/vann-williamson</v>
      </c>
      <c r="K504" t="s">
        <v>27</v>
      </c>
      <c r="L504" t="s">
        <v>485</v>
      </c>
      <c r="M504" t="s">
        <v>1296</v>
      </c>
      <c r="N504">
        <v>4</v>
      </c>
      <c r="O504" t="s">
        <v>486</v>
      </c>
      <c r="P504">
        <v>0.06</v>
      </c>
      <c r="Q504" t="s">
        <v>1325</v>
      </c>
      <c r="R504">
        <v>26.3</v>
      </c>
      <c r="S504">
        <v>23.7</v>
      </c>
      <c r="T504">
        <v>28.9</v>
      </c>
      <c r="U504">
        <v>5.3</v>
      </c>
      <c r="V504">
        <v>15.8</v>
      </c>
    </row>
    <row r="505" spans="1:22" x14ac:dyDescent="0.25">
      <c r="A505" t="s">
        <v>1795</v>
      </c>
      <c r="B505" t="s">
        <v>504</v>
      </c>
      <c r="C505">
        <v>40</v>
      </c>
      <c r="D505" t="s">
        <v>57</v>
      </c>
      <c r="E505" t="s">
        <v>23</v>
      </c>
      <c r="F505" t="s">
        <v>55</v>
      </c>
      <c r="G505">
        <v>0.45</v>
      </c>
      <c r="H505" t="s">
        <v>81</v>
      </c>
      <c r="I505">
        <v>12</v>
      </c>
      <c r="J505" t="str">
        <f>HYPERLINK("https://www.eliteprospects.com/player/897430/alexander-bilecki")</f>
        <v>https://www.eliteprospects.com/player/897430/alexander-bilecki</v>
      </c>
      <c r="K505" t="s">
        <v>27</v>
      </c>
      <c r="L505" t="s">
        <v>485</v>
      </c>
      <c r="M505" t="s">
        <v>1296</v>
      </c>
      <c r="N505">
        <v>2</v>
      </c>
      <c r="O505" t="s">
        <v>501</v>
      </c>
      <c r="P505">
        <v>0.06</v>
      </c>
      <c r="Q505" t="s">
        <v>1325</v>
      </c>
      <c r="R505">
        <v>26.3</v>
      </c>
      <c r="S505">
        <v>23.7</v>
      </c>
      <c r="T505">
        <v>28.9</v>
      </c>
      <c r="U505">
        <v>5.3</v>
      </c>
      <c r="V505">
        <v>15.8</v>
      </c>
    </row>
    <row r="506" spans="1:22" x14ac:dyDescent="0.25">
      <c r="A506" t="s">
        <v>1796</v>
      </c>
      <c r="B506" t="s">
        <v>546</v>
      </c>
      <c r="C506">
        <v>39</v>
      </c>
      <c r="D506" t="s">
        <v>66</v>
      </c>
      <c r="E506" t="s">
        <v>39</v>
      </c>
      <c r="F506" t="s">
        <v>55</v>
      </c>
      <c r="G506">
        <v>0.46</v>
      </c>
      <c r="H506" t="s">
        <v>66</v>
      </c>
      <c r="I506">
        <v>4</v>
      </c>
      <c r="J506" t="str">
        <f>HYPERLINK("https://www.eliteprospects.com/player/807372/brandt-harper")</f>
        <v>https://www.eliteprospects.com/player/807372/brandt-harper</v>
      </c>
      <c r="K506" t="s">
        <v>27</v>
      </c>
      <c r="L506" t="s">
        <v>485</v>
      </c>
      <c r="M506" t="s">
        <v>1296</v>
      </c>
      <c r="N506">
        <v>1</v>
      </c>
      <c r="O506" t="s">
        <v>494</v>
      </c>
      <c r="P506">
        <v>7.0000000000000007E-2</v>
      </c>
      <c r="Q506" t="s">
        <v>1325</v>
      </c>
      <c r="R506">
        <v>30</v>
      </c>
      <c r="S506">
        <v>25</v>
      </c>
      <c r="T506">
        <v>32.5</v>
      </c>
      <c r="U506">
        <v>5</v>
      </c>
      <c r="V506">
        <v>7.5</v>
      </c>
    </row>
    <row r="507" spans="1:22" x14ac:dyDescent="0.25">
      <c r="A507" t="s">
        <v>1797</v>
      </c>
      <c r="B507" t="s">
        <v>527</v>
      </c>
      <c r="C507">
        <v>40</v>
      </c>
      <c r="D507" t="s">
        <v>66</v>
      </c>
      <c r="E507" t="s">
        <v>39</v>
      </c>
      <c r="F507" t="s">
        <v>55</v>
      </c>
      <c r="G507">
        <v>0.45</v>
      </c>
      <c r="H507" t="s">
        <v>32</v>
      </c>
      <c r="I507">
        <v>-2</v>
      </c>
      <c r="J507" t="str">
        <f>HYPERLINK("https://www.eliteprospects.com/player/577218/rylan-singh")</f>
        <v>https://www.eliteprospects.com/player/577218/rylan-singh</v>
      </c>
      <c r="K507" t="s">
        <v>27</v>
      </c>
      <c r="L507" t="s">
        <v>485</v>
      </c>
      <c r="M507" t="s">
        <v>1296</v>
      </c>
      <c r="N507">
        <v>3</v>
      </c>
      <c r="O507" t="s">
        <v>492</v>
      </c>
      <c r="P507">
        <v>0.06</v>
      </c>
      <c r="Q507" t="s">
        <v>1325</v>
      </c>
      <c r="R507">
        <v>26.3</v>
      </c>
      <c r="S507">
        <v>23.7</v>
      </c>
      <c r="T507">
        <v>28.9</v>
      </c>
      <c r="U507">
        <v>5.3</v>
      </c>
      <c r="V507">
        <v>15.8</v>
      </c>
    </row>
    <row r="508" spans="1:22" x14ac:dyDescent="0.25">
      <c r="A508" t="s">
        <v>1798</v>
      </c>
      <c r="B508" t="s">
        <v>521</v>
      </c>
      <c r="C508">
        <v>40</v>
      </c>
      <c r="D508" t="s">
        <v>66</v>
      </c>
      <c r="E508" t="s">
        <v>39</v>
      </c>
      <c r="F508" t="s">
        <v>55</v>
      </c>
      <c r="G508">
        <v>0.45</v>
      </c>
      <c r="H508" t="s">
        <v>544</v>
      </c>
      <c r="I508">
        <v>17</v>
      </c>
      <c r="J508" t="str">
        <f>HYPERLINK("https://www.eliteprospects.com/player/691832/frankie-marrelli")</f>
        <v>https://www.eliteprospects.com/player/691832/frankie-marrelli</v>
      </c>
      <c r="K508" t="s">
        <v>27</v>
      </c>
      <c r="L508" t="s">
        <v>485</v>
      </c>
      <c r="M508" t="s">
        <v>1296</v>
      </c>
      <c r="N508">
        <v>4</v>
      </c>
      <c r="O508" t="s">
        <v>486</v>
      </c>
      <c r="P508">
        <v>0.06</v>
      </c>
      <c r="Q508" t="s">
        <v>1325</v>
      </c>
      <c r="R508">
        <v>26.3</v>
      </c>
      <c r="S508">
        <v>23.7</v>
      </c>
      <c r="T508">
        <v>28.9</v>
      </c>
      <c r="U508">
        <v>5.3</v>
      </c>
      <c r="V508">
        <v>15.8</v>
      </c>
    </row>
    <row r="509" spans="1:22" x14ac:dyDescent="0.25">
      <c r="A509" t="s">
        <v>1799</v>
      </c>
      <c r="B509" t="s">
        <v>493</v>
      </c>
      <c r="C509">
        <v>37</v>
      </c>
      <c r="D509" t="s">
        <v>140</v>
      </c>
      <c r="E509" t="s">
        <v>41</v>
      </c>
      <c r="F509" t="s">
        <v>55</v>
      </c>
      <c r="G509">
        <v>0.49</v>
      </c>
      <c r="H509" t="s">
        <v>265</v>
      </c>
      <c r="I509">
        <v>32</v>
      </c>
      <c r="J509" t="str">
        <f>HYPERLINK("https://www.eliteprospects.com/player/710847/owen-protz")</f>
        <v>https://www.eliteprospects.com/player/710847/owen-protz</v>
      </c>
      <c r="K509" t="s">
        <v>27</v>
      </c>
      <c r="L509" t="s">
        <v>485</v>
      </c>
      <c r="M509" t="s">
        <v>1296</v>
      </c>
      <c r="N509">
        <v>4</v>
      </c>
      <c r="O509" t="s">
        <v>486</v>
      </c>
      <c r="P509">
        <v>7.0000000000000007E-2</v>
      </c>
      <c r="Q509" t="s">
        <v>1325</v>
      </c>
      <c r="R509">
        <v>30</v>
      </c>
      <c r="S509">
        <v>25</v>
      </c>
      <c r="T509">
        <v>32.5</v>
      </c>
      <c r="U509">
        <v>5</v>
      </c>
      <c r="V509">
        <v>7.5</v>
      </c>
    </row>
    <row r="510" spans="1:22" x14ac:dyDescent="0.25">
      <c r="A510" t="s">
        <v>1800</v>
      </c>
      <c r="B510" t="s">
        <v>484</v>
      </c>
      <c r="C510">
        <v>42</v>
      </c>
      <c r="D510" t="s">
        <v>140</v>
      </c>
      <c r="E510" t="s">
        <v>41</v>
      </c>
      <c r="F510" t="s">
        <v>55</v>
      </c>
      <c r="G510">
        <v>0.43</v>
      </c>
      <c r="H510" t="s">
        <v>24</v>
      </c>
      <c r="I510">
        <v>12</v>
      </c>
      <c r="J510" t="str">
        <f>HYPERLINK("https://www.eliteprospects.com/player/577174/dryden-allen")</f>
        <v>https://www.eliteprospects.com/player/577174/dryden-allen</v>
      </c>
      <c r="K510" t="s">
        <v>27</v>
      </c>
      <c r="L510" t="s">
        <v>485</v>
      </c>
      <c r="M510" t="s">
        <v>1296</v>
      </c>
      <c r="N510">
        <v>1</v>
      </c>
      <c r="O510" t="s">
        <v>494</v>
      </c>
      <c r="P510">
        <v>0.06</v>
      </c>
      <c r="Q510" t="s">
        <v>1325</v>
      </c>
      <c r="R510">
        <v>26.3</v>
      </c>
      <c r="S510">
        <v>23.7</v>
      </c>
      <c r="T510">
        <v>28.9</v>
      </c>
      <c r="U510">
        <v>5.3</v>
      </c>
      <c r="V510">
        <v>15.8</v>
      </c>
    </row>
    <row r="511" spans="1:22" x14ac:dyDescent="0.25">
      <c r="A511" t="s">
        <v>1801</v>
      </c>
      <c r="B511" t="s">
        <v>507</v>
      </c>
      <c r="C511">
        <v>41</v>
      </c>
      <c r="D511" t="s">
        <v>79</v>
      </c>
      <c r="E511" t="s">
        <v>38</v>
      </c>
      <c r="F511" t="s">
        <v>55</v>
      </c>
      <c r="G511">
        <v>0.44</v>
      </c>
      <c r="H511" t="s">
        <v>111</v>
      </c>
      <c r="I511">
        <v>5</v>
      </c>
      <c r="J511" t="str">
        <f>HYPERLINK("https://www.eliteprospects.com/player/738747/david-bedkowski")</f>
        <v>https://www.eliteprospects.com/player/738747/david-bedkowski</v>
      </c>
      <c r="K511" t="s">
        <v>27</v>
      </c>
      <c r="L511" t="s">
        <v>485</v>
      </c>
      <c r="M511" t="s">
        <v>1296</v>
      </c>
      <c r="N511">
        <v>4</v>
      </c>
      <c r="O511" t="s">
        <v>486</v>
      </c>
      <c r="P511">
        <v>0.06</v>
      </c>
      <c r="Q511" t="s">
        <v>1325</v>
      </c>
      <c r="R511">
        <v>26.3</v>
      </c>
      <c r="S511">
        <v>23.7</v>
      </c>
      <c r="T511">
        <v>28.9</v>
      </c>
      <c r="U511">
        <v>5.3</v>
      </c>
      <c r="V511">
        <v>15.8</v>
      </c>
    </row>
    <row r="512" spans="1:22" x14ac:dyDescent="0.25">
      <c r="A512" t="s">
        <v>1802</v>
      </c>
      <c r="B512" t="s">
        <v>521</v>
      </c>
      <c r="C512">
        <v>39</v>
      </c>
      <c r="D512" t="s">
        <v>78</v>
      </c>
      <c r="E512" t="s">
        <v>32</v>
      </c>
      <c r="F512" t="s">
        <v>60</v>
      </c>
      <c r="G512">
        <v>0.44</v>
      </c>
      <c r="H512" t="s">
        <v>79</v>
      </c>
      <c r="I512">
        <v>17</v>
      </c>
      <c r="J512" t="str">
        <f>HYPERLINK("https://www.eliteprospects.com/player/917727/ondrej-ruml")</f>
        <v>https://www.eliteprospects.com/player/917727/ondrej-ruml</v>
      </c>
      <c r="K512" t="s">
        <v>27</v>
      </c>
      <c r="L512" t="s">
        <v>485</v>
      </c>
      <c r="M512" t="s">
        <v>1296</v>
      </c>
      <c r="N512">
        <v>1</v>
      </c>
      <c r="O512" t="s">
        <v>494</v>
      </c>
      <c r="P512">
        <v>0.06</v>
      </c>
      <c r="Q512" t="s">
        <v>1325</v>
      </c>
      <c r="R512">
        <v>26.3</v>
      </c>
      <c r="S512">
        <v>23.7</v>
      </c>
      <c r="T512">
        <v>28.9</v>
      </c>
      <c r="U512">
        <v>5.3</v>
      </c>
      <c r="V512">
        <v>15.8</v>
      </c>
    </row>
    <row r="513" spans="1:22" x14ac:dyDescent="0.25">
      <c r="A513" t="s">
        <v>1803</v>
      </c>
      <c r="B513" t="s">
        <v>527</v>
      </c>
      <c r="C513">
        <v>32</v>
      </c>
      <c r="D513" t="s">
        <v>96</v>
      </c>
      <c r="E513" t="s">
        <v>23</v>
      </c>
      <c r="F513" t="s">
        <v>60</v>
      </c>
      <c r="G513">
        <v>0.53</v>
      </c>
      <c r="H513" t="s">
        <v>125</v>
      </c>
      <c r="I513">
        <v>-14</v>
      </c>
      <c r="J513" t="str">
        <f>HYPERLINK("https://www.eliteprospects.com/player/577043/quinn-beauchesne")</f>
        <v>https://www.eliteprospects.com/player/577043/quinn-beauchesne</v>
      </c>
      <c r="K513" t="s">
        <v>27</v>
      </c>
      <c r="L513" t="s">
        <v>485</v>
      </c>
      <c r="M513" t="s">
        <v>1296</v>
      </c>
      <c r="N513">
        <v>3</v>
      </c>
      <c r="O513" t="s">
        <v>492</v>
      </c>
      <c r="P513">
        <v>0.08</v>
      </c>
      <c r="Q513" t="s">
        <v>1325</v>
      </c>
      <c r="R513">
        <v>30</v>
      </c>
      <c r="S513">
        <v>25</v>
      </c>
      <c r="T513">
        <v>32.5</v>
      </c>
      <c r="U513">
        <v>5</v>
      </c>
      <c r="V513">
        <v>7.5</v>
      </c>
    </row>
    <row r="514" spans="1:22" x14ac:dyDescent="0.25">
      <c r="A514" t="s">
        <v>1804</v>
      </c>
      <c r="B514" t="s">
        <v>546</v>
      </c>
      <c r="C514">
        <v>35</v>
      </c>
      <c r="D514" t="s">
        <v>140</v>
      </c>
      <c r="E514" t="s">
        <v>39</v>
      </c>
      <c r="F514" t="s">
        <v>60</v>
      </c>
      <c r="G514">
        <v>0.49</v>
      </c>
      <c r="H514" t="s">
        <v>427</v>
      </c>
      <c r="I514">
        <v>15</v>
      </c>
      <c r="J514" t="str">
        <f>HYPERLINK("https://www.eliteprospects.com/player/603125/bronson-ride")</f>
        <v>https://www.eliteprospects.com/player/603125/bronson-ride</v>
      </c>
      <c r="K514" t="s">
        <v>27</v>
      </c>
      <c r="L514" t="s">
        <v>485</v>
      </c>
      <c r="M514" t="s">
        <v>1296</v>
      </c>
      <c r="N514">
        <v>5</v>
      </c>
      <c r="O514" t="s">
        <v>508</v>
      </c>
      <c r="P514">
        <v>7.0000000000000007E-2</v>
      </c>
      <c r="Q514" t="s">
        <v>1325</v>
      </c>
      <c r="R514">
        <v>30</v>
      </c>
      <c r="S514">
        <v>25</v>
      </c>
      <c r="T514">
        <v>32.5</v>
      </c>
      <c r="U514">
        <v>5</v>
      </c>
      <c r="V514">
        <v>7.5</v>
      </c>
    </row>
    <row r="515" spans="1:22" x14ac:dyDescent="0.25">
      <c r="A515" t="s">
        <v>1805</v>
      </c>
      <c r="B515" t="s">
        <v>520</v>
      </c>
      <c r="C515">
        <v>39</v>
      </c>
      <c r="D515" t="s">
        <v>79</v>
      </c>
      <c r="E515" t="s">
        <v>41</v>
      </c>
      <c r="F515" t="s">
        <v>60</v>
      </c>
      <c r="G515">
        <v>0.44</v>
      </c>
      <c r="H515" t="s">
        <v>40</v>
      </c>
      <c r="I515">
        <v>18</v>
      </c>
      <c r="J515" t="str">
        <f>HYPERLINK("https://www.eliteprospects.com/player/649094/wyatt-kennedy")</f>
        <v>https://www.eliteprospects.com/player/649094/wyatt-kennedy</v>
      </c>
      <c r="K515" t="s">
        <v>27</v>
      </c>
      <c r="L515" t="s">
        <v>485</v>
      </c>
      <c r="M515" t="s">
        <v>1296</v>
      </c>
      <c r="N515">
        <v>5</v>
      </c>
      <c r="O515" t="s">
        <v>508</v>
      </c>
      <c r="P515">
        <v>0.06</v>
      </c>
      <c r="Q515" t="s">
        <v>1325</v>
      </c>
      <c r="R515">
        <v>26.3</v>
      </c>
      <c r="S515">
        <v>23.7</v>
      </c>
      <c r="T515">
        <v>28.9</v>
      </c>
      <c r="U515">
        <v>5.3</v>
      </c>
      <c r="V515">
        <v>15.8</v>
      </c>
    </row>
    <row r="516" spans="1:22" x14ac:dyDescent="0.25">
      <c r="A516" t="s">
        <v>1806</v>
      </c>
      <c r="B516" t="s">
        <v>546</v>
      </c>
      <c r="C516">
        <v>35</v>
      </c>
      <c r="D516" t="s">
        <v>78</v>
      </c>
      <c r="E516" t="s">
        <v>45</v>
      </c>
      <c r="F516" t="s">
        <v>38</v>
      </c>
      <c r="G516">
        <v>0.46</v>
      </c>
      <c r="H516" t="s">
        <v>66</v>
      </c>
      <c r="I516">
        <v>-8</v>
      </c>
      <c r="J516" t="str">
        <f>HYPERLINK("https://www.eliteprospects.com/player/876673/kent-greer")</f>
        <v>https://www.eliteprospects.com/player/876673/kent-greer</v>
      </c>
      <c r="K516" t="s">
        <v>27</v>
      </c>
      <c r="L516" t="s">
        <v>485</v>
      </c>
      <c r="M516" t="s">
        <v>1296</v>
      </c>
      <c r="N516">
        <v>2</v>
      </c>
      <c r="O516" t="s">
        <v>501</v>
      </c>
      <c r="P516">
        <v>7.0000000000000007E-2</v>
      </c>
      <c r="Q516" t="s">
        <v>1325</v>
      </c>
      <c r="R516">
        <v>30</v>
      </c>
      <c r="S516">
        <v>25</v>
      </c>
      <c r="T516">
        <v>32.5</v>
      </c>
      <c r="U516">
        <v>5</v>
      </c>
      <c r="V516">
        <v>7.5</v>
      </c>
    </row>
    <row r="517" spans="1:22" x14ac:dyDescent="0.25">
      <c r="A517" t="s">
        <v>1807</v>
      </c>
      <c r="B517" t="s">
        <v>507</v>
      </c>
      <c r="C517">
        <v>39</v>
      </c>
      <c r="D517" t="s">
        <v>78</v>
      </c>
      <c r="E517" t="s">
        <v>45</v>
      </c>
      <c r="F517" t="s">
        <v>38</v>
      </c>
      <c r="G517">
        <v>0.41</v>
      </c>
      <c r="H517" t="s">
        <v>40</v>
      </c>
      <c r="I517">
        <v>-11</v>
      </c>
      <c r="J517" t="str">
        <f>HYPERLINK("https://www.eliteprospects.com/player/710371/lucas-moore")</f>
        <v>https://www.eliteprospects.com/player/710371/lucas-moore</v>
      </c>
      <c r="K517" t="s">
        <v>27</v>
      </c>
      <c r="L517" t="s">
        <v>485</v>
      </c>
      <c r="M517" t="s">
        <v>1296</v>
      </c>
      <c r="N517">
        <v>5</v>
      </c>
      <c r="O517" t="s">
        <v>508</v>
      </c>
      <c r="P517">
        <v>0.06</v>
      </c>
      <c r="Q517" t="s">
        <v>1325</v>
      </c>
      <c r="R517">
        <v>26.3</v>
      </c>
      <c r="S517">
        <v>23.7</v>
      </c>
      <c r="T517">
        <v>28.9</v>
      </c>
      <c r="U517">
        <v>5.3</v>
      </c>
      <c r="V517">
        <v>15.8</v>
      </c>
    </row>
    <row r="518" spans="1:22" x14ac:dyDescent="0.25">
      <c r="A518" t="s">
        <v>1808</v>
      </c>
      <c r="B518" t="s">
        <v>484</v>
      </c>
      <c r="C518">
        <v>16</v>
      </c>
      <c r="D518" t="s">
        <v>66</v>
      </c>
      <c r="E518" t="s">
        <v>23</v>
      </c>
      <c r="F518" t="s">
        <v>38</v>
      </c>
      <c r="G518">
        <v>1</v>
      </c>
      <c r="H518" t="s">
        <v>26</v>
      </c>
      <c r="I518">
        <v>10</v>
      </c>
      <c r="J518" t="str">
        <f>HYPERLINK("https://www.eliteprospects.com/player/790097/darels-uljanskis")</f>
        <v>https://www.eliteprospects.com/player/790097/darels-uljanskis</v>
      </c>
      <c r="K518" t="s">
        <v>27</v>
      </c>
      <c r="L518" t="s">
        <v>485</v>
      </c>
      <c r="M518" t="s">
        <v>1296</v>
      </c>
      <c r="N518">
        <v>1</v>
      </c>
      <c r="O518" t="s">
        <v>494</v>
      </c>
      <c r="P518">
        <v>0.14000000000000001</v>
      </c>
      <c r="Q518" t="s">
        <v>1300</v>
      </c>
      <c r="R518">
        <v>30.8</v>
      </c>
      <c r="S518">
        <v>20.5</v>
      </c>
      <c r="T518">
        <v>10.3</v>
      </c>
      <c r="U518">
        <v>10.3</v>
      </c>
      <c r="V518">
        <v>28.2</v>
      </c>
    </row>
    <row r="519" spans="1:22" x14ac:dyDescent="0.25">
      <c r="A519" t="s">
        <v>1809</v>
      </c>
      <c r="B519" t="s">
        <v>507</v>
      </c>
      <c r="C519">
        <v>23</v>
      </c>
      <c r="D519" t="s">
        <v>79</v>
      </c>
      <c r="E519" t="s">
        <v>39</v>
      </c>
      <c r="F519" t="s">
        <v>38</v>
      </c>
      <c r="G519">
        <v>0.7</v>
      </c>
      <c r="H519" t="s">
        <v>45</v>
      </c>
      <c r="I519">
        <v>-2</v>
      </c>
      <c r="J519" t="str">
        <f>HYPERLINK("https://www.eliteprospects.com/player/880423/ben-danford")</f>
        <v>https://www.eliteprospects.com/player/880423/ben-danford</v>
      </c>
      <c r="K519" t="s">
        <v>27</v>
      </c>
      <c r="L519" t="s">
        <v>485</v>
      </c>
      <c r="M519" t="s">
        <v>1296</v>
      </c>
      <c r="N519">
        <v>4</v>
      </c>
      <c r="O519" t="s">
        <v>486</v>
      </c>
      <c r="P519">
        <v>0.1</v>
      </c>
      <c r="Q519" t="s">
        <v>1325</v>
      </c>
      <c r="R519">
        <v>27.3</v>
      </c>
      <c r="S519">
        <v>22.7</v>
      </c>
      <c r="T519">
        <v>27.3</v>
      </c>
      <c r="U519">
        <v>4.5</v>
      </c>
      <c r="V519">
        <v>18.2</v>
      </c>
    </row>
    <row r="520" spans="1:22" x14ac:dyDescent="0.25">
      <c r="A520" t="s">
        <v>1810</v>
      </c>
      <c r="B520" t="s">
        <v>488</v>
      </c>
      <c r="C520">
        <v>35</v>
      </c>
      <c r="D520" t="s">
        <v>260</v>
      </c>
      <c r="E520" t="s">
        <v>41</v>
      </c>
      <c r="F520" t="s">
        <v>38</v>
      </c>
      <c r="G520">
        <v>0.46</v>
      </c>
      <c r="H520" t="s">
        <v>41</v>
      </c>
      <c r="I520">
        <v>-24</v>
      </c>
      <c r="J520" t="str">
        <f>HYPERLINK("https://www.eliteprospects.com/player/911642/luca-blonda")</f>
        <v>https://www.eliteprospects.com/player/911642/luca-blonda</v>
      </c>
      <c r="K520" t="s">
        <v>27</v>
      </c>
      <c r="L520" t="s">
        <v>485</v>
      </c>
      <c r="M520" t="s">
        <v>1296</v>
      </c>
      <c r="N520">
        <v>2</v>
      </c>
      <c r="O520" t="s">
        <v>501</v>
      </c>
      <c r="P520">
        <v>7.0000000000000007E-2</v>
      </c>
      <c r="Q520" t="s">
        <v>1325</v>
      </c>
      <c r="R520">
        <v>30</v>
      </c>
      <c r="S520">
        <v>25</v>
      </c>
      <c r="T520">
        <v>32.5</v>
      </c>
      <c r="U520">
        <v>5</v>
      </c>
      <c r="V520">
        <v>7.5</v>
      </c>
    </row>
    <row r="521" spans="1:22" x14ac:dyDescent="0.25">
      <c r="A521" t="s">
        <v>1811</v>
      </c>
      <c r="B521" t="s">
        <v>536</v>
      </c>
      <c r="C521">
        <v>40</v>
      </c>
      <c r="D521" t="s">
        <v>57</v>
      </c>
      <c r="E521" t="s">
        <v>45</v>
      </c>
      <c r="F521" t="s">
        <v>41</v>
      </c>
      <c r="G521">
        <v>0.38</v>
      </c>
      <c r="H521" t="s">
        <v>23</v>
      </c>
      <c r="I521">
        <v>-3</v>
      </c>
      <c r="J521" t="str">
        <f>HYPERLINK("https://www.eliteprospects.com/player/577010/cameron-aucoin")</f>
        <v>https://www.eliteprospects.com/player/577010/cameron-aucoin</v>
      </c>
      <c r="K521" t="s">
        <v>27</v>
      </c>
      <c r="L521" t="s">
        <v>485</v>
      </c>
      <c r="M521" t="s">
        <v>1296</v>
      </c>
      <c r="N521">
        <v>1</v>
      </c>
      <c r="O521" t="s">
        <v>494</v>
      </c>
      <c r="P521">
        <v>0.05</v>
      </c>
      <c r="Q521" t="s">
        <v>1325</v>
      </c>
      <c r="R521">
        <v>26.3</v>
      </c>
      <c r="S521">
        <v>23.7</v>
      </c>
      <c r="T521">
        <v>28.9</v>
      </c>
      <c r="U521">
        <v>5.3</v>
      </c>
      <c r="V521">
        <v>15.8</v>
      </c>
    </row>
    <row r="522" spans="1:22" x14ac:dyDescent="0.25">
      <c r="A522" t="s">
        <v>1812</v>
      </c>
      <c r="B522" t="s">
        <v>526</v>
      </c>
      <c r="C522">
        <v>36</v>
      </c>
      <c r="D522" t="s">
        <v>96</v>
      </c>
      <c r="E522" t="s">
        <v>32</v>
      </c>
      <c r="F522" t="s">
        <v>41</v>
      </c>
      <c r="G522">
        <v>0.42</v>
      </c>
      <c r="H522" t="s">
        <v>300</v>
      </c>
      <c r="I522">
        <v>6</v>
      </c>
      <c r="J522" t="str">
        <f>HYPERLINK("https://www.eliteprospects.com/player/747988/carson-cameron")</f>
        <v>https://www.eliteprospects.com/player/747988/carson-cameron</v>
      </c>
      <c r="K522" t="s">
        <v>27</v>
      </c>
      <c r="L522" t="s">
        <v>485</v>
      </c>
      <c r="M522" t="s">
        <v>1296</v>
      </c>
      <c r="N522">
        <v>3</v>
      </c>
      <c r="O522" t="s">
        <v>492</v>
      </c>
      <c r="P522">
        <v>0.06</v>
      </c>
      <c r="Q522" t="s">
        <v>1325</v>
      </c>
      <c r="R522">
        <v>26.3</v>
      </c>
      <c r="S522">
        <v>23.7</v>
      </c>
      <c r="T522">
        <v>28.9</v>
      </c>
      <c r="U522">
        <v>5.3</v>
      </c>
      <c r="V522">
        <v>15.8</v>
      </c>
    </row>
    <row r="523" spans="1:22" x14ac:dyDescent="0.25">
      <c r="A523" t="s">
        <v>1813</v>
      </c>
      <c r="B523" t="s">
        <v>507</v>
      </c>
      <c r="C523">
        <v>30</v>
      </c>
      <c r="D523" t="s">
        <v>140</v>
      </c>
      <c r="E523" t="s">
        <v>23</v>
      </c>
      <c r="F523" t="s">
        <v>41</v>
      </c>
      <c r="G523">
        <v>0.5</v>
      </c>
      <c r="H523" t="s">
        <v>47</v>
      </c>
      <c r="I523">
        <v>-27</v>
      </c>
      <c r="J523" t="str">
        <f>HYPERLINK("https://www.eliteprospects.com/player/885160/haoxi-wang")</f>
        <v>https://www.eliteprospects.com/player/885160/haoxi-wang</v>
      </c>
      <c r="K523" t="s">
        <v>27</v>
      </c>
      <c r="L523" t="s">
        <v>485</v>
      </c>
      <c r="M523" t="s">
        <v>1296</v>
      </c>
      <c r="N523">
        <v>2</v>
      </c>
      <c r="O523" t="s">
        <v>501</v>
      </c>
      <c r="P523">
        <v>7.0000000000000007E-2</v>
      </c>
      <c r="Q523" t="s">
        <v>1325</v>
      </c>
      <c r="R523">
        <v>30</v>
      </c>
      <c r="S523">
        <v>25</v>
      </c>
      <c r="T523">
        <v>32.5</v>
      </c>
      <c r="U523">
        <v>5</v>
      </c>
      <c r="V523">
        <v>7.5</v>
      </c>
    </row>
    <row r="524" spans="1:22" x14ac:dyDescent="0.25">
      <c r="A524" t="s">
        <v>1814</v>
      </c>
      <c r="B524" t="s">
        <v>496</v>
      </c>
      <c r="C524">
        <v>41</v>
      </c>
      <c r="D524" t="s">
        <v>79</v>
      </c>
      <c r="E524" t="s">
        <v>65</v>
      </c>
      <c r="F524" t="s">
        <v>41</v>
      </c>
      <c r="G524">
        <v>0.37</v>
      </c>
      <c r="H524" t="s">
        <v>23</v>
      </c>
      <c r="I524">
        <v>0</v>
      </c>
      <c r="J524" t="str">
        <f>HYPERLINK("https://www.eliteprospects.com/player/752680/graydon-jones")</f>
        <v>https://www.eliteprospects.com/player/752680/graydon-jones</v>
      </c>
      <c r="K524" t="s">
        <v>27</v>
      </c>
      <c r="L524" t="s">
        <v>485</v>
      </c>
      <c r="M524" t="s">
        <v>1296</v>
      </c>
      <c r="N524">
        <v>2</v>
      </c>
      <c r="O524" t="s">
        <v>501</v>
      </c>
      <c r="P524">
        <v>0.05</v>
      </c>
      <c r="Q524" t="s">
        <v>1325</v>
      </c>
      <c r="R524">
        <v>26.3</v>
      </c>
      <c r="S524">
        <v>23.7</v>
      </c>
      <c r="T524">
        <v>28.9</v>
      </c>
      <c r="U524">
        <v>5.3</v>
      </c>
      <c r="V524">
        <v>15.8</v>
      </c>
    </row>
    <row r="525" spans="1:22" x14ac:dyDescent="0.25">
      <c r="A525" t="s">
        <v>1815</v>
      </c>
      <c r="B525" t="s">
        <v>507</v>
      </c>
      <c r="C525">
        <v>37</v>
      </c>
      <c r="D525" t="s">
        <v>132</v>
      </c>
      <c r="E525" t="s">
        <v>41</v>
      </c>
      <c r="F525" t="s">
        <v>41</v>
      </c>
      <c r="G525">
        <v>0.41</v>
      </c>
      <c r="H525" t="s">
        <v>491</v>
      </c>
      <c r="I525">
        <v>6</v>
      </c>
      <c r="J525" t="str">
        <f>HYPERLINK("https://www.eliteprospects.com/player/723430/zach-sandhu")</f>
        <v>https://www.eliteprospects.com/player/723430/zach-sandhu</v>
      </c>
      <c r="K525" t="s">
        <v>27</v>
      </c>
      <c r="L525" t="s">
        <v>485</v>
      </c>
      <c r="M525" t="s">
        <v>1296</v>
      </c>
      <c r="N525">
        <v>5</v>
      </c>
      <c r="O525" t="s">
        <v>508</v>
      </c>
      <c r="P525">
        <v>0.06</v>
      </c>
      <c r="Q525" t="s">
        <v>1325</v>
      </c>
      <c r="R525">
        <v>26.3</v>
      </c>
      <c r="S525">
        <v>23.7</v>
      </c>
      <c r="T525">
        <v>28.9</v>
      </c>
      <c r="U525">
        <v>5.3</v>
      </c>
      <c r="V525">
        <v>15.8</v>
      </c>
    </row>
    <row r="526" spans="1:22" x14ac:dyDescent="0.25">
      <c r="A526" t="s">
        <v>1816</v>
      </c>
      <c r="B526" t="s">
        <v>526</v>
      </c>
      <c r="C526">
        <v>37</v>
      </c>
      <c r="D526" t="s">
        <v>140</v>
      </c>
      <c r="E526" t="s">
        <v>69</v>
      </c>
      <c r="F526" t="s">
        <v>39</v>
      </c>
      <c r="G526">
        <v>0.38</v>
      </c>
      <c r="H526" t="s">
        <v>32</v>
      </c>
      <c r="I526">
        <v>1</v>
      </c>
      <c r="J526" t="str">
        <f>HYPERLINK("https://www.eliteprospects.com/player/966272/matthew-perreault")</f>
        <v>https://www.eliteprospects.com/player/966272/matthew-perreault</v>
      </c>
      <c r="K526" t="s">
        <v>27</v>
      </c>
      <c r="L526" t="s">
        <v>485</v>
      </c>
      <c r="M526" t="s">
        <v>1296</v>
      </c>
      <c r="N526">
        <v>1</v>
      </c>
      <c r="O526" t="s">
        <v>494</v>
      </c>
      <c r="P526">
        <v>0.05</v>
      </c>
      <c r="Q526" t="s">
        <v>1325</v>
      </c>
      <c r="R526">
        <v>26.3</v>
      </c>
      <c r="S526">
        <v>23.7</v>
      </c>
      <c r="T526">
        <v>28.9</v>
      </c>
      <c r="U526">
        <v>5.3</v>
      </c>
      <c r="V526">
        <v>15.8</v>
      </c>
    </row>
    <row r="527" spans="1:22" x14ac:dyDescent="0.25">
      <c r="A527" t="s">
        <v>1817</v>
      </c>
      <c r="B527" t="s">
        <v>498</v>
      </c>
      <c r="C527">
        <v>40</v>
      </c>
      <c r="D527" t="s">
        <v>96</v>
      </c>
      <c r="E527" t="s">
        <v>26</v>
      </c>
      <c r="F527" t="s">
        <v>65</v>
      </c>
      <c r="G527">
        <v>0.33</v>
      </c>
      <c r="H527" t="s">
        <v>24</v>
      </c>
      <c r="I527">
        <v>-1</v>
      </c>
      <c r="J527" t="str">
        <f>HYPERLINK("https://www.eliteprospects.com/player/880424/braedyn-rogers")</f>
        <v>https://www.eliteprospects.com/player/880424/braedyn-rogers</v>
      </c>
      <c r="K527" t="s">
        <v>27</v>
      </c>
      <c r="L527" t="s">
        <v>485</v>
      </c>
      <c r="M527" t="s">
        <v>1296</v>
      </c>
      <c r="N527">
        <v>4</v>
      </c>
      <c r="O527" t="s">
        <v>486</v>
      </c>
      <c r="P527">
        <v>0.05</v>
      </c>
      <c r="Q527" t="s">
        <v>1325</v>
      </c>
      <c r="R527">
        <v>26.3</v>
      </c>
      <c r="S527">
        <v>23.7</v>
      </c>
      <c r="T527">
        <v>28.9</v>
      </c>
      <c r="U527">
        <v>5.3</v>
      </c>
      <c r="V527">
        <v>15.8</v>
      </c>
    </row>
    <row r="528" spans="1:22" x14ac:dyDescent="0.25">
      <c r="A528" t="s">
        <v>1818</v>
      </c>
      <c r="B528" t="s">
        <v>521</v>
      </c>
      <c r="C528">
        <v>34</v>
      </c>
      <c r="D528" t="s">
        <v>140</v>
      </c>
      <c r="E528" t="s">
        <v>32</v>
      </c>
      <c r="F528" t="s">
        <v>65</v>
      </c>
      <c r="G528">
        <v>0.38</v>
      </c>
      <c r="H528" t="s">
        <v>32</v>
      </c>
      <c r="I528">
        <v>7</v>
      </c>
      <c r="J528" t="str">
        <f>HYPERLINK("https://www.eliteprospects.com/player/577187/ryan-white")</f>
        <v>https://www.eliteprospects.com/player/577187/ryan-white</v>
      </c>
      <c r="K528" t="s">
        <v>27</v>
      </c>
      <c r="L528" t="s">
        <v>485</v>
      </c>
      <c r="M528" t="s">
        <v>1296</v>
      </c>
      <c r="N528">
        <v>2</v>
      </c>
      <c r="O528" t="s">
        <v>501</v>
      </c>
      <c r="P528">
        <v>0.05</v>
      </c>
      <c r="Q528" t="s">
        <v>1325</v>
      </c>
      <c r="R528">
        <v>26.3</v>
      </c>
      <c r="S528">
        <v>23.7</v>
      </c>
      <c r="T528">
        <v>28.9</v>
      </c>
      <c r="U528">
        <v>5.3</v>
      </c>
      <c r="V528">
        <v>15.8</v>
      </c>
    </row>
    <row r="529" spans="1:22" x14ac:dyDescent="0.25">
      <c r="A529" t="s">
        <v>1819</v>
      </c>
      <c r="B529" t="s">
        <v>532</v>
      </c>
      <c r="C529">
        <v>39</v>
      </c>
      <c r="D529" t="s">
        <v>140</v>
      </c>
      <c r="E529" t="s">
        <v>32</v>
      </c>
      <c r="F529" t="s">
        <v>65</v>
      </c>
      <c r="G529">
        <v>0.33</v>
      </c>
      <c r="H529" t="s">
        <v>84</v>
      </c>
      <c r="I529">
        <v>2</v>
      </c>
      <c r="J529" t="str">
        <f>HYPERLINK("https://www.eliteprospects.com/player/866570/linus-funck")</f>
        <v>https://www.eliteprospects.com/player/866570/linus-funck</v>
      </c>
      <c r="K529" t="s">
        <v>27</v>
      </c>
      <c r="L529" t="s">
        <v>485</v>
      </c>
      <c r="M529" t="s">
        <v>1296</v>
      </c>
      <c r="N529">
        <v>1</v>
      </c>
      <c r="O529" t="s">
        <v>494</v>
      </c>
      <c r="P529">
        <v>0.05</v>
      </c>
      <c r="Q529" t="s">
        <v>1325</v>
      </c>
      <c r="R529">
        <v>26.3</v>
      </c>
      <c r="S529">
        <v>23.7</v>
      </c>
      <c r="T529">
        <v>28.9</v>
      </c>
      <c r="U529">
        <v>5.3</v>
      </c>
      <c r="V529">
        <v>15.8</v>
      </c>
    </row>
    <row r="530" spans="1:22" x14ac:dyDescent="0.25">
      <c r="A530" t="s">
        <v>1820</v>
      </c>
      <c r="B530" t="s">
        <v>527</v>
      </c>
      <c r="C530">
        <v>34</v>
      </c>
      <c r="D530" t="s">
        <v>79</v>
      </c>
      <c r="E530" t="s">
        <v>69</v>
      </c>
      <c r="F530" t="s">
        <v>65</v>
      </c>
      <c r="G530">
        <v>0.38</v>
      </c>
      <c r="H530" t="s">
        <v>589</v>
      </c>
      <c r="I530">
        <v>2</v>
      </c>
      <c r="J530" t="str">
        <f>HYPERLINK("https://www.eliteprospects.com/player/888277/grant-spada")</f>
        <v>https://www.eliteprospects.com/player/888277/grant-spada</v>
      </c>
      <c r="K530" t="s">
        <v>27</v>
      </c>
      <c r="L530" t="s">
        <v>485</v>
      </c>
      <c r="M530" t="s">
        <v>1296</v>
      </c>
      <c r="N530">
        <v>3</v>
      </c>
      <c r="O530" t="s">
        <v>492</v>
      </c>
      <c r="P530">
        <v>0.05</v>
      </c>
      <c r="Q530" t="s">
        <v>1325</v>
      </c>
      <c r="R530">
        <v>26.3</v>
      </c>
      <c r="S530">
        <v>23.7</v>
      </c>
      <c r="T530">
        <v>28.9</v>
      </c>
      <c r="U530">
        <v>5.3</v>
      </c>
      <c r="V530">
        <v>15.8</v>
      </c>
    </row>
    <row r="531" spans="1:22" x14ac:dyDescent="0.25">
      <c r="A531" t="s">
        <v>1821</v>
      </c>
      <c r="B531" t="s">
        <v>546</v>
      </c>
      <c r="C531">
        <v>37</v>
      </c>
      <c r="D531" t="s">
        <v>79</v>
      </c>
      <c r="E531" t="s">
        <v>69</v>
      </c>
      <c r="F531" t="s">
        <v>65</v>
      </c>
      <c r="G531">
        <v>0.35</v>
      </c>
      <c r="H531" t="s">
        <v>23</v>
      </c>
      <c r="I531">
        <v>2</v>
      </c>
      <c r="J531" t="str">
        <f>HYPERLINK("https://www.eliteprospects.com/player/897606/jonathan-kapageridis")</f>
        <v>https://www.eliteprospects.com/player/897606/jonathan-kapageridis</v>
      </c>
      <c r="K531" t="s">
        <v>27</v>
      </c>
      <c r="L531" t="s">
        <v>485</v>
      </c>
      <c r="M531" t="s">
        <v>1296</v>
      </c>
      <c r="N531">
        <v>2</v>
      </c>
      <c r="O531" t="s">
        <v>501</v>
      </c>
      <c r="P531">
        <v>0.05</v>
      </c>
      <c r="Q531" t="s">
        <v>1325</v>
      </c>
      <c r="R531">
        <v>26.3</v>
      </c>
      <c r="S531">
        <v>23.7</v>
      </c>
      <c r="T531">
        <v>28.9</v>
      </c>
      <c r="U531">
        <v>5.3</v>
      </c>
      <c r="V531">
        <v>15.8</v>
      </c>
    </row>
    <row r="532" spans="1:22" x14ac:dyDescent="0.25">
      <c r="A532" t="s">
        <v>1822</v>
      </c>
      <c r="B532" t="s">
        <v>484</v>
      </c>
      <c r="C532">
        <v>39</v>
      </c>
      <c r="D532" t="s">
        <v>79</v>
      </c>
      <c r="E532" t="s">
        <v>69</v>
      </c>
      <c r="F532" t="s">
        <v>65</v>
      </c>
      <c r="G532">
        <v>0.33</v>
      </c>
      <c r="H532" t="s">
        <v>75</v>
      </c>
      <c r="I532">
        <v>24</v>
      </c>
      <c r="J532" t="str">
        <f>HYPERLINK("https://www.eliteprospects.com/player/897540/luka-graziano")</f>
        <v>https://www.eliteprospects.com/player/897540/luka-graziano</v>
      </c>
      <c r="K532" t="s">
        <v>27</v>
      </c>
      <c r="L532" t="s">
        <v>485</v>
      </c>
      <c r="M532" t="s">
        <v>1296</v>
      </c>
      <c r="N532">
        <v>1</v>
      </c>
      <c r="O532" t="s">
        <v>494</v>
      </c>
      <c r="P532">
        <v>0.05</v>
      </c>
      <c r="Q532" t="s">
        <v>1325</v>
      </c>
      <c r="R532">
        <v>26.3</v>
      </c>
      <c r="S532">
        <v>23.7</v>
      </c>
      <c r="T532">
        <v>28.9</v>
      </c>
      <c r="U532">
        <v>5.3</v>
      </c>
      <c r="V532">
        <v>15.8</v>
      </c>
    </row>
    <row r="533" spans="1:22" x14ac:dyDescent="0.25">
      <c r="A533" t="s">
        <v>1823</v>
      </c>
      <c r="B533" t="s">
        <v>536</v>
      </c>
      <c r="C533">
        <v>39</v>
      </c>
      <c r="D533" t="s">
        <v>140</v>
      </c>
      <c r="E533" t="s">
        <v>45</v>
      </c>
      <c r="F533" t="s">
        <v>23</v>
      </c>
      <c r="G533">
        <v>0.31</v>
      </c>
      <c r="H533" t="s">
        <v>489</v>
      </c>
      <c r="I533">
        <v>-6</v>
      </c>
      <c r="J533" t="str">
        <f>HYPERLINK("https://www.eliteprospects.com/player/800060/jacob-reese")</f>
        <v>https://www.eliteprospects.com/player/800060/jacob-reese</v>
      </c>
      <c r="K533" t="s">
        <v>27</v>
      </c>
      <c r="L533" t="s">
        <v>485</v>
      </c>
      <c r="M533" t="s">
        <v>1296</v>
      </c>
      <c r="N533">
        <v>1</v>
      </c>
      <c r="O533" t="s">
        <v>494</v>
      </c>
      <c r="P533">
        <v>0.04</v>
      </c>
      <c r="Q533" t="s">
        <v>245</v>
      </c>
      <c r="R533">
        <v>28.6</v>
      </c>
      <c r="S533">
        <v>31.4</v>
      </c>
      <c r="T533">
        <v>28.6</v>
      </c>
      <c r="U533">
        <v>4.3</v>
      </c>
      <c r="V533">
        <v>7.1</v>
      </c>
    </row>
    <row r="534" spans="1:22" x14ac:dyDescent="0.25">
      <c r="A534" t="s">
        <v>1824</v>
      </c>
      <c r="B534" t="s">
        <v>578</v>
      </c>
      <c r="C534">
        <v>41</v>
      </c>
      <c r="D534" t="s">
        <v>140</v>
      </c>
      <c r="E534" t="s">
        <v>45</v>
      </c>
      <c r="F534" t="s">
        <v>23</v>
      </c>
      <c r="G534">
        <v>0.28999999999999998</v>
      </c>
      <c r="H534" t="s">
        <v>39</v>
      </c>
      <c r="I534">
        <v>-17</v>
      </c>
      <c r="J534" t="str">
        <f>HYPERLINK("https://www.eliteprospects.com/player/597857/tristen-trevino")</f>
        <v>https://www.eliteprospects.com/player/597857/tristen-trevino</v>
      </c>
      <c r="K534" t="s">
        <v>27</v>
      </c>
      <c r="L534" t="s">
        <v>485</v>
      </c>
      <c r="M534" t="s">
        <v>1296</v>
      </c>
      <c r="N534">
        <v>1</v>
      </c>
      <c r="O534" t="s">
        <v>494</v>
      </c>
      <c r="P534">
        <v>0.04</v>
      </c>
      <c r="Q534" t="s">
        <v>245</v>
      </c>
      <c r="R534">
        <v>28.6</v>
      </c>
      <c r="S534">
        <v>31.4</v>
      </c>
      <c r="T534">
        <v>28.6</v>
      </c>
      <c r="U534">
        <v>4.3</v>
      </c>
      <c r="V534">
        <v>7.1</v>
      </c>
    </row>
    <row r="535" spans="1:22" x14ac:dyDescent="0.25">
      <c r="A535" t="s">
        <v>1825</v>
      </c>
      <c r="B535" t="s">
        <v>532</v>
      </c>
      <c r="C535">
        <v>31</v>
      </c>
      <c r="D535" t="s">
        <v>79</v>
      </c>
      <c r="E535" t="s">
        <v>32</v>
      </c>
      <c r="F535" t="s">
        <v>23</v>
      </c>
      <c r="G535">
        <v>0.39</v>
      </c>
      <c r="H535" t="s">
        <v>24</v>
      </c>
      <c r="I535">
        <v>12</v>
      </c>
      <c r="J535" t="str">
        <f>HYPERLINK("https://www.eliteprospects.com/player/628140/caleb-mitchell")</f>
        <v>https://www.eliteprospects.com/player/628140/caleb-mitchell</v>
      </c>
      <c r="K535" t="s">
        <v>27</v>
      </c>
      <c r="L535" t="s">
        <v>485</v>
      </c>
      <c r="M535" t="s">
        <v>1296</v>
      </c>
      <c r="N535">
        <v>2</v>
      </c>
      <c r="O535" t="s">
        <v>501</v>
      </c>
      <c r="P535">
        <v>0.06</v>
      </c>
      <c r="Q535" t="s">
        <v>1325</v>
      </c>
      <c r="R535">
        <v>26.3</v>
      </c>
      <c r="S535">
        <v>23.7</v>
      </c>
      <c r="T535">
        <v>28.9</v>
      </c>
      <c r="U535">
        <v>5.3</v>
      </c>
      <c r="V535">
        <v>15.8</v>
      </c>
    </row>
    <row r="536" spans="1:22" x14ac:dyDescent="0.25">
      <c r="A536" t="s">
        <v>1826</v>
      </c>
      <c r="B536" t="s">
        <v>498</v>
      </c>
      <c r="C536">
        <v>38</v>
      </c>
      <c r="D536" t="s">
        <v>79</v>
      </c>
      <c r="E536" t="s">
        <v>32</v>
      </c>
      <c r="F536" t="s">
        <v>23</v>
      </c>
      <c r="G536">
        <v>0.32</v>
      </c>
      <c r="H536" t="s">
        <v>544</v>
      </c>
      <c r="I536">
        <v>5</v>
      </c>
      <c r="J536" t="str">
        <f>HYPERLINK("https://www.eliteprospects.com/player/897523/elliot-arnett")</f>
        <v>https://www.eliteprospects.com/player/897523/elliot-arnett</v>
      </c>
      <c r="K536" t="s">
        <v>27</v>
      </c>
      <c r="L536" t="s">
        <v>485</v>
      </c>
      <c r="M536" t="s">
        <v>1296</v>
      </c>
      <c r="N536">
        <v>2</v>
      </c>
      <c r="O536" t="s">
        <v>501</v>
      </c>
      <c r="P536">
        <v>0.05</v>
      </c>
      <c r="Q536" t="s">
        <v>1325</v>
      </c>
      <c r="R536">
        <v>26.3</v>
      </c>
      <c r="S536">
        <v>23.7</v>
      </c>
      <c r="T536">
        <v>28.9</v>
      </c>
      <c r="U536">
        <v>5.3</v>
      </c>
      <c r="V536">
        <v>15.8</v>
      </c>
    </row>
    <row r="537" spans="1:22" x14ac:dyDescent="0.25">
      <c r="A537" t="s">
        <v>1827</v>
      </c>
      <c r="B537" t="s">
        <v>507</v>
      </c>
      <c r="C537">
        <v>40</v>
      </c>
      <c r="D537" t="s">
        <v>79</v>
      </c>
      <c r="E537" t="s">
        <v>32</v>
      </c>
      <c r="F537" t="s">
        <v>23</v>
      </c>
      <c r="G537">
        <v>0.3</v>
      </c>
      <c r="H537" t="s">
        <v>739</v>
      </c>
      <c r="I537">
        <v>-4</v>
      </c>
      <c r="J537" t="str">
        <f>HYPERLINK("https://www.eliteprospects.com/player/679516/garrett-frazer")</f>
        <v>https://www.eliteprospects.com/player/679516/garrett-frazer</v>
      </c>
      <c r="K537" t="s">
        <v>27</v>
      </c>
      <c r="L537" t="s">
        <v>485</v>
      </c>
      <c r="M537" t="s">
        <v>1296</v>
      </c>
      <c r="N537">
        <v>2</v>
      </c>
      <c r="O537" t="s">
        <v>501</v>
      </c>
      <c r="P537">
        <v>0.04</v>
      </c>
      <c r="Q537" t="s">
        <v>245</v>
      </c>
      <c r="R537">
        <v>28.6</v>
      </c>
      <c r="S537">
        <v>31.4</v>
      </c>
      <c r="T537">
        <v>28.6</v>
      </c>
      <c r="U537">
        <v>4.3</v>
      </c>
      <c r="V537">
        <v>7.1</v>
      </c>
    </row>
    <row r="538" spans="1:22" x14ac:dyDescent="0.25">
      <c r="A538" t="s">
        <v>1828</v>
      </c>
      <c r="B538" t="s">
        <v>521</v>
      </c>
      <c r="C538">
        <v>39</v>
      </c>
      <c r="D538" t="s">
        <v>260</v>
      </c>
      <c r="E538" t="s">
        <v>69</v>
      </c>
      <c r="F538" t="s">
        <v>23</v>
      </c>
      <c r="G538">
        <v>0.31</v>
      </c>
      <c r="H538" t="s">
        <v>280</v>
      </c>
      <c r="I538">
        <v>16</v>
      </c>
      <c r="J538" t="str">
        <f>HYPERLINK("https://www.eliteprospects.com/player/888273/kaleb-dietsch")</f>
        <v>https://www.eliteprospects.com/player/888273/kaleb-dietsch</v>
      </c>
      <c r="K538" t="s">
        <v>27</v>
      </c>
      <c r="L538" t="s">
        <v>485</v>
      </c>
      <c r="M538" t="s">
        <v>1296</v>
      </c>
      <c r="N538">
        <v>3</v>
      </c>
      <c r="O538" t="s">
        <v>492</v>
      </c>
      <c r="P538">
        <v>0.04</v>
      </c>
      <c r="Q538" t="s">
        <v>245</v>
      </c>
      <c r="R538">
        <v>28.6</v>
      </c>
      <c r="S538">
        <v>31.4</v>
      </c>
      <c r="T538">
        <v>28.6</v>
      </c>
      <c r="U538">
        <v>4.3</v>
      </c>
      <c r="V538">
        <v>7.1</v>
      </c>
    </row>
    <row r="539" spans="1:22" x14ac:dyDescent="0.25">
      <c r="A539" t="s">
        <v>1829</v>
      </c>
      <c r="B539" t="s">
        <v>527</v>
      </c>
      <c r="C539">
        <v>17</v>
      </c>
      <c r="D539" t="s">
        <v>66</v>
      </c>
      <c r="E539" t="s">
        <v>78</v>
      </c>
      <c r="F539" t="s">
        <v>69</v>
      </c>
      <c r="G539">
        <v>0.65</v>
      </c>
      <c r="H539" t="s">
        <v>33</v>
      </c>
      <c r="I539">
        <v>3</v>
      </c>
      <c r="J539" t="str">
        <f>HYPERLINK("https://www.eliteprospects.com/player/881136/noah-jenken")</f>
        <v>https://www.eliteprospects.com/player/881136/noah-jenken</v>
      </c>
      <c r="K539" t="s">
        <v>27</v>
      </c>
      <c r="L539" t="s">
        <v>485</v>
      </c>
      <c r="M539" t="s">
        <v>1296</v>
      </c>
      <c r="N539">
        <v>3</v>
      </c>
      <c r="O539" t="s">
        <v>492</v>
      </c>
      <c r="P539">
        <v>0.09</v>
      </c>
      <c r="Q539" t="s">
        <v>1325</v>
      </c>
      <c r="R539">
        <v>27.3</v>
      </c>
      <c r="S539">
        <v>22.7</v>
      </c>
      <c r="T539">
        <v>27.3</v>
      </c>
      <c r="U539">
        <v>4.5</v>
      </c>
      <c r="V539">
        <v>18.2</v>
      </c>
    </row>
    <row r="540" spans="1:22" x14ac:dyDescent="0.25">
      <c r="A540" t="s">
        <v>1830</v>
      </c>
      <c r="B540" t="s">
        <v>561</v>
      </c>
      <c r="C540">
        <v>40</v>
      </c>
      <c r="D540" t="s">
        <v>66</v>
      </c>
      <c r="E540" t="s">
        <v>78</v>
      </c>
      <c r="F540" t="s">
        <v>69</v>
      </c>
      <c r="G540">
        <v>0.28000000000000003</v>
      </c>
      <c r="H540" t="s">
        <v>125</v>
      </c>
      <c r="I540">
        <v>14</v>
      </c>
      <c r="J540" t="str">
        <f>HYPERLINK("https://www.eliteprospects.com/player/890383/andre-mondoux")</f>
        <v>https://www.eliteprospects.com/player/890383/andre-mondoux</v>
      </c>
      <c r="K540" t="s">
        <v>27</v>
      </c>
      <c r="L540" t="s">
        <v>485</v>
      </c>
      <c r="M540" t="s">
        <v>1296</v>
      </c>
      <c r="N540">
        <v>2</v>
      </c>
      <c r="O540" t="s">
        <v>501</v>
      </c>
      <c r="P540">
        <v>0.04</v>
      </c>
      <c r="Q540" t="s">
        <v>245</v>
      </c>
      <c r="R540">
        <v>28.6</v>
      </c>
      <c r="S540">
        <v>31.4</v>
      </c>
      <c r="T540">
        <v>28.6</v>
      </c>
      <c r="U540">
        <v>4.3</v>
      </c>
      <c r="V540">
        <v>7.1</v>
      </c>
    </row>
    <row r="541" spans="1:22" x14ac:dyDescent="0.25">
      <c r="A541" t="s">
        <v>1831</v>
      </c>
      <c r="B541" t="s">
        <v>536</v>
      </c>
      <c r="C541">
        <v>28</v>
      </c>
      <c r="D541" t="s">
        <v>260</v>
      </c>
      <c r="E541" t="s">
        <v>32</v>
      </c>
      <c r="F541" t="s">
        <v>69</v>
      </c>
      <c r="G541">
        <v>0.39</v>
      </c>
      <c r="H541" t="s">
        <v>65</v>
      </c>
      <c r="I541">
        <v>-11</v>
      </c>
      <c r="J541" t="str">
        <f>HYPERLINK("https://www.eliteprospects.com/player/888266/james-barr")</f>
        <v>https://www.eliteprospects.com/player/888266/james-barr</v>
      </c>
      <c r="K541" t="s">
        <v>27</v>
      </c>
      <c r="L541" t="s">
        <v>485</v>
      </c>
      <c r="M541" t="s">
        <v>1296</v>
      </c>
      <c r="N541">
        <v>3</v>
      </c>
      <c r="O541" t="s">
        <v>492</v>
      </c>
      <c r="P541">
        <v>0.06</v>
      </c>
      <c r="Q541" t="s">
        <v>1325</v>
      </c>
      <c r="R541">
        <v>26.3</v>
      </c>
      <c r="S541">
        <v>23.7</v>
      </c>
      <c r="T541">
        <v>28.9</v>
      </c>
      <c r="U541">
        <v>5.3</v>
      </c>
      <c r="V541">
        <v>15.8</v>
      </c>
    </row>
    <row r="542" spans="1:22" x14ac:dyDescent="0.25">
      <c r="A542" t="s">
        <v>1832</v>
      </c>
      <c r="B542" t="s">
        <v>521</v>
      </c>
      <c r="C542">
        <v>38</v>
      </c>
      <c r="D542" t="s">
        <v>260</v>
      </c>
      <c r="E542" t="s">
        <v>32</v>
      </c>
      <c r="F542" t="s">
        <v>69</v>
      </c>
      <c r="G542">
        <v>0.28999999999999998</v>
      </c>
      <c r="H542" t="s">
        <v>265</v>
      </c>
      <c r="I542">
        <v>17</v>
      </c>
      <c r="J542" t="str">
        <f>HYPERLINK("https://www.eliteprospects.com/player/784713/connor-bewick")</f>
        <v>https://www.eliteprospects.com/player/784713/connor-bewick</v>
      </c>
      <c r="K542" t="s">
        <v>27</v>
      </c>
      <c r="L542" t="s">
        <v>485</v>
      </c>
      <c r="M542" t="s">
        <v>1296</v>
      </c>
      <c r="N542">
        <v>1</v>
      </c>
      <c r="O542" t="s">
        <v>494</v>
      </c>
      <c r="P542">
        <v>0.04</v>
      </c>
      <c r="Q542" t="s">
        <v>245</v>
      </c>
      <c r="R542">
        <v>28.6</v>
      </c>
      <c r="S542">
        <v>31.4</v>
      </c>
      <c r="T542">
        <v>28.6</v>
      </c>
      <c r="U542">
        <v>4.3</v>
      </c>
      <c r="V542">
        <v>7.1</v>
      </c>
    </row>
    <row r="543" spans="1:22" x14ac:dyDescent="0.25">
      <c r="A543" t="s">
        <v>1833</v>
      </c>
      <c r="B543" t="s">
        <v>578</v>
      </c>
      <c r="C543">
        <v>39</v>
      </c>
      <c r="D543" t="s">
        <v>260</v>
      </c>
      <c r="E543" t="s">
        <v>32</v>
      </c>
      <c r="F543" t="s">
        <v>69</v>
      </c>
      <c r="G543">
        <v>0.28000000000000003</v>
      </c>
      <c r="H543" t="s">
        <v>265</v>
      </c>
      <c r="I543">
        <v>-24</v>
      </c>
      <c r="J543" t="str">
        <f>HYPERLINK("https://www.eliteprospects.com/player/897478/lucas-ambrosio")</f>
        <v>https://www.eliteprospects.com/player/897478/lucas-ambrosio</v>
      </c>
      <c r="K543" t="s">
        <v>27</v>
      </c>
      <c r="L543" t="s">
        <v>485</v>
      </c>
      <c r="M543" t="s">
        <v>1296</v>
      </c>
      <c r="N543">
        <v>2</v>
      </c>
      <c r="O543" t="s">
        <v>501</v>
      </c>
      <c r="P543">
        <v>0.04</v>
      </c>
      <c r="Q543" t="s">
        <v>245</v>
      </c>
      <c r="R543">
        <v>28.6</v>
      </c>
      <c r="S543">
        <v>31.4</v>
      </c>
      <c r="T543">
        <v>28.6</v>
      </c>
      <c r="U543">
        <v>4.3</v>
      </c>
      <c r="V543">
        <v>7.1</v>
      </c>
    </row>
    <row r="544" spans="1:22" x14ac:dyDescent="0.25">
      <c r="A544" t="s">
        <v>1834</v>
      </c>
      <c r="B544" t="s">
        <v>490</v>
      </c>
      <c r="C544">
        <v>35</v>
      </c>
      <c r="D544" t="s">
        <v>79</v>
      </c>
      <c r="E544" t="s">
        <v>26</v>
      </c>
      <c r="F544" t="s">
        <v>32</v>
      </c>
      <c r="G544">
        <v>0.28999999999999998</v>
      </c>
      <c r="H544" t="s">
        <v>235</v>
      </c>
      <c r="I544">
        <v>-3</v>
      </c>
      <c r="J544" t="str">
        <f>HYPERLINK("https://www.eliteprospects.com/player/603119/grayson-tiller")</f>
        <v>https://www.eliteprospects.com/player/603119/grayson-tiller</v>
      </c>
      <c r="K544" t="s">
        <v>27</v>
      </c>
      <c r="L544" t="s">
        <v>485</v>
      </c>
      <c r="M544" t="s">
        <v>1296</v>
      </c>
      <c r="N544">
        <v>5</v>
      </c>
      <c r="O544" t="s">
        <v>508</v>
      </c>
      <c r="P544">
        <v>0.04</v>
      </c>
      <c r="Q544" t="s">
        <v>245</v>
      </c>
      <c r="R544">
        <v>28.6</v>
      </c>
      <c r="S544">
        <v>31.4</v>
      </c>
      <c r="T544">
        <v>28.6</v>
      </c>
      <c r="U544">
        <v>4.3</v>
      </c>
      <c r="V544">
        <v>7.1</v>
      </c>
    </row>
    <row r="545" spans="1:22" x14ac:dyDescent="0.25">
      <c r="A545" t="s">
        <v>1835</v>
      </c>
      <c r="B545" t="s">
        <v>520</v>
      </c>
      <c r="C545">
        <v>36</v>
      </c>
      <c r="D545" t="s">
        <v>79</v>
      </c>
      <c r="E545" t="s">
        <v>26</v>
      </c>
      <c r="F545" t="s">
        <v>32</v>
      </c>
      <c r="G545">
        <v>0.28000000000000003</v>
      </c>
      <c r="H545" t="s">
        <v>23</v>
      </c>
      <c r="I545">
        <v>15</v>
      </c>
      <c r="J545" t="str">
        <f>HYPERLINK("https://www.eliteprospects.com/player/906007/andrew-robinson")</f>
        <v>https://www.eliteprospects.com/player/906007/andrew-robinson</v>
      </c>
      <c r="K545" t="s">
        <v>27</v>
      </c>
      <c r="L545" t="s">
        <v>485</v>
      </c>
      <c r="M545" t="s">
        <v>1296</v>
      </c>
      <c r="N545">
        <v>2</v>
      </c>
      <c r="O545" t="s">
        <v>501</v>
      </c>
      <c r="P545">
        <v>0.04</v>
      </c>
      <c r="Q545" t="s">
        <v>245</v>
      </c>
      <c r="R545">
        <v>28.6</v>
      </c>
      <c r="S545">
        <v>31.4</v>
      </c>
      <c r="T545">
        <v>28.6</v>
      </c>
      <c r="U545">
        <v>4.3</v>
      </c>
      <c r="V545">
        <v>7.1</v>
      </c>
    </row>
    <row r="546" spans="1:22" x14ac:dyDescent="0.25">
      <c r="A546" t="s">
        <v>1836</v>
      </c>
      <c r="B546" t="s">
        <v>520</v>
      </c>
      <c r="C546">
        <v>38</v>
      </c>
      <c r="D546" t="s">
        <v>79</v>
      </c>
      <c r="E546" t="s">
        <v>26</v>
      </c>
      <c r="F546" t="s">
        <v>32</v>
      </c>
      <c r="G546">
        <v>0.26</v>
      </c>
      <c r="H546" t="s">
        <v>111</v>
      </c>
      <c r="I546">
        <v>8</v>
      </c>
      <c r="J546" t="str">
        <f>HYPERLINK("https://www.eliteprospects.com/player/911132/conor-walton")</f>
        <v>https://www.eliteprospects.com/player/911132/conor-walton</v>
      </c>
      <c r="K546" t="s">
        <v>27</v>
      </c>
      <c r="L546" t="s">
        <v>485</v>
      </c>
      <c r="M546" t="s">
        <v>1296</v>
      </c>
      <c r="N546">
        <v>4</v>
      </c>
      <c r="O546" t="s">
        <v>486</v>
      </c>
      <c r="P546">
        <v>0.04</v>
      </c>
      <c r="Q546" t="s">
        <v>245</v>
      </c>
      <c r="R546">
        <v>28.6</v>
      </c>
      <c r="S546">
        <v>31.4</v>
      </c>
      <c r="T546">
        <v>28.6</v>
      </c>
      <c r="U546">
        <v>4.3</v>
      </c>
      <c r="V546">
        <v>7.1</v>
      </c>
    </row>
    <row r="547" spans="1:22" x14ac:dyDescent="0.25">
      <c r="A547" t="s">
        <v>1837</v>
      </c>
      <c r="B547" t="s">
        <v>504</v>
      </c>
      <c r="C547">
        <v>24</v>
      </c>
      <c r="D547" t="s">
        <v>260</v>
      </c>
      <c r="E547" t="s">
        <v>45</v>
      </c>
      <c r="F547" t="s">
        <v>32</v>
      </c>
      <c r="G547">
        <v>0.42</v>
      </c>
      <c r="H547" t="s">
        <v>23</v>
      </c>
      <c r="I547">
        <v>0</v>
      </c>
      <c r="J547" t="str">
        <f>HYPERLINK("https://www.eliteprospects.com/player/880425/carson-campbell")</f>
        <v>https://www.eliteprospects.com/player/880425/carson-campbell</v>
      </c>
      <c r="K547" t="s">
        <v>27</v>
      </c>
      <c r="L547" t="s">
        <v>485</v>
      </c>
      <c r="M547" t="s">
        <v>1296</v>
      </c>
      <c r="N547">
        <v>4</v>
      </c>
      <c r="O547" t="s">
        <v>486</v>
      </c>
      <c r="P547">
        <v>0.06</v>
      </c>
      <c r="Q547" t="s">
        <v>1325</v>
      </c>
      <c r="R547">
        <v>26.3</v>
      </c>
      <c r="S547">
        <v>23.7</v>
      </c>
      <c r="T547">
        <v>28.9</v>
      </c>
      <c r="U547">
        <v>5.3</v>
      </c>
      <c r="V547">
        <v>15.8</v>
      </c>
    </row>
    <row r="548" spans="1:22" x14ac:dyDescent="0.25">
      <c r="A548" t="s">
        <v>1838</v>
      </c>
      <c r="B548" t="s">
        <v>510</v>
      </c>
      <c r="C548">
        <v>39</v>
      </c>
      <c r="D548" t="s">
        <v>260</v>
      </c>
      <c r="E548" t="s">
        <v>45</v>
      </c>
      <c r="F548" t="s">
        <v>32</v>
      </c>
      <c r="G548">
        <v>0.26</v>
      </c>
      <c r="H548" t="s">
        <v>24</v>
      </c>
      <c r="I548">
        <v>7</v>
      </c>
      <c r="J548" t="str">
        <f>HYPERLINK("https://www.eliteprospects.com/player/976483/harris-pangretitsch")</f>
        <v>https://www.eliteprospects.com/player/976483/harris-pangretitsch</v>
      </c>
      <c r="K548" t="s">
        <v>27</v>
      </c>
      <c r="L548" t="s">
        <v>485</v>
      </c>
      <c r="M548" t="s">
        <v>1296</v>
      </c>
      <c r="N548">
        <v>1</v>
      </c>
      <c r="O548" t="s">
        <v>494</v>
      </c>
      <c r="P548">
        <v>0.04</v>
      </c>
      <c r="Q548" t="s">
        <v>245</v>
      </c>
      <c r="R548">
        <v>28.6</v>
      </c>
      <c r="S548">
        <v>31.4</v>
      </c>
      <c r="T548">
        <v>28.6</v>
      </c>
      <c r="U548">
        <v>4.3</v>
      </c>
      <c r="V548">
        <v>7.1</v>
      </c>
    </row>
    <row r="549" spans="1:22" x14ac:dyDescent="0.25">
      <c r="A549" t="s">
        <v>1839</v>
      </c>
      <c r="B549" t="s">
        <v>561</v>
      </c>
      <c r="C549">
        <v>42</v>
      </c>
      <c r="D549" t="s">
        <v>260</v>
      </c>
      <c r="E549" t="s">
        <v>45</v>
      </c>
      <c r="F549" t="s">
        <v>32</v>
      </c>
      <c r="G549">
        <v>0.24</v>
      </c>
      <c r="H549" t="s">
        <v>81</v>
      </c>
      <c r="I549">
        <v>-6</v>
      </c>
      <c r="J549" t="str">
        <f>HYPERLINK("https://www.eliteprospects.com/player/719966/will-bishop")</f>
        <v>https://www.eliteprospects.com/player/719966/will-bishop</v>
      </c>
      <c r="K549" t="s">
        <v>27</v>
      </c>
      <c r="L549" t="s">
        <v>485</v>
      </c>
      <c r="M549" t="s">
        <v>1296</v>
      </c>
      <c r="N549">
        <v>5</v>
      </c>
      <c r="O549" t="s">
        <v>508</v>
      </c>
      <c r="P549">
        <v>0.03</v>
      </c>
      <c r="Q549" t="s">
        <v>245</v>
      </c>
      <c r="R549">
        <v>28.6</v>
      </c>
      <c r="S549">
        <v>31.4</v>
      </c>
      <c r="T549">
        <v>28.6</v>
      </c>
      <c r="U549">
        <v>4.3</v>
      </c>
      <c r="V549">
        <v>7.1</v>
      </c>
    </row>
    <row r="550" spans="1:22" x14ac:dyDescent="0.25">
      <c r="A550" t="s">
        <v>1840</v>
      </c>
      <c r="B550" t="s">
        <v>578</v>
      </c>
      <c r="C550">
        <v>21</v>
      </c>
      <c r="D550" t="s">
        <v>132</v>
      </c>
      <c r="E550" t="s">
        <v>32</v>
      </c>
      <c r="F550" t="s">
        <v>32</v>
      </c>
      <c r="G550">
        <v>0.48</v>
      </c>
      <c r="H550" t="s">
        <v>79</v>
      </c>
      <c r="I550">
        <v>5</v>
      </c>
      <c r="J550" t="str">
        <f>HYPERLINK("https://www.eliteprospects.com/player/628144/michael-d-alessio")</f>
        <v>https://www.eliteprospects.com/player/628144/michael-d-alessio</v>
      </c>
      <c r="K550" t="s">
        <v>27</v>
      </c>
      <c r="L550" t="s">
        <v>485</v>
      </c>
      <c r="M550" t="s">
        <v>1296</v>
      </c>
      <c r="N550">
        <v>2</v>
      </c>
      <c r="O550" t="s">
        <v>501</v>
      </c>
      <c r="P550">
        <v>7.0000000000000007E-2</v>
      </c>
      <c r="Q550" t="s">
        <v>1325</v>
      </c>
      <c r="R550">
        <v>30</v>
      </c>
      <c r="S550">
        <v>25</v>
      </c>
      <c r="T550">
        <v>32.5</v>
      </c>
      <c r="U550">
        <v>5</v>
      </c>
      <c r="V550">
        <v>7.5</v>
      </c>
    </row>
    <row r="551" spans="1:22" x14ac:dyDescent="0.25">
      <c r="A551" t="s">
        <v>1841</v>
      </c>
      <c r="B551" t="s">
        <v>496</v>
      </c>
      <c r="C551">
        <v>37</v>
      </c>
      <c r="D551" t="s">
        <v>96</v>
      </c>
      <c r="E551" t="s">
        <v>66</v>
      </c>
      <c r="F551" t="s">
        <v>45</v>
      </c>
      <c r="G551">
        <v>0.24</v>
      </c>
      <c r="H551" t="s">
        <v>75</v>
      </c>
      <c r="I551">
        <v>-8</v>
      </c>
      <c r="J551" t="str">
        <f>HYPERLINK("https://www.eliteprospects.com/player/931230/xander-velliaris")</f>
        <v>https://www.eliteprospects.com/player/931230/xander-velliaris</v>
      </c>
      <c r="K551" t="s">
        <v>27</v>
      </c>
      <c r="L551" t="s">
        <v>485</v>
      </c>
      <c r="M551" t="s">
        <v>1296</v>
      </c>
      <c r="N551">
        <v>3</v>
      </c>
      <c r="O551" t="s">
        <v>492</v>
      </c>
      <c r="P551">
        <v>0.03</v>
      </c>
      <c r="Q551" t="s">
        <v>245</v>
      </c>
      <c r="R551">
        <v>28.6</v>
      </c>
      <c r="S551">
        <v>31.4</v>
      </c>
      <c r="T551">
        <v>28.6</v>
      </c>
      <c r="U551">
        <v>4.3</v>
      </c>
      <c r="V551">
        <v>7.1</v>
      </c>
    </row>
    <row r="552" spans="1:22" x14ac:dyDescent="0.25">
      <c r="A552" t="s">
        <v>1842</v>
      </c>
      <c r="B552" t="s">
        <v>488</v>
      </c>
      <c r="C552">
        <v>39</v>
      </c>
      <c r="D552" t="s">
        <v>140</v>
      </c>
      <c r="E552" t="s">
        <v>57</v>
      </c>
      <c r="F552" t="s">
        <v>45</v>
      </c>
      <c r="G552">
        <v>0.23</v>
      </c>
      <c r="H552" t="s">
        <v>23</v>
      </c>
      <c r="I552">
        <v>-4</v>
      </c>
      <c r="J552" t="str">
        <f>HYPERLINK("https://www.eliteprospects.com/player/710746/gavin-ewles")</f>
        <v>https://www.eliteprospects.com/player/710746/gavin-ewles</v>
      </c>
      <c r="K552" t="s">
        <v>27</v>
      </c>
      <c r="L552" t="s">
        <v>485</v>
      </c>
      <c r="M552" t="s">
        <v>1296</v>
      </c>
      <c r="N552">
        <v>5</v>
      </c>
      <c r="O552" t="s">
        <v>508</v>
      </c>
      <c r="P552">
        <v>0.03</v>
      </c>
      <c r="Q552" t="s">
        <v>245</v>
      </c>
      <c r="R552">
        <v>28.6</v>
      </c>
      <c r="S552">
        <v>31.4</v>
      </c>
      <c r="T552">
        <v>28.6</v>
      </c>
      <c r="U552">
        <v>4.3</v>
      </c>
      <c r="V552">
        <v>7.1</v>
      </c>
    </row>
    <row r="553" spans="1:22" x14ac:dyDescent="0.25">
      <c r="A553" t="s">
        <v>1843</v>
      </c>
      <c r="B553" t="s">
        <v>562</v>
      </c>
      <c r="C553">
        <v>16</v>
      </c>
      <c r="D553" t="s">
        <v>79</v>
      </c>
      <c r="E553" t="s">
        <v>78</v>
      </c>
      <c r="F553" t="s">
        <v>45</v>
      </c>
      <c r="G553">
        <v>0.56000000000000005</v>
      </c>
      <c r="H553" t="s">
        <v>79</v>
      </c>
      <c r="I553">
        <v>-17</v>
      </c>
      <c r="J553" t="str">
        <f>HYPERLINK("https://www.eliteprospects.com/player/628139/zachary-nyman")</f>
        <v>https://www.eliteprospects.com/player/628139/zachary-nyman</v>
      </c>
      <c r="K553" t="s">
        <v>27</v>
      </c>
      <c r="L553" t="s">
        <v>485</v>
      </c>
      <c r="M553" t="s">
        <v>1296</v>
      </c>
      <c r="N553">
        <v>1</v>
      </c>
      <c r="O553" t="s">
        <v>494</v>
      </c>
      <c r="P553">
        <v>0.08</v>
      </c>
      <c r="Q553" t="s">
        <v>1325</v>
      </c>
      <c r="R553">
        <v>30</v>
      </c>
      <c r="S553">
        <v>25</v>
      </c>
      <c r="T553">
        <v>32.5</v>
      </c>
      <c r="U553">
        <v>5</v>
      </c>
      <c r="V553">
        <v>7.5</v>
      </c>
    </row>
    <row r="554" spans="1:22" x14ac:dyDescent="0.25">
      <c r="A554" t="s">
        <v>1844</v>
      </c>
      <c r="B554" t="s">
        <v>527</v>
      </c>
      <c r="C554">
        <v>31</v>
      </c>
      <c r="D554" t="s">
        <v>260</v>
      </c>
      <c r="E554" t="s">
        <v>26</v>
      </c>
      <c r="F554" t="s">
        <v>45</v>
      </c>
      <c r="G554">
        <v>0.28999999999999998</v>
      </c>
      <c r="H554" t="s">
        <v>235</v>
      </c>
      <c r="I554">
        <v>-7</v>
      </c>
      <c r="J554" t="str">
        <f>HYPERLINK("https://www.eliteprospects.com/player/618962/rowan-topp")</f>
        <v>https://www.eliteprospects.com/player/618962/rowan-topp</v>
      </c>
      <c r="K554" t="s">
        <v>27</v>
      </c>
      <c r="L554" t="s">
        <v>485</v>
      </c>
      <c r="M554" t="s">
        <v>1296</v>
      </c>
      <c r="N554">
        <v>4</v>
      </c>
      <c r="O554" t="s">
        <v>486</v>
      </c>
      <c r="P554">
        <v>0.04</v>
      </c>
      <c r="Q554" t="s">
        <v>245</v>
      </c>
      <c r="R554">
        <v>28.6</v>
      </c>
      <c r="S554">
        <v>31.4</v>
      </c>
      <c r="T554">
        <v>28.6</v>
      </c>
      <c r="U554">
        <v>4.3</v>
      </c>
      <c r="V554">
        <v>7.1</v>
      </c>
    </row>
    <row r="555" spans="1:22" x14ac:dyDescent="0.25">
      <c r="A555" t="s">
        <v>1845</v>
      </c>
      <c r="B555" t="s">
        <v>488</v>
      </c>
      <c r="C555">
        <v>35</v>
      </c>
      <c r="D555" t="s">
        <v>260</v>
      </c>
      <c r="E555" t="s">
        <v>26</v>
      </c>
      <c r="F555" t="s">
        <v>45</v>
      </c>
      <c r="G555">
        <v>0.26</v>
      </c>
      <c r="H555" t="s">
        <v>57</v>
      </c>
      <c r="I555">
        <v>-12</v>
      </c>
      <c r="J555" t="str">
        <f>HYPERLINK("https://www.eliteprospects.com/player/918221/hudson-martin")</f>
        <v>https://www.eliteprospects.com/player/918221/hudson-martin</v>
      </c>
      <c r="K555" t="s">
        <v>27</v>
      </c>
      <c r="L555" t="s">
        <v>485</v>
      </c>
      <c r="M555" t="s">
        <v>1296</v>
      </c>
      <c r="N555">
        <v>1</v>
      </c>
      <c r="O555" t="s">
        <v>494</v>
      </c>
      <c r="P555">
        <v>0.04</v>
      </c>
      <c r="Q555" t="s">
        <v>245</v>
      </c>
      <c r="R555">
        <v>28.6</v>
      </c>
      <c r="S555">
        <v>31.4</v>
      </c>
      <c r="T555">
        <v>28.6</v>
      </c>
      <c r="U555">
        <v>4.3</v>
      </c>
      <c r="V555">
        <v>7.1</v>
      </c>
    </row>
    <row r="556" spans="1:22" x14ac:dyDescent="0.25">
      <c r="A556" t="s">
        <v>1846</v>
      </c>
      <c r="B556" t="s">
        <v>561</v>
      </c>
      <c r="C556">
        <v>37</v>
      </c>
      <c r="D556" t="s">
        <v>260</v>
      </c>
      <c r="E556" t="s">
        <v>26</v>
      </c>
      <c r="F556" t="s">
        <v>45</v>
      </c>
      <c r="G556">
        <v>0.24</v>
      </c>
      <c r="H556" t="s">
        <v>32</v>
      </c>
      <c r="I556">
        <v>7</v>
      </c>
      <c r="J556" t="str">
        <f>HYPERLINK("https://www.eliteprospects.com/player/701360/matthew-henderson")</f>
        <v>https://www.eliteprospects.com/player/701360/matthew-henderson</v>
      </c>
      <c r="K556" t="s">
        <v>27</v>
      </c>
      <c r="L556" t="s">
        <v>485</v>
      </c>
      <c r="M556" t="s">
        <v>1296</v>
      </c>
      <c r="N556">
        <v>1</v>
      </c>
      <c r="O556" t="s">
        <v>494</v>
      </c>
      <c r="P556">
        <v>0.03</v>
      </c>
      <c r="Q556" t="s">
        <v>245</v>
      </c>
      <c r="R556">
        <v>28.6</v>
      </c>
      <c r="S556">
        <v>31.4</v>
      </c>
      <c r="T556">
        <v>28.6</v>
      </c>
      <c r="U556">
        <v>4.3</v>
      </c>
      <c r="V556">
        <v>7.1</v>
      </c>
    </row>
    <row r="557" spans="1:22" x14ac:dyDescent="0.25">
      <c r="A557" t="s">
        <v>1847</v>
      </c>
      <c r="B557" t="s">
        <v>490</v>
      </c>
      <c r="C557">
        <v>37</v>
      </c>
      <c r="D557" t="s">
        <v>260</v>
      </c>
      <c r="E557" t="s">
        <v>26</v>
      </c>
      <c r="F557" t="s">
        <v>45</v>
      </c>
      <c r="G557">
        <v>0.24</v>
      </c>
      <c r="H557" t="s">
        <v>61</v>
      </c>
      <c r="I557">
        <v>-11</v>
      </c>
      <c r="J557" t="str">
        <f>HYPERLINK("https://www.eliteprospects.com/player/917829/ben-reisnecker")</f>
        <v>https://www.eliteprospects.com/player/917829/ben-reisnecker</v>
      </c>
      <c r="K557" t="s">
        <v>27</v>
      </c>
      <c r="L557" t="s">
        <v>485</v>
      </c>
      <c r="M557" t="s">
        <v>1296</v>
      </c>
      <c r="N557">
        <v>1</v>
      </c>
      <c r="O557" t="s">
        <v>494</v>
      </c>
      <c r="P557">
        <v>0.03</v>
      </c>
      <c r="Q557" t="s">
        <v>245</v>
      </c>
      <c r="R557">
        <v>28.6</v>
      </c>
      <c r="S557">
        <v>31.4</v>
      </c>
      <c r="T557">
        <v>28.6</v>
      </c>
      <c r="U557">
        <v>4.3</v>
      </c>
      <c r="V557">
        <v>7.1</v>
      </c>
    </row>
    <row r="558" spans="1:22" x14ac:dyDescent="0.25">
      <c r="A558" t="s">
        <v>1848</v>
      </c>
      <c r="B558" t="s">
        <v>515</v>
      </c>
      <c r="C558">
        <v>35</v>
      </c>
      <c r="D558" t="s">
        <v>66</v>
      </c>
      <c r="E558" t="s">
        <v>66</v>
      </c>
      <c r="F558" t="s">
        <v>26</v>
      </c>
      <c r="G558">
        <v>0.23</v>
      </c>
      <c r="H558" t="s">
        <v>84</v>
      </c>
      <c r="I558">
        <v>-4</v>
      </c>
      <c r="J558" t="str">
        <f>HYPERLINK("https://www.eliteprospects.com/player/750967/justin-handsor")</f>
        <v>https://www.eliteprospects.com/player/750967/justin-handsor</v>
      </c>
      <c r="K558" t="s">
        <v>27</v>
      </c>
      <c r="L558" t="s">
        <v>485</v>
      </c>
      <c r="M558" t="s">
        <v>1296</v>
      </c>
      <c r="N558">
        <v>3</v>
      </c>
      <c r="O558" t="s">
        <v>492</v>
      </c>
      <c r="P558">
        <v>0.03</v>
      </c>
      <c r="Q558" t="s">
        <v>245</v>
      </c>
      <c r="R558">
        <v>28.6</v>
      </c>
      <c r="S558">
        <v>31.4</v>
      </c>
      <c r="T558">
        <v>28.6</v>
      </c>
      <c r="U558">
        <v>4.3</v>
      </c>
      <c r="V558">
        <v>7.1</v>
      </c>
    </row>
    <row r="559" spans="1:22" x14ac:dyDescent="0.25">
      <c r="A559" t="s">
        <v>1849</v>
      </c>
      <c r="B559" t="s">
        <v>507</v>
      </c>
      <c r="C559">
        <v>37</v>
      </c>
      <c r="D559" t="s">
        <v>140</v>
      </c>
      <c r="E559" t="s">
        <v>96</v>
      </c>
      <c r="F559" t="s">
        <v>26</v>
      </c>
      <c r="G559">
        <v>0.22</v>
      </c>
      <c r="H559" t="s">
        <v>51</v>
      </c>
      <c r="I559">
        <v>-1</v>
      </c>
      <c r="J559" t="str">
        <f>HYPERLINK("https://www.eliteprospects.com/player/881028/hunter-solomon")</f>
        <v>https://www.eliteprospects.com/player/881028/hunter-solomon</v>
      </c>
      <c r="K559" t="s">
        <v>27</v>
      </c>
      <c r="L559" t="s">
        <v>485</v>
      </c>
      <c r="M559" t="s">
        <v>1296</v>
      </c>
      <c r="N559">
        <v>2</v>
      </c>
      <c r="O559" t="s">
        <v>501</v>
      </c>
      <c r="P559">
        <v>0.03</v>
      </c>
      <c r="Q559" t="s">
        <v>245</v>
      </c>
      <c r="R559">
        <v>28.6</v>
      </c>
      <c r="S559">
        <v>31.4</v>
      </c>
      <c r="T559">
        <v>28.6</v>
      </c>
      <c r="U559">
        <v>4.3</v>
      </c>
      <c r="V559">
        <v>7.1</v>
      </c>
    </row>
    <row r="560" spans="1:22" x14ac:dyDescent="0.25">
      <c r="A560" t="s">
        <v>1850</v>
      </c>
      <c r="B560" t="s">
        <v>490</v>
      </c>
      <c r="C560">
        <v>35</v>
      </c>
      <c r="D560" t="s">
        <v>79</v>
      </c>
      <c r="E560" t="s">
        <v>57</v>
      </c>
      <c r="F560" t="s">
        <v>26</v>
      </c>
      <c r="G560">
        <v>0.23</v>
      </c>
      <c r="H560" t="s">
        <v>512</v>
      </c>
      <c r="I560">
        <v>4</v>
      </c>
      <c r="J560" t="str">
        <f>HYPERLINK("https://www.eliteprospects.com/player/879163/liam-spencer")</f>
        <v>https://www.eliteprospects.com/player/879163/liam-spencer</v>
      </c>
      <c r="K560" t="s">
        <v>27</v>
      </c>
      <c r="L560" t="s">
        <v>485</v>
      </c>
      <c r="M560" t="s">
        <v>1296</v>
      </c>
      <c r="N560">
        <v>4</v>
      </c>
      <c r="O560" t="s">
        <v>486</v>
      </c>
      <c r="P560">
        <v>0.03</v>
      </c>
      <c r="Q560" t="s">
        <v>245</v>
      </c>
      <c r="R560">
        <v>28.6</v>
      </c>
      <c r="S560">
        <v>31.4</v>
      </c>
      <c r="T560">
        <v>28.6</v>
      </c>
      <c r="U560">
        <v>4.3</v>
      </c>
      <c r="V560">
        <v>7.1</v>
      </c>
    </row>
    <row r="561" spans="1:22" x14ac:dyDescent="0.25">
      <c r="A561" t="s">
        <v>1851</v>
      </c>
      <c r="B561" t="s">
        <v>562</v>
      </c>
      <c r="C561">
        <v>40</v>
      </c>
      <c r="D561" t="s">
        <v>79</v>
      </c>
      <c r="E561" t="s">
        <v>57</v>
      </c>
      <c r="F561" t="s">
        <v>26</v>
      </c>
      <c r="G561">
        <v>0.2</v>
      </c>
      <c r="H561" t="s">
        <v>38</v>
      </c>
      <c r="I561">
        <v>-7</v>
      </c>
      <c r="J561" t="str">
        <f>HYPERLINK("https://www.eliteprospects.com/player/597685/david-green")</f>
        <v>https://www.eliteprospects.com/player/597685/david-green</v>
      </c>
      <c r="K561" t="s">
        <v>27</v>
      </c>
      <c r="L561" t="s">
        <v>485</v>
      </c>
      <c r="M561" t="s">
        <v>1296</v>
      </c>
      <c r="N561">
        <v>1</v>
      </c>
      <c r="O561" t="s">
        <v>494</v>
      </c>
      <c r="P561">
        <v>0.03</v>
      </c>
      <c r="Q561" t="s">
        <v>245</v>
      </c>
      <c r="R561">
        <v>28.6</v>
      </c>
      <c r="S561">
        <v>31.4</v>
      </c>
      <c r="T561">
        <v>28.6</v>
      </c>
      <c r="U561">
        <v>4.3</v>
      </c>
      <c r="V561">
        <v>7.1</v>
      </c>
    </row>
    <row r="562" spans="1:22" x14ac:dyDescent="0.25">
      <c r="A562" t="s">
        <v>1852</v>
      </c>
      <c r="B562" t="s">
        <v>484</v>
      </c>
      <c r="C562">
        <v>40</v>
      </c>
      <c r="D562" t="s">
        <v>260</v>
      </c>
      <c r="E562" t="s">
        <v>78</v>
      </c>
      <c r="F562" t="s">
        <v>26</v>
      </c>
      <c r="G562">
        <v>0.2</v>
      </c>
      <c r="H562" t="s">
        <v>40</v>
      </c>
      <c r="I562">
        <v>14</v>
      </c>
      <c r="J562" t="str">
        <f>HYPERLINK("https://www.eliteprospects.com/player/871042/rylan-fellinger")</f>
        <v>https://www.eliteprospects.com/player/871042/rylan-fellinger</v>
      </c>
      <c r="K562" t="s">
        <v>27</v>
      </c>
      <c r="L562" t="s">
        <v>485</v>
      </c>
      <c r="M562" t="s">
        <v>1296</v>
      </c>
      <c r="N562">
        <v>3</v>
      </c>
      <c r="O562" t="s">
        <v>492</v>
      </c>
      <c r="P562">
        <v>0.03</v>
      </c>
      <c r="Q562" t="s">
        <v>245</v>
      </c>
      <c r="R562">
        <v>28.6</v>
      </c>
      <c r="S562">
        <v>31.4</v>
      </c>
      <c r="T562">
        <v>28.6</v>
      </c>
      <c r="U562">
        <v>4.3</v>
      </c>
      <c r="V562">
        <v>7.1</v>
      </c>
    </row>
    <row r="563" spans="1:22" x14ac:dyDescent="0.25">
      <c r="A563" t="s">
        <v>1853</v>
      </c>
      <c r="B563" t="s">
        <v>507</v>
      </c>
      <c r="C563">
        <v>38</v>
      </c>
      <c r="D563" t="s">
        <v>132</v>
      </c>
      <c r="E563" t="s">
        <v>26</v>
      </c>
      <c r="F563" t="s">
        <v>26</v>
      </c>
      <c r="G563">
        <v>0.21</v>
      </c>
      <c r="H563" t="s">
        <v>125</v>
      </c>
      <c r="I563">
        <v>0</v>
      </c>
      <c r="J563" t="str">
        <f>HYPERLINK("https://www.eliteprospects.com/player/887104/blake-gowan")</f>
        <v>https://www.eliteprospects.com/player/887104/blake-gowan</v>
      </c>
      <c r="K563" t="s">
        <v>27</v>
      </c>
      <c r="L563" t="s">
        <v>485</v>
      </c>
      <c r="M563" t="s">
        <v>1296</v>
      </c>
      <c r="N563">
        <v>2</v>
      </c>
      <c r="O563" t="s">
        <v>501</v>
      </c>
      <c r="P563">
        <v>0.03</v>
      </c>
      <c r="Q563" t="s">
        <v>245</v>
      </c>
      <c r="R563">
        <v>28.6</v>
      </c>
      <c r="S563">
        <v>31.4</v>
      </c>
      <c r="T563">
        <v>28.6</v>
      </c>
      <c r="U563">
        <v>4.3</v>
      </c>
      <c r="V563">
        <v>7.1</v>
      </c>
    </row>
    <row r="564" spans="1:22" x14ac:dyDescent="0.25">
      <c r="A564" t="s">
        <v>1854</v>
      </c>
      <c r="B564" t="s">
        <v>498</v>
      </c>
      <c r="C564">
        <v>39</v>
      </c>
      <c r="D564" t="s">
        <v>140</v>
      </c>
      <c r="E564" t="s">
        <v>66</v>
      </c>
      <c r="F564" t="s">
        <v>78</v>
      </c>
      <c r="G564">
        <v>0.18</v>
      </c>
      <c r="H564" t="s">
        <v>544</v>
      </c>
      <c r="I564">
        <v>0</v>
      </c>
      <c r="J564" t="str">
        <f>HYPERLINK("https://www.eliteprospects.com/player/738924/noah-roberts")</f>
        <v>https://www.eliteprospects.com/player/738924/noah-roberts</v>
      </c>
      <c r="K564" t="s">
        <v>27</v>
      </c>
      <c r="L564" t="s">
        <v>485</v>
      </c>
      <c r="M564" t="s">
        <v>1296</v>
      </c>
      <c r="N564">
        <v>5</v>
      </c>
      <c r="O564" t="s">
        <v>508</v>
      </c>
      <c r="P564">
        <v>0.03</v>
      </c>
      <c r="Q564" t="s">
        <v>245</v>
      </c>
      <c r="R564">
        <v>28.6</v>
      </c>
      <c r="S564">
        <v>31.4</v>
      </c>
      <c r="T564">
        <v>28.6</v>
      </c>
      <c r="U564">
        <v>4.3</v>
      </c>
      <c r="V564">
        <v>7.1</v>
      </c>
    </row>
    <row r="565" spans="1:22" x14ac:dyDescent="0.25">
      <c r="A565" t="s">
        <v>1855</v>
      </c>
      <c r="B565" t="s">
        <v>546</v>
      </c>
      <c r="C565">
        <v>30</v>
      </c>
      <c r="D565" t="s">
        <v>79</v>
      </c>
      <c r="E565" t="s">
        <v>96</v>
      </c>
      <c r="F565" t="s">
        <v>78</v>
      </c>
      <c r="G565">
        <v>0.23</v>
      </c>
      <c r="H565" t="s">
        <v>51</v>
      </c>
      <c r="I565">
        <v>8</v>
      </c>
      <c r="J565" t="str">
        <f>HYPERLINK("https://www.eliteprospects.com/player/876212/aaron-enright")</f>
        <v>https://www.eliteprospects.com/player/876212/aaron-enright</v>
      </c>
      <c r="K565" t="s">
        <v>27</v>
      </c>
      <c r="L565" t="s">
        <v>485</v>
      </c>
      <c r="M565" t="s">
        <v>1296</v>
      </c>
      <c r="N565">
        <v>2</v>
      </c>
      <c r="O565" t="s">
        <v>501</v>
      </c>
      <c r="P565">
        <v>0.03</v>
      </c>
      <c r="Q565" t="s">
        <v>245</v>
      </c>
      <c r="R565">
        <v>28.6</v>
      </c>
      <c r="S565">
        <v>31.4</v>
      </c>
      <c r="T565">
        <v>28.6</v>
      </c>
      <c r="U565">
        <v>4.3</v>
      </c>
      <c r="V565">
        <v>7.1</v>
      </c>
    </row>
    <row r="566" spans="1:22" x14ac:dyDescent="0.25">
      <c r="A566" t="s">
        <v>1856</v>
      </c>
      <c r="B566" t="s">
        <v>527</v>
      </c>
      <c r="C566">
        <v>31</v>
      </c>
      <c r="D566" t="s">
        <v>79</v>
      </c>
      <c r="E566" t="s">
        <v>96</v>
      </c>
      <c r="F566" t="s">
        <v>78</v>
      </c>
      <c r="G566">
        <v>0.23</v>
      </c>
      <c r="H566" t="s">
        <v>265</v>
      </c>
      <c r="I566">
        <v>-9</v>
      </c>
      <c r="J566" t="str">
        <f>HYPERLINK("https://www.eliteprospects.com/player/897392/eric-frossard")</f>
        <v>https://www.eliteprospects.com/player/897392/eric-frossard</v>
      </c>
      <c r="K566" t="s">
        <v>27</v>
      </c>
      <c r="L566" t="s">
        <v>485</v>
      </c>
      <c r="M566" t="s">
        <v>1296</v>
      </c>
      <c r="N566">
        <v>2</v>
      </c>
      <c r="O566" t="s">
        <v>501</v>
      </c>
      <c r="P566">
        <v>0.03</v>
      </c>
      <c r="Q566" t="s">
        <v>245</v>
      </c>
      <c r="R566">
        <v>28.6</v>
      </c>
      <c r="S566">
        <v>31.4</v>
      </c>
      <c r="T566">
        <v>28.6</v>
      </c>
      <c r="U566">
        <v>4.3</v>
      </c>
      <c r="V566">
        <v>7.1</v>
      </c>
    </row>
    <row r="567" spans="1:22" x14ac:dyDescent="0.25">
      <c r="A567" t="s">
        <v>1857</v>
      </c>
      <c r="B567" t="s">
        <v>507</v>
      </c>
      <c r="C567">
        <v>40</v>
      </c>
      <c r="D567" t="s">
        <v>79</v>
      </c>
      <c r="E567" t="s">
        <v>96</v>
      </c>
      <c r="F567" t="s">
        <v>78</v>
      </c>
      <c r="G567">
        <v>0.18</v>
      </c>
      <c r="H567" t="s">
        <v>589</v>
      </c>
      <c r="I567">
        <v>-4</v>
      </c>
      <c r="J567" t="str">
        <f>HYPERLINK("https://www.eliteprospects.com/player/978463/genc-ula")</f>
        <v>https://www.eliteprospects.com/player/978463/genc-ula</v>
      </c>
      <c r="K567" t="s">
        <v>27</v>
      </c>
      <c r="L567" t="s">
        <v>485</v>
      </c>
      <c r="M567" t="s">
        <v>1296</v>
      </c>
      <c r="N567">
        <v>2</v>
      </c>
      <c r="O567" t="s">
        <v>501</v>
      </c>
      <c r="P567">
        <v>0.03</v>
      </c>
      <c r="Q567" t="s">
        <v>245</v>
      </c>
      <c r="R567">
        <v>28.6</v>
      </c>
      <c r="S567">
        <v>31.4</v>
      </c>
      <c r="T567">
        <v>28.6</v>
      </c>
      <c r="U567">
        <v>4.3</v>
      </c>
      <c r="V567">
        <v>7.1</v>
      </c>
    </row>
    <row r="568" spans="1:22" x14ac:dyDescent="0.25">
      <c r="A568" t="s">
        <v>1858</v>
      </c>
      <c r="B568" t="s">
        <v>507</v>
      </c>
      <c r="C568">
        <v>33</v>
      </c>
      <c r="D568" t="s">
        <v>260</v>
      </c>
      <c r="E568" t="s">
        <v>57</v>
      </c>
      <c r="F568" t="s">
        <v>78</v>
      </c>
      <c r="G568">
        <v>0.21</v>
      </c>
      <c r="H568" t="s">
        <v>84</v>
      </c>
      <c r="I568">
        <v>6</v>
      </c>
      <c r="J568" t="str">
        <f>HYPERLINK("https://www.eliteprospects.com/player/577188/jacob-xu")</f>
        <v>https://www.eliteprospects.com/player/577188/jacob-xu</v>
      </c>
      <c r="K568" t="s">
        <v>27</v>
      </c>
      <c r="L568" t="s">
        <v>485</v>
      </c>
      <c r="M568" t="s">
        <v>1296</v>
      </c>
      <c r="N568">
        <v>2</v>
      </c>
      <c r="O568" t="s">
        <v>501</v>
      </c>
      <c r="P568">
        <v>0.03</v>
      </c>
      <c r="Q568" t="s">
        <v>245</v>
      </c>
      <c r="R568">
        <v>28.6</v>
      </c>
      <c r="S568">
        <v>31.4</v>
      </c>
      <c r="T568">
        <v>28.6</v>
      </c>
      <c r="U568">
        <v>4.3</v>
      </c>
      <c r="V568">
        <v>7.1</v>
      </c>
    </row>
    <row r="569" spans="1:22" x14ac:dyDescent="0.25">
      <c r="A569" t="s">
        <v>1859</v>
      </c>
      <c r="B569" t="s">
        <v>490</v>
      </c>
      <c r="C569">
        <v>36</v>
      </c>
      <c r="D569" t="s">
        <v>260</v>
      </c>
      <c r="E569" t="s">
        <v>57</v>
      </c>
      <c r="F569" t="s">
        <v>78</v>
      </c>
      <c r="G569">
        <v>0.19</v>
      </c>
      <c r="H569" t="s">
        <v>26</v>
      </c>
      <c r="I569">
        <v>0</v>
      </c>
      <c r="J569" t="str">
        <f>HYPERLINK("https://www.eliteprospects.com/player/897651/sebastian-dell-elce")</f>
        <v>https://www.eliteprospects.com/player/897651/sebastian-dell-elce</v>
      </c>
      <c r="K569" t="s">
        <v>27</v>
      </c>
      <c r="L569" t="s">
        <v>485</v>
      </c>
      <c r="M569" t="s">
        <v>1296</v>
      </c>
      <c r="N569">
        <v>1</v>
      </c>
      <c r="O569" t="s">
        <v>494</v>
      </c>
      <c r="P569">
        <v>0.03</v>
      </c>
      <c r="Q569" t="s">
        <v>245</v>
      </c>
      <c r="R569">
        <v>28.6</v>
      </c>
      <c r="S569">
        <v>31.4</v>
      </c>
      <c r="T569">
        <v>28.6</v>
      </c>
      <c r="U569">
        <v>4.3</v>
      </c>
      <c r="V569">
        <v>7.1</v>
      </c>
    </row>
    <row r="570" spans="1:22" x14ac:dyDescent="0.25">
      <c r="A570" t="s">
        <v>1860</v>
      </c>
      <c r="B570" t="s">
        <v>490</v>
      </c>
      <c r="C570">
        <v>36</v>
      </c>
      <c r="D570" t="s">
        <v>260</v>
      </c>
      <c r="E570" t="s">
        <v>57</v>
      </c>
      <c r="F570" t="s">
        <v>78</v>
      </c>
      <c r="G570">
        <v>0.19</v>
      </c>
      <c r="H570" t="s">
        <v>40</v>
      </c>
      <c r="I570">
        <v>4</v>
      </c>
      <c r="J570" t="str">
        <f>HYPERLINK("https://www.eliteprospects.com/player/800110/callum-cheynowski")</f>
        <v>https://www.eliteprospects.com/player/800110/callum-cheynowski</v>
      </c>
      <c r="K570" t="s">
        <v>27</v>
      </c>
      <c r="L570" t="s">
        <v>485</v>
      </c>
      <c r="M570" t="s">
        <v>1296</v>
      </c>
      <c r="N570">
        <v>4</v>
      </c>
      <c r="O570" t="s">
        <v>486</v>
      </c>
      <c r="P570">
        <v>0.03</v>
      </c>
      <c r="Q570" t="s">
        <v>245</v>
      </c>
      <c r="R570">
        <v>28.6</v>
      </c>
      <c r="S570">
        <v>31.4</v>
      </c>
      <c r="T570">
        <v>28.6</v>
      </c>
      <c r="U570">
        <v>4.3</v>
      </c>
      <c r="V570">
        <v>7.1</v>
      </c>
    </row>
    <row r="571" spans="1:22" x14ac:dyDescent="0.25">
      <c r="A571" t="s">
        <v>1861</v>
      </c>
      <c r="B571" t="s">
        <v>507</v>
      </c>
      <c r="C571">
        <v>37</v>
      </c>
      <c r="D571" t="s">
        <v>260</v>
      </c>
      <c r="E571" t="s">
        <v>57</v>
      </c>
      <c r="F571" t="s">
        <v>78</v>
      </c>
      <c r="G571">
        <v>0.19</v>
      </c>
      <c r="H571" t="s">
        <v>499</v>
      </c>
      <c r="I571">
        <v>3</v>
      </c>
      <c r="J571" t="str">
        <f>HYPERLINK("https://www.eliteprospects.com/player/679515/julian-brown")</f>
        <v>https://www.eliteprospects.com/player/679515/julian-brown</v>
      </c>
      <c r="K571" t="s">
        <v>27</v>
      </c>
      <c r="L571" t="s">
        <v>485</v>
      </c>
      <c r="M571" t="s">
        <v>1296</v>
      </c>
      <c r="N571">
        <v>1</v>
      </c>
      <c r="O571" t="s">
        <v>494</v>
      </c>
      <c r="P571">
        <v>0.03</v>
      </c>
      <c r="Q571" t="s">
        <v>245</v>
      </c>
      <c r="R571">
        <v>28.6</v>
      </c>
      <c r="S571">
        <v>31.4</v>
      </c>
      <c r="T571">
        <v>28.6</v>
      </c>
      <c r="U571">
        <v>4.3</v>
      </c>
      <c r="V571">
        <v>7.1</v>
      </c>
    </row>
    <row r="572" spans="1:22" x14ac:dyDescent="0.25">
      <c r="A572" t="s">
        <v>1862</v>
      </c>
      <c r="B572" t="s">
        <v>546</v>
      </c>
      <c r="C572">
        <v>38</v>
      </c>
      <c r="D572" t="s">
        <v>260</v>
      </c>
      <c r="E572" t="s">
        <v>57</v>
      </c>
      <c r="F572" t="s">
        <v>78</v>
      </c>
      <c r="G572">
        <v>0.18</v>
      </c>
      <c r="H572" t="s">
        <v>39</v>
      </c>
      <c r="I572">
        <v>15</v>
      </c>
      <c r="J572" t="str">
        <f>HYPERLINK("https://www.eliteprospects.com/player/897664/adrian-manzo")</f>
        <v>https://www.eliteprospects.com/player/897664/adrian-manzo</v>
      </c>
      <c r="K572" t="s">
        <v>27</v>
      </c>
      <c r="L572" t="s">
        <v>485</v>
      </c>
      <c r="M572" t="s">
        <v>1296</v>
      </c>
      <c r="N572">
        <v>3</v>
      </c>
      <c r="O572" t="s">
        <v>492</v>
      </c>
      <c r="P572">
        <v>0.03</v>
      </c>
      <c r="Q572" t="s">
        <v>245</v>
      </c>
      <c r="R572">
        <v>28.6</v>
      </c>
      <c r="S572">
        <v>31.4</v>
      </c>
      <c r="T572">
        <v>28.6</v>
      </c>
      <c r="U572">
        <v>4.3</v>
      </c>
      <c r="V572">
        <v>7.1</v>
      </c>
    </row>
    <row r="573" spans="1:22" x14ac:dyDescent="0.25">
      <c r="A573" t="s">
        <v>1863</v>
      </c>
      <c r="B573" t="s">
        <v>510</v>
      </c>
      <c r="C573">
        <v>14</v>
      </c>
      <c r="D573" t="s">
        <v>260</v>
      </c>
      <c r="E573" t="s">
        <v>96</v>
      </c>
      <c r="F573" t="s">
        <v>57</v>
      </c>
      <c r="G573">
        <v>0.43</v>
      </c>
      <c r="H573" t="s">
        <v>79</v>
      </c>
      <c r="I573">
        <v>6</v>
      </c>
      <c r="J573" t="str">
        <f>HYPERLINK("https://www.eliteprospects.com/player/779765/brodie-mcconnell-barker")</f>
        <v>https://www.eliteprospects.com/player/779765/brodie-mcconnell-barker</v>
      </c>
      <c r="K573" t="s">
        <v>27</v>
      </c>
      <c r="L573" t="s">
        <v>485</v>
      </c>
      <c r="M573" t="s">
        <v>1296</v>
      </c>
      <c r="N573">
        <v>4</v>
      </c>
      <c r="O573" t="s">
        <v>486</v>
      </c>
      <c r="P573">
        <v>0.06</v>
      </c>
      <c r="Q573" t="s">
        <v>1325</v>
      </c>
      <c r="R573">
        <v>26.3</v>
      </c>
      <c r="S573">
        <v>23.7</v>
      </c>
      <c r="T573">
        <v>28.9</v>
      </c>
      <c r="U573">
        <v>5.3</v>
      </c>
      <c r="V573">
        <v>15.8</v>
      </c>
    </row>
    <row r="574" spans="1:22" x14ac:dyDescent="0.25">
      <c r="A574" t="s">
        <v>1864</v>
      </c>
      <c r="B574" t="s">
        <v>510</v>
      </c>
      <c r="C574">
        <v>15</v>
      </c>
      <c r="D574" t="s">
        <v>260</v>
      </c>
      <c r="E574" t="s">
        <v>96</v>
      </c>
      <c r="F574" t="s">
        <v>57</v>
      </c>
      <c r="G574">
        <v>0.4</v>
      </c>
      <c r="H574" t="s">
        <v>32</v>
      </c>
      <c r="I574">
        <v>7</v>
      </c>
      <c r="J574" t="str">
        <f>HYPERLINK("https://www.eliteprospects.com/player/628088/callum-croskery")</f>
        <v>https://www.eliteprospects.com/player/628088/callum-croskery</v>
      </c>
      <c r="K574" t="s">
        <v>27</v>
      </c>
      <c r="L574" t="s">
        <v>485</v>
      </c>
      <c r="M574" t="s">
        <v>1296</v>
      </c>
      <c r="N574">
        <v>1</v>
      </c>
      <c r="O574" t="s">
        <v>494</v>
      </c>
      <c r="P574">
        <v>0.06</v>
      </c>
      <c r="Q574" t="s">
        <v>1325</v>
      </c>
      <c r="R574">
        <v>26.3</v>
      </c>
      <c r="S574">
        <v>23.7</v>
      </c>
      <c r="T574">
        <v>28.9</v>
      </c>
      <c r="U574">
        <v>5.3</v>
      </c>
      <c r="V574">
        <v>15.8</v>
      </c>
    </row>
    <row r="575" spans="1:22" x14ac:dyDescent="0.25">
      <c r="A575" t="s">
        <v>1865</v>
      </c>
      <c r="B575" t="s">
        <v>493</v>
      </c>
      <c r="C575">
        <v>20</v>
      </c>
      <c r="D575" t="s">
        <v>260</v>
      </c>
      <c r="E575" t="s">
        <v>96</v>
      </c>
      <c r="F575" t="s">
        <v>57</v>
      </c>
      <c r="G575">
        <v>0.3</v>
      </c>
      <c r="H575" t="s">
        <v>66</v>
      </c>
      <c r="I575">
        <v>1</v>
      </c>
      <c r="J575" t="str">
        <f>HYPERLINK("https://www.eliteprospects.com/player/689886/camron-hankai")</f>
        <v>https://www.eliteprospects.com/player/689886/camron-hankai</v>
      </c>
      <c r="K575" t="s">
        <v>27</v>
      </c>
      <c r="L575" t="s">
        <v>485</v>
      </c>
      <c r="M575" t="s">
        <v>1296</v>
      </c>
      <c r="N575">
        <v>1</v>
      </c>
      <c r="O575" t="s">
        <v>494</v>
      </c>
      <c r="P575">
        <v>0.04</v>
      </c>
      <c r="Q575" t="s">
        <v>245</v>
      </c>
      <c r="R575">
        <v>28.6</v>
      </c>
      <c r="S575">
        <v>31.4</v>
      </c>
      <c r="T575">
        <v>28.6</v>
      </c>
      <c r="U575">
        <v>4.3</v>
      </c>
      <c r="V575">
        <v>7.1</v>
      </c>
    </row>
    <row r="576" spans="1:22" x14ac:dyDescent="0.25">
      <c r="A576" t="s">
        <v>1866</v>
      </c>
      <c r="B576" t="s">
        <v>515</v>
      </c>
      <c r="C576">
        <v>27</v>
      </c>
      <c r="D576" t="s">
        <v>260</v>
      </c>
      <c r="E576" t="s">
        <v>96</v>
      </c>
      <c r="F576" t="s">
        <v>57</v>
      </c>
      <c r="G576">
        <v>0.22</v>
      </c>
      <c r="H576" t="s">
        <v>32</v>
      </c>
      <c r="I576">
        <v>-4</v>
      </c>
      <c r="J576" t="str">
        <f>HYPERLINK("https://www.eliteprospects.com/player/906000/ethan-armstrong")</f>
        <v>https://www.eliteprospects.com/player/906000/ethan-armstrong</v>
      </c>
      <c r="K576" t="s">
        <v>27</v>
      </c>
      <c r="L576" t="s">
        <v>485</v>
      </c>
      <c r="M576" t="s">
        <v>1296</v>
      </c>
      <c r="N576">
        <v>2</v>
      </c>
      <c r="O576" t="s">
        <v>501</v>
      </c>
      <c r="P576">
        <v>0.03</v>
      </c>
      <c r="Q576" t="s">
        <v>245</v>
      </c>
      <c r="R576">
        <v>28.6</v>
      </c>
      <c r="S576">
        <v>31.4</v>
      </c>
      <c r="T576">
        <v>28.6</v>
      </c>
      <c r="U576">
        <v>4.3</v>
      </c>
      <c r="V576">
        <v>7.1</v>
      </c>
    </row>
    <row r="577" spans="1:22" x14ac:dyDescent="0.25">
      <c r="A577" t="s">
        <v>1867</v>
      </c>
      <c r="B577" t="s">
        <v>510</v>
      </c>
      <c r="C577">
        <v>38</v>
      </c>
      <c r="D577" t="s">
        <v>260</v>
      </c>
      <c r="E577" t="s">
        <v>96</v>
      </c>
      <c r="F577" t="s">
        <v>57</v>
      </c>
      <c r="G577">
        <v>0.16</v>
      </c>
      <c r="H577" t="s">
        <v>491</v>
      </c>
      <c r="I577">
        <v>15</v>
      </c>
      <c r="J577" t="str">
        <f>HYPERLINK("https://www.eliteprospects.com/player/710866/spencer-evans")</f>
        <v>https://www.eliteprospects.com/player/710866/spencer-evans</v>
      </c>
      <c r="K577" t="s">
        <v>27</v>
      </c>
      <c r="L577" t="s">
        <v>485</v>
      </c>
      <c r="M577" t="s">
        <v>1296</v>
      </c>
      <c r="N577">
        <v>8</v>
      </c>
      <c r="O577" t="s">
        <v>1868</v>
      </c>
      <c r="P577">
        <v>0.02</v>
      </c>
      <c r="Q577" t="s">
        <v>245</v>
      </c>
      <c r="R577">
        <v>28.6</v>
      </c>
      <c r="S577">
        <v>31.4</v>
      </c>
      <c r="T577">
        <v>28.6</v>
      </c>
      <c r="U577">
        <v>4.3</v>
      </c>
      <c r="V577">
        <v>7.1</v>
      </c>
    </row>
    <row r="578" spans="1:22" x14ac:dyDescent="0.25">
      <c r="A578" t="s">
        <v>1869</v>
      </c>
      <c r="B578" t="s">
        <v>536</v>
      </c>
      <c r="C578">
        <v>31</v>
      </c>
      <c r="D578" t="s">
        <v>132</v>
      </c>
      <c r="E578" t="s">
        <v>57</v>
      </c>
      <c r="F578" t="s">
        <v>57</v>
      </c>
      <c r="G578">
        <v>0.19</v>
      </c>
      <c r="H578" t="s">
        <v>51</v>
      </c>
      <c r="I578">
        <v>4</v>
      </c>
      <c r="J578" t="str">
        <f>HYPERLINK("https://www.eliteprospects.com/player/764364/hughston-hurt")</f>
        <v>https://www.eliteprospects.com/player/764364/hughston-hurt</v>
      </c>
      <c r="K578" t="s">
        <v>27</v>
      </c>
      <c r="L578" t="s">
        <v>485</v>
      </c>
      <c r="M578" t="s">
        <v>1296</v>
      </c>
      <c r="N578">
        <v>3</v>
      </c>
      <c r="O578" t="s">
        <v>492</v>
      </c>
      <c r="P578">
        <v>0.03</v>
      </c>
      <c r="Q578" t="s">
        <v>245</v>
      </c>
      <c r="R578">
        <v>28.6</v>
      </c>
      <c r="S578">
        <v>31.4</v>
      </c>
      <c r="T578">
        <v>28.6</v>
      </c>
      <c r="U578">
        <v>4.3</v>
      </c>
      <c r="V578">
        <v>7.1</v>
      </c>
    </row>
    <row r="579" spans="1:22" x14ac:dyDescent="0.25">
      <c r="A579" t="s">
        <v>1870</v>
      </c>
      <c r="B579" t="s">
        <v>526</v>
      </c>
      <c r="C579">
        <v>34</v>
      </c>
      <c r="D579" t="s">
        <v>132</v>
      </c>
      <c r="E579" t="s">
        <v>57</v>
      </c>
      <c r="F579" t="s">
        <v>57</v>
      </c>
      <c r="G579">
        <v>0.18</v>
      </c>
      <c r="H579" t="s">
        <v>503</v>
      </c>
      <c r="I579">
        <v>9</v>
      </c>
      <c r="J579" t="str">
        <f>HYPERLINK("https://www.eliteprospects.com/player/862695/grayden-strohack")</f>
        <v>https://www.eliteprospects.com/player/862695/grayden-strohack</v>
      </c>
      <c r="K579" t="s">
        <v>27</v>
      </c>
      <c r="L579" t="s">
        <v>485</v>
      </c>
      <c r="M579" t="s">
        <v>1296</v>
      </c>
      <c r="N579">
        <v>4</v>
      </c>
      <c r="O579" t="s">
        <v>486</v>
      </c>
      <c r="P579">
        <v>0.03</v>
      </c>
      <c r="Q579" t="s">
        <v>245</v>
      </c>
      <c r="R579">
        <v>28.6</v>
      </c>
      <c r="S579">
        <v>31.4</v>
      </c>
      <c r="T579">
        <v>28.6</v>
      </c>
      <c r="U579">
        <v>4.3</v>
      </c>
      <c r="V579">
        <v>7.1</v>
      </c>
    </row>
    <row r="580" spans="1:22" x14ac:dyDescent="0.25">
      <c r="A580" t="s">
        <v>1871</v>
      </c>
      <c r="B580" t="s">
        <v>531</v>
      </c>
      <c r="C580">
        <v>38</v>
      </c>
      <c r="D580" t="s">
        <v>132</v>
      </c>
      <c r="E580" t="s">
        <v>57</v>
      </c>
      <c r="F580" t="s">
        <v>57</v>
      </c>
      <c r="G580">
        <v>0.16</v>
      </c>
      <c r="H580" t="s">
        <v>32</v>
      </c>
      <c r="I580">
        <v>-19</v>
      </c>
      <c r="J580" t="str">
        <f>HYPERLINK("https://www.eliteprospects.com/player/876714/brady-blaseg")</f>
        <v>https://www.eliteprospects.com/player/876714/brady-blaseg</v>
      </c>
      <c r="K580" t="s">
        <v>27</v>
      </c>
      <c r="L580" t="s">
        <v>485</v>
      </c>
      <c r="M580" t="s">
        <v>1296</v>
      </c>
      <c r="N580">
        <v>2</v>
      </c>
      <c r="O580" t="s">
        <v>501</v>
      </c>
      <c r="P580">
        <v>0.02</v>
      </c>
      <c r="Q580" t="s">
        <v>245</v>
      </c>
      <c r="R580">
        <v>28.6</v>
      </c>
      <c r="S580">
        <v>31.4</v>
      </c>
      <c r="T580">
        <v>28.6</v>
      </c>
      <c r="U580">
        <v>4.3</v>
      </c>
      <c r="V580">
        <v>7.1</v>
      </c>
    </row>
    <row r="581" spans="1:22" x14ac:dyDescent="0.25">
      <c r="A581" t="s">
        <v>1872</v>
      </c>
      <c r="B581" t="s">
        <v>507</v>
      </c>
      <c r="C581">
        <v>24</v>
      </c>
      <c r="D581" t="s">
        <v>140</v>
      </c>
      <c r="E581" t="s">
        <v>79</v>
      </c>
      <c r="F581" t="s">
        <v>96</v>
      </c>
      <c r="G581">
        <v>0.21</v>
      </c>
      <c r="H581" t="s">
        <v>33</v>
      </c>
      <c r="I581">
        <v>0</v>
      </c>
      <c r="J581" t="str">
        <f>HYPERLINK("https://www.eliteprospects.com/player/881135/liam-ladds")</f>
        <v>https://www.eliteprospects.com/player/881135/liam-ladds</v>
      </c>
      <c r="K581" t="s">
        <v>27</v>
      </c>
      <c r="L581" t="s">
        <v>485</v>
      </c>
      <c r="M581" t="s">
        <v>1296</v>
      </c>
      <c r="N581">
        <v>3</v>
      </c>
      <c r="O581" t="s">
        <v>492</v>
      </c>
      <c r="P581">
        <v>0.03</v>
      </c>
      <c r="Q581" t="s">
        <v>245</v>
      </c>
      <c r="R581">
        <v>28.6</v>
      </c>
      <c r="S581">
        <v>31.4</v>
      </c>
      <c r="T581">
        <v>28.6</v>
      </c>
      <c r="U581">
        <v>4.3</v>
      </c>
      <c r="V581">
        <v>7.1</v>
      </c>
    </row>
    <row r="582" spans="1:22" x14ac:dyDescent="0.25">
      <c r="A582" t="s">
        <v>1873</v>
      </c>
      <c r="B582" t="s">
        <v>507</v>
      </c>
      <c r="C582">
        <v>38</v>
      </c>
      <c r="D582" t="s">
        <v>140</v>
      </c>
      <c r="E582" t="s">
        <v>79</v>
      </c>
      <c r="F582" t="s">
        <v>96</v>
      </c>
      <c r="G582">
        <v>0.13</v>
      </c>
      <c r="H582" t="s">
        <v>125</v>
      </c>
      <c r="I582">
        <v>-1</v>
      </c>
      <c r="J582" t="str">
        <f>HYPERLINK("https://www.eliteprospects.com/player/897401/carter-hicks")</f>
        <v>https://www.eliteprospects.com/player/897401/carter-hicks</v>
      </c>
      <c r="K582" t="s">
        <v>27</v>
      </c>
      <c r="L582" t="s">
        <v>485</v>
      </c>
      <c r="M582" t="s">
        <v>1296</v>
      </c>
      <c r="N582">
        <v>2</v>
      </c>
      <c r="O582" t="s">
        <v>501</v>
      </c>
      <c r="P582">
        <v>0.02</v>
      </c>
      <c r="Q582" t="s">
        <v>245</v>
      </c>
      <c r="R582">
        <v>28.6</v>
      </c>
      <c r="S582">
        <v>31.4</v>
      </c>
      <c r="T582">
        <v>28.6</v>
      </c>
      <c r="U582">
        <v>4.3</v>
      </c>
      <c r="V582">
        <v>7.1</v>
      </c>
    </row>
    <row r="583" spans="1:22" x14ac:dyDescent="0.25">
      <c r="A583" t="s">
        <v>1874</v>
      </c>
      <c r="B583" t="s">
        <v>578</v>
      </c>
      <c r="C583">
        <v>41</v>
      </c>
      <c r="D583" t="s">
        <v>79</v>
      </c>
      <c r="E583" t="s">
        <v>140</v>
      </c>
      <c r="F583" t="s">
        <v>96</v>
      </c>
      <c r="G583">
        <v>0.12</v>
      </c>
      <c r="H583" t="s">
        <v>47</v>
      </c>
      <c r="I583">
        <v>-17</v>
      </c>
      <c r="J583" t="str">
        <f>HYPERLINK("https://www.eliteprospects.com/player/864166/julius-saari")</f>
        <v>https://www.eliteprospects.com/player/864166/julius-saari</v>
      </c>
      <c r="K583" t="s">
        <v>27</v>
      </c>
      <c r="L583" t="s">
        <v>485</v>
      </c>
      <c r="M583" t="s">
        <v>1296</v>
      </c>
      <c r="N583">
        <v>1</v>
      </c>
      <c r="O583" t="s">
        <v>494</v>
      </c>
      <c r="P583">
        <v>0.02</v>
      </c>
      <c r="Q583" t="s">
        <v>245</v>
      </c>
      <c r="R583">
        <v>28.6</v>
      </c>
      <c r="S583">
        <v>31.4</v>
      </c>
      <c r="T583">
        <v>28.6</v>
      </c>
      <c r="U583">
        <v>4.3</v>
      </c>
      <c r="V583">
        <v>7.1</v>
      </c>
    </row>
    <row r="584" spans="1:22" x14ac:dyDescent="0.25">
      <c r="A584" t="s">
        <v>1875</v>
      </c>
      <c r="B584" t="s">
        <v>488</v>
      </c>
      <c r="C584">
        <v>32</v>
      </c>
      <c r="D584" t="s">
        <v>260</v>
      </c>
      <c r="E584" t="s">
        <v>66</v>
      </c>
      <c r="F584" t="s">
        <v>96</v>
      </c>
      <c r="G584">
        <v>0.16</v>
      </c>
      <c r="H584" t="s">
        <v>39</v>
      </c>
      <c r="I584">
        <v>-12</v>
      </c>
      <c r="J584" t="str">
        <f>HYPERLINK("https://www.eliteprospects.com/player/905936/trevor-o-dell")</f>
        <v>https://www.eliteprospects.com/player/905936/trevor-o-dell</v>
      </c>
      <c r="K584" t="s">
        <v>27</v>
      </c>
      <c r="L584" t="s">
        <v>485</v>
      </c>
      <c r="M584" t="s">
        <v>1296</v>
      </c>
      <c r="N584">
        <v>3</v>
      </c>
      <c r="O584" t="s">
        <v>492</v>
      </c>
      <c r="P584">
        <v>0.02</v>
      </c>
      <c r="Q584" t="s">
        <v>245</v>
      </c>
      <c r="R584">
        <v>28.6</v>
      </c>
      <c r="S584">
        <v>31.4</v>
      </c>
      <c r="T584">
        <v>28.6</v>
      </c>
      <c r="U584">
        <v>4.3</v>
      </c>
      <c r="V584">
        <v>7.1</v>
      </c>
    </row>
    <row r="585" spans="1:22" x14ac:dyDescent="0.25">
      <c r="A585" t="s">
        <v>1876</v>
      </c>
      <c r="B585" t="s">
        <v>515</v>
      </c>
      <c r="C585">
        <v>35</v>
      </c>
      <c r="D585" t="s">
        <v>260</v>
      </c>
      <c r="E585" t="s">
        <v>66</v>
      </c>
      <c r="F585" t="s">
        <v>96</v>
      </c>
      <c r="G585">
        <v>0.14000000000000001</v>
      </c>
      <c r="H585" t="s">
        <v>763</v>
      </c>
      <c r="I585">
        <v>1</v>
      </c>
      <c r="J585" t="str">
        <f>HYPERLINK("https://www.eliteprospects.com/player/618997/gabriel-eliasson")</f>
        <v>https://www.eliteprospects.com/player/618997/gabriel-eliasson</v>
      </c>
      <c r="K585" t="s">
        <v>27</v>
      </c>
      <c r="L585" t="s">
        <v>485</v>
      </c>
      <c r="M585" t="s">
        <v>1296</v>
      </c>
      <c r="N585">
        <v>2</v>
      </c>
      <c r="O585" t="s">
        <v>501</v>
      </c>
      <c r="P585">
        <v>0.02</v>
      </c>
      <c r="Q585" t="s">
        <v>245</v>
      </c>
      <c r="R585">
        <v>28.6</v>
      </c>
      <c r="S585">
        <v>31.4</v>
      </c>
      <c r="T585">
        <v>28.6</v>
      </c>
      <c r="U585">
        <v>4.3</v>
      </c>
      <c r="V585">
        <v>7.1</v>
      </c>
    </row>
    <row r="586" spans="1:22" x14ac:dyDescent="0.25">
      <c r="A586" t="s">
        <v>1877</v>
      </c>
      <c r="B586" t="s">
        <v>515</v>
      </c>
      <c r="C586">
        <v>30</v>
      </c>
      <c r="D586" t="s">
        <v>132</v>
      </c>
      <c r="E586" t="s">
        <v>96</v>
      </c>
      <c r="F586" t="s">
        <v>96</v>
      </c>
      <c r="G586">
        <v>0.17</v>
      </c>
      <c r="H586" t="s">
        <v>39</v>
      </c>
      <c r="I586">
        <v>7</v>
      </c>
      <c r="J586" t="str">
        <f>HYPERLINK("https://www.eliteprospects.com/player/881099/teague-vader")</f>
        <v>https://www.eliteprospects.com/player/881099/teague-vader</v>
      </c>
      <c r="K586" t="s">
        <v>27</v>
      </c>
      <c r="L586" t="s">
        <v>485</v>
      </c>
      <c r="M586" t="s">
        <v>1296</v>
      </c>
      <c r="N586">
        <v>2</v>
      </c>
      <c r="O586" t="s">
        <v>501</v>
      </c>
      <c r="P586">
        <v>0.02</v>
      </c>
      <c r="Q586" t="s">
        <v>245</v>
      </c>
      <c r="R586">
        <v>28.6</v>
      </c>
      <c r="S586">
        <v>31.4</v>
      </c>
      <c r="T586">
        <v>28.6</v>
      </c>
      <c r="U586">
        <v>4.3</v>
      </c>
      <c r="V586">
        <v>7.1</v>
      </c>
    </row>
    <row r="587" spans="1:22" x14ac:dyDescent="0.25">
      <c r="A587" t="s">
        <v>1878</v>
      </c>
      <c r="B587" t="s">
        <v>531</v>
      </c>
      <c r="C587">
        <v>30</v>
      </c>
      <c r="D587" t="s">
        <v>132</v>
      </c>
      <c r="E587" t="s">
        <v>96</v>
      </c>
      <c r="F587" t="s">
        <v>96</v>
      </c>
      <c r="G587">
        <v>0.17</v>
      </c>
      <c r="H587" t="s">
        <v>39</v>
      </c>
      <c r="I587">
        <v>-12</v>
      </c>
      <c r="J587" t="str">
        <f>HYPERLINK("https://www.eliteprospects.com/player/961410/colin-feeley")</f>
        <v>https://www.eliteprospects.com/player/961410/colin-feeley</v>
      </c>
      <c r="K587" t="s">
        <v>27</v>
      </c>
      <c r="L587" t="s">
        <v>485</v>
      </c>
      <c r="M587" t="s">
        <v>1296</v>
      </c>
      <c r="N587">
        <v>1</v>
      </c>
      <c r="O587" t="s">
        <v>494</v>
      </c>
      <c r="P587">
        <v>0.02</v>
      </c>
      <c r="Q587" t="s">
        <v>245</v>
      </c>
      <c r="R587">
        <v>28.6</v>
      </c>
      <c r="S587">
        <v>31.4</v>
      </c>
      <c r="T587">
        <v>28.6</v>
      </c>
      <c r="U587">
        <v>4.3</v>
      </c>
      <c r="V587">
        <v>7.1</v>
      </c>
    </row>
    <row r="588" spans="1:22" x14ac:dyDescent="0.25">
      <c r="A588" t="s">
        <v>1879</v>
      </c>
      <c r="B588" t="s">
        <v>507</v>
      </c>
      <c r="C588">
        <v>31</v>
      </c>
      <c r="D588" t="s">
        <v>132</v>
      </c>
      <c r="E588" t="s">
        <v>96</v>
      </c>
      <c r="F588" t="s">
        <v>96</v>
      </c>
      <c r="G588">
        <v>0.16</v>
      </c>
      <c r="H588" t="s">
        <v>66</v>
      </c>
      <c r="I588">
        <v>-2</v>
      </c>
      <c r="J588" t="str">
        <f>HYPERLINK("https://www.eliteprospects.com/player/887886/patrick-babin")</f>
        <v>https://www.eliteprospects.com/player/887886/patrick-babin</v>
      </c>
      <c r="K588" t="s">
        <v>27</v>
      </c>
      <c r="L588" t="s">
        <v>485</v>
      </c>
      <c r="M588" t="s">
        <v>1296</v>
      </c>
      <c r="N588">
        <v>2</v>
      </c>
      <c r="O588" t="s">
        <v>501</v>
      </c>
      <c r="P588">
        <v>0.02</v>
      </c>
      <c r="Q588" t="s">
        <v>245</v>
      </c>
      <c r="R588">
        <v>28.6</v>
      </c>
      <c r="S588">
        <v>31.4</v>
      </c>
      <c r="T588">
        <v>28.6</v>
      </c>
      <c r="U588">
        <v>4.3</v>
      </c>
      <c r="V588">
        <v>7.1</v>
      </c>
    </row>
    <row r="589" spans="1:22" x14ac:dyDescent="0.25">
      <c r="A589" t="s">
        <v>1880</v>
      </c>
      <c r="B589" t="s">
        <v>507</v>
      </c>
      <c r="C589">
        <v>36</v>
      </c>
      <c r="D589" t="s">
        <v>132</v>
      </c>
      <c r="E589" t="s">
        <v>96</v>
      </c>
      <c r="F589" t="s">
        <v>96</v>
      </c>
      <c r="G589">
        <v>0.14000000000000001</v>
      </c>
      <c r="H589" t="s">
        <v>178</v>
      </c>
      <c r="I589">
        <v>1</v>
      </c>
      <c r="J589" t="str">
        <f>HYPERLINK("https://www.eliteprospects.com/player/881106/hayden-barch")</f>
        <v>https://www.eliteprospects.com/player/881106/hayden-barch</v>
      </c>
      <c r="K589" t="s">
        <v>27</v>
      </c>
      <c r="L589" t="s">
        <v>485</v>
      </c>
      <c r="M589" t="s">
        <v>1296</v>
      </c>
      <c r="N589">
        <v>2</v>
      </c>
      <c r="O589" t="s">
        <v>501</v>
      </c>
      <c r="P589">
        <v>0.02</v>
      </c>
      <c r="Q589" t="s">
        <v>245</v>
      </c>
      <c r="R589">
        <v>28.6</v>
      </c>
      <c r="S589">
        <v>31.4</v>
      </c>
      <c r="T589">
        <v>28.6</v>
      </c>
      <c r="U589">
        <v>4.3</v>
      </c>
      <c r="V589">
        <v>7.1</v>
      </c>
    </row>
    <row r="590" spans="1:22" x14ac:dyDescent="0.25">
      <c r="A590" t="s">
        <v>1881</v>
      </c>
      <c r="B590" t="s">
        <v>531</v>
      </c>
      <c r="C590">
        <v>35</v>
      </c>
      <c r="D590" t="s">
        <v>79</v>
      </c>
      <c r="E590" t="s">
        <v>79</v>
      </c>
      <c r="F590" t="s">
        <v>66</v>
      </c>
      <c r="G590">
        <v>0.11</v>
      </c>
      <c r="H590" t="s">
        <v>57</v>
      </c>
      <c r="I590">
        <v>-22</v>
      </c>
      <c r="J590" t="str">
        <f>HYPERLINK("https://www.eliteprospects.com/player/690049/anthony-timmerman")</f>
        <v>https://www.eliteprospects.com/player/690049/anthony-timmerman</v>
      </c>
      <c r="K590" t="s">
        <v>27</v>
      </c>
      <c r="L590" t="s">
        <v>485</v>
      </c>
      <c r="M590" t="s">
        <v>1296</v>
      </c>
      <c r="N590">
        <v>1</v>
      </c>
      <c r="O590" t="s">
        <v>494</v>
      </c>
      <c r="P590">
        <v>0.02</v>
      </c>
      <c r="Q590" t="s">
        <v>245</v>
      </c>
      <c r="R590">
        <v>28.6</v>
      </c>
      <c r="S590">
        <v>31.4</v>
      </c>
      <c r="T590">
        <v>28.6</v>
      </c>
      <c r="U590">
        <v>4.3</v>
      </c>
      <c r="V590">
        <v>7.1</v>
      </c>
    </row>
    <row r="591" spans="1:22" x14ac:dyDescent="0.25">
      <c r="A591" t="s">
        <v>1882</v>
      </c>
      <c r="B591" t="s">
        <v>515</v>
      </c>
      <c r="C591">
        <v>40</v>
      </c>
      <c r="D591" t="s">
        <v>79</v>
      </c>
      <c r="E591" t="s">
        <v>79</v>
      </c>
      <c r="F591" t="s">
        <v>66</v>
      </c>
      <c r="G591">
        <v>0.1</v>
      </c>
      <c r="H591" t="s">
        <v>513</v>
      </c>
      <c r="I591">
        <v>9</v>
      </c>
      <c r="J591" t="str">
        <f>HYPERLINK("https://www.eliteprospects.com/player/880891/evan-passmore")</f>
        <v>https://www.eliteprospects.com/player/880891/evan-passmore</v>
      </c>
      <c r="K591" t="s">
        <v>27</v>
      </c>
      <c r="L591" t="s">
        <v>485</v>
      </c>
      <c r="M591" t="s">
        <v>1296</v>
      </c>
      <c r="N591">
        <v>3</v>
      </c>
      <c r="O591" t="s">
        <v>492</v>
      </c>
      <c r="P591">
        <v>0.01</v>
      </c>
      <c r="Q591" t="s">
        <v>245</v>
      </c>
      <c r="R591">
        <v>28.6</v>
      </c>
      <c r="S591">
        <v>31.4</v>
      </c>
      <c r="T591">
        <v>28.6</v>
      </c>
      <c r="U591">
        <v>4.3</v>
      </c>
      <c r="V591">
        <v>7.1</v>
      </c>
    </row>
    <row r="592" spans="1:22" x14ac:dyDescent="0.25">
      <c r="A592" t="s">
        <v>1883</v>
      </c>
      <c r="B592" t="s">
        <v>490</v>
      </c>
      <c r="C592">
        <v>20</v>
      </c>
      <c r="D592" t="s">
        <v>260</v>
      </c>
      <c r="E592" t="s">
        <v>140</v>
      </c>
      <c r="F592" t="s">
        <v>66</v>
      </c>
      <c r="G592">
        <v>0.2</v>
      </c>
      <c r="H592" t="s">
        <v>57</v>
      </c>
      <c r="I592">
        <v>4</v>
      </c>
      <c r="J592" t="str">
        <f>HYPERLINK("https://www.eliteprospects.com/player/597859/blake-barnes")</f>
        <v>https://www.eliteprospects.com/player/597859/blake-barnes</v>
      </c>
      <c r="K592" t="s">
        <v>27</v>
      </c>
      <c r="L592" t="s">
        <v>485</v>
      </c>
      <c r="M592" t="s">
        <v>1296</v>
      </c>
      <c r="N592">
        <v>3</v>
      </c>
      <c r="O592" t="s">
        <v>492</v>
      </c>
      <c r="P592">
        <v>0.03</v>
      </c>
      <c r="Q592" t="s">
        <v>245</v>
      </c>
      <c r="R592">
        <v>28.6</v>
      </c>
      <c r="S592">
        <v>31.4</v>
      </c>
      <c r="T592">
        <v>28.6</v>
      </c>
      <c r="U592">
        <v>4.3</v>
      </c>
      <c r="V592">
        <v>7.1</v>
      </c>
    </row>
    <row r="593" spans="1:22" x14ac:dyDescent="0.25">
      <c r="A593" t="s">
        <v>1884</v>
      </c>
      <c r="B593" t="s">
        <v>531</v>
      </c>
      <c r="C593">
        <v>33</v>
      </c>
      <c r="D593" t="s">
        <v>260</v>
      </c>
      <c r="E593" t="s">
        <v>140</v>
      </c>
      <c r="F593" t="s">
        <v>66</v>
      </c>
      <c r="G593">
        <v>0.12</v>
      </c>
      <c r="H593" t="s">
        <v>34</v>
      </c>
      <c r="I593">
        <v>-5</v>
      </c>
      <c r="J593" t="str">
        <f>HYPERLINK("https://www.eliteprospects.com/player/1004154/brady-murnane")</f>
        <v>https://www.eliteprospects.com/player/1004154/brady-murnane</v>
      </c>
      <c r="K593" t="s">
        <v>27</v>
      </c>
      <c r="L593" t="s">
        <v>485</v>
      </c>
      <c r="M593" t="s">
        <v>1296</v>
      </c>
      <c r="N593">
        <v>1</v>
      </c>
      <c r="O593" t="s">
        <v>494</v>
      </c>
      <c r="P593">
        <v>0.02</v>
      </c>
      <c r="Q593" t="s">
        <v>245</v>
      </c>
      <c r="R593">
        <v>28.6</v>
      </c>
      <c r="S593">
        <v>31.4</v>
      </c>
      <c r="T593">
        <v>28.6</v>
      </c>
      <c r="U593">
        <v>4.3</v>
      </c>
      <c r="V593">
        <v>7.1</v>
      </c>
    </row>
    <row r="594" spans="1:22" x14ac:dyDescent="0.25">
      <c r="A594" t="s">
        <v>1885</v>
      </c>
      <c r="B594" t="s">
        <v>504</v>
      </c>
      <c r="C594">
        <v>33</v>
      </c>
      <c r="D594" t="s">
        <v>260</v>
      </c>
      <c r="E594" t="s">
        <v>140</v>
      </c>
      <c r="F594" t="s">
        <v>66</v>
      </c>
      <c r="G594">
        <v>0.12</v>
      </c>
      <c r="H594" t="s">
        <v>53</v>
      </c>
      <c r="I594">
        <v>4</v>
      </c>
      <c r="J594" t="str">
        <f>HYPERLINK("https://www.eliteprospects.com/player/890367/andrew-macniel")</f>
        <v>https://www.eliteprospects.com/player/890367/andrew-macniel</v>
      </c>
      <c r="K594" t="s">
        <v>27</v>
      </c>
      <c r="L594" t="s">
        <v>485</v>
      </c>
      <c r="M594" t="s">
        <v>1296</v>
      </c>
      <c r="N594">
        <v>3</v>
      </c>
      <c r="O594" t="s">
        <v>492</v>
      </c>
      <c r="P594">
        <v>0.02</v>
      </c>
      <c r="Q594" t="s">
        <v>245</v>
      </c>
      <c r="R594">
        <v>28.6</v>
      </c>
      <c r="S594">
        <v>31.4</v>
      </c>
      <c r="T594">
        <v>28.6</v>
      </c>
      <c r="U594">
        <v>4.3</v>
      </c>
      <c r="V594">
        <v>7.1</v>
      </c>
    </row>
    <row r="595" spans="1:22" x14ac:dyDescent="0.25">
      <c r="A595" t="s">
        <v>1886</v>
      </c>
      <c r="B595" t="s">
        <v>562</v>
      </c>
      <c r="C595">
        <v>33</v>
      </c>
      <c r="D595" t="s">
        <v>260</v>
      </c>
      <c r="E595" t="s">
        <v>140</v>
      </c>
      <c r="F595" t="s">
        <v>66</v>
      </c>
      <c r="G595">
        <v>0.12</v>
      </c>
      <c r="H595" t="s">
        <v>235</v>
      </c>
      <c r="I595">
        <v>-6</v>
      </c>
      <c r="J595" t="str">
        <f>HYPERLINK("https://www.eliteprospects.com/player/987181/peter-green")</f>
        <v>https://www.eliteprospects.com/player/987181/peter-green</v>
      </c>
      <c r="K595" t="s">
        <v>27</v>
      </c>
      <c r="L595" t="s">
        <v>485</v>
      </c>
      <c r="M595" t="s">
        <v>1296</v>
      </c>
      <c r="N595">
        <v>1</v>
      </c>
      <c r="O595" t="s">
        <v>494</v>
      </c>
      <c r="P595">
        <v>0.02</v>
      </c>
      <c r="Q595" t="s">
        <v>245</v>
      </c>
      <c r="R595">
        <v>28.6</v>
      </c>
      <c r="S595">
        <v>31.4</v>
      </c>
      <c r="T595">
        <v>28.6</v>
      </c>
      <c r="U595">
        <v>4.3</v>
      </c>
      <c r="V595">
        <v>7.1</v>
      </c>
    </row>
    <row r="596" spans="1:22" x14ac:dyDescent="0.25">
      <c r="A596" t="s">
        <v>1887</v>
      </c>
      <c r="B596" t="s">
        <v>561</v>
      </c>
      <c r="C596">
        <v>37</v>
      </c>
      <c r="D596" t="s">
        <v>260</v>
      </c>
      <c r="E596" t="s">
        <v>140</v>
      </c>
      <c r="F596" t="s">
        <v>66</v>
      </c>
      <c r="G596">
        <v>0.11</v>
      </c>
      <c r="H596" t="s">
        <v>55</v>
      </c>
      <c r="I596">
        <v>12</v>
      </c>
      <c r="J596" t="str">
        <f>HYPERLINK("https://www.eliteprospects.com/player/890365/lukas-moore")</f>
        <v>https://www.eliteprospects.com/player/890365/lukas-moore</v>
      </c>
      <c r="K596" t="s">
        <v>27</v>
      </c>
      <c r="L596" t="s">
        <v>485</v>
      </c>
      <c r="M596" t="s">
        <v>1296</v>
      </c>
      <c r="N596">
        <v>2</v>
      </c>
      <c r="O596" t="s">
        <v>501</v>
      </c>
      <c r="P596">
        <v>0.02</v>
      </c>
      <c r="Q596" t="s">
        <v>245</v>
      </c>
      <c r="R596">
        <v>28.6</v>
      </c>
      <c r="S596">
        <v>31.4</v>
      </c>
      <c r="T596">
        <v>28.6</v>
      </c>
      <c r="U596">
        <v>4.3</v>
      </c>
      <c r="V596">
        <v>7.1</v>
      </c>
    </row>
    <row r="597" spans="1:22" x14ac:dyDescent="0.25">
      <c r="A597" t="s">
        <v>1888</v>
      </c>
      <c r="B597" t="s">
        <v>521</v>
      </c>
      <c r="C597">
        <v>15</v>
      </c>
      <c r="D597" t="s">
        <v>132</v>
      </c>
      <c r="E597" t="s">
        <v>66</v>
      </c>
      <c r="F597" t="s">
        <v>66</v>
      </c>
      <c r="G597">
        <v>0.27</v>
      </c>
      <c r="H597" t="s">
        <v>57</v>
      </c>
      <c r="I597">
        <v>5</v>
      </c>
      <c r="J597" t="str">
        <f>HYPERLINK("https://www.eliteprospects.com/player/918214/nolan-jackson")</f>
        <v>https://www.eliteprospects.com/player/918214/nolan-jackson</v>
      </c>
      <c r="K597" t="s">
        <v>27</v>
      </c>
      <c r="L597" t="s">
        <v>485</v>
      </c>
      <c r="M597" t="s">
        <v>1296</v>
      </c>
      <c r="N597">
        <v>3</v>
      </c>
      <c r="O597" t="s">
        <v>492</v>
      </c>
      <c r="P597">
        <v>0.04</v>
      </c>
      <c r="Q597" t="s">
        <v>245</v>
      </c>
      <c r="R597">
        <v>28.6</v>
      </c>
      <c r="S597">
        <v>31.4</v>
      </c>
      <c r="T597">
        <v>28.6</v>
      </c>
      <c r="U597">
        <v>4.3</v>
      </c>
      <c r="V597">
        <v>7.1</v>
      </c>
    </row>
    <row r="598" spans="1:22" x14ac:dyDescent="0.25">
      <c r="A598" t="s">
        <v>1889</v>
      </c>
      <c r="B598" t="s">
        <v>507</v>
      </c>
      <c r="C598">
        <v>41</v>
      </c>
      <c r="D598" t="s">
        <v>132</v>
      </c>
      <c r="E598" t="s">
        <v>66</v>
      </c>
      <c r="F598" t="s">
        <v>66</v>
      </c>
      <c r="G598">
        <v>0.1</v>
      </c>
      <c r="H598" t="s">
        <v>40</v>
      </c>
      <c r="I598">
        <v>-6</v>
      </c>
      <c r="J598" t="str">
        <f>HYPERLINK("https://www.eliteprospects.com/player/836555/artyom-frolov")</f>
        <v>https://www.eliteprospects.com/player/836555/artyom-frolov</v>
      </c>
      <c r="K598" t="s">
        <v>27</v>
      </c>
      <c r="L598" t="s">
        <v>485</v>
      </c>
      <c r="M598" t="s">
        <v>1296</v>
      </c>
      <c r="N598">
        <v>3</v>
      </c>
      <c r="O598" t="s">
        <v>492</v>
      </c>
      <c r="P598">
        <v>0.01</v>
      </c>
      <c r="Q598" t="s">
        <v>245</v>
      </c>
      <c r="R598">
        <v>28.6</v>
      </c>
      <c r="S598">
        <v>31.4</v>
      </c>
      <c r="T598">
        <v>28.6</v>
      </c>
      <c r="U598">
        <v>4.3</v>
      </c>
      <c r="V598">
        <v>7.1</v>
      </c>
    </row>
    <row r="599" spans="1:22" x14ac:dyDescent="0.25">
      <c r="A599" t="s">
        <v>1890</v>
      </c>
      <c r="B599" t="s">
        <v>496</v>
      </c>
      <c r="C599">
        <v>41</v>
      </c>
      <c r="D599" t="s">
        <v>132</v>
      </c>
      <c r="E599" t="s">
        <v>66</v>
      </c>
      <c r="F599" t="s">
        <v>66</v>
      </c>
      <c r="G599">
        <v>0.1</v>
      </c>
      <c r="H599" t="s">
        <v>491</v>
      </c>
      <c r="I599">
        <v>8</v>
      </c>
      <c r="J599" t="str">
        <f>HYPERLINK("https://www.eliteprospects.com/player/879064/joshua-glavin")</f>
        <v>https://www.eliteprospects.com/player/879064/joshua-glavin</v>
      </c>
      <c r="K599" t="s">
        <v>27</v>
      </c>
      <c r="L599" t="s">
        <v>485</v>
      </c>
      <c r="M599" t="s">
        <v>1296</v>
      </c>
      <c r="N599">
        <v>4</v>
      </c>
      <c r="O599" t="s">
        <v>486</v>
      </c>
      <c r="P599">
        <v>0.01</v>
      </c>
      <c r="Q599" t="s">
        <v>245</v>
      </c>
      <c r="R599">
        <v>28.6</v>
      </c>
      <c r="S599">
        <v>31.4</v>
      </c>
      <c r="T599">
        <v>28.6</v>
      </c>
      <c r="U599">
        <v>4.3</v>
      </c>
      <c r="V599">
        <v>7.1</v>
      </c>
    </row>
    <row r="600" spans="1:22" x14ac:dyDescent="0.25">
      <c r="A600" t="s">
        <v>1891</v>
      </c>
      <c r="B600" t="s">
        <v>498</v>
      </c>
      <c r="C600">
        <v>21</v>
      </c>
      <c r="D600" t="s">
        <v>79</v>
      </c>
      <c r="E600" t="s">
        <v>260</v>
      </c>
      <c r="F600" t="s">
        <v>140</v>
      </c>
      <c r="G600">
        <v>0.14000000000000001</v>
      </c>
      <c r="H600" t="s">
        <v>79</v>
      </c>
      <c r="I600">
        <v>2</v>
      </c>
      <c r="J600" t="str">
        <f>HYPERLINK("https://www.eliteprospects.com/player/968474/blake-munnings")</f>
        <v>https://www.eliteprospects.com/player/968474/blake-munnings</v>
      </c>
      <c r="K600" t="s">
        <v>27</v>
      </c>
      <c r="L600" t="s">
        <v>485</v>
      </c>
      <c r="M600" t="s">
        <v>1296</v>
      </c>
      <c r="N600">
        <v>1</v>
      </c>
      <c r="O600" t="s">
        <v>494</v>
      </c>
      <c r="P600">
        <v>0.02</v>
      </c>
      <c r="Q600" t="s">
        <v>245</v>
      </c>
      <c r="R600">
        <v>28.6</v>
      </c>
      <c r="S600">
        <v>31.4</v>
      </c>
      <c r="T600">
        <v>28.6</v>
      </c>
      <c r="U600">
        <v>4.3</v>
      </c>
      <c r="V600">
        <v>7.1</v>
      </c>
    </row>
    <row r="601" spans="1:22" x14ac:dyDescent="0.25">
      <c r="A601" t="s">
        <v>1892</v>
      </c>
      <c r="B601" t="s">
        <v>536</v>
      </c>
      <c r="C601">
        <v>34</v>
      </c>
      <c r="D601" t="s">
        <v>260</v>
      </c>
      <c r="E601" t="s">
        <v>79</v>
      </c>
      <c r="F601" t="s">
        <v>140</v>
      </c>
      <c r="G601">
        <v>0.09</v>
      </c>
      <c r="H601" t="s">
        <v>513</v>
      </c>
      <c r="I601">
        <v>-9</v>
      </c>
      <c r="J601" t="str">
        <f>HYPERLINK("https://www.eliteprospects.com/player/678283/kaden-aucoin")</f>
        <v>https://www.eliteprospects.com/player/678283/kaden-aucoin</v>
      </c>
      <c r="K601" t="s">
        <v>27</v>
      </c>
      <c r="L601" t="s">
        <v>485</v>
      </c>
      <c r="M601" t="s">
        <v>1296</v>
      </c>
      <c r="N601">
        <v>1</v>
      </c>
      <c r="O601" t="s">
        <v>494</v>
      </c>
      <c r="P601">
        <v>0.01</v>
      </c>
      <c r="Q601" t="s">
        <v>245</v>
      </c>
      <c r="R601">
        <v>28.6</v>
      </c>
      <c r="S601">
        <v>31.4</v>
      </c>
      <c r="T601">
        <v>28.6</v>
      </c>
      <c r="U601">
        <v>4.3</v>
      </c>
      <c r="V601">
        <v>7.1</v>
      </c>
    </row>
    <row r="602" spans="1:22" x14ac:dyDescent="0.25">
      <c r="A602" t="s">
        <v>1893</v>
      </c>
      <c r="B602" t="s">
        <v>520</v>
      </c>
      <c r="C602">
        <v>41</v>
      </c>
      <c r="D602" t="s">
        <v>260</v>
      </c>
      <c r="E602" t="s">
        <v>79</v>
      </c>
      <c r="F602" t="s">
        <v>140</v>
      </c>
      <c r="G602">
        <v>7.0000000000000007E-2</v>
      </c>
      <c r="H602" t="s">
        <v>84</v>
      </c>
      <c r="I602">
        <v>16</v>
      </c>
      <c r="J602" t="str">
        <f>HYPERLINK("https://www.eliteprospects.com/player/689876/jonathan-brown")</f>
        <v>https://www.eliteprospects.com/player/689876/jonathan-brown</v>
      </c>
      <c r="K602" t="s">
        <v>27</v>
      </c>
      <c r="L602" t="s">
        <v>485</v>
      </c>
      <c r="M602" t="s">
        <v>1296</v>
      </c>
      <c r="N602">
        <v>1</v>
      </c>
      <c r="O602" t="s">
        <v>494</v>
      </c>
      <c r="P602">
        <v>0.01</v>
      </c>
      <c r="Q602" t="s">
        <v>245</v>
      </c>
      <c r="R602">
        <v>28.6</v>
      </c>
      <c r="S602">
        <v>31.4</v>
      </c>
      <c r="T602">
        <v>28.6</v>
      </c>
      <c r="U602">
        <v>4.3</v>
      </c>
      <c r="V602">
        <v>7.1</v>
      </c>
    </row>
    <row r="603" spans="1:22" x14ac:dyDescent="0.25">
      <c r="A603" t="s">
        <v>1894</v>
      </c>
      <c r="B603" t="s">
        <v>510</v>
      </c>
      <c r="C603">
        <v>22</v>
      </c>
      <c r="D603" t="s">
        <v>132</v>
      </c>
      <c r="E603" t="s">
        <v>140</v>
      </c>
      <c r="F603" t="s">
        <v>140</v>
      </c>
      <c r="G603">
        <v>0.14000000000000001</v>
      </c>
      <c r="H603" t="s">
        <v>32</v>
      </c>
      <c r="I603">
        <v>3</v>
      </c>
      <c r="J603" t="str">
        <f>HYPERLINK("https://www.eliteprospects.com/player/576954/keegan-gillen")</f>
        <v>https://www.eliteprospects.com/player/576954/keegan-gillen</v>
      </c>
      <c r="K603" t="s">
        <v>27</v>
      </c>
      <c r="L603" t="s">
        <v>485</v>
      </c>
      <c r="M603" t="s">
        <v>1296</v>
      </c>
      <c r="N603">
        <v>2</v>
      </c>
      <c r="O603" t="s">
        <v>501</v>
      </c>
      <c r="P603">
        <v>0.02</v>
      </c>
      <c r="Q603" t="s">
        <v>245</v>
      </c>
      <c r="R603">
        <v>28.6</v>
      </c>
      <c r="S603">
        <v>31.4</v>
      </c>
      <c r="T603">
        <v>28.6</v>
      </c>
      <c r="U603">
        <v>4.3</v>
      </c>
      <c r="V603">
        <v>7.1</v>
      </c>
    </row>
    <row r="604" spans="1:22" x14ac:dyDescent="0.25">
      <c r="A604" t="s">
        <v>1895</v>
      </c>
      <c r="B604" t="s">
        <v>532</v>
      </c>
      <c r="C604">
        <v>22</v>
      </c>
      <c r="D604" t="s">
        <v>132</v>
      </c>
      <c r="E604" t="s">
        <v>140</v>
      </c>
      <c r="F604" t="s">
        <v>140</v>
      </c>
      <c r="G604">
        <v>0.14000000000000001</v>
      </c>
      <c r="H604" t="s">
        <v>25</v>
      </c>
      <c r="I604">
        <v>2</v>
      </c>
      <c r="J604" t="str">
        <f>HYPERLINK("https://www.eliteprospects.com/player/896007/maxim-sokolovsky")</f>
        <v>https://www.eliteprospects.com/player/896007/maxim-sokolovsky</v>
      </c>
      <c r="K604" t="s">
        <v>27</v>
      </c>
      <c r="L604" t="s">
        <v>485</v>
      </c>
      <c r="M604" t="s">
        <v>1296</v>
      </c>
      <c r="N604">
        <v>1</v>
      </c>
      <c r="O604" t="s">
        <v>494</v>
      </c>
      <c r="P604">
        <v>0.02</v>
      </c>
      <c r="Q604" t="s">
        <v>245</v>
      </c>
      <c r="R604">
        <v>28.6</v>
      </c>
      <c r="S604">
        <v>31.4</v>
      </c>
      <c r="T604">
        <v>28.6</v>
      </c>
      <c r="U604">
        <v>4.3</v>
      </c>
      <c r="V604">
        <v>7.1</v>
      </c>
    </row>
    <row r="605" spans="1:22" x14ac:dyDescent="0.25">
      <c r="A605" t="s">
        <v>1896</v>
      </c>
      <c r="B605" t="s">
        <v>546</v>
      </c>
      <c r="C605">
        <v>29</v>
      </c>
      <c r="D605" t="s">
        <v>132</v>
      </c>
      <c r="E605" t="s">
        <v>140</v>
      </c>
      <c r="F605" t="s">
        <v>140</v>
      </c>
      <c r="G605">
        <v>0.1</v>
      </c>
      <c r="H605" t="s">
        <v>69</v>
      </c>
      <c r="I605">
        <v>-3</v>
      </c>
      <c r="J605" t="str">
        <f>HYPERLINK("https://www.eliteprospects.com/player/985399/carter-kunopaski")</f>
        <v>https://www.eliteprospects.com/player/985399/carter-kunopaski</v>
      </c>
      <c r="K605" t="s">
        <v>27</v>
      </c>
      <c r="L605" t="s">
        <v>485</v>
      </c>
      <c r="M605" t="s">
        <v>1296</v>
      </c>
      <c r="N605">
        <v>1</v>
      </c>
      <c r="O605" t="s">
        <v>494</v>
      </c>
      <c r="P605">
        <v>0.01</v>
      </c>
      <c r="Q605" t="s">
        <v>245</v>
      </c>
      <c r="R605">
        <v>28.6</v>
      </c>
      <c r="S605">
        <v>31.4</v>
      </c>
      <c r="T605">
        <v>28.6</v>
      </c>
      <c r="U605">
        <v>4.3</v>
      </c>
      <c r="V605">
        <v>7.1</v>
      </c>
    </row>
    <row r="606" spans="1:22" x14ac:dyDescent="0.25">
      <c r="A606" t="s">
        <v>1897</v>
      </c>
      <c r="B606" t="s">
        <v>562</v>
      </c>
      <c r="C606">
        <v>31</v>
      </c>
      <c r="D606" t="s">
        <v>132</v>
      </c>
      <c r="E606" t="s">
        <v>140</v>
      </c>
      <c r="F606" t="s">
        <v>140</v>
      </c>
      <c r="G606">
        <v>0.1</v>
      </c>
      <c r="H606" t="s">
        <v>500</v>
      </c>
      <c r="I606">
        <v>-14</v>
      </c>
      <c r="J606" t="str">
        <f>HYPERLINK("https://www.eliteprospects.com/player/880429/reed-gee")</f>
        <v>https://www.eliteprospects.com/player/880429/reed-gee</v>
      </c>
      <c r="K606" t="s">
        <v>27</v>
      </c>
      <c r="L606" t="s">
        <v>485</v>
      </c>
      <c r="M606" t="s">
        <v>1296</v>
      </c>
      <c r="N606">
        <v>4</v>
      </c>
      <c r="O606" t="s">
        <v>486</v>
      </c>
      <c r="P606">
        <v>0.01</v>
      </c>
      <c r="Q606" t="s">
        <v>245</v>
      </c>
      <c r="R606">
        <v>28.6</v>
      </c>
      <c r="S606">
        <v>31.4</v>
      </c>
      <c r="T606">
        <v>28.6</v>
      </c>
      <c r="U606">
        <v>4.3</v>
      </c>
      <c r="V606">
        <v>7.1</v>
      </c>
    </row>
    <row r="607" spans="1:22" x14ac:dyDescent="0.25">
      <c r="A607" t="s">
        <v>1898</v>
      </c>
      <c r="B607" t="s">
        <v>504</v>
      </c>
      <c r="C607">
        <v>15</v>
      </c>
      <c r="D607" t="s">
        <v>79</v>
      </c>
      <c r="E607" t="s">
        <v>132</v>
      </c>
      <c r="F607" t="s">
        <v>79</v>
      </c>
      <c r="G607">
        <v>0.13</v>
      </c>
      <c r="H607" t="s">
        <v>57</v>
      </c>
      <c r="I607">
        <v>-2</v>
      </c>
      <c r="J607" t="str">
        <f>HYPERLINK("https://www.eliteprospects.com/player/805219/kaden-schneider")</f>
        <v>https://www.eliteprospects.com/player/805219/kaden-schneider</v>
      </c>
      <c r="K607" t="s">
        <v>27</v>
      </c>
      <c r="L607" t="s">
        <v>485</v>
      </c>
      <c r="M607" t="s">
        <v>1296</v>
      </c>
      <c r="N607">
        <v>2</v>
      </c>
      <c r="O607" t="s">
        <v>501</v>
      </c>
      <c r="P607">
        <v>0.02</v>
      </c>
      <c r="Q607" t="s">
        <v>245</v>
      </c>
      <c r="R607">
        <v>28.6</v>
      </c>
      <c r="S607">
        <v>31.4</v>
      </c>
      <c r="T607">
        <v>28.6</v>
      </c>
      <c r="U607">
        <v>4.3</v>
      </c>
      <c r="V607">
        <v>7.1</v>
      </c>
    </row>
    <row r="608" spans="1:22" x14ac:dyDescent="0.25">
      <c r="A608" t="s">
        <v>1899</v>
      </c>
      <c r="B608" t="s">
        <v>484</v>
      </c>
      <c r="C608">
        <v>16</v>
      </c>
      <c r="D608" t="s">
        <v>260</v>
      </c>
      <c r="E608" t="s">
        <v>260</v>
      </c>
      <c r="F608" t="s">
        <v>79</v>
      </c>
      <c r="G608">
        <v>0.13</v>
      </c>
      <c r="H608" t="s">
        <v>24</v>
      </c>
      <c r="I608">
        <v>1</v>
      </c>
      <c r="J608" t="str">
        <f>HYPERLINK("https://www.eliteprospects.com/player/976477/christian-colosimo")</f>
        <v>https://www.eliteprospects.com/player/976477/christian-colosimo</v>
      </c>
      <c r="K608" t="s">
        <v>27</v>
      </c>
      <c r="L608" t="s">
        <v>485</v>
      </c>
      <c r="M608" t="s">
        <v>1296</v>
      </c>
      <c r="N608">
        <v>2</v>
      </c>
      <c r="O608" t="s">
        <v>501</v>
      </c>
      <c r="P608">
        <v>0.02</v>
      </c>
      <c r="Q608" t="s">
        <v>245</v>
      </c>
      <c r="R608">
        <v>28.6</v>
      </c>
      <c r="S608">
        <v>31.4</v>
      </c>
      <c r="T608">
        <v>28.6</v>
      </c>
      <c r="U608">
        <v>4.3</v>
      </c>
      <c r="V608">
        <v>7.1</v>
      </c>
    </row>
    <row r="609" spans="1:22" x14ac:dyDescent="0.25">
      <c r="A609" t="s">
        <v>1900</v>
      </c>
      <c r="B609" t="s">
        <v>531</v>
      </c>
      <c r="C609">
        <v>23</v>
      </c>
      <c r="D609" t="s">
        <v>260</v>
      </c>
      <c r="E609" t="s">
        <v>260</v>
      </c>
      <c r="F609" t="s">
        <v>79</v>
      </c>
      <c r="G609">
        <v>0.09</v>
      </c>
      <c r="H609" t="s">
        <v>45</v>
      </c>
      <c r="I609">
        <v>-6</v>
      </c>
      <c r="J609" t="str">
        <f>HYPERLINK("https://www.eliteprospects.com/player/862024/leo-laschon")</f>
        <v>https://www.eliteprospects.com/player/862024/leo-laschon</v>
      </c>
      <c r="K609" t="s">
        <v>27</v>
      </c>
      <c r="L609" t="s">
        <v>485</v>
      </c>
      <c r="M609" t="s">
        <v>1296</v>
      </c>
      <c r="N609">
        <v>1</v>
      </c>
      <c r="O609" t="s">
        <v>494</v>
      </c>
      <c r="P609">
        <v>0.01</v>
      </c>
      <c r="Q609" t="s">
        <v>245</v>
      </c>
      <c r="R609">
        <v>28.6</v>
      </c>
      <c r="S609">
        <v>31.4</v>
      </c>
      <c r="T609">
        <v>28.6</v>
      </c>
      <c r="U609">
        <v>4.3</v>
      </c>
      <c r="V609">
        <v>7.1</v>
      </c>
    </row>
    <row r="610" spans="1:22" x14ac:dyDescent="0.25">
      <c r="A610" t="s">
        <v>1901</v>
      </c>
      <c r="B610" t="s">
        <v>562</v>
      </c>
      <c r="C610">
        <v>11</v>
      </c>
      <c r="D610" t="s">
        <v>132</v>
      </c>
      <c r="E610" t="s">
        <v>79</v>
      </c>
      <c r="F610" t="s">
        <v>79</v>
      </c>
      <c r="G610">
        <v>0.18</v>
      </c>
      <c r="H610" t="s">
        <v>79</v>
      </c>
      <c r="I610">
        <v>-2</v>
      </c>
      <c r="J610" t="str">
        <f>HYPERLINK("https://www.eliteprospects.com/player/890943/sean-matthew-goyette")</f>
        <v>https://www.eliteprospects.com/player/890943/sean-matthew-goyette</v>
      </c>
      <c r="K610" t="s">
        <v>27</v>
      </c>
      <c r="L610" t="s">
        <v>485</v>
      </c>
      <c r="M610" t="s">
        <v>1296</v>
      </c>
      <c r="N610">
        <v>1</v>
      </c>
      <c r="O610" t="s">
        <v>494</v>
      </c>
      <c r="P610">
        <v>0.03</v>
      </c>
      <c r="Q610" t="s">
        <v>245</v>
      </c>
      <c r="R610">
        <v>28.6</v>
      </c>
      <c r="S610">
        <v>31.4</v>
      </c>
      <c r="T610">
        <v>28.6</v>
      </c>
      <c r="U610">
        <v>4.3</v>
      </c>
      <c r="V610">
        <v>7.1</v>
      </c>
    </row>
    <row r="611" spans="1:22" x14ac:dyDescent="0.25">
      <c r="A611" t="s">
        <v>1902</v>
      </c>
      <c r="B611" t="s">
        <v>561</v>
      </c>
      <c r="C611">
        <v>14</v>
      </c>
      <c r="D611" t="s">
        <v>132</v>
      </c>
      <c r="E611" t="s">
        <v>79</v>
      </c>
      <c r="F611" t="s">
        <v>79</v>
      </c>
      <c r="G611">
        <v>0.14000000000000001</v>
      </c>
      <c r="H611" t="s">
        <v>79</v>
      </c>
      <c r="I611">
        <v>-3</v>
      </c>
      <c r="J611" t="str">
        <f>HYPERLINK("https://www.eliteprospects.com/player/888237/niko-krmpotic")</f>
        <v>https://www.eliteprospects.com/player/888237/niko-krmpotic</v>
      </c>
      <c r="K611" t="s">
        <v>27</v>
      </c>
      <c r="L611" t="s">
        <v>485</v>
      </c>
      <c r="M611" t="s">
        <v>1296</v>
      </c>
      <c r="N611">
        <v>3</v>
      </c>
      <c r="O611" t="s">
        <v>492</v>
      </c>
      <c r="P611">
        <v>0.02</v>
      </c>
      <c r="Q611" t="s">
        <v>245</v>
      </c>
      <c r="R611">
        <v>28.6</v>
      </c>
      <c r="S611">
        <v>31.4</v>
      </c>
      <c r="T611">
        <v>28.6</v>
      </c>
      <c r="U611">
        <v>4.3</v>
      </c>
      <c r="V611">
        <v>7.1</v>
      </c>
    </row>
    <row r="612" spans="1:22" x14ac:dyDescent="0.25">
      <c r="A612" t="s">
        <v>1903</v>
      </c>
      <c r="B612" t="s">
        <v>493</v>
      </c>
      <c r="C612">
        <v>15</v>
      </c>
      <c r="D612" t="s">
        <v>132</v>
      </c>
      <c r="E612" t="s">
        <v>79</v>
      </c>
      <c r="F612" t="s">
        <v>79</v>
      </c>
      <c r="G612">
        <v>0.13</v>
      </c>
      <c r="H612" t="s">
        <v>79</v>
      </c>
      <c r="I612">
        <v>-2</v>
      </c>
      <c r="J612" t="str">
        <f>HYPERLINK("https://www.eliteprospects.com/player/966263/david-buchman")</f>
        <v>https://www.eliteprospects.com/player/966263/david-buchman</v>
      </c>
      <c r="K612" t="s">
        <v>27</v>
      </c>
      <c r="L612" t="s">
        <v>485</v>
      </c>
      <c r="M612" t="s">
        <v>1296</v>
      </c>
      <c r="N612">
        <v>1</v>
      </c>
      <c r="O612" t="s">
        <v>494</v>
      </c>
      <c r="P612">
        <v>0.02</v>
      </c>
      <c r="Q612" t="s">
        <v>245</v>
      </c>
      <c r="R612">
        <v>28.6</v>
      </c>
      <c r="S612">
        <v>31.4</v>
      </c>
      <c r="T612">
        <v>28.6</v>
      </c>
      <c r="U612">
        <v>4.3</v>
      </c>
      <c r="V612">
        <v>7.1</v>
      </c>
    </row>
    <row r="613" spans="1:22" x14ac:dyDescent="0.25">
      <c r="A613" t="s">
        <v>1904</v>
      </c>
      <c r="B613" t="s">
        <v>562</v>
      </c>
      <c r="C613">
        <v>15</v>
      </c>
      <c r="D613" t="s">
        <v>132</v>
      </c>
      <c r="E613" t="s">
        <v>79</v>
      </c>
      <c r="F613" t="s">
        <v>79</v>
      </c>
      <c r="G613">
        <v>0.13</v>
      </c>
      <c r="H613" t="s">
        <v>518</v>
      </c>
      <c r="I613">
        <v>-8</v>
      </c>
      <c r="J613" t="str">
        <f>HYPERLINK("https://www.eliteprospects.com/player/814149/luke-dragusica")</f>
        <v>https://www.eliteprospects.com/player/814149/luke-dragusica</v>
      </c>
      <c r="K613" t="s">
        <v>27</v>
      </c>
      <c r="L613" t="s">
        <v>485</v>
      </c>
      <c r="M613" t="s">
        <v>1296</v>
      </c>
      <c r="N613">
        <v>3</v>
      </c>
      <c r="O613" t="s">
        <v>492</v>
      </c>
      <c r="P613">
        <v>0.02</v>
      </c>
      <c r="Q613" t="s">
        <v>245</v>
      </c>
      <c r="R613">
        <v>28.6</v>
      </c>
      <c r="S613">
        <v>31.4</v>
      </c>
      <c r="T613">
        <v>28.6</v>
      </c>
      <c r="U613">
        <v>4.3</v>
      </c>
      <c r="V613">
        <v>7.1</v>
      </c>
    </row>
    <row r="614" spans="1:22" x14ac:dyDescent="0.25">
      <c r="A614" t="s">
        <v>1905</v>
      </c>
      <c r="B614" t="s">
        <v>562</v>
      </c>
      <c r="C614">
        <v>23</v>
      </c>
      <c r="D614" t="s">
        <v>132</v>
      </c>
      <c r="E614" t="s">
        <v>79</v>
      </c>
      <c r="F614" t="s">
        <v>79</v>
      </c>
      <c r="G614">
        <v>0.09</v>
      </c>
      <c r="H614" t="s">
        <v>26</v>
      </c>
      <c r="I614">
        <v>1</v>
      </c>
      <c r="J614" t="str">
        <f>HYPERLINK("https://www.eliteprospects.com/player/897532/owen-cartwright")</f>
        <v>https://www.eliteprospects.com/player/897532/owen-cartwright</v>
      </c>
      <c r="K614" t="s">
        <v>27</v>
      </c>
      <c r="L614" t="s">
        <v>485</v>
      </c>
      <c r="M614" t="s">
        <v>1296</v>
      </c>
      <c r="N614">
        <v>2</v>
      </c>
      <c r="O614" t="s">
        <v>501</v>
      </c>
      <c r="P614">
        <v>0.01</v>
      </c>
      <c r="Q614" t="s">
        <v>245</v>
      </c>
      <c r="R614">
        <v>28.6</v>
      </c>
      <c r="S614">
        <v>31.4</v>
      </c>
      <c r="T614">
        <v>28.6</v>
      </c>
      <c r="U614">
        <v>4.3</v>
      </c>
      <c r="V614">
        <v>7.1</v>
      </c>
    </row>
    <row r="615" spans="1:22" x14ac:dyDescent="0.25">
      <c r="A615" t="s">
        <v>1906</v>
      </c>
      <c r="B615" t="s">
        <v>504</v>
      </c>
      <c r="C615">
        <v>32</v>
      </c>
      <c r="D615" t="s">
        <v>132</v>
      </c>
      <c r="E615" t="s">
        <v>79</v>
      </c>
      <c r="F615" t="s">
        <v>79</v>
      </c>
      <c r="G615">
        <v>0.06</v>
      </c>
      <c r="H615" t="s">
        <v>1907</v>
      </c>
      <c r="I615">
        <v>0</v>
      </c>
      <c r="J615" t="str">
        <f>HYPERLINK("https://www.eliteprospects.com/player/880621/maxim-dirracolo")</f>
        <v>https://www.eliteprospects.com/player/880621/maxim-dirracolo</v>
      </c>
      <c r="K615" t="s">
        <v>27</v>
      </c>
      <c r="L615" t="s">
        <v>485</v>
      </c>
      <c r="M615" t="s">
        <v>1296</v>
      </c>
      <c r="N615">
        <v>3</v>
      </c>
      <c r="O615" t="s">
        <v>492</v>
      </c>
      <c r="P615">
        <v>0.01</v>
      </c>
      <c r="Q615" t="s">
        <v>245</v>
      </c>
      <c r="R615">
        <v>28.6</v>
      </c>
      <c r="S615">
        <v>31.4</v>
      </c>
      <c r="T615">
        <v>28.6</v>
      </c>
      <c r="U615">
        <v>4.3</v>
      </c>
      <c r="V615">
        <v>7.1</v>
      </c>
    </row>
    <row r="616" spans="1:22" x14ac:dyDescent="0.25">
      <c r="A616" t="s">
        <v>1528</v>
      </c>
      <c r="B616" t="s">
        <v>510</v>
      </c>
      <c r="C616">
        <v>16</v>
      </c>
      <c r="D616" t="s">
        <v>132</v>
      </c>
      <c r="E616" t="s">
        <v>260</v>
      </c>
      <c r="F616" t="s">
        <v>260</v>
      </c>
      <c r="G616">
        <v>0.06</v>
      </c>
      <c r="H616" t="s">
        <v>23</v>
      </c>
      <c r="I616">
        <v>-2</v>
      </c>
      <c r="J616" t="str">
        <f>HYPERLINK("https://www.eliteprospects.com/player/603040/jack-o-brien")</f>
        <v>https://www.eliteprospects.com/player/603040/jack-o-brien</v>
      </c>
      <c r="K616" t="s">
        <v>27</v>
      </c>
      <c r="L616" t="s">
        <v>485</v>
      </c>
      <c r="M616" t="s">
        <v>1296</v>
      </c>
      <c r="N616">
        <v>6</v>
      </c>
      <c r="O616" t="s">
        <v>1529</v>
      </c>
      <c r="P616">
        <v>0.01</v>
      </c>
      <c r="Q616" t="s">
        <v>245</v>
      </c>
      <c r="R616">
        <v>28.6</v>
      </c>
      <c r="S616">
        <v>31.4</v>
      </c>
      <c r="T616">
        <v>28.6</v>
      </c>
      <c r="U616">
        <v>4.3</v>
      </c>
      <c r="V616">
        <v>7.1</v>
      </c>
    </row>
    <row r="617" spans="1:22" x14ac:dyDescent="0.25">
      <c r="A617" t="s">
        <v>1908</v>
      </c>
      <c r="B617" t="s">
        <v>526</v>
      </c>
      <c r="C617">
        <v>18</v>
      </c>
      <c r="D617" t="s">
        <v>132</v>
      </c>
      <c r="E617" t="s">
        <v>260</v>
      </c>
      <c r="F617" t="s">
        <v>260</v>
      </c>
      <c r="G617">
        <v>0.06</v>
      </c>
      <c r="H617" t="s">
        <v>79</v>
      </c>
      <c r="I617">
        <v>-5</v>
      </c>
      <c r="J617" t="str">
        <f>HYPERLINK("https://www.eliteprospects.com/player/876197/calum-hartnell")</f>
        <v>https://www.eliteprospects.com/player/876197/calum-hartnell</v>
      </c>
      <c r="K617" t="s">
        <v>27</v>
      </c>
      <c r="L617" t="s">
        <v>485</v>
      </c>
      <c r="M617" t="s">
        <v>1296</v>
      </c>
      <c r="N617">
        <v>2</v>
      </c>
      <c r="O617" t="s">
        <v>501</v>
      </c>
      <c r="P617">
        <v>0.01</v>
      </c>
      <c r="Q617" t="s">
        <v>245</v>
      </c>
      <c r="R617">
        <v>28.6</v>
      </c>
      <c r="S617">
        <v>31.4</v>
      </c>
      <c r="T617">
        <v>28.6</v>
      </c>
      <c r="U617">
        <v>4.3</v>
      </c>
      <c r="V617">
        <v>7.1</v>
      </c>
    </row>
    <row r="618" spans="1:22" x14ac:dyDescent="0.25">
      <c r="A618" t="s">
        <v>1909</v>
      </c>
      <c r="B618" t="s">
        <v>484</v>
      </c>
      <c r="C618">
        <v>23</v>
      </c>
      <c r="D618" t="s">
        <v>132</v>
      </c>
      <c r="E618" t="s">
        <v>260</v>
      </c>
      <c r="F618" t="s">
        <v>260</v>
      </c>
      <c r="G618">
        <v>0.04</v>
      </c>
      <c r="H618" t="s">
        <v>66</v>
      </c>
      <c r="I618">
        <v>7</v>
      </c>
      <c r="J618" t="str">
        <f>HYPERLINK("https://www.eliteprospects.com/player/905984/james-paul")</f>
        <v>https://www.eliteprospects.com/player/905984/james-paul</v>
      </c>
      <c r="K618" t="s">
        <v>27</v>
      </c>
      <c r="L618" t="s">
        <v>485</v>
      </c>
      <c r="M618" t="s">
        <v>1296</v>
      </c>
      <c r="N618">
        <v>2</v>
      </c>
      <c r="O618" t="s">
        <v>501</v>
      </c>
      <c r="P618">
        <v>0.01</v>
      </c>
      <c r="Q618" t="s">
        <v>245</v>
      </c>
      <c r="R618">
        <v>28.6</v>
      </c>
      <c r="S618">
        <v>31.4</v>
      </c>
      <c r="T618">
        <v>28.6</v>
      </c>
      <c r="U618">
        <v>4.3</v>
      </c>
      <c r="V618">
        <v>7.1</v>
      </c>
    </row>
    <row r="619" spans="1:22" x14ac:dyDescent="0.25">
      <c r="A619" t="s">
        <v>1910</v>
      </c>
      <c r="B619" t="s">
        <v>578</v>
      </c>
      <c r="C619">
        <v>31</v>
      </c>
      <c r="D619" t="s">
        <v>132</v>
      </c>
      <c r="E619" t="s">
        <v>260</v>
      </c>
      <c r="F619" t="s">
        <v>260</v>
      </c>
      <c r="G619">
        <v>0.03</v>
      </c>
      <c r="H619" t="s">
        <v>277</v>
      </c>
      <c r="I619">
        <v>-9</v>
      </c>
      <c r="J619" t="str">
        <f>HYPERLINK("https://www.eliteprospects.com/player/577219/oliver-turner")</f>
        <v>https://www.eliteprospects.com/player/577219/oliver-turner</v>
      </c>
      <c r="K619" t="s">
        <v>27</v>
      </c>
      <c r="L619" t="s">
        <v>485</v>
      </c>
      <c r="M619" t="s">
        <v>1296</v>
      </c>
      <c r="N619">
        <v>2</v>
      </c>
      <c r="O619" t="s">
        <v>501</v>
      </c>
      <c r="P619">
        <v>0</v>
      </c>
      <c r="Q619" t="s">
        <v>245</v>
      </c>
      <c r="R619">
        <v>28.6</v>
      </c>
      <c r="S619">
        <v>31.4</v>
      </c>
      <c r="T619">
        <v>28.6</v>
      </c>
      <c r="U619">
        <v>4.3</v>
      </c>
      <c r="V619">
        <v>7.1</v>
      </c>
    </row>
    <row r="620" spans="1:22" x14ac:dyDescent="0.25">
      <c r="A620" t="s">
        <v>1911</v>
      </c>
      <c r="B620" t="s">
        <v>484</v>
      </c>
      <c r="C620">
        <v>32</v>
      </c>
      <c r="D620" t="s">
        <v>132</v>
      </c>
      <c r="E620" t="s">
        <v>260</v>
      </c>
      <c r="F620" t="s">
        <v>260</v>
      </c>
      <c r="G620">
        <v>0.03</v>
      </c>
      <c r="H620" t="s">
        <v>60</v>
      </c>
      <c r="I620">
        <v>0</v>
      </c>
      <c r="J620" t="str">
        <f>HYPERLINK("https://www.eliteprospects.com/player/906442/george-komadoski")</f>
        <v>https://www.eliteprospects.com/player/906442/george-komadoski</v>
      </c>
      <c r="K620" t="s">
        <v>27</v>
      </c>
      <c r="L620" t="s">
        <v>485</v>
      </c>
      <c r="M620" t="s">
        <v>1296</v>
      </c>
      <c r="N620">
        <v>1</v>
      </c>
      <c r="O620" t="s">
        <v>494</v>
      </c>
      <c r="P620">
        <v>0</v>
      </c>
      <c r="Q620" t="s">
        <v>245</v>
      </c>
      <c r="R620">
        <v>28.6</v>
      </c>
      <c r="S620">
        <v>31.4</v>
      </c>
      <c r="T620">
        <v>28.6</v>
      </c>
      <c r="U620">
        <v>4.3</v>
      </c>
      <c r="V620">
        <v>7.1</v>
      </c>
    </row>
    <row r="621" spans="1:22" x14ac:dyDescent="0.25">
      <c r="A621" t="s">
        <v>1912</v>
      </c>
      <c r="B621" t="s">
        <v>526</v>
      </c>
      <c r="C621">
        <v>37</v>
      </c>
      <c r="D621" t="s">
        <v>132</v>
      </c>
      <c r="E621" t="s">
        <v>260</v>
      </c>
      <c r="F621" t="s">
        <v>260</v>
      </c>
      <c r="G621">
        <v>0.03</v>
      </c>
      <c r="H621" t="s">
        <v>739</v>
      </c>
      <c r="I621">
        <v>-6</v>
      </c>
      <c r="J621" t="str">
        <f>HYPERLINK("https://www.eliteprospects.com/player/881014/thanasi-marentette")</f>
        <v>https://www.eliteprospects.com/player/881014/thanasi-marentette</v>
      </c>
      <c r="K621" t="s">
        <v>27</v>
      </c>
      <c r="L621" t="s">
        <v>485</v>
      </c>
      <c r="M621" t="s">
        <v>1296</v>
      </c>
      <c r="N621">
        <v>2</v>
      </c>
      <c r="O621" t="s">
        <v>501</v>
      </c>
      <c r="P621">
        <v>0</v>
      </c>
      <c r="Q621" t="s">
        <v>245</v>
      </c>
      <c r="R621">
        <v>28.6</v>
      </c>
      <c r="S621">
        <v>31.4</v>
      </c>
      <c r="T621">
        <v>28.6</v>
      </c>
      <c r="U621">
        <v>4.3</v>
      </c>
      <c r="V621">
        <v>7.1</v>
      </c>
    </row>
    <row r="622" spans="1:22" x14ac:dyDescent="0.25">
      <c r="A622" t="s">
        <v>1913</v>
      </c>
      <c r="B622" t="s">
        <v>578</v>
      </c>
      <c r="C622">
        <v>15</v>
      </c>
      <c r="D622" t="s">
        <v>132</v>
      </c>
      <c r="E622" t="s">
        <v>132</v>
      </c>
      <c r="F622" t="s">
        <v>132</v>
      </c>
      <c r="G622">
        <v>0</v>
      </c>
      <c r="H622" t="s">
        <v>132</v>
      </c>
      <c r="I622">
        <v>-5</v>
      </c>
      <c r="J622" t="str">
        <f>HYPERLINK("https://www.eliteprospects.com/player/916540/nick-frasca")</f>
        <v>https://www.eliteprospects.com/player/916540/nick-frasca</v>
      </c>
      <c r="K622" t="s">
        <v>27</v>
      </c>
      <c r="L622" t="s">
        <v>485</v>
      </c>
      <c r="M622" t="s">
        <v>1296</v>
      </c>
      <c r="N622">
        <v>2</v>
      </c>
      <c r="O622" t="s">
        <v>501</v>
      </c>
      <c r="P622">
        <v>0</v>
      </c>
      <c r="Q622" t="s">
        <v>245</v>
      </c>
      <c r="R622">
        <v>28.6</v>
      </c>
      <c r="S622">
        <v>31.4</v>
      </c>
      <c r="T622">
        <v>28.6</v>
      </c>
      <c r="U622">
        <v>4.3</v>
      </c>
      <c r="V622">
        <v>7.1</v>
      </c>
    </row>
    <row r="623" spans="1:22" x14ac:dyDescent="0.25">
      <c r="A623" t="s">
        <v>1914</v>
      </c>
      <c r="B623" t="s">
        <v>507</v>
      </c>
      <c r="C623">
        <v>19</v>
      </c>
      <c r="D623" t="s">
        <v>132</v>
      </c>
      <c r="E623" t="s">
        <v>132</v>
      </c>
      <c r="F623" t="s">
        <v>132</v>
      </c>
      <c r="G623">
        <v>0</v>
      </c>
      <c r="H623" t="s">
        <v>79</v>
      </c>
      <c r="I623">
        <v>-10</v>
      </c>
      <c r="J623" t="str">
        <f>HYPERLINK("https://www.eliteprospects.com/player/888195/mason-roy")</f>
        <v>https://www.eliteprospects.com/player/888195/mason-roy</v>
      </c>
      <c r="K623" t="s">
        <v>27</v>
      </c>
      <c r="L623" t="s">
        <v>485</v>
      </c>
      <c r="M623" t="s">
        <v>1296</v>
      </c>
      <c r="N623">
        <v>2</v>
      </c>
      <c r="O623" t="s">
        <v>501</v>
      </c>
      <c r="P623">
        <v>0</v>
      </c>
      <c r="Q623" t="s">
        <v>245</v>
      </c>
      <c r="R623">
        <v>28.6</v>
      </c>
      <c r="S623">
        <v>31.4</v>
      </c>
      <c r="T623">
        <v>28.6</v>
      </c>
      <c r="U623">
        <v>4.3</v>
      </c>
      <c r="V623">
        <v>7.1</v>
      </c>
    </row>
    <row r="624" spans="1:22" x14ac:dyDescent="0.25">
      <c r="A624" t="s">
        <v>1915</v>
      </c>
      <c r="B624" t="s">
        <v>488</v>
      </c>
      <c r="C624">
        <v>23</v>
      </c>
      <c r="D624" t="s">
        <v>132</v>
      </c>
      <c r="E624" t="s">
        <v>132</v>
      </c>
      <c r="F624" t="s">
        <v>132</v>
      </c>
      <c r="G624">
        <v>0</v>
      </c>
      <c r="H624" t="s">
        <v>24</v>
      </c>
      <c r="I624">
        <v>-4</v>
      </c>
      <c r="J624" t="str">
        <f>HYPERLINK("https://www.eliteprospects.com/player/890508/brady-smith")</f>
        <v>https://www.eliteprospects.com/player/890508/brady-smith</v>
      </c>
      <c r="K624" t="s">
        <v>27</v>
      </c>
      <c r="L624" t="s">
        <v>485</v>
      </c>
      <c r="M624" t="s">
        <v>1296</v>
      </c>
      <c r="N624">
        <v>3</v>
      </c>
      <c r="O624" t="s">
        <v>505</v>
      </c>
      <c r="P624">
        <v>0</v>
      </c>
      <c r="Q624" t="s">
        <v>245</v>
      </c>
      <c r="R624">
        <v>28.6</v>
      </c>
      <c r="S624">
        <v>31.4</v>
      </c>
      <c r="T624">
        <v>28.6</v>
      </c>
      <c r="U624">
        <v>4.3</v>
      </c>
      <c r="V624">
        <v>7.1</v>
      </c>
    </row>
    <row r="625" spans="1:22" x14ac:dyDescent="0.25">
      <c r="A625" t="s">
        <v>1883</v>
      </c>
      <c r="B625" t="s">
        <v>496</v>
      </c>
      <c r="C625">
        <v>33</v>
      </c>
      <c r="D625" t="s">
        <v>132</v>
      </c>
      <c r="E625" t="s">
        <v>132</v>
      </c>
      <c r="F625" t="s">
        <v>132</v>
      </c>
      <c r="G625">
        <v>0</v>
      </c>
      <c r="H625" t="s">
        <v>60</v>
      </c>
      <c r="I625">
        <v>-11</v>
      </c>
      <c r="J625" t="str">
        <f>HYPERLINK("https://www.eliteprospects.com/player/897420/blake-barnes")</f>
        <v>https://www.eliteprospects.com/player/897420/blake-barnes</v>
      </c>
      <c r="K625" t="s">
        <v>27</v>
      </c>
      <c r="L625" t="s">
        <v>485</v>
      </c>
      <c r="M625" t="s">
        <v>1296</v>
      </c>
      <c r="N625">
        <v>3</v>
      </c>
      <c r="O625" t="s">
        <v>492</v>
      </c>
      <c r="P625">
        <v>0</v>
      </c>
      <c r="Q625" t="s">
        <v>245</v>
      </c>
      <c r="R625">
        <v>28.6</v>
      </c>
      <c r="S625">
        <v>31.4</v>
      </c>
      <c r="T625">
        <v>28.6</v>
      </c>
      <c r="U625">
        <v>4.3</v>
      </c>
      <c r="V625">
        <v>7.1</v>
      </c>
    </row>
    <row r="626" spans="1:22" x14ac:dyDescent="0.25">
      <c r="A626" t="s">
        <v>1916</v>
      </c>
      <c r="B626" t="s">
        <v>637</v>
      </c>
      <c r="C626">
        <v>38</v>
      </c>
      <c r="D626" t="s">
        <v>25</v>
      </c>
      <c r="E626" t="s">
        <v>52</v>
      </c>
      <c r="F626" t="s">
        <v>1907</v>
      </c>
      <c r="G626">
        <v>1.58</v>
      </c>
      <c r="H626" t="s">
        <v>235</v>
      </c>
      <c r="I626">
        <v>47</v>
      </c>
      <c r="J626" t="str">
        <f>HYPERLINK("https://www.eliteprospects.com/player/733570/bryce-pickford")</f>
        <v>https://www.eliteprospects.com/player/733570/bryce-pickford</v>
      </c>
      <c r="K626" t="s">
        <v>27</v>
      </c>
      <c r="L626" t="s">
        <v>631</v>
      </c>
      <c r="M626" t="s">
        <v>1296</v>
      </c>
      <c r="N626">
        <v>5</v>
      </c>
      <c r="O626" t="s">
        <v>645</v>
      </c>
      <c r="P626">
        <v>0.22</v>
      </c>
      <c r="Q626" t="s">
        <v>2471</v>
      </c>
      <c r="R626">
        <v>0</v>
      </c>
      <c r="S626">
        <v>0</v>
      </c>
      <c r="T626">
        <v>0</v>
      </c>
      <c r="U626">
        <v>0</v>
      </c>
      <c r="V626">
        <v>0</v>
      </c>
    </row>
    <row r="627" spans="1:22" x14ac:dyDescent="0.25">
      <c r="A627" t="s">
        <v>1917</v>
      </c>
      <c r="B627" t="s">
        <v>637</v>
      </c>
      <c r="C627">
        <v>33</v>
      </c>
      <c r="D627" t="s">
        <v>24</v>
      </c>
      <c r="E627" t="s">
        <v>280</v>
      </c>
      <c r="F627" t="s">
        <v>739</v>
      </c>
      <c r="G627">
        <v>1.7</v>
      </c>
      <c r="H627" t="s">
        <v>269</v>
      </c>
      <c r="I627">
        <v>51</v>
      </c>
      <c r="J627" t="str">
        <f>HYPERLINK("https://www.eliteprospects.com/player/597734/jonas-woo")</f>
        <v>https://www.eliteprospects.com/player/597734/jonas-woo</v>
      </c>
      <c r="K627" t="s">
        <v>27</v>
      </c>
      <c r="L627" t="s">
        <v>631</v>
      </c>
      <c r="M627" t="s">
        <v>1296</v>
      </c>
      <c r="N627">
        <v>5</v>
      </c>
      <c r="O627" t="s">
        <v>645</v>
      </c>
      <c r="P627">
        <v>0.24</v>
      </c>
      <c r="Q627" t="s">
        <v>2471</v>
      </c>
      <c r="R627">
        <v>0</v>
      </c>
      <c r="S627">
        <v>0</v>
      </c>
      <c r="T627">
        <v>0</v>
      </c>
      <c r="U627">
        <v>0</v>
      </c>
      <c r="V627">
        <v>0</v>
      </c>
    </row>
    <row r="628" spans="1:22" x14ac:dyDescent="0.25">
      <c r="A628" t="s">
        <v>1918</v>
      </c>
      <c r="B628" t="s">
        <v>702</v>
      </c>
      <c r="C628">
        <v>42</v>
      </c>
      <c r="D628" t="s">
        <v>69</v>
      </c>
      <c r="E628" t="s">
        <v>187</v>
      </c>
      <c r="F628" t="s">
        <v>491</v>
      </c>
      <c r="G628">
        <v>1.19</v>
      </c>
      <c r="H628" t="s">
        <v>269</v>
      </c>
      <c r="I628">
        <v>-10</v>
      </c>
      <c r="J628" t="str">
        <f>HYPERLINK("https://www.eliteprospects.com/player/628112/ryan-lin")</f>
        <v>https://www.eliteprospects.com/player/628112/ryan-lin</v>
      </c>
      <c r="K628" t="s">
        <v>27</v>
      </c>
      <c r="L628" t="s">
        <v>631</v>
      </c>
      <c r="M628" t="s">
        <v>1296</v>
      </c>
      <c r="N628">
        <v>3</v>
      </c>
      <c r="O628" t="s">
        <v>639</v>
      </c>
      <c r="P628">
        <v>0.17</v>
      </c>
      <c r="Q628" t="s">
        <v>1300</v>
      </c>
      <c r="R628">
        <v>30.8</v>
      </c>
      <c r="S628">
        <v>20.5</v>
      </c>
      <c r="T628">
        <v>10.3</v>
      </c>
      <c r="U628">
        <v>10.3</v>
      </c>
      <c r="V628">
        <v>28.2</v>
      </c>
    </row>
    <row r="629" spans="1:22" x14ac:dyDescent="0.25">
      <c r="A629" t="s">
        <v>1919</v>
      </c>
      <c r="B629" t="s">
        <v>507</v>
      </c>
      <c r="C629">
        <v>74</v>
      </c>
      <c r="D629" t="s">
        <v>24</v>
      </c>
      <c r="E629" t="s">
        <v>52</v>
      </c>
      <c r="F629" t="s">
        <v>499</v>
      </c>
      <c r="G629">
        <v>0.65</v>
      </c>
      <c r="H629" t="s">
        <v>1920</v>
      </c>
      <c r="I629">
        <v>-22</v>
      </c>
      <c r="J629" t="str">
        <f>HYPERLINK("https://www.eliteprospects.com/player/812664/kayd-ruedig")</f>
        <v>https://www.eliteprospects.com/player/812664/kayd-ruedig</v>
      </c>
      <c r="K629" t="s">
        <v>27</v>
      </c>
      <c r="L629" t="s">
        <v>631</v>
      </c>
      <c r="M629" t="s">
        <v>1296</v>
      </c>
      <c r="N629">
        <v>3</v>
      </c>
      <c r="O629" t="s">
        <v>639</v>
      </c>
      <c r="P629">
        <v>0.09</v>
      </c>
      <c r="Q629" t="s">
        <v>1325</v>
      </c>
      <c r="R629">
        <v>27.3</v>
      </c>
      <c r="S629">
        <v>22.7</v>
      </c>
      <c r="T629">
        <v>27.3</v>
      </c>
      <c r="U629">
        <v>4.5</v>
      </c>
      <c r="V629">
        <v>18.2</v>
      </c>
    </row>
    <row r="630" spans="1:22" x14ac:dyDescent="0.25">
      <c r="A630" t="s">
        <v>1921</v>
      </c>
      <c r="B630" t="s">
        <v>651</v>
      </c>
      <c r="C630">
        <v>38</v>
      </c>
      <c r="D630" t="s">
        <v>55</v>
      </c>
      <c r="E630" t="s">
        <v>81</v>
      </c>
      <c r="F630" t="s">
        <v>512</v>
      </c>
      <c r="G630">
        <v>1.1100000000000001</v>
      </c>
      <c r="H630" t="s">
        <v>280</v>
      </c>
      <c r="I630">
        <v>9</v>
      </c>
      <c r="J630" t="str">
        <f>HYPERLINK("https://www.eliteprospects.com/player/628069/daxon-rudolph")</f>
        <v>https://www.eliteprospects.com/player/628069/daxon-rudolph</v>
      </c>
      <c r="K630" t="s">
        <v>27</v>
      </c>
      <c r="L630" t="s">
        <v>631</v>
      </c>
      <c r="M630" t="s">
        <v>1296</v>
      </c>
      <c r="N630">
        <v>2</v>
      </c>
      <c r="O630" t="s">
        <v>636</v>
      </c>
      <c r="P630">
        <v>0.16</v>
      </c>
      <c r="Q630" t="s">
        <v>1300</v>
      </c>
      <c r="R630">
        <v>30.8</v>
      </c>
      <c r="S630">
        <v>20.5</v>
      </c>
      <c r="T630">
        <v>10.3</v>
      </c>
      <c r="U630">
        <v>10.3</v>
      </c>
      <c r="V630">
        <v>28.2</v>
      </c>
    </row>
    <row r="631" spans="1:22" x14ac:dyDescent="0.25">
      <c r="A631" t="s">
        <v>1922</v>
      </c>
      <c r="B631" t="s">
        <v>647</v>
      </c>
      <c r="C631">
        <v>36</v>
      </c>
      <c r="D631" t="s">
        <v>78</v>
      </c>
      <c r="E631" t="s">
        <v>178</v>
      </c>
      <c r="F631" t="s">
        <v>277</v>
      </c>
      <c r="G631">
        <v>1.1399999999999999</v>
      </c>
      <c r="H631" t="s">
        <v>265</v>
      </c>
      <c r="I631">
        <v>12</v>
      </c>
      <c r="J631" t="str">
        <f>HYPERLINK("https://www.eliteprospects.com/player/648210/grayson-burzynski")</f>
        <v>https://www.eliteprospects.com/player/648210/grayson-burzynski</v>
      </c>
      <c r="K631" t="s">
        <v>27</v>
      </c>
      <c r="L631" t="s">
        <v>631</v>
      </c>
      <c r="M631" t="s">
        <v>1296</v>
      </c>
      <c r="N631">
        <v>5</v>
      </c>
      <c r="O631" t="s">
        <v>645</v>
      </c>
      <c r="P631">
        <v>0.16</v>
      </c>
      <c r="Q631" t="s">
        <v>1300</v>
      </c>
      <c r="R631">
        <v>30.8</v>
      </c>
      <c r="S631">
        <v>20.5</v>
      </c>
      <c r="T631">
        <v>10.3</v>
      </c>
      <c r="U631">
        <v>10.3</v>
      </c>
      <c r="V631">
        <v>28.2</v>
      </c>
    </row>
    <row r="632" spans="1:22" x14ac:dyDescent="0.25">
      <c r="A632" t="s">
        <v>1923</v>
      </c>
      <c r="B632" t="s">
        <v>649</v>
      </c>
      <c r="C632">
        <v>37</v>
      </c>
      <c r="D632" t="s">
        <v>78</v>
      </c>
      <c r="E632" t="s">
        <v>25</v>
      </c>
      <c r="F632" t="s">
        <v>187</v>
      </c>
      <c r="G632">
        <v>1.05</v>
      </c>
      <c r="H632" t="s">
        <v>737</v>
      </c>
      <c r="I632">
        <v>32</v>
      </c>
      <c r="J632" t="str">
        <f>HYPERLINK("https://www.eliteprospects.com/player/597801/tarin-smith")</f>
        <v>https://www.eliteprospects.com/player/597801/tarin-smith</v>
      </c>
      <c r="K632" t="s">
        <v>27</v>
      </c>
      <c r="L632" t="s">
        <v>631</v>
      </c>
      <c r="M632" t="s">
        <v>1296</v>
      </c>
      <c r="N632">
        <v>5</v>
      </c>
      <c r="O632" t="s">
        <v>645</v>
      </c>
      <c r="P632">
        <v>0.15</v>
      </c>
      <c r="Q632" t="s">
        <v>1300</v>
      </c>
      <c r="R632">
        <v>30.8</v>
      </c>
      <c r="S632">
        <v>20.5</v>
      </c>
      <c r="T632">
        <v>10.3</v>
      </c>
      <c r="U632">
        <v>10.3</v>
      </c>
      <c r="V632">
        <v>28.2</v>
      </c>
    </row>
    <row r="633" spans="1:22" x14ac:dyDescent="0.25">
      <c r="A633" t="s">
        <v>1924</v>
      </c>
      <c r="B633" t="s">
        <v>507</v>
      </c>
      <c r="C633">
        <v>40</v>
      </c>
      <c r="D633" t="s">
        <v>57</v>
      </c>
      <c r="E633" t="s">
        <v>269</v>
      </c>
      <c r="F633" t="s">
        <v>187</v>
      </c>
      <c r="G633">
        <v>0.98</v>
      </c>
      <c r="H633" t="s">
        <v>564</v>
      </c>
      <c r="I633">
        <v>-12</v>
      </c>
      <c r="J633" t="str">
        <f>HYPERLINK("https://www.eliteprospects.com/player/599349/carter-sotheran")</f>
        <v>https://www.eliteprospects.com/player/599349/carter-sotheran</v>
      </c>
      <c r="K633" t="s">
        <v>27</v>
      </c>
      <c r="L633" t="s">
        <v>631</v>
      </c>
      <c r="M633" t="s">
        <v>1296</v>
      </c>
      <c r="N633">
        <v>4</v>
      </c>
      <c r="O633" t="s">
        <v>632</v>
      </c>
      <c r="P633">
        <v>0.14000000000000001</v>
      </c>
      <c r="Q633" t="s">
        <v>1300</v>
      </c>
      <c r="R633">
        <v>30.8</v>
      </c>
      <c r="S633">
        <v>20.5</v>
      </c>
      <c r="T633">
        <v>10.3</v>
      </c>
      <c r="U633">
        <v>10.3</v>
      </c>
      <c r="V633">
        <v>28.2</v>
      </c>
    </row>
    <row r="634" spans="1:22" x14ac:dyDescent="0.25">
      <c r="A634" t="s">
        <v>1925</v>
      </c>
      <c r="B634" t="s">
        <v>660</v>
      </c>
      <c r="C634">
        <v>39</v>
      </c>
      <c r="D634" t="s">
        <v>69</v>
      </c>
      <c r="E634" t="s">
        <v>81</v>
      </c>
      <c r="F634" t="s">
        <v>265</v>
      </c>
      <c r="G634">
        <v>0.9</v>
      </c>
      <c r="H634" t="s">
        <v>38</v>
      </c>
      <c r="I634">
        <v>0</v>
      </c>
      <c r="J634" t="str">
        <f>HYPERLINK("https://www.eliteprospects.com/player/645754/aiden-ziprick")</f>
        <v>https://www.eliteprospects.com/player/645754/aiden-ziprick</v>
      </c>
      <c r="K634" t="s">
        <v>27</v>
      </c>
      <c r="L634" t="s">
        <v>631</v>
      </c>
      <c r="M634" t="s">
        <v>1296</v>
      </c>
      <c r="N634">
        <v>4</v>
      </c>
      <c r="O634" t="s">
        <v>632</v>
      </c>
      <c r="P634">
        <v>0.13</v>
      </c>
      <c r="Q634" t="s">
        <v>1300</v>
      </c>
      <c r="R634">
        <v>30.8</v>
      </c>
      <c r="S634">
        <v>20.5</v>
      </c>
      <c r="T634">
        <v>10.3</v>
      </c>
      <c r="U634">
        <v>10.3</v>
      </c>
      <c r="V634">
        <v>28.2</v>
      </c>
    </row>
    <row r="635" spans="1:22" x14ac:dyDescent="0.25">
      <c r="A635" t="s">
        <v>1926</v>
      </c>
      <c r="B635" t="s">
        <v>635</v>
      </c>
      <c r="C635">
        <v>32</v>
      </c>
      <c r="D635" t="s">
        <v>32</v>
      </c>
      <c r="E635" t="s">
        <v>81</v>
      </c>
      <c r="F635" t="s">
        <v>178</v>
      </c>
      <c r="G635">
        <v>1.06</v>
      </c>
      <c r="H635" t="s">
        <v>38</v>
      </c>
      <c r="I635">
        <v>22</v>
      </c>
      <c r="J635" t="str">
        <f>HYPERLINK("https://www.eliteprospects.com/player/618968/ethan-mackenzie")</f>
        <v>https://www.eliteprospects.com/player/618968/ethan-mackenzie</v>
      </c>
      <c r="K635" t="s">
        <v>27</v>
      </c>
      <c r="L635" t="s">
        <v>631</v>
      </c>
      <c r="M635" t="s">
        <v>1296</v>
      </c>
      <c r="N635">
        <v>4</v>
      </c>
      <c r="O635" t="s">
        <v>632</v>
      </c>
      <c r="P635">
        <v>0.15</v>
      </c>
      <c r="Q635" t="s">
        <v>1300</v>
      </c>
      <c r="R635">
        <v>30.8</v>
      </c>
      <c r="S635">
        <v>20.5</v>
      </c>
      <c r="T635">
        <v>10.3</v>
      </c>
      <c r="U635">
        <v>10.3</v>
      </c>
      <c r="V635">
        <v>28.2</v>
      </c>
    </row>
    <row r="636" spans="1:22" x14ac:dyDescent="0.25">
      <c r="A636" t="s">
        <v>1927</v>
      </c>
      <c r="B636" t="s">
        <v>644</v>
      </c>
      <c r="C636">
        <v>32</v>
      </c>
      <c r="D636" t="s">
        <v>45</v>
      </c>
      <c r="E636" t="s">
        <v>75</v>
      </c>
      <c r="F636" t="s">
        <v>178</v>
      </c>
      <c r="G636">
        <v>1.06</v>
      </c>
      <c r="H636" t="s">
        <v>53</v>
      </c>
      <c r="I636">
        <v>1</v>
      </c>
      <c r="J636" t="str">
        <f>HYPERLINK("https://www.eliteprospects.com/player/878533/carson-carels")</f>
        <v>https://www.eliteprospects.com/player/878533/carson-carels</v>
      </c>
      <c r="K636" t="s">
        <v>27</v>
      </c>
      <c r="L636" t="s">
        <v>631</v>
      </c>
      <c r="M636" t="s">
        <v>1296</v>
      </c>
      <c r="N636">
        <v>3</v>
      </c>
      <c r="O636" t="s">
        <v>639</v>
      </c>
      <c r="P636">
        <v>0.15</v>
      </c>
      <c r="Q636" t="s">
        <v>1300</v>
      </c>
      <c r="R636">
        <v>30.8</v>
      </c>
      <c r="S636">
        <v>20.5</v>
      </c>
      <c r="T636">
        <v>10.3</v>
      </c>
      <c r="U636">
        <v>10.3</v>
      </c>
      <c r="V636">
        <v>28.2</v>
      </c>
    </row>
    <row r="637" spans="1:22" x14ac:dyDescent="0.25">
      <c r="A637" t="s">
        <v>1928</v>
      </c>
      <c r="B637" t="s">
        <v>653</v>
      </c>
      <c r="C637">
        <v>38</v>
      </c>
      <c r="D637" t="s">
        <v>45</v>
      </c>
      <c r="E637" t="s">
        <v>81</v>
      </c>
      <c r="F637" t="s">
        <v>269</v>
      </c>
      <c r="G637">
        <v>0.87</v>
      </c>
      <c r="H637" t="s">
        <v>499</v>
      </c>
      <c r="I637">
        <v>1</v>
      </c>
      <c r="J637" t="str">
        <f>HYPERLINK("https://www.eliteprospects.com/player/565459/mazden-leslie")</f>
        <v>https://www.eliteprospects.com/player/565459/mazden-leslie</v>
      </c>
      <c r="K637" t="s">
        <v>27</v>
      </c>
      <c r="L637" t="s">
        <v>631</v>
      </c>
      <c r="M637" t="s">
        <v>1296</v>
      </c>
      <c r="N637">
        <v>6</v>
      </c>
      <c r="O637" t="s">
        <v>643</v>
      </c>
      <c r="P637">
        <v>0.12</v>
      </c>
      <c r="Q637" t="s">
        <v>1300</v>
      </c>
      <c r="R637">
        <v>30.8</v>
      </c>
      <c r="S637">
        <v>20.5</v>
      </c>
      <c r="T637">
        <v>10.3</v>
      </c>
      <c r="U637">
        <v>10.3</v>
      </c>
      <c r="V637">
        <v>28.2</v>
      </c>
    </row>
    <row r="638" spans="1:22" x14ac:dyDescent="0.25">
      <c r="A638" t="s">
        <v>1929</v>
      </c>
      <c r="B638" t="s">
        <v>649</v>
      </c>
      <c r="C638">
        <v>34</v>
      </c>
      <c r="D638" t="s">
        <v>32</v>
      </c>
      <c r="E638" t="s">
        <v>47</v>
      </c>
      <c r="F638" t="s">
        <v>25</v>
      </c>
      <c r="G638">
        <v>0.94</v>
      </c>
      <c r="H638" t="s">
        <v>81</v>
      </c>
      <c r="I638">
        <v>26</v>
      </c>
      <c r="J638" t="str">
        <f>HYPERLINK("https://www.eliteprospects.com/player/701503/landon-dupont")</f>
        <v>https://www.eliteprospects.com/player/701503/landon-dupont</v>
      </c>
      <c r="K638" t="s">
        <v>27</v>
      </c>
      <c r="L638" t="s">
        <v>631</v>
      </c>
      <c r="M638" t="s">
        <v>1296</v>
      </c>
      <c r="N638">
        <v>2</v>
      </c>
      <c r="O638" t="s">
        <v>636</v>
      </c>
      <c r="P638">
        <v>0.13</v>
      </c>
      <c r="Q638" t="s">
        <v>1300</v>
      </c>
      <c r="R638">
        <v>30.8</v>
      </c>
      <c r="S638">
        <v>20.5</v>
      </c>
      <c r="T638">
        <v>10.3</v>
      </c>
      <c r="U638">
        <v>10.3</v>
      </c>
      <c r="V638">
        <v>28.2</v>
      </c>
    </row>
    <row r="639" spans="1:22" x14ac:dyDescent="0.25">
      <c r="A639" t="s">
        <v>1930</v>
      </c>
      <c r="B639" t="s">
        <v>657</v>
      </c>
      <c r="C639">
        <v>39</v>
      </c>
      <c r="D639" t="s">
        <v>78</v>
      </c>
      <c r="E639" t="s">
        <v>75</v>
      </c>
      <c r="F639" t="s">
        <v>25</v>
      </c>
      <c r="G639">
        <v>0.82</v>
      </c>
      <c r="H639" t="s">
        <v>38</v>
      </c>
      <c r="I639">
        <v>3</v>
      </c>
      <c r="J639" t="str">
        <f>HYPERLINK("https://www.eliteprospects.com/player/845626/timofei-runtso")</f>
        <v>https://www.eliteprospects.com/player/845626/timofei-runtso</v>
      </c>
      <c r="K639" t="s">
        <v>27</v>
      </c>
      <c r="L639" t="s">
        <v>631</v>
      </c>
      <c r="M639" t="s">
        <v>1296</v>
      </c>
      <c r="N639">
        <v>1</v>
      </c>
      <c r="O639" t="s">
        <v>634</v>
      </c>
      <c r="P639">
        <v>0.12</v>
      </c>
      <c r="Q639" t="s">
        <v>1300</v>
      </c>
      <c r="R639">
        <v>30.8</v>
      </c>
      <c r="S639">
        <v>20.5</v>
      </c>
      <c r="T639">
        <v>10.3</v>
      </c>
      <c r="U639">
        <v>10.3</v>
      </c>
      <c r="V639">
        <v>28.2</v>
      </c>
    </row>
    <row r="640" spans="1:22" x14ac:dyDescent="0.25">
      <c r="A640" t="s">
        <v>1931</v>
      </c>
      <c r="B640" t="s">
        <v>684</v>
      </c>
      <c r="C640">
        <v>40</v>
      </c>
      <c r="D640" t="s">
        <v>140</v>
      </c>
      <c r="E640" t="s">
        <v>61</v>
      </c>
      <c r="F640" t="s">
        <v>40</v>
      </c>
      <c r="G640">
        <v>0.75</v>
      </c>
      <c r="H640" t="s">
        <v>24</v>
      </c>
      <c r="I640">
        <v>-10</v>
      </c>
      <c r="J640" t="str">
        <f>HYPERLINK("https://www.eliteprospects.com/player/846595/joshua-toll")</f>
        <v>https://www.eliteprospects.com/player/846595/joshua-toll</v>
      </c>
      <c r="K640" t="s">
        <v>27</v>
      </c>
      <c r="L640" t="s">
        <v>631</v>
      </c>
      <c r="M640" t="s">
        <v>1417</v>
      </c>
      <c r="N640">
        <v>1</v>
      </c>
      <c r="O640" t="s">
        <v>634</v>
      </c>
      <c r="P640">
        <v>0.11</v>
      </c>
      <c r="Q640" t="s">
        <v>1325</v>
      </c>
      <c r="R640">
        <v>27.3</v>
      </c>
      <c r="S640">
        <v>22.7</v>
      </c>
      <c r="T640">
        <v>27.3</v>
      </c>
      <c r="U640">
        <v>4.5</v>
      </c>
      <c r="V640">
        <v>18.2</v>
      </c>
    </row>
    <row r="641" spans="1:22" x14ac:dyDescent="0.25">
      <c r="A641" t="s">
        <v>1932</v>
      </c>
      <c r="B641" t="s">
        <v>671</v>
      </c>
      <c r="C641">
        <v>40</v>
      </c>
      <c r="D641" t="s">
        <v>78</v>
      </c>
      <c r="E641" t="s">
        <v>47</v>
      </c>
      <c r="F641" t="s">
        <v>46</v>
      </c>
      <c r="G641">
        <v>0.73</v>
      </c>
      <c r="H641" t="s">
        <v>178</v>
      </c>
      <c r="I641">
        <v>12</v>
      </c>
      <c r="J641" t="str">
        <f>HYPERLINK("https://www.eliteprospects.com/player/628072/rhett-sather")</f>
        <v>https://www.eliteprospects.com/player/628072/rhett-sather</v>
      </c>
      <c r="K641" t="s">
        <v>27</v>
      </c>
      <c r="L641" t="s">
        <v>631</v>
      </c>
      <c r="M641" t="s">
        <v>1296</v>
      </c>
      <c r="N641">
        <v>2</v>
      </c>
      <c r="O641" t="s">
        <v>636</v>
      </c>
      <c r="P641">
        <v>0.1</v>
      </c>
      <c r="Q641" t="s">
        <v>1325</v>
      </c>
      <c r="R641">
        <v>27.3</v>
      </c>
      <c r="S641">
        <v>22.7</v>
      </c>
      <c r="T641">
        <v>27.3</v>
      </c>
      <c r="U641">
        <v>4.5</v>
      </c>
      <c r="V641">
        <v>18.2</v>
      </c>
    </row>
    <row r="642" spans="1:22" x14ac:dyDescent="0.25">
      <c r="A642" t="s">
        <v>1933</v>
      </c>
      <c r="B642" t="s">
        <v>646</v>
      </c>
      <c r="C642">
        <v>37</v>
      </c>
      <c r="D642" t="s">
        <v>57</v>
      </c>
      <c r="E642" t="s">
        <v>84</v>
      </c>
      <c r="F642" t="s">
        <v>46</v>
      </c>
      <c r="G642">
        <v>0.78</v>
      </c>
      <c r="H642" t="s">
        <v>23</v>
      </c>
      <c r="I642">
        <v>11</v>
      </c>
      <c r="J642" t="str">
        <f>HYPERLINK("https://www.eliteprospects.com/player/628079/ben-macbeath")</f>
        <v>https://www.eliteprospects.com/player/628079/ben-macbeath</v>
      </c>
      <c r="K642" t="s">
        <v>27</v>
      </c>
      <c r="L642" t="s">
        <v>631</v>
      </c>
      <c r="M642" t="s">
        <v>1296</v>
      </c>
      <c r="N642">
        <v>1</v>
      </c>
      <c r="O642" t="s">
        <v>634</v>
      </c>
      <c r="P642">
        <v>0.11</v>
      </c>
      <c r="Q642" t="s">
        <v>1325</v>
      </c>
      <c r="R642">
        <v>27.3</v>
      </c>
      <c r="S642">
        <v>22.7</v>
      </c>
      <c r="T642">
        <v>27.3</v>
      </c>
      <c r="U642">
        <v>4.5</v>
      </c>
      <c r="V642">
        <v>18.2</v>
      </c>
    </row>
    <row r="643" spans="1:22" x14ac:dyDescent="0.25">
      <c r="A643" t="s">
        <v>1934</v>
      </c>
      <c r="B643" t="s">
        <v>667</v>
      </c>
      <c r="C643">
        <v>39</v>
      </c>
      <c r="D643" t="s">
        <v>140</v>
      </c>
      <c r="E643" t="s">
        <v>125</v>
      </c>
      <c r="F643" t="s">
        <v>46</v>
      </c>
      <c r="G643">
        <v>0.74</v>
      </c>
      <c r="H643" t="s">
        <v>24</v>
      </c>
      <c r="I643">
        <v>-1</v>
      </c>
      <c r="J643" t="str">
        <f>HYPERLINK("https://www.eliteprospects.com/player/795984/brayden-klimpke")</f>
        <v>https://www.eliteprospects.com/player/795984/brayden-klimpke</v>
      </c>
      <c r="K643" t="s">
        <v>27</v>
      </c>
      <c r="L643" t="s">
        <v>631</v>
      </c>
      <c r="M643" t="s">
        <v>1296</v>
      </c>
      <c r="N643">
        <v>3</v>
      </c>
      <c r="O643" t="s">
        <v>639</v>
      </c>
      <c r="P643">
        <v>0.1</v>
      </c>
      <c r="Q643" t="s">
        <v>1325</v>
      </c>
      <c r="R643">
        <v>27.3</v>
      </c>
      <c r="S643">
        <v>22.7</v>
      </c>
      <c r="T643">
        <v>27.3</v>
      </c>
      <c r="U643">
        <v>4.5</v>
      </c>
      <c r="V643">
        <v>18.2</v>
      </c>
    </row>
    <row r="644" spans="1:22" x14ac:dyDescent="0.25">
      <c r="A644" t="s">
        <v>1935</v>
      </c>
      <c r="B644" t="s">
        <v>676</v>
      </c>
      <c r="C644">
        <v>38</v>
      </c>
      <c r="D644" t="s">
        <v>26</v>
      </c>
      <c r="E644" t="s">
        <v>24</v>
      </c>
      <c r="F644" t="s">
        <v>52</v>
      </c>
      <c r="G644">
        <v>0.74</v>
      </c>
      <c r="H644" t="s">
        <v>47</v>
      </c>
      <c r="I644">
        <v>-17</v>
      </c>
      <c r="J644" t="str">
        <f>HYPERLINK("https://www.eliteprospects.com/player/599304/ephram-mcnutt")</f>
        <v>https://www.eliteprospects.com/player/599304/ephram-mcnutt</v>
      </c>
      <c r="K644" t="s">
        <v>27</v>
      </c>
      <c r="L644" t="s">
        <v>631</v>
      </c>
      <c r="M644" t="s">
        <v>1296</v>
      </c>
      <c r="N644">
        <v>5</v>
      </c>
      <c r="O644" t="s">
        <v>645</v>
      </c>
      <c r="P644">
        <v>0.1</v>
      </c>
      <c r="Q644" t="s">
        <v>1325</v>
      </c>
      <c r="R644">
        <v>27.3</v>
      </c>
      <c r="S644">
        <v>22.7</v>
      </c>
      <c r="T644">
        <v>27.3</v>
      </c>
      <c r="U644">
        <v>4.5</v>
      </c>
      <c r="V644">
        <v>18.2</v>
      </c>
    </row>
    <row r="645" spans="1:22" x14ac:dyDescent="0.25">
      <c r="A645" t="s">
        <v>1936</v>
      </c>
      <c r="B645" t="s">
        <v>641</v>
      </c>
      <c r="C645">
        <v>40</v>
      </c>
      <c r="D645" t="s">
        <v>57</v>
      </c>
      <c r="E645" t="s">
        <v>47</v>
      </c>
      <c r="F645" t="s">
        <v>52</v>
      </c>
      <c r="G645">
        <v>0.7</v>
      </c>
      <c r="H645" t="s">
        <v>81</v>
      </c>
      <c r="I645">
        <v>17</v>
      </c>
      <c r="J645" t="str">
        <f>HYPERLINK("https://www.eliteprospects.com/player/679639/ethan-weber")</f>
        <v>https://www.eliteprospects.com/player/679639/ethan-weber</v>
      </c>
      <c r="K645" t="s">
        <v>27</v>
      </c>
      <c r="L645" t="s">
        <v>631</v>
      </c>
      <c r="M645" t="s">
        <v>1296</v>
      </c>
      <c r="N645">
        <v>1</v>
      </c>
      <c r="O645" t="s">
        <v>634</v>
      </c>
      <c r="P645">
        <v>0.1</v>
      </c>
      <c r="Q645" t="s">
        <v>1325</v>
      </c>
      <c r="R645">
        <v>27.3</v>
      </c>
      <c r="S645">
        <v>22.7</v>
      </c>
      <c r="T645">
        <v>27.3</v>
      </c>
      <c r="U645">
        <v>4.5</v>
      </c>
      <c r="V645">
        <v>18.2</v>
      </c>
    </row>
    <row r="646" spans="1:22" x14ac:dyDescent="0.25">
      <c r="A646" t="s">
        <v>1937</v>
      </c>
      <c r="B646" t="s">
        <v>641</v>
      </c>
      <c r="C646">
        <v>40</v>
      </c>
      <c r="D646" t="s">
        <v>66</v>
      </c>
      <c r="E646" t="s">
        <v>81</v>
      </c>
      <c r="F646" t="s">
        <v>52</v>
      </c>
      <c r="G646">
        <v>0.7</v>
      </c>
      <c r="H646" t="s">
        <v>39</v>
      </c>
      <c r="I646">
        <v>1</v>
      </c>
      <c r="J646" t="str">
        <f>HYPERLINK("https://www.eliteprospects.com/player/647196/nolan-stevenson")</f>
        <v>https://www.eliteprospects.com/player/647196/nolan-stevenson</v>
      </c>
      <c r="K646" t="s">
        <v>27</v>
      </c>
      <c r="L646" t="s">
        <v>631</v>
      </c>
      <c r="M646" t="s">
        <v>1296</v>
      </c>
      <c r="N646">
        <v>1</v>
      </c>
      <c r="O646" t="s">
        <v>634</v>
      </c>
      <c r="P646">
        <v>0.1</v>
      </c>
      <c r="Q646" t="s">
        <v>1325</v>
      </c>
      <c r="R646">
        <v>27.3</v>
      </c>
      <c r="S646">
        <v>22.7</v>
      </c>
      <c r="T646">
        <v>27.3</v>
      </c>
      <c r="U646">
        <v>4.5</v>
      </c>
      <c r="V646">
        <v>18.2</v>
      </c>
    </row>
    <row r="647" spans="1:22" x14ac:dyDescent="0.25">
      <c r="A647" t="s">
        <v>1938</v>
      </c>
      <c r="B647" t="s">
        <v>660</v>
      </c>
      <c r="C647">
        <v>37</v>
      </c>
      <c r="D647" t="s">
        <v>65</v>
      </c>
      <c r="E647" t="s">
        <v>39</v>
      </c>
      <c r="F647" t="s">
        <v>61</v>
      </c>
      <c r="G647">
        <v>0.73</v>
      </c>
      <c r="H647" t="s">
        <v>280</v>
      </c>
      <c r="I647">
        <v>-2</v>
      </c>
      <c r="J647" t="str">
        <f>HYPERLINK("https://www.eliteprospects.com/player/742505/connor-schmidt")</f>
        <v>https://www.eliteprospects.com/player/742505/connor-schmidt</v>
      </c>
      <c r="K647" t="s">
        <v>27</v>
      </c>
      <c r="L647" t="s">
        <v>631</v>
      </c>
      <c r="M647" t="s">
        <v>1296</v>
      </c>
      <c r="N647">
        <v>4</v>
      </c>
      <c r="O647" t="s">
        <v>632</v>
      </c>
      <c r="P647">
        <v>0.1</v>
      </c>
      <c r="Q647" t="s">
        <v>1325</v>
      </c>
      <c r="R647">
        <v>27.3</v>
      </c>
      <c r="S647">
        <v>22.7</v>
      </c>
      <c r="T647">
        <v>27.3</v>
      </c>
      <c r="U647">
        <v>4.5</v>
      </c>
      <c r="V647">
        <v>18.2</v>
      </c>
    </row>
    <row r="648" spans="1:22" x14ac:dyDescent="0.25">
      <c r="A648" t="s">
        <v>1939</v>
      </c>
      <c r="B648" t="s">
        <v>694</v>
      </c>
      <c r="C648">
        <v>40</v>
      </c>
      <c r="D648" t="s">
        <v>66</v>
      </c>
      <c r="E648" t="s">
        <v>84</v>
      </c>
      <c r="F648" t="s">
        <v>61</v>
      </c>
      <c r="G648">
        <v>0.68</v>
      </c>
      <c r="H648" t="s">
        <v>280</v>
      </c>
      <c r="I648">
        <v>-15</v>
      </c>
      <c r="J648" t="str">
        <f>HYPERLINK("https://www.eliteprospects.com/player/723945/nathan-maloney")</f>
        <v>https://www.eliteprospects.com/player/723945/nathan-maloney</v>
      </c>
      <c r="K648" t="s">
        <v>27</v>
      </c>
      <c r="L648" t="s">
        <v>631</v>
      </c>
      <c r="M648" t="s">
        <v>1296</v>
      </c>
      <c r="N648">
        <v>1</v>
      </c>
      <c r="O648" t="s">
        <v>634</v>
      </c>
      <c r="P648">
        <v>0.1</v>
      </c>
      <c r="Q648" t="s">
        <v>1325</v>
      </c>
      <c r="R648">
        <v>27.3</v>
      </c>
      <c r="S648">
        <v>22.7</v>
      </c>
      <c r="T648">
        <v>27.3</v>
      </c>
      <c r="U648">
        <v>4.5</v>
      </c>
      <c r="V648">
        <v>18.2</v>
      </c>
    </row>
    <row r="649" spans="1:22" x14ac:dyDescent="0.25">
      <c r="A649" t="s">
        <v>1940</v>
      </c>
      <c r="B649" t="s">
        <v>644</v>
      </c>
      <c r="C649">
        <v>41</v>
      </c>
      <c r="D649" t="s">
        <v>140</v>
      </c>
      <c r="E649" t="s">
        <v>81</v>
      </c>
      <c r="F649" t="s">
        <v>61</v>
      </c>
      <c r="G649">
        <v>0.66</v>
      </c>
      <c r="H649" t="s">
        <v>280</v>
      </c>
      <c r="I649">
        <v>6</v>
      </c>
      <c r="J649" t="str">
        <f>HYPERLINK("https://www.eliteprospects.com/player/1071112/arseni-anisimov")</f>
        <v>https://www.eliteprospects.com/player/1071112/arseni-anisimov</v>
      </c>
      <c r="K649" t="s">
        <v>27</v>
      </c>
      <c r="L649" t="s">
        <v>631</v>
      </c>
      <c r="M649" t="s">
        <v>1296</v>
      </c>
      <c r="N649">
        <v>2</v>
      </c>
      <c r="O649" t="s">
        <v>636</v>
      </c>
      <c r="P649">
        <v>0.09</v>
      </c>
      <c r="Q649" t="s">
        <v>1325</v>
      </c>
      <c r="R649">
        <v>27.3</v>
      </c>
      <c r="S649">
        <v>22.7</v>
      </c>
      <c r="T649">
        <v>27.3</v>
      </c>
      <c r="U649">
        <v>4.5</v>
      </c>
      <c r="V649">
        <v>18.2</v>
      </c>
    </row>
    <row r="650" spans="1:22" x14ac:dyDescent="0.25">
      <c r="A650" t="s">
        <v>1941</v>
      </c>
      <c r="B650" t="s">
        <v>660</v>
      </c>
      <c r="C650">
        <v>33</v>
      </c>
      <c r="D650" t="s">
        <v>96</v>
      </c>
      <c r="E650" t="s">
        <v>24</v>
      </c>
      <c r="F650" t="s">
        <v>75</v>
      </c>
      <c r="G650">
        <v>0.76</v>
      </c>
      <c r="H650" t="s">
        <v>26</v>
      </c>
      <c r="I650">
        <v>-6</v>
      </c>
      <c r="J650" t="str">
        <f>HYPERLINK("https://www.eliteprospects.com/player/701499/colt-carter")</f>
        <v>https://www.eliteprospects.com/player/701499/colt-carter</v>
      </c>
      <c r="K650" t="s">
        <v>27</v>
      </c>
      <c r="L650" t="s">
        <v>631</v>
      </c>
      <c r="M650" t="s">
        <v>1296</v>
      </c>
      <c r="N650">
        <v>2</v>
      </c>
      <c r="O650" t="s">
        <v>636</v>
      </c>
      <c r="P650">
        <v>0.11</v>
      </c>
      <c r="Q650" t="s">
        <v>1325</v>
      </c>
      <c r="R650">
        <v>27.3</v>
      </c>
      <c r="S650">
        <v>22.7</v>
      </c>
      <c r="T650">
        <v>27.3</v>
      </c>
      <c r="U650">
        <v>4.5</v>
      </c>
      <c r="V650">
        <v>18.2</v>
      </c>
    </row>
    <row r="651" spans="1:22" x14ac:dyDescent="0.25">
      <c r="A651" t="s">
        <v>1942</v>
      </c>
      <c r="B651" t="s">
        <v>676</v>
      </c>
      <c r="C651">
        <v>38</v>
      </c>
      <c r="D651" t="s">
        <v>96</v>
      </c>
      <c r="E651" t="s">
        <v>24</v>
      </c>
      <c r="F651" t="s">
        <v>75</v>
      </c>
      <c r="G651">
        <v>0.66</v>
      </c>
      <c r="H651" t="s">
        <v>24</v>
      </c>
      <c r="I651">
        <v>-13</v>
      </c>
      <c r="J651" t="str">
        <f>HYPERLINK("https://www.eliteprospects.com/player/577088/matthew-paranych")</f>
        <v>https://www.eliteprospects.com/player/577088/matthew-paranych</v>
      </c>
      <c r="K651" t="s">
        <v>27</v>
      </c>
      <c r="L651" t="s">
        <v>631</v>
      </c>
      <c r="M651" t="s">
        <v>1296</v>
      </c>
      <c r="N651">
        <v>3</v>
      </c>
      <c r="O651" t="s">
        <v>639</v>
      </c>
      <c r="P651">
        <v>0.09</v>
      </c>
      <c r="Q651" t="s">
        <v>1325</v>
      </c>
      <c r="R651">
        <v>27.3</v>
      </c>
      <c r="S651">
        <v>22.7</v>
      </c>
      <c r="T651">
        <v>27.3</v>
      </c>
      <c r="U651">
        <v>4.5</v>
      </c>
      <c r="V651">
        <v>18.2</v>
      </c>
    </row>
    <row r="652" spans="1:22" x14ac:dyDescent="0.25">
      <c r="A652" t="s">
        <v>1943</v>
      </c>
      <c r="B652" t="s">
        <v>667</v>
      </c>
      <c r="C652">
        <v>37</v>
      </c>
      <c r="D652" t="s">
        <v>96</v>
      </c>
      <c r="E652" t="s">
        <v>51</v>
      </c>
      <c r="F652" t="s">
        <v>81</v>
      </c>
      <c r="G652">
        <v>0.65</v>
      </c>
      <c r="H652" t="s">
        <v>41</v>
      </c>
      <c r="I652">
        <v>6</v>
      </c>
      <c r="J652" t="str">
        <f>HYPERLINK("https://www.eliteprospects.com/player/687833/tristen-doyle")</f>
        <v>https://www.eliteprospects.com/player/687833/tristen-doyle</v>
      </c>
      <c r="K652" t="s">
        <v>27</v>
      </c>
      <c r="L652" t="s">
        <v>631</v>
      </c>
      <c r="M652" t="s">
        <v>1296</v>
      </c>
      <c r="N652">
        <v>5</v>
      </c>
      <c r="O652" t="s">
        <v>645</v>
      </c>
      <c r="P652">
        <v>0.09</v>
      </c>
      <c r="Q652" t="s">
        <v>1325</v>
      </c>
      <c r="R652">
        <v>27.3</v>
      </c>
      <c r="S652">
        <v>22.7</v>
      </c>
      <c r="T652">
        <v>27.3</v>
      </c>
      <c r="U652">
        <v>4.5</v>
      </c>
      <c r="V652">
        <v>18.2</v>
      </c>
    </row>
    <row r="653" spans="1:22" x14ac:dyDescent="0.25">
      <c r="A653" t="s">
        <v>1944</v>
      </c>
      <c r="B653" t="s">
        <v>676</v>
      </c>
      <c r="C653">
        <v>38</v>
      </c>
      <c r="D653" t="s">
        <v>66</v>
      </c>
      <c r="E653" t="s">
        <v>24</v>
      </c>
      <c r="F653" t="s">
        <v>81</v>
      </c>
      <c r="G653">
        <v>0.63</v>
      </c>
      <c r="H653" t="s">
        <v>32</v>
      </c>
      <c r="I653">
        <v>0</v>
      </c>
      <c r="J653" t="str">
        <f>HYPERLINK("https://www.eliteprospects.com/player/577065/reese-hamilton")</f>
        <v>https://www.eliteprospects.com/player/577065/reese-hamilton</v>
      </c>
      <c r="K653" t="s">
        <v>27</v>
      </c>
      <c r="L653" t="s">
        <v>631</v>
      </c>
      <c r="M653" t="s">
        <v>1296</v>
      </c>
      <c r="N653">
        <v>3</v>
      </c>
      <c r="O653" t="s">
        <v>639</v>
      </c>
      <c r="P653">
        <v>0.09</v>
      </c>
      <c r="Q653" t="s">
        <v>1325</v>
      </c>
      <c r="R653">
        <v>27.3</v>
      </c>
      <c r="S653">
        <v>22.7</v>
      </c>
      <c r="T653">
        <v>27.3</v>
      </c>
      <c r="U653">
        <v>4.5</v>
      </c>
      <c r="V653">
        <v>18.2</v>
      </c>
    </row>
    <row r="654" spans="1:22" x14ac:dyDescent="0.25">
      <c r="A654" t="s">
        <v>1945</v>
      </c>
      <c r="B654" t="s">
        <v>633</v>
      </c>
      <c r="C654">
        <v>39</v>
      </c>
      <c r="D654" t="s">
        <v>140</v>
      </c>
      <c r="E654" t="s">
        <v>24</v>
      </c>
      <c r="F654" t="s">
        <v>84</v>
      </c>
      <c r="G654">
        <v>0.59</v>
      </c>
      <c r="H654" t="s">
        <v>84</v>
      </c>
      <c r="I654">
        <v>-2</v>
      </c>
      <c r="J654" t="str">
        <f>HYPERLINK("https://www.eliteprospects.com/player/647535/ryan-michael")</f>
        <v>https://www.eliteprospects.com/player/647535/ryan-michael</v>
      </c>
      <c r="K654" t="s">
        <v>27</v>
      </c>
      <c r="L654" t="s">
        <v>631</v>
      </c>
      <c r="M654" t="s">
        <v>1296</v>
      </c>
      <c r="N654">
        <v>5</v>
      </c>
      <c r="O654" t="s">
        <v>645</v>
      </c>
      <c r="P654">
        <v>0.08</v>
      </c>
      <c r="Q654" t="s">
        <v>1325</v>
      </c>
      <c r="R654">
        <v>30</v>
      </c>
      <c r="S654">
        <v>25</v>
      </c>
      <c r="T654">
        <v>32.5</v>
      </c>
      <c r="U654">
        <v>5</v>
      </c>
      <c r="V654">
        <v>7.5</v>
      </c>
    </row>
    <row r="655" spans="1:22" x14ac:dyDescent="0.25">
      <c r="A655" t="s">
        <v>1946</v>
      </c>
      <c r="B655" t="s">
        <v>651</v>
      </c>
      <c r="C655">
        <v>34</v>
      </c>
      <c r="D655" t="s">
        <v>69</v>
      </c>
      <c r="E655" t="s">
        <v>69</v>
      </c>
      <c r="F655" t="s">
        <v>47</v>
      </c>
      <c r="G655">
        <v>0.65</v>
      </c>
      <c r="H655" t="s">
        <v>300</v>
      </c>
      <c r="I655">
        <v>4</v>
      </c>
      <c r="J655" t="str">
        <f>HYPERLINK("https://www.eliteprospects.com/player/643384/justice-christensen")</f>
        <v>https://www.eliteprospects.com/player/643384/justice-christensen</v>
      </c>
      <c r="K655" t="s">
        <v>27</v>
      </c>
      <c r="L655" t="s">
        <v>631</v>
      </c>
      <c r="M655" t="s">
        <v>1296</v>
      </c>
      <c r="N655">
        <v>4</v>
      </c>
      <c r="O655" t="s">
        <v>632</v>
      </c>
      <c r="P655">
        <v>0.09</v>
      </c>
      <c r="Q655" t="s">
        <v>1325</v>
      </c>
      <c r="R655">
        <v>27.3</v>
      </c>
      <c r="S655">
        <v>22.7</v>
      </c>
      <c r="T655">
        <v>27.3</v>
      </c>
      <c r="U655">
        <v>4.5</v>
      </c>
      <c r="V655">
        <v>18.2</v>
      </c>
    </row>
    <row r="656" spans="1:22" x14ac:dyDescent="0.25">
      <c r="A656" t="s">
        <v>1947</v>
      </c>
      <c r="B656" t="s">
        <v>635</v>
      </c>
      <c r="C656">
        <v>36</v>
      </c>
      <c r="D656" t="s">
        <v>78</v>
      </c>
      <c r="E656" t="s">
        <v>41</v>
      </c>
      <c r="F656" t="s">
        <v>47</v>
      </c>
      <c r="G656">
        <v>0.61</v>
      </c>
      <c r="H656" t="s">
        <v>81</v>
      </c>
      <c r="I656">
        <v>22</v>
      </c>
      <c r="J656" t="str">
        <f>HYPERLINK("https://www.eliteprospects.com/player/577017/blake-fiddler")</f>
        <v>https://www.eliteprospects.com/player/577017/blake-fiddler</v>
      </c>
      <c r="K656" t="s">
        <v>27</v>
      </c>
      <c r="L656" t="s">
        <v>631</v>
      </c>
      <c r="M656" t="s">
        <v>1296</v>
      </c>
      <c r="N656">
        <v>3</v>
      </c>
      <c r="O656" t="s">
        <v>639</v>
      </c>
      <c r="P656">
        <v>0.09</v>
      </c>
      <c r="Q656" t="s">
        <v>1325</v>
      </c>
      <c r="R656">
        <v>27.3</v>
      </c>
      <c r="S656">
        <v>22.7</v>
      </c>
      <c r="T656">
        <v>27.3</v>
      </c>
      <c r="U656">
        <v>4.5</v>
      </c>
      <c r="V656">
        <v>18.2</v>
      </c>
    </row>
    <row r="657" spans="1:22" x14ac:dyDescent="0.25">
      <c r="A657" t="s">
        <v>1948</v>
      </c>
      <c r="B657" t="s">
        <v>507</v>
      </c>
      <c r="C657">
        <v>39</v>
      </c>
      <c r="D657" t="s">
        <v>57</v>
      </c>
      <c r="E657" t="s">
        <v>38</v>
      </c>
      <c r="F657" t="s">
        <v>47</v>
      </c>
      <c r="G657">
        <v>0.56000000000000005</v>
      </c>
      <c r="H657" t="s">
        <v>512</v>
      </c>
      <c r="I657">
        <v>-10</v>
      </c>
      <c r="J657" t="str">
        <f>HYPERLINK("https://www.eliteprospects.com/player/685905/keith-mcinnis")</f>
        <v>https://www.eliteprospects.com/player/685905/keith-mcinnis</v>
      </c>
      <c r="K657" t="s">
        <v>27</v>
      </c>
      <c r="L657" t="s">
        <v>631</v>
      </c>
      <c r="M657" t="s">
        <v>1296</v>
      </c>
      <c r="N657">
        <v>1</v>
      </c>
      <c r="O657" t="s">
        <v>634</v>
      </c>
      <c r="P657">
        <v>0.08</v>
      </c>
      <c r="Q657" t="s">
        <v>1325</v>
      </c>
      <c r="R657">
        <v>30</v>
      </c>
      <c r="S657">
        <v>25</v>
      </c>
      <c r="T657">
        <v>32.5</v>
      </c>
      <c r="U657">
        <v>5</v>
      </c>
      <c r="V657">
        <v>7.5</v>
      </c>
    </row>
    <row r="658" spans="1:22" x14ac:dyDescent="0.25">
      <c r="A658" t="s">
        <v>1949</v>
      </c>
      <c r="B658" t="s">
        <v>633</v>
      </c>
      <c r="C658">
        <v>40</v>
      </c>
      <c r="D658" t="s">
        <v>57</v>
      </c>
      <c r="E658" t="s">
        <v>38</v>
      </c>
      <c r="F658" t="s">
        <v>47</v>
      </c>
      <c r="G658">
        <v>0.55000000000000004</v>
      </c>
      <c r="H658" t="s">
        <v>52</v>
      </c>
      <c r="I658">
        <v>1</v>
      </c>
      <c r="J658" t="str">
        <f>HYPERLINK("https://www.eliteprospects.com/player/748428/isa-guram")</f>
        <v>https://www.eliteprospects.com/player/748428/isa-guram</v>
      </c>
      <c r="K658" t="s">
        <v>27</v>
      </c>
      <c r="L658" t="s">
        <v>631</v>
      </c>
      <c r="M658" t="s">
        <v>1296</v>
      </c>
      <c r="N658">
        <v>3</v>
      </c>
      <c r="O658" t="s">
        <v>639</v>
      </c>
      <c r="P658">
        <v>0.08</v>
      </c>
      <c r="Q658" t="s">
        <v>1325</v>
      </c>
      <c r="R658">
        <v>30</v>
      </c>
      <c r="S658">
        <v>25</v>
      </c>
      <c r="T658">
        <v>32.5</v>
      </c>
      <c r="U658">
        <v>5</v>
      </c>
      <c r="V658">
        <v>7.5</v>
      </c>
    </row>
    <row r="659" spans="1:22" x14ac:dyDescent="0.25">
      <c r="A659" t="s">
        <v>1950</v>
      </c>
      <c r="B659" t="s">
        <v>651</v>
      </c>
      <c r="C659">
        <v>38</v>
      </c>
      <c r="D659" t="s">
        <v>66</v>
      </c>
      <c r="E659" t="s">
        <v>55</v>
      </c>
      <c r="F659" t="s">
        <v>47</v>
      </c>
      <c r="G659">
        <v>0.57999999999999996</v>
      </c>
      <c r="H659" t="s">
        <v>300</v>
      </c>
      <c r="I659">
        <v>36</v>
      </c>
      <c r="J659" t="str">
        <f>HYPERLINK("https://www.eliteprospects.com/player/679535/linden-burrett")</f>
        <v>https://www.eliteprospects.com/player/679535/linden-burrett</v>
      </c>
      <c r="K659" t="s">
        <v>27</v>
      </c>
      <c r="L659" t="s">
        <v>631</v>
      </c>
      <c r="M659" t="s">
        <v>1296</v>
      </c>
      <c r="N659">
        <v>2</v>
      </c>
      <c r="O659" t="s">
        <v>636</v>
      </c>
      <c r="P659">
        <v>0.08</v>
      </c>
      <c r="Q659" t="s">
        <v>1325</v>
      </c>
      <c r="R659">
        <v>30</v>
      </c>
      <c r="S659">
        <v>25</v>
      </c>
      <c r="T659">
        <v>32.5</v>
      </c>
      <c r="U659">
        <v>5</v>
      </c>
      <c r="V659">
        <v>7.5</v>
      </c>
    </row>
    <row r="660" spans="1:22" x14ac:dyDescent="0.25">
      <c r="A660" t="s">
        <v>1951</v>
      </c>
      <c r="B660" t="s">
        <v>659</v>
      </c>
      <c r="C660">
        <v>30</v>
      </c>
      <c r="D660" t="s">
        <v>26</v>
      </c>
      <c r="E660" t="s">
        <v>65</v>
      </c>
      <c r="F660" t="s">
        <v>33</v>
      </c>
      <c r="G660">
        <v>0.7</v>
      </c>
      <c r="H660" t="s">
        <v>39</v>
      </c>
      <c r="I660">
        <v>2</v>
      </c>
      <c r="J660" t="str">
        <f>HYPERLINK("https://www.eliteprospects.com/player/917755/jakub-vanecek")</f>
        <v>https://www.eliteprospects.com/player/917755/jakub-vanecek</v>
      </c>
      <c r="K660" t="s">
        <v>27</v>
      </c>
      <c r="L660" t="s">
        <v>631</v>
      </c>
      <c r="M660" t="s">
        <v>1296</v>
      </c>
      <c r="N660">
        <v>1</v>
      </c>
      <c r="O660" t="s">
        <v>634</v>
      </c>
      <c r="P660">
        <v>0.1</v>
      </c>
      <c r="Q660" t="s">
        <v>1325</v>
      </c>
      <c r="R660">
        <v>27.3</v>
      </c>
      <c r="S660">
        <v>22.7</v>
      </c>
      <c r="T660">
        <v>27.3</v>
      </c>
      <c r="U660">
        <v>4.5</v>
      </c>
      <c r="V660">
        <v>18.2</v>
      </c>
    </row>
    <row r="661" spans="1:22" x14ac:dyDescent="0.25">
      <c r="A661" t="s">
        <v>1952</v>
      </c>
      <c r="B661" t="s">
        <v>640</v>
      </c>
      <c r="C661">
        <v>41</v>
      </c>
      <c r="D661" t="s">
        <v>78</v>
      </c>
      <c r="E661" t="s">
        <v>39</v>
      </c>
      <c r="F661" t="s">
        <v>33</v>
      </c>
      <c r="G661">
        <v>0.51</v>
      </c>
      <c r="H661" t="s">
        <v>32</v>
      </c>
      <c r="I661">
        <v>12</v>
      </c>
      <c r="J661" t="str">
        <f>HYPERLINK("https://www.eliteprospects.com/player/628070/will-mclaughlin")</f>
        <v>https://www.eliteprospects.com/player/628070/will-mclaughlin</v>
      </c>
      <c r="K661" t="s">
        <v>27</v>
      </c>
      <c r="L661" t="s">
        <v>631</v>
      </c>
      <c r="M661" t="s">
        <v>1296</v>
      </c>
      <c r="N661">
        <v>1</v>
      </c>
      <c r="O661" t="s">
        <v>634</v>
      </c>
      <c r="P661">
        <v>7.0000000000000007E-2</v>
      </c>
      <c r="Q661" t="s">
        <v>1325</v>
      </c>
      <c r="R661">
        <v>30</v>
      </c>
      <c r="S661">
        <v>25</v>
      </c>
      <c r="T661">
        <v>32.5</v>
      </c>
      <c r="U661">
        <v>5</v>
      </c>
      <c r="V661">
        <v>7.5</v>
      </c>
    </row>
    <row r="662" spans="1:22" x14ac:dyDescent="0.25">
      <c r="A662" t="s">
        <v>1953</v>
      </c>
      <c r="B662" t="s">
        <v>644</v>
      </c>
      <c r="C662">
        <v>34</v>
      </c>
      <c r="D662" t="s">
        <v>57</v>
      </c>
      <c r="E662" t="s">
        <v>41</v>
      </c>
      <c r="F662" t="s">
        <v>33</v>
      </c>
      <c r="G662">
        <v>0.62</v>
      </c>
      <c r="H662" t="s">
        <v>51</v>
      </c>
      <c r="I662">
        <v>0</v>
      </c>
      <c r="J662" t="str">
        <f>HYPERLINK("https://www.eliteprospects.com/player/603578/bauer-dumanski")</f>
        <v>https://www.eliteprospects.com/player/603578/bauer-dumanski</v>
      </c>
      <c r="K662" t="s">
        <v>27</v>
      </c>
      <c r="L662" t="s">
        <v>631</v>
      </c>
      <c r="M662" t="s">
        <v>1296</v>
      </c>
      <c r="N662">
        <v>5</v>
      </c>
      <c r="O662" t="s">
        <v>645</v>
      </c>
      <c r="P662">
        <v>0.09</v>
      </c>
      <c r="Q662" t="s">
        <v>1325</v>
      </c>
      <c r="R662">
        <v>27.3</v>
      </c>
      <c r="S662">
        <v>22.7</v>
      </c>
      <c r="T662">
        <v>27.3</v>
      </c>
      <c r="U662">
        <v>4.5</v>
      </c>
      <c r="V662">
        <v>18.2</v>
      </c>
    </row>
    <row r="663" spans="1:22" x14ac:dyDescent="0.25">
      <c r="A663" t="s">
        <v>1954</v>
      </c>
      <c r="B663" t="s">
        <v>709</v>
      </c>
      <c r="C663">
        <v>39</v>
      </c>
      <c r="D663" t="s">
        <v>78</v>
      </c>
      <c r="E663" t="s">
        <v>65</v>
      </c>
      <c r="F663" t="s">
        <v>24</v>
      </c>
      <c r="G663">
        <v>0.51</v>
      </c>
      <c r="H663" t="s">
        <v>32</v>
      </c>
      <c r="I663">
        <v>-21</v>
      </c>
      <c r="J663" t="str">
        <f>HYPERLINK("https://www.eliteprospects.com/player/825498/jace-mcfaul")</f>
        <v>https://www.eliteprospects.com/player/825498/jace-mcfaul</v>
      </c>
      <c r="K663" t="s">
        <v>27</v>
      </c>
      <c r="L663" t="s">
        <v>631</v>
      </c>
      <c r="M663" t="s">
        <v>1296</v>
      </c>
      <c r="N663">
        <v>3</v>
      </c>
      <c r="O663" t="s">
        <v>639</v>
      </c>
      <c r="P663">
        <v>7.0000000000000007E-2</v>
      </c>
      <c r="Q663" t="s">
        <v>1325</v>
      </c>
      <c r="R663">
        <v>30</v>
      </c>
      <c r="S663">
        <v>25</v>
      </c>
      <c r="T663">
        <v>32.5</v>
      </c>
      <c r="U663">
        <v>5</v>
      </c>
      <c r="V663">
        <v>7.5</v>
      </c>
    </row>
    <row r="664" spans="1:22" x14ac:dyDescent="0.25">
      <c r="A664" t="s">
        <v>1955</v>
      </c>
      <c r="B664" t="s">
        <v>671</v>
      </c>
      <c r="C664">
        <v>38</v>
      </c>
      <c r="D664" t="s">
        <v>66</v>
      </c>
      <c r="E664" t="s">
        <v>38</v>
      </c>
      <c r="F664" t="s">
        <v>24</v>
      </c>
      <c r="G664">
        <v>0.53</v>
      </c>
      <c r="H664" t="s">
        <v>47</v>
      </c>
      <c r="I664">
        <v>11</v>
      </c>
      <c r="J664" t="str">
        <f>HYPERLINK("https://www.eliteprospects.com/player/597558/william-mcisaac")</f>
        <v>https://www.eliteprospects.com/player/597558/william-mcisaac</v>
      </c>
      <c r="K664" t="s">
        <v>27</v>
      </c>
      <c r="L664" t="s">
        <v>631</v>
      </c>
      <c r="M664" t="s">
        <v>1296</v>
      </c>
      <c r="N664">
        <v>5</v>
      </c>
      <c r="O664" t="s">
        <v>645</v>
      </c>
      <c r="P664">
        <v>7.0000000000000007E-2</v>
      </c>
      <c r="Q664" t="s">
        <v>1325</v>
      </c>
      <c r="R664">
        <v>30</v>
      </c>
      <c r="S664">
        <v>25</v>
      </c>
      <c r="T664">
        <v>32.5</v>
      </c>
      <c r="U664">
        <v>5</v>
      </c>
      <c r="V664">
        <v>7.5</v>
      </c>
    </row>
    <row r="665" spans="1:22" x14ac:dyDescent="0.25">
      <c r="A665" t="s">
        <v>1956</v>
      </c>
      <c r="B665" t="s">
        <v>651</v>
      </c>
      <c r="C665">
        <v>32</v>
      </c>
      <c r="D665" t="s">
        <v>140</v>
      </c>
      <c r="E665" t="s">
        <v>60</v>
      </c>
      <c r="F665" t="s">
        <v>24</v>
      </c>
      <c r="G665">
        <v>0.63</v>
      </c>
      <c r="H665" t="s">
        <v>57</v>
      </c>
      <c r="I665">
        <v>11</v>
      </c>
      <c r="J665" t="str">
        <f>HYPERLINK("https://www.eliteprospects.com/player/701389/brock-cripps")</f>
        <v>https://www.eliteprospects.com/player/701389/brock-cripps</v>
      </c>
      <c r="K665" t="s">
        <v>27</v>
      </c>
      <c r="L665" t="s">
        <v>631</v>
      </c>
      <c r="M665" t="s">
        <v>1296</v>
      </c>
      <c r="N665">
        <v>2</v>
      </c>
      <c r="O665" t="s">
        <v>636</v>
      </c>
      <c r="P665">
        <v>0.09</v>
      </c>
      <c r="Q665" t="s">
        <v>1325</v>
      </c>
      <c r="R665">
        <v>27.3</v>
      </c>
      <c r="S665">
        <v>22.7</v>
      </c>
      <c r="T665">
        <v>27.3</v>
      </c>
      <c r="U665">
        <v>4.5</v>
      </c>
      <c r="V665">
        <v>18.2</v>
      </c>
    </row>
    <row r="666" spans="1:22" x14ac:dyDescent="0.25">
      <c r="A666" t="s">
        <v>1957</v>
      </c>
      <c r="B666" t="s">
        <v>709</v>
      </c>
      <c r="C666">
        <v>39</v>
      </c>
      <c r="D666" t="s">
        <v>140</v>
      </c>
      <c r="E666" t="s">
        <v>60</v>
      </c>
      <c r="F666" t="s">
        <v>24</v>
      </c>
      <c r="G666">
        <v>0.51</v>
      </c>
      <c r="H666" t="s">
        <v>512</v>
      </c>
      <c r="I666">
        <v>-20</v>
      </c>
      <c r="J666" t="str">
        <f>HYPERLINK("https://www.eliteprospects.com/player/577136/josh-mcgregor")</f>
        <v>https://www.eliteprospects.com/player/577136/josh-mcgregor</v>
      </c>
      <c r="K666" t="s">
        <v>27</v>
      </c>
      <c r="L666" t="s">
        <v>631</v>
      </c>
      <c r="M666" t="s">
        <v>1296</v>
      </c>
      <c r="N666">
        <v>2</v>
      </c>
      <c r="O666" t="s">
        <v>636</v>
      </c>
      <c r="P666">
        <v>7.0000000000000007E-2</v>
      </c>
      <c r="Q666" t="s">
        <v>1325</v>
      </c>
      <c r="R666">
        <v>30</v>
      </c>
      <c r="S666">
        <v>25</v>
      </c>
      <c r="T666">
        <v>32.5</v>
      </c>
      <c r="U666">
        <v>5</v>
      </c>
      <c r="V666">
        <v>7.5</v>
      </c>
    </row>
    <row r="667" spans="1:22" x14ac:dyDescent="0.25">
      <c r="A667" t="s">
        <v>1958</v>
      </c>
      <c r="B667" t="s">
        <v>646</v>
      </c>
      <c r="C667">
        <v>34</v>
      </c>
      <c r="D667" t="s">
        <v>260</v>
      </c>
      <c r="E667" t="s">
        <v>51</v>
      </c>
      <c r="F667" t="s">
        <v>24</v>
      </c>
      <c r="G667">
        <v>0.59</v>
      </c>
      <c r="H667" t="s">
        <v>33</v>
      </c>
      <c r="I667">
        <v>0</v>
      </c>
      <c r="J667" t="str">
        <f>HYPERLINK("https://www.eliteprospects.com/player/878966/hunter-aura")</f>
        <v>https://www.eliteprospects.com/player/878966/hunter-aura</v>
      </c>
      <c r="K667" t="s">
        <v>27</v>
      </c>
      <c r="L667" t="s">
        <v>631</v>
      </c>
      <c r="M667" t="s">
        <v>1296</v>
      </c>
      <c r="N667">
        <v>2</v>
      </c>
      <c r="O667" t="s">
        <v>636</v>
      </c>
      <c r="P667">
        <v>0.08</v>
      </c>
      <c r="Q667" t="s">
        <v>1325</v>
      </c>
      <c r="R667">
        <v>30</v>
      </c>
      <c r="S667">
        <v>25</v>
      </c>
      <c r="T667">
        <v>32.5</v>
      </c>
      <c r="U667">
        <v>5</v>
      </c>
      <c r="V667">
        <v>7.5</v>
      </c>
    </row>
    <row r="668" spans="1:22" x14ac:dyDescent="0.25">
      <c r="A668" t="s">
        <v>1959</v>
      </c>
      <c r="B668" t="s">
        <v>646</v>
      </c>
      <c r="C668">
        <v>37</v>
      </c>
      <c r="D668" t="s">
        <v>79</v>
      </c>
      <c r="E668" t="s">
        <v>60</v>
      </c>
      <c r="F668" t="s">
        <v>51</v>
      </c>
      <c r="G668">
        <v>0.51</v>
      </c>
      <c r="H668" t="s">
        <v>25</v>
      </c>
      <c r="I668">
        <v>9</v>
      </c>
      <c r="J668" t="str">
        <f>HYPERLINK("https://www.eliteprospects.com/player/577089/wyatt-pisarczyk")</f>
        <v>https://www.eliteprospects.com/player/577089/wyatt-pisarczyk</v>
      </c>
      <c r="K668" t="s">
        <v>27</v>
      </c>
      <c r="L668" t="s">
        <v>631</v>
      </c>
      <c r="M668" t="s">
        <v>1296</v>
      </c>
      <c r="N668">
        <v>3</v>
      </c>
      <c r="O668" t="s">
        <v>639</v>
      </c>
      <c r="P668">
        <v>7.0000000000000007E-2</v>
      </c>
      <c r="Q668" t="s">
        <v>1325</v>
      </c>
      <c r="R668">
        <v>30</v>
      </c>
      <c r="S668">
        <v>25</v>
      </c>
      <c r="T668">
        <v>32.5</v>
      </c>
      <c r="U668">
        <v>5</v>
      </c>
      <c r="V668">
        <v>7.5</v>
      </c>
    </row>
    <row r="669" spans="1:22" x14ac:dyDescent="0.25">
      <c r="A669" t="s">
        <v>1960</v>
      </c>
      <c r="B669" t="s">
        <v>647</v>
      </c>
      <c r="C669">
        <v>39</v>
      </c>
      <c r="D669" t="s">
        <v>79</v>
      </c>
      <c r="E669" t="s">
        <v>60</v>
      </c>
      <c r="F669" t="s">
        <v>51</v>
      </c>
      <c r="G669">
        <v>0.49</v>
      </c>
      <c r="H669" t="s">
        <v>125</v>
      </c>
      <c r="I669">
        <v>4</v>
      </c>
      <c r="J669" t="str">
        <f>HYPERLINK("https://www.eliteprospects.com/player/619705/giorgos-pantelas")</f>
        <v>https://www.eliteprospects.com/player/619705/giorgos-pantelas</v>
      </c>
      <c r="K669" t="s">
        <v>27</v>
      </c>
      <c r="L669" t="s">
        <v>631</v>
      </c>
      <c r="M669" t="s">
        <v>1296</v>
      </c>
      <c r="N669">
        <v>3</v>
      </c>
      <c r="O669" t="s">
        <v>639</v>
      </c>
      <c r="P669">
        <v>7.0000000000000007E-2</v>
      </c>
      <c r="Q669" t="s">
        <v>1325</v>
      </c>
      <c r="R669">
        <v>30</v>
      </c>
      <c r="S669">
        <v>25</v>
      </c>
      <c r="T669">
        <v>32.5</v>
      </c>
      <c r="U669">
        <v>5</v>
      </c>
      <c r="V669">
        <v>7.5</v>
      </c>
    </row>
    <row r="670" spans="1:22" x14ac:dyDescent="0.25">
      <c r="A670" t="s">
        <v>1961</v>
      </c>
      <c r="B670" t="s">
        <v>641</v>
      </c>
      <c r="C670">
        <v>39</v>
      </c>
      <c r="D670" t="s">
        <v>260</v>
      </c>
      <c r="E670" t="s">
        <v>55</v>
      </c>
      <c r="F670" t="s">
        <v>51</v>
      </c>
      <c r="G670">
        <v>0.49</v>
      </c>
      <c r="H670" t="s">
        <v>84</v>
      </c>
      <c r="I670">
        <v>12</v>
      </c>
      <c r="J670" t="str">
        <f>HYPERLINK("https://www.eliteprospects.com/player/576974/callum-stone")</f>
        <v>https://www.eliteprospects.com/player/576974/callum-stone</v>
      </c>
      <c r="K670" t="s">
        <v>27</v>
      </c>
      <c r="L670" t="s">
        <v>631</v>
      </c>
      <c r="M670" t="s">
        <v>1296</v>
      </c>
      <c r="N670">
        <v>1</v>
      </c>
      <c r="O670" t="s">
        <v>634</v>
      </c>
      <c r="P670">
        <v>7.0000000000000007E-2</v>
      </c>
      <c r="Q670" t="s">
        <v>1325</v>
      </c>
      <c r="R670">
        <v>30</v>
      </c>
      <c r="S670">
        <v>25</v>
      </c>
      <c r="T670">
        <v>32.5</v>
      </c>
      <c r="U670">
        <v>5</v>
      </c>
      <c r="V670">
        <v>7.5</v>
      </c>
    </row>
    <row r="671" spans="1:22" x14ac:dyDescent="0.25">
      <c r="A671" t="s">
        <v>1962</v>
      </c>
      <c r="B671" t="s">
        <v>637</v>
      </c>
      <c r="C671">
        <v>30</v>
      </c>
      <c r="D671" t="s">
        <v>66</v>
      </c>
      <c r="E671" t="s">
        <v>39</v>
      </c>
      <c r="F671" t="s">
        <v>55</v>
      </c>
      <c r="G671">
        <v>0.6</v>
      </c>
      <c r="H671" t="s">
        <v>47</v>
      </c>
      <c r="I671">
        <v>5</v>
      </c>
      <c r="J671" t="str">
        <f>HYPERLINK("https://www.eliteprospects.com/player/793158/veeti-vaisanen")</f>
        <v>https://www.eliteprospects.com/player/793158/veeti-vaisanen</v>
      </c>
      <c r="K671" t="s">
        <v>27</v>
      </c>
      <c r="L671" t="s">
        <v>631</v>
      </c>
      <c r="M671" t="s">
        <v>1296</v>
      </c>
      <c r="N671">
        <v>2</v>
      </c>
      <c r="O671" t="s">
        <v>636</v>
      </c>
      <c r="P671">
        <v>0.08</v>
      </c>
      <c r="Q671" t="s">
        <v>1325</v>
      </c>
      <c r="R671">
        <v>30</v>
      </c>
      <c r="S671">
        <v>25</v>
      </c>
      <c r="T671">
        <v>32.5</v>
      </c>
      <c r="U671">
        <v>5</v>
      </c>
      <c r="V671">
        <v>7.5</v>
      </c>
    </row>
    <row r="672" spans="1:22" x14ac:dyDescent="0.25">
      <c r="A672" t="s">
        <v>1963</v>
      </c>
      <c r="B672" t="s">
        <v>667</v>
      </c>
      <c r="C672">
        <v>39</v>
      </c>
      <c r="D672" t="s">
        <v>140</v>
      </c>
      <c r="E672" t="s">
        <v>41</v>
      </c>
      <c r="F672" t="s">
        <v>55</v>
      </c>
      <c r="G672">
        <v>0.46</v>
      </c>
      <c r="H672" t="s">
        <v>34</v>
      </c>
      <c r="I672">
        <v>9</v>
      </c>
      <c r="J672" t="str">
        <f>HYPERLINK("https://www.eliteprospects.com/player/576972/jordan-martin")</f>
        <v>https://www.eliteprospects.com/player/576972/jordan-martin</v>
      </c>
      <c r="K672" t="s">
        <v>27</v>
      </c>
      <c r="L672" t="s">
        <v>631</v>
      </c>
      <c r="M672" t="s">
        <v>1296</v>
      </c>
      <c r="N672">
        <v>3</v>
      </c>
      <c r="O672" t="s">
        <v>639</v>
      </c>
      <c r="P672">
        <v>0.06</v>
      </c>
      <c r="Q672" t="s">
        <v>1325</v>
      </c>
      <c r="R672">
        <v>26.3</v>
      </c>
      <c r="S672">
        <v>23.7</v>
      </c>
      <c r="T672">
        <v>28.9</v>
      </c>
      <c r="U672">
        <v>5.3</v>
      </c>
      <c r="V672">
        <v>15.8</v>
      </c>
    </row>
    <row r="673" spans="1:22" x14ac:dyDescent="0.25">
      <c r="A673" t="s">
        <v>1964</v>
      </c>
      <c r="B673" t="s">
        <v>507</v>
      </c>
      <c r="C673">
        <v>38</v>
      </c>
      <c r="D673" t="s">
        <v>96</v>
      </c>
      <c r="E673" t="s">
        <v>23</v>
      </c>
      <c r="F673" t="s">
        <v>60</v>
      </c>
      <c r="G673">
        <v>0.45</v>
      </c>
      <c r="H673" t="s">
        <v>75</v>
      </c>
      <c r="I673">
        <v>2</v>
      </c>
      <c r="J673" t="str">
        <f>HYPERLINK("https://www.eliteprospects.com/player/855986/kyle-heger")</f>
        <v>https://www.eliteprospects.com/player/855986/kyle-heger</v>
      </c>
      <c r="K673" t="s">
        <v>27</v>
      </c>
      <c r="L673" t="s">
        <v>631</v>
      </c>
      <c r="M673" t="s">
        <v>1296</v>
      </c>
      <c r="N673">
        <v>1</v>
      </c>
      <c r="O673" t="s">
        <v>634</v>
      </c>
      <c r="P673">
        <v>0.06</v>
      </c>
      <c r="Q673" t="s">
        <v>1325</v>
      </c>
      <c r="R673">
        <v>26.3</v>
      </c>
      <c r="S673">
        <v>23.7</v>
      </c>
      <c r="T673">
        <v>28.9</v>
      </c>
      <c r="U673">
        <v>5.3</v>
      </c>
      <c r="V673">
        <v>15.8</v>
      </c>
    </row>
    <row r="674" spans="1:22" x14ac:dyDescent="0.25">
      <c r="A674" t="s">
        <v>1965</v>
      </c>
      <c r="B674" t="s">
        <v>637</v>
      </c>
      <c r="C674">
        <v>31</v>
      </c>
      <c r="D674" t="s">
        <v>78</v>
      </c>
      <c r="E674" t="s">
        <v>45</v>
      </c>
      <c r="F674" t="s">
        <v>38</v>
      </c>
      <c r="G674">
        <v>0.52</v>
      </c>
      <c r="H674" t="s">
        <v>26</v>
      </c>
      <c r="I674">
        <v>8</v>
      </c>
      <c r="J674" t="str">
        <f>HYPERLINK("https://www.eliteprospects.com/player/805920/tyson-moss")</f>
        <v>https://www.eliteprospects.com/player/805920/tyson-moss</v>
      </c>
      <c r="K674" t="s">
        <v>27</v>
      </c>
      <c r="L674" t="s">
        <v>631</v>
      </c>
      <c r="M674" t="s">
        <v>1296</v>
      </c>
      <c r="N674">
        <v>2</v>
      </c>
      <c r="O674" t="s">
        <v>636</v>
      </c>
      <c r="P674">
        <v>7.0000000000000007E-2</v>
      </c>
      <c r="Q674" t="s">
        <v>1325</v>
      </c>
      <c r="R674">
        <v>30</v>
      </c>
      <c r="S674">
        <v>25</v>
      </c>
      <c r="T674">
        <v>32.5</v>
      </c>
      <c r="U674">
        <v>5</v>
      </c>
      <c r="V674">
        <v>7.5</v>
      </c>
    </row>
    <row r="675" spans="1:22" x14ac:dyDescent="0.25">
      <c r="A675" t="s">
        <v>1966</v>
      </c>
      <c r="B675" t="s">
        <v>649</v>
      </c>
      <c r="C675">
        <v>35</v>
      </c>
      <c r="D675" t="s">
        <v>96</v>
      </c>
      <c r="E675" t="s">
        <v>69</v>
      </c>
      <c r="F675" t="s">
        <v>38</v>
      </c>
      <c r="G675">
        <v>0.46</v>
      </c>
      <c r="H675" t="s">
        <v>55</v>
      </c>
      <c r="I675">
        <v>30</v>
      </c>
      <c r="J675" t="str">
        <f>HYPERLINK("https://www.eliteprospects.com/player/577135/brek-liske")</f>
        <v>https://www.eliteprospects.com/player/577135/brek-liske</v>
      </c>
      <c r="K675" t="s">
        <v>27</v>
      </c>
      <c r="L675" t="s">
        <v>631</v>
      </c>
      <c r="M675" t="s">
        <v>1296</v>
      </c>
      <c r="N675">
        <v>3</v>
      </c>
      <c r="O675" t="s">
        <v>639</v>
      </c>
      <c r="P675">
        <v>0.06</v>
      </c>
      <c r="Q675" t="s">
        <v>1325</v>
      </c>
      <c r="R675">
        <v>26.3</v>
      </c>
      <c r="S675">
        <v>23.7</v>
      </c>
      <c r="T675">
        <v>28.9</v>
      </c>
      <c r="U675">
        <v>5.3</v>
      </c>
      <c r="V675">
        <v>15.8</v>
      </c>
    </row>
    <row r="676" spans="1:22" x14ac:dyDescent="0.25">
      <c r="A676" t="s">
        <v>1967</v>
      </c>
      <c r="B676" t="s">
        <v>507</v>
      </c>
      <c r="C676">
        <v>34</v>
      </c>
      <c r="D676" t="s">
        <v>140</v>
      </c>
      <c r="E676" t="s">
        <v>65</v>
      </c>
      <c r="F676" t="s">
        <v>38</v>
      </c>
      <c r="G676">
        <v>0.47</v>
      </c>
      <c r="H676" t="s">
        <v>39</v>
      </c>
      <c r="I676">
        <v>0</v>
      </c>
      <c r="J676" t="str">
        <f>HYPERLINK("https://www.eliteprospects.com/player/576980/will-sharpe")</f>
        <v>https://www.eliteprospects.com/player/576980/will-sharpe</v>
      </c>
      <c r="K676" t="s">
        <v>27</v>
      </c>
      <c r="L676" t="s">
        <v>631</v>
      </c>
      <c r="M676" t="s">
        <v>1296</v>
      </c>
      <c r="N676">
        <v>4</v>
      </c>
      <c r="O676" t="s">
        <v>632</v>
      </c>
      <c r="P676">
        <v>7.0000000000000007E-2</v>
      </c>
      <c r="Q676" t="s">
        <v>1325</v>
      </c>
      <c r="R676">
        <v>30</v>
      </c>
      <c r="S676">
        <v>25</v>
      </c>
      <c r="T676">
        <v>32.5</v>
      </c>
      <c r="U676">
        <v>5</v>
      </c>
      <c r="V676">
        <v>7.5</v>
      </c>
    </row>
    <row r="677" spans="1:22" x14ac:dyDescent="0.25">
      <c r="A677" t="s">
        <v>1968</v>
      </c>
      <c r="B677" t="s">
        <v>662</v>
      </c>
      <c r="C677">
        <v>14</v>
      </c>
      <c r="D677" t="s">
        <v>260</v>
      </c>
      <c r="E677" t="s">
        <v>41</v>
      </c>
      <c r="F677" t="s">
        <v>38</v>
      </c>
      <c r="G677">
        <v>1.1399999999999999</v>
      </c>
      <c r="H677" t="s">
        <v>65</v>
      </c>
      <c r="I677">
        <v>4</v>
      </c>
      <c r="J677" t="str">
        <f>HYPERLINK("https://www.eliteprospects.com/player/872673/radim-mrtka")</f>
        <v>https://www.eliteprospects.com/player/872673/radim-mrtka</v>
      </c>
      <c r="K677" t="s">
        <v>27</v>
      </c>
      <c r="L677" t="s">
        <v>631</v>
      </c>
      <c r="M677" t="s">
        <v>1296</v>
      </c>
      <c r="N677">
        <v>2</v>
      </c>
      <c r="O677" t="s">
        <v>636</v>
      </c>
      <c r="P677">
        <v>0.16</v>
      </c>
      <c r="Q677" t="s">
        <v>1300</v>
      </c>
      <c r="R677">
        <v>30.8</v>
      </c>
      <c r="S677">
        <v>20.5</v>
      </c>
      <c r="T677">
        <v>10.3</v>
      </c>
      <c r="U677">
        <v>10.3</v>
      </c>
      <c r="V677">
        <v>28.2</v>
      </c>
    </row>
    <row r="678" spans="1:22" x14ac:dyDescent="0.25">
      <c r="A678" t="s">
        <v>1969</v>
      </c>
      <c r="B678" t="s">
        <v>641</v>
      </c>
      <c r="C678">
        <v>38</v>
      </c>
      <c r="D678" t="s">
        <v>66</v>
      </c>
      <c r="E678" t="s">
        <v>69</v>
      </c>
      <c r="F678" t="s">
        <v>41</v>
      </c>
      <c r="G678">
        <v>0.39</v>
      </c>
      <c r="H678" t="s">
        <v>55</v>
      </c>
      <c r="I678">
        <v>22</v>
      </c>
      <c r="J678" t="str">
        <f>HYPERLINK("https://www.eliteprospects.com/player/817739/doogan-pederson")</f>
        <v>https://www.eliteprospects.com/player/817739/doogan-pederson</v>
      </c>
      <c r="K678" t="s">
        <v>27</v>
      </c>
      <c r="L678" t="s">
        <v>631</v>
      </c>
      <c r="M678" t="s">
        <v>1296</v>
      </c>
      <c r="N678">
        <v>3</v>
      </c>
      <c r="O678" t="s">
        <v>639</v>
      </c>
      <c r="P678">
        <v>0.05</v>
      </c>
      <c r="Q678" t="s">
        <v>1325</v>
      </c>
      <c r="R678">
        <v>26.3</v>
      </c>
      <c r="S678">
        <v>23.7</v>
      </c>
      <c r="T678">
        <v>28.9</v>
      </c>
      <c r="U678">
        <v>5.3</v>
      </c>
      <c r="V678">
        <v>15.8</v>
      </c>
    </row>
    <row r="679" spans="1:22" x14ac:dyDescent="0.25">
      <c r="A679" t="s">
        <v>1970</v>
      </c>
      <c r="B679" t="s">
        <v>507</v>
      </c>
      <c r="C679">
        <v>34</v>
      </c>
      <c r="D679" t="s">
        <v>140</v>
      </c>
      <c r="E679" t="s">
        <v>23</v>
      </c>
      <c r="F679" t="s">
        <v>41</v>
      </c>
      <c r="G679">
        <v>0.44</v>
      </c>
      <c r="H679" t="s">
        <v>25</v>
      </c>
      <c r="I679">
        <v>29</v>
      </c>
      <c r="J679" t="str">
        <f>HYPERLINK("https://www.eliteprospects.com/player/709618/parker-alcos")</f>
        <v>https://www.eliteprospects.com/player/709618/parker-alcos</v>
      </c>
      <c r="K679" t="s">
        <v>27</v>
      </c>
      <c r="L679" t="s">
        <v>631</v>
      </c>
      <c r="M679" t="s">
        <v>1296</v>
      </c>
      <c r="N679">
        <v>4</v>
      </c>
      <c r="O679" t="s">
        <v>632</v>
      </c>
      <c r="P679">
        <v>0.06</v>
      </c>
      <c r="Q679" t="s">
        <v>1325</v>
      </c>
      <c r="R679">
        <v>26.3</v>
      </c>
      <c r="S679">
        <v>23.7</v>
      </c>
      <c r="T679">
        <v>28.9</v>
      </c>
      <c r="U679">
        <v>5.3</v>
      </c>
      <c r="V679">
        <v>15.8</v>
      </c>
    </row>
    <row r="680" spans="1:22" x14ac:dyDescent="0.25">
      <c r="A680" t="s">
        <v>1971</v>
      </c>
      <c r="B680" t="s">
        <v>694</v>
      </c>
      <c r="C680">
        <v>33</v>
      </c>
      <c r="D680" t="s">
        <v>79</v>
      </c>
      <c r="E680" t="s">
        <v>65</v>
      </c>
      <c r="F680" t="s">
        <v>41</v>
      </c>
      <c r="G680">
        <v>0.45</v>
      </c>
      <c r="H680" t="s">
        <v>26</v>
      </c>
      <c r="I680">
        <v>-17</v>
      </c>
      <c r="J680" t="str">
        <f>HYPERLINK("https://www.eliteprospects.com/player/628098/william-scott")</f>
        <v>https://www.eliteprospects.com/player/628098/william-scott</v>
      </c>
      <c r="K680" t="s">
        <v>27</v>
      </c>
      <c r="L680" t="s">
        <v>631</v>
      </c>
      <c r="M680" t="s">
        <v>1296</v>
      </c>
      <c r="N680">
        <v>2</v>
      </c>
      <c r="O680" t="s">
        <v>636</v>
      </c>
      <c r="P680">
        <v>0.06</v>
      </c>
      <c r="Q680" t="s">
        <v>1325</v>
      </c>
      <c r="R680">
        <v>26.3</v>
      </c>
      <c r="S680">
        <v>23.7</v>
      </c>
      <c r="T680">
        <v>28.9</v>
      </c>
      <c r="U680">
        <v>5.3</v>
      </c>
      <c r="V680">
        <v>15.8</v>
      </c>
    </row>
    <row r="681" spans="1:22" x14ac:dyDescent="0.25">
      <c r="A681" t="s">
        <v>1972</v>
      </c>
      <c r="B681" t="s">
        <v>662</v>
      </c>
      <c r="C681">
        <v>38</v>
      </c>
      <c r="D681" t="s">
        <v>79</v>
      </c>
      <c r="E681" t="s">
        <v>65</v>
      </c>
      <c r="F681" t="s">
        <v>41</v>
      </c>
      <c r="G681">
        <v>0.39</v>
      </c>
      <c r="H681" t="s">
        <v>178</v>
      </c>
      <c r="I681">
        <v>-4</v>
      </c>
      <c r="J681" t="str">
        <f>HYPERLINK("https://www.eliteprospects.com/player/805205/tai-riley")</f>
        <v>https://www.eliteprospects.com/player/805205/tai-riley</v>
      </c>
      <c r="K681" t="s">
        <v>27</v>
      </c>
      <c r="L681" t="s">
        <v>631</v>
      </c>
      <c r="M681" t="s">
        <v>1296</v>
      </c>
      <c r="N681">
        <v>2</v>
      </c>
      <c r="O681" t="s">
        <v>636</v>
      </c>
      <c r="P681">
        <v>0.05</v>
      </c>
      <c r="Q681" t="s">
        <v>1325</v>
      </c>
      <c r="R681">
        <v>26.3</v>
      </c>
      <c r="S681">
        <v>23.7</v>
      </c>
      <c r="T681">
        <v>28.9</v>
      </c>
      <c r="U681">
        <v>5.3</v>
      </c>
      <c r="V681">
        <v>15.8</v>
      </c>
    </row>
    <row r="682" spans="1:22" x14ac:dyDescent="0.25">
      <c r="A682" t="s">
        <v>1973</v>
      </c>
      <c r="B682" t="s">
        <v>653</v>
      </c>
      <c r="C682">
        <v>38</v>
      </c>
      <c r="D682" t="s">
        <v>132</v>
      </c>
      <c r="E682" t="s">
        <v>41</v>
      </c>
      <c r="F682" t="s">
        <v>41</v>
      </c>
      <c r="G682">
        <v>0.39</v>
      </c>
      <c r="H682" t="s">
        <v>489</v>
      </c>
      <c r="I682">
        <v>10</v>
      </c>
      <c r="J682" t="str">
        <f>HYPERLINK("https://www.eliteprospects.com/player/719093/rowan-guest")</f>
        <v>https://www.eliteprospects.com/player/719093/rowan-guest</v>
      </c>
      <c r="K682" t="s">
        <v>27</v>
      </c>
      <c r="L682" t="s">
        <v>631</v>
      </c>
      <c r="M682" t="s">
        <v>1296</v>
      </c>
      <c r="N682">
        <v>2</v>
      </c>
      <c r="O682" t="s">
        <v>636</v>
      </c>
      <c r="P682">
        <v>0.05</v>
      </c>
      <c r="Q682" t="s">
        <v>1325</v>
      </c>
      <c r="R682">
        <v>26.3</v>
      </c>
      <c r="S682">
        <v>23.7</v>
      </c>
      <c r="T682">
        <v>28.9</v>
      </c>
      <c r="U682">
        <v>5.3</v>
      </c>
      <c r="V682">
        <v>15.8</v>
      </c>
    </row>
    <row r="683" spans="1:22" x14ac:dyDescent="0.25">
      <c r="A683" t="s">
        <v>1974</v>
      </c>
      <c r="B683" t="s">
        <v>667</v>
      </c>
      <c r="C683">
        <v>39</v>
      </c>
      <c r="D683" t="s">
        <v>57</v>
      </c>
      <c r="E683" t="s">
        <v>26</v>
      </c>
      <c r="F683" t="s">
        <v>39</v>
      </c>
      <c r="G683">
        <v>0.36</v>
      </c>
      <c r="H683" t="s">
        <v>66</v>
      </c>
      <c r="I683">
        <v>4</v>
      </c>
      <c r="J683" t="str">
        <f>HYPERLINK("https://www.eliteprospects.com/player/577084/jack-kachkowski")</f>
        <v>https://www.eliteprospects.com/player/577084/jack-kachkowski</v>
      </c>
      <c r="K683" t="s">
        <v>27</v>
      </c>
      <c r="L683" t="s">
        <v>631</v>
      </c>
      <c r="M683" t="s">
        <v>1296</v>
      </c>
      <c r="N683">
        <v>3</v>
      </c>
      <c r="O683" t="s">
        <v>639</v>
      </c>
      <c r="P683">
        <v>0.05</v>
      </c>
      <c r="Q683" t="s">
        <v>1325</v>
      </c>
      <c r="R683">
        <v>26.3</v>
      </c>
      <c r="S683">
        <v>23.7</v>
      </c>
      <c r="T683">
        <v>28.9</v>
      </c>
      <c r="U683">
        <v>5.3</v>
      </c>
      <c r="V683">
        <v>15.8</v>
      </c>
    </row>
    <row r="684" spans="1:22" x14ac:dyDescent="0.25">
      <c r="A684" t="s">
        <v>1975</v>
      </c>
      <c r="B684" t="s">
        <v>659</v>
      </c>
      <c r="C684">
        <v>37</v>
      </c>
      <c r="D684" t="s">
        <v>140</v>
      </c>
      <c r="E684" t="s">
        <v>69</v>
      </c>
      <c r="F684" t="s">
        <v>39</v>
      </c>
      <c r="G684">
        <v>0.38</v>
      </c>
      <c r="H684" t="s">
        <v>34</v>
      </c>
      <c r="I684">
        <v>8</v>
      </c>
      <c r="J684" t="str">
        <f>HYPERLINK("https://www.eliteprospects.com/player/597844/charlie-elick")</f>
        <v>https://www.eliteprospects.com/player/597844/charlie-elick</v>
      </c>
      <c r="K684" t="s">
        <v>27</v>
      </c>
      <c r="L684" t="s">
        <v>631</v>
      </c>
      <c r="M684" t="s">
        <v>1296</v>
      </c>
      <c r="N684">
        <v>5</v>
      </c>
      <c r="O684" t="s">
        <v>645</v>
      </c>
      <c r="P684">
        <v>0.05</v>
      </c>
      <c r="Q684" t="s">
        <v>1325</v>
      </c>
      <c r="R684">
        <v>26.3</v>
      </c>
      <c r="S684">
        <v>23.7</v>
      </c>
      <c r="T684">
        <v>28.9</v>
      </c>
      <c r="U684">
        <v>5.3</v>
      </c>
      <c r="V684">
        <v>15.8</v>
      </c>
    </row>
    <row r="685" spans="1:22" x14ac:dyDescent="0.25">
      <c r="A685" t="s">
        <v>1976</v>
      </c>
      <c r="B685" t="s">
        <v>651</v>
      </c>
      <c r="C685">
        <v>37</v>
      </c>
      <c r="D685" t="s">
        <v>140</v>
      </c>
      <c r="E685" t="s">
        <v>69</v>
      </c>
      <c r="F685" t="s">
        <v>39</v>
      </c>
      <c r="G685">
        <v>0.38</v>
      </c>
      <c r="H685" t="s">
        <v>178</v>
      </c>
      <c r="I685">
        <v>28</v>
      </c>
      <c r="J685" t="str">
        <f>HYPERLINK("https://www.eliteprospects.com/player/879768/bennett-kelly")</f>
        <v>https://www.eliteprospects.com/player/879768/bennett-kelly</v>
      </c>
      <c r="K685" t="s">
        <v>27</v>
      </c>
      <c r="L685" t="s">
        <v>631</v>
      </c>
      <c r="M685" t="s">
        <v>1296</v>
      </c>
      <c r="N685">
        <v>2</v>
      </c>
      <c r="O685" t="s">
        <v>636</v>
      </c>
      <c r="P685">
        <v>0.05</v>
      </c>
      <c r="Q685" t="s">
        <v>1325</v>
      </c>
      <c r="R685">
        <v>26.3</v>
      </c>
      <c r="S685">
        <v>23.7</v>
      </c>
      <c r="T685">
        <v>28.9</v>
      </c>
      <c r="U685">
        <v>5.3</v>
      </c>
      <c r="V685">
        <v>15.8</v>
      </c>
    </row>
    <row r="686" spans="1:22" x14ac:dyDescent="0.25">
      <c r="A686" t="s">
        <v>1977</v>
      </c>
      <c r="B686" t="s">
        <v>659</v>
      </c>
      <c r="C686">
        <v>39</v>
      </c>
      <c r="D686" t="s">
        <v>66</v>
      </c>
      <c r="E686" t="s">
        <v>45</v>
      </c>
      <c r="F686" t="s">
        <v>65</v>
      </c>
      <c r="G686">
        <v>0.33</v>
      </c>
      <c r="H686" t="s">
        <v>65</v>
      </c>
      <c r="I686">
        <v>6</v>
      </c>
      <c r="J686" t="str">
        <f>HYPERLINK("https://www.eliteprospects.com/player/576987/dylan-lebret")</f>
        <v>https://www.eliteprospects.com/player/576987/dylan-lebret</v>
      </c>
      <c r="K686" t="s">
        <v>27</v>
      </c>
      <c r="L686" t="s">
        <v>631</v>
      </c>
      <c r="M686" t="s">
        <v>1296</v>
      </c>
      <c r="N686">
        <v>1</v>
      </c>
      <c r="O686" t="s">
        <v>634</v>
      </c>
      <c r="P686">
        <v>0.05</v>
      </c>
      <c r="Q686" t="s">
        <v>1325</v>
      </c>
      <c r="R686">
        <v>26.3</v>
      </c>
      <c r="S686">
        <v>23.7</v>
      </c>
      <c r="T686">
        <v>28.9</v>
      </c>
      <c r="U686">
        <v>5.3</v>
      </c>
      <c r="V686">
        <v>15.8</v>
      </c>
    </row>
    <row r="687" spans="1:22" x14ac:dyDescent="0.25">
      <c r="A687" t="s">
        <v>1978</v>
      </c>
      <c r="B687" t="s">
        <v>684</v>
      </c>
      <c r="C687">
        <v>36</v>
      </c>
      <c r="D687" t="s">
        <v>140</v>
      </c>
      <c r="E687" t="s">
        <v>32</v>
      </c>
      <c r="F687" t="s">
        <v>65</v>
      </c>
      <c r="G687">
        <v>0.36</v>
      </c>
      <c r="H687" t="s">
        <v>53</v>
      </c>
      <c r="I687">
        <v>-5</v>
      </c>
      <c r="J687" t="str">
        <f>HYPERLINK("https://www.eliteprospects.com/player/966908/boston-tait")</f>
        <v>https://www.eliteprospects.com/player/966908/boston-tait</v>
      </c>
      <c r="K687" t="s">
        <v>27</v>
      </c>
      <c r="L687" t="s">
        <v>631</v>
      </c>
      <c r="M687" t="s">
        <v>1296</v>
      </c>
      <c r="N687">
        <v>2</v>
      </c>
      <c r="O687" t="s">
        <v>636</v>
      </c>
      <c r="P687">
        <v>0.05</v>
      </c>
      <c r="Q687" t="s">
        <v>1325</v>
      </c>
      <c r="R687">
        <v>26.3</v>
      </c>
      <c r="S687">
        <v>23.7</v>
      </c>
      <c r="T687">
        <v>28.9</v>
      </c>
      <c r="U687">
        <v>5.3</v>
      </c>
      <c r="V687">
        <v>15.8</v>
      </c>
    </row>
    <row r="688" spans="1:22" x14ac:dyDescent="0.25">
      <c r="A688" t="s">
        <v>1979</v>
      </c>
      <c r="B688" t="s">
        <v>659</v>
      </c>
      <c r="C688">
        <v>33</v>
      </c>
      <c r="D688" t="s">
        <v>260</v>
      </c>
      <c r="E688" t="s">
        <v>23</v>
      </c>
      <c r="F688" t="s">
        <v>65</v>
      </c>
      <c r="G688">
        <v>0.39</v>
      </c>
      <c r="H688" t="s">
        <v>60</v>
      </c>
      <c r="I688">
        <v>15</v>
      </c>
      <c r="J688" t="str">
        <f>HYPERLINK("https://www.eliteprospects.com/player/647519/carter-savage")</f>
        <v>https://www.eliteprospects.com/player/647519/carter-savage</v>
      </c>
      <c r="K688" t="s">
        <v>27</v>
      </c>
      <c r="L688" t="s">
        <v>631</v>
      </c>
      <c r="M688" t="s">
        <v>1296</v>
      </c>
      <c r="N688">
        <v>5</v>
      </c>
      <c r="O688" t="s">
        <v>645</v>
      </c>
      <c r="P688">
        <v>0.05</v>
      </c>
      <c r="Q688" t="s">
        <v>1325</v>
      </c>
      <c r="R688">
        <v>26.3</v>
      </c>
      <c r="S688">
        <v>23.7</v>
      </c>
      <c r="T688">
        <v>28.9</v>
      </c>
      <c r="U688">
        <v>5.3</v>
      </c>
      <c r="V688">
        <v>15.8</v>
      </c>
    </row>
    <row r="689" spans="1:22" x14ac:dyDescent="0.25">
      <c r="A689" t="s">
        <v>1980</v>
      </c>
      <c r="B689" t="s">
        <v>640</v>
      </c>
      <c r="C689">
        <v>40</v>
      </c>
      <c r="D689" t="s">
        <v>260</v>
      </c>
      <c r="E689" t="s">
        <v>23</v>
      </c>
      <c r="F689" t="s">
        <v>65</v>
      </c>
      <c r="G689">
        <v>0.33</v>
      </c>
      <c r="H689" t="s">
        <v>52</v>
      </c>
      <c r="I689">
        <v>-3</v>
      </c>
      <c r="J689" t="str">
        <f>HYPERLINK("https://www.eliteprospects.com/player/597726/cole-slobodian")</f>
        <v>https://www.eliteprospects.com/player/597726/cole-slobodian</v>
      </c>
      <c r="K689" t="s">
        <v>27</v>
      </c>
      <c r="L689" t="s">
        <v>631</v>
      </c>
      <c r="M689" t="s">
        <v>1296</v>
      </c>
      <c r="N689">
        <v>3</v>
      </c>
      <c r="O689" t="s">
        <v>639</v>
      </c>
      <c r="P689">
        <v>0.05</v>
      </c>
      <c r="Q689" t="s">
        <v>1325</v>
      </c>
      <c r="R689">
        <v>26.3</v>
      </c>
      <c r="S689">
        <v>23.7</v>
      </c>
      <c r="T689">
        <v>28.9</v>
      </c>
      <c r="U689">
        <v>5.3</v>
      </c>
      <c r="V689">
        <v>15.8</v>
      </c>
    </row>
    <row r="690" spans="1:22" x14ac:dyDescent="0.25">
      <c r="A690" t="s">
        <v>1981</v>
      </c>
      <c r="B690" t="s">
        <v>644</v>
      </c>
      <c r="C690">
        <v>34</v>
      </c>
      <c r="D690" t="s">
        <v>96</v>
      </c>
      <c r="E690" t="s">
        <v>78</v>
      </c>
      <c r="F690" t="s">
        <v>23</v>
      </c>
      <c r="G690">
        <v>0.35</v>
      </c>
      <c r="H690" t="s">
        <v>46</v>
      </c>
      <c r="I690">
        <v>-7</v>
      </c>
      <c r="J690" t="str">
        <f>HYPERLINK("https://www.eliteprospects.com/player/617229/corbin-vaughan")</f>
        <v>https://www.eliteprospects.com/player/617229/corbin-vaughan</v>
      </c>
      <c r="K690" t="s">
        <v>27</v>
      </c>
      <c r="L690" t="s">
        <v>631</v>
      </c>
      <c r="M690" t="s">
        <v>1296</v>
      </c>
      <c r="N690">
        <v>5</v>
      </c>
      <c r="O690" t="s">
        <v>645</v>
      </c>
      <c r="P690">
        <v>0.05</v>
      </c>
      <c r="Q690" t="s">
        <v>1325</v>
      </c>
      <c r="R690">
        <v>26.3</v>
      </c>
      <c r="S690">
        <v>23.7</v>
      </c>
      <c r="T690">
        <v>28.9</v>
      </c>
      <c r="U690">
        <v>5.3</v>
      </c>
      <c r="V690">
        <v>15.8</v>
      </c>
    </row>
    <row r="691" spans="1:22" x14ac:dyDescent="0.25">
      <c r="A691" t="s">
        <v>1982</v>
      </c>
      <c r="B691" t="s">
        <v>646</v>
      </c>
      <c r="C691">
        <v>25</v>
      </c>
      <c r="D691" t="s">
        <v>140</v>
      </c>
      <c r="E691" t="s">
        <v>45</v>
      </c>
      <c r="F691" t="s">
        <v>23</v>
      </c>
      <c r="G691">
        <v>0.48</v>
      </c>
      <c r="H691" t="s">
        <v>38</v>
      </c>
      <c r="I691">
        <v>-10</v>
      </c>
      <c r="J691" t="str">
        <f>HYPERLINK("https://www.eliteprospects.com/player/966880/calder-hamilton")</f>
        <v>https://www.eliteprospects.com/player/966880/calder-hamilton</v>
      </c>
      <c r="K691" t="s">
        <v>27</v>
      </c>
      <c r="L691" t="s">
        <v>631</v>
      </c>
      <c r="M691" t="s">
        <v>1296</v>
      </c>
      <c r="N691">
        <v>1</v>
      </c>
      <c r="O691" t="s">
        <v>634</v>
      </c>
      <c r="P691">
        <v>7.0000000000000007E-2</v>
      </c>
      <c r="Q691" t="s">
        <v>1325</v>
      </c>
      <c r="R691">
        <v>30</v>
      </c>
      <c r="S691">
        <v>25</v>
      </c>
      <c r="T691">
        <v>32.5</v>
      </c>
      <c r="U691">
        <v>5</v>
      </c>
      <c r="V691">
        <v>7.5</v>
      </c>
    </row>
    <row r="692" spans="1:22" x14ac:dyDescent="0.25">
      <c r="A692" t="s">
        <v>1983</v>
      </c>
      <c r="B692" t="s">
        <v>686</v>
      </c>
      <c r="C692">
        <v>37</v>
      </c>
      <c r="D692" t="s">
        <v>140</v>
      </c>
      <c r="E692" t="s">
        <v>45</v>
      </c>
      <c r="F692" t="s">
        <v>23</v>
      </c>
      <c r="G692">
        <v>0.32</v>
      </c>
      <c r="H692" t="s">
        <v>38</v>
      </c>
      <c r="I692">
        <v>-2</v>
      </c>
      <c r="J692" t="str">
        <f>HYPERLINK("https://www.eliteprospects.com/player/878987/nate-yellowaga")</f>
        <v>https://www.eliteprospects.com/player/878987/nate-yellowaga</v>
      </c>
      <c r="K692" t="s">
        <v>27</v>
      </c>
      <c r="L692" t="s">
        <v>631</v>
      </c>
      <c r="M692" t="s">
        <v>1296</v>
      </c>
      <c r="N692">
        <v>1</v>
      </c>
      <c r="O692" t="s">
        <v>634</v>
      </c>
      <c r="P692">
        <v>0.05</v>
      </c>
      <c r="Q692" t="s">
        <v>1325</v>
      </c>
      <c r="R692">
        <v>26.3</v>
      </c>
      <c r="S692">
        <v>23.7</v>
      </c>
      <c r="T692">
        <v>28.9</v>
      </c>
      <c r="U692">
        <v>5.3</v>
      </c>
      <c r="V692">
        <v>15.8</v>
      </c>
    </row>
    <row r="693" spans="1:22" x14ac:dyDescent="0.25">
      <c r="A693" t="s">
        <v>1984</v>
      </c>
      <c r="B693" t="s">
        <v>640</v>
      </c>
      <c r="C693">
        <v>26</v>
      </c>
      <c r="D693" t="s">
        <v>79</v>
      </c>
      <c r="E693" t="s">
        <v>32</v>
      </c>
      <c r="F693" t="s">
        <v>23</v>
      </c>
      <c r="G693">
        <v>0.46</v>
      </c>
      <c r="H693" t="s">
        <v>52</v>
      </c>
      <c r="I693">
        <v>0</v>
      </c>
      <c r="J693" t="str">
        <f>HYPERLINK("https://www.eliteprospects.com/player/690440/max-psenicka")</f>
        <v>https://www.eliteprospects.com/player/690440/max-psenicka</v>
      </c>
      <c r="K693" t="s">
        <v>27</v>
      </c>
      <c r="L693" t="s">
        <v>631</v>
      </c>
      <c r="M693" t="s">
        <v>1296</v>
      </c>
      <c r="N693">
        <v>2</v>
      </c>
      <c r="O693" t="s">
        <v>636</v>
      </c>
      <c r="P693">
        <v>0.06</v>
      </c>
      <c r="Q693" t="s">
        <v>1325</v>
      </c>
      <c r="R693">
        <v>26.3</v>
      </c>
      <c r="S693">
        <v>23.7</v>
      </c>
      <c r="T693">
        <v>28.9</v>
      </c>
      <c r="U693">
        <v>5.3</v>
      </c>
      <c r="V693">
        <v>15.8</v>
      </c>
    </row>
    <row r="694" spans="1:22" x14ac:dyDescent="0.25">
      <c r="A694" t="s">
        <v>1985</v>
      </c>
      <c r="B694" t="s">
        <v>662</v>
      </c>
      <c r="C694">
        <v>33</v>
      </c>
      <c r="D694" t="s">
        <v>79</v>
      </c>
      <c r="E694" t="s">
        <v>32</v>
      </c>
      <c r="F694" t="s">
        <v>23</v>
      </c>
      <c r="G694">
        <v>0.36</v>
      </c>
      <c r="H694" t="s">
        <v>638</v>
      </c>
      <c r="I694">
        <v>15</v>
      </c>
      <c r="J694" t="str">
        <f>HYPERLINK("https://www.eliteprospects.com/player/661822/ashton-cumby")</f>
        <v>https://www.eliteprospects.com/player/661822/ashton-cumby</v>
      </c>
      <c r="K694" t="s">
        <v>27</v>
      </c>
      <c r="L694" t="s">
        <v>631</v>
      </c>
      <c r="M694" t="s">
        <v>1296</v>
      </c>
      <c r="N694">
        <v>5</v>
      </c>
      <c r="O694" t="s">
        <v>645</v>
      </c>
      <c r="P694">
        <v>0.05</v>
      </c>
      <c r="Q694" t="s">
        <v>1325</v>
      </c>
      <c r="R694">
        <v>26.3</v>
      </c>
      <c r="S694">
        <v>23.7</v>
      </c>
      <c r="T694">
        <v>28.9</v>
      </c>
      <c r="U694">
        <v>5.3</v>
      </c>
      <c r="V694">
        <v>15.8</v>
      </c>
    </row>
    <row r="695" spans="1:22" x14ac:dyDescent="0.25">
      <c r="A695" t="s">
        <v>1986</v>
      </c>
      <c r="B695" t="s">
        <v>647</v>
      </c>
      <c r="C695">
        <v>34</v>
      </c>
      <c r="D695" t="s">
        <v>260</v>
      </c>
      <c r="E695" t="s">
        <v>69</v>
      </c>
      <c r="F695" t="s">
        <v>23</v>
      </c>
      <c r="G695">
        <v>0.35</v>
      </c>
      <c r="H695" t="s">
        <v>235</v>
      </c>
      <c r="I695">
        <v>12</v>
      </c>
      <c r="J695" t="str">
        <f>HYPERLINK("https://www.eliteprospects.com/player/883618/nigel-boehm")</f>
        <v>https://www.eliteprospects.com/player/883618/nigel-boehm</v>
      </c>
      <c r="K695" t="s">
        <v>27</v>
      </c>
      <c r="L695" t="s">
        <v>631</v>
      </c>
      <c r="M695" t="s">
        <v>1296</v>
      </c>
      <c r="N695">
        <v>2</v>
      </c>
      <c r="O695" t="s">
        <v>636</v>
      </c>
      <c r="P695">
        <v>0.05</v>
      </c>
      <c r="Q695" t="s">
        <v>1325</v>
      </c>
      <c r="R695">
        <v>26.3</v>
      </c>
      <c r="S695">
        <v>23.7</v>
      </c>
      <c r="T695">
        <v>28.9</v>
      </c>
      <c r="U695">
        <v>5.3</v>
      </c>
      <c r="V695">
        <v>15.8</v>
      </c>
    </row>
    <row r="696" spans="1:22" x14ac:dyDescent="0.25">
      <c r="A696" t="s">
        <v>1987</v>
      </c>
      <c r="B696" t="s">
        <v>647</v>
      </c>
      <c r="C696">
        <v>34</v>
      </c>
      <c r="D696" t="s">
        <v>66</v>
      </c>
      <c r="E696" t="s">
        <v>78</v>
      </c>
      <c r="F696" t="s">
        <v>69</v>
      </c>
      <c r="G696">
        <v>0.32</v>
      </c>
      <c r="H696" t="s">
        <v>23</v>
      </c>
      <c r="I696">
        <v>3</v>
      </c>
      <c r="J696" t="str">
        <f>HYPERLINK("https://www.eliteprospects.com/player/725709/dylan-ronald")</f>
        <v>https://www.eliteprospects.com/player/725709/dylan-ronald</v>
      </c>
      <c r="K696" t="s">
        <v>27</v>
      </c>
      <c r="L696" t="s">
        <v>631</v>
      </c>
      <c r="M696" t="s">
        <v>1296</v>
      </c>
      <c r="N696">
        <v>2</v>
      </c>
      <c r="O696" t="s">
        <v>636</v>
      </c>
      <c r="P696">
        <v>0.05</v>
      </c>
      <c r="Q696" t="s">
        <v>1325</v>
      </c>
      <c r="R696">
        <v>26.3</v>
      </c>
      <c r="S696">
        <v>23.7</v>
      </c>
      <c r="T696">
        <v>28.9</v>
      </c>
      <c r="U696">
        <v>5.3</v>
      </c>
      <c r="V696">
        <v>15.8</v>
      </c>
    </row>
    <row r="697" spans="1:22" x14ac:dyDescent="0.25">
      <c r="A697" t="s">
        <v>1988</v>
      </c>
      <c r="B697" t="s">
        <v>657</v>
      </c>
      <c r="C697">
        <v>29</v>
      </c>
      <c r="D697" t="s">
        <v>79</v>
      </c>
      <c r="E697" t="s">
        <v>45</v>
      </c>
      <c r="F697" t="s">
        <v>69</v>
      </c>
      <c r="G697">
        <v>0.38</v>
      </c>
      <c r="H697" t="s">
        <v>66</v>
      </c>
      <c r="I697">
        <v>-2</v>
      </c>
      <c r="J697" t="str">
        <f>HYPERLINK("https://www.eliteprospects.com/player/710805/landon-young")</f>
        <v>https://www.eliteprospects.com/player/710805/landon-young</v>
      </c>
      <c r="K697" t="s">
        <v>27</v>
      </c>
      <c r="L697" t="s">
        <v>631</v>
      </c>
      <c r="M697" t="s">
        <v>1296</v>
      </c>
      <c r="N697">
        <v>4</v>
      </c>
      <c r="O697" t="s">
        <v>632</v>
      </c>
      <c r="P697">
        <v>0.05</v>
      </c>
      <c r="Q697" t="s">
        <v>1325</v>
      </c>
      <c r="R697">
        <v>26.3</v>
      </c>
      <c r="S697">
        <v>23.7</v>
      </c>
      <c r="T697">
        <v>28.9</v>
      </c>
      <c r="U697">
        <v>5.3</v>
      </c>
      <c r="V697">
        <v>15.8</v>
      </c>
    </row>
    <row r="698" spans="1:22" x14ac:dyDescent="0.25">
      <c r="A698" t="s">
        <v>1989</v>
      </c>
      <c r="B698" t="s">
        <v>694</v>
      </c>
      <c r="C698">
        <v>33</v>
      </c>
      <c r="D698" t="s">
        <v>79</v>
      </c>
      <c r="E698" t="s">
        <v>45</v>
      </c>
      <c r="F698" t="s">
        <v>69</v>
      </c>
      <c r="G698">
        <v>0.33</v>
      </c>
      <c r="H698" t="s">
        <v>564</v>
      </c>
      <c r="I698">
        <v>-13</v>
      </c>
      <c r="J698" t="str">
        <f>HYPERLINK("https://www.eliteprospects.com/player/643473/matteo-fabrizi")</f>
        <v>https://www.eliteprospects.com/player/643473/matteo-fabrizi</v>
      </c>
      <c r="K698" t="s">
        <v>27</v>
      </c>
      <c r="L698" t="s">
        <v>631</v>
      </c>
      <c r="M698" t="s">
        <v>1296</v>
      </c>
      <c r="N698">
        <v>5</v>
      </c>
      <c r="O698" t="s">
        <v>645</v>
      </c>
      <c r="P698">
        <v>0.05</v>
      </c>
      <c r="Q698" t="s">
        <v>1325</v>
      </c>
      <c r="R698">
        <v>26.3</v>
      </c>
      <c r="S698">
        <v>23.7</v>
      </c>
      <c r="T698">
        <v>28.9</v>
      </c>
      <c r="U698">
        <v>5.3</v>
      </c>
      <c r="V698">
        <v>15.8</v>
      </c>
    </row>
    <row r="699" spans="1:22" x14ac:dyDescent="0.25">
      <c r="A699" t="s">
        <v>1990</v>
      </c>
      <c r="B699" t="s">
        <v>660</v>
      </c>
      <c r="C699">
        <v>39</v>
      </c>
      <c r="D699" t="s">
        <v>79</v>
      </c>
      <c r="E699" t="s">
        <v>45</v>
      </c>
      <c r="F699" t="s">
        <v>69</v>
      </c>
      <c r="G699">
        <v>0.28000000000000003</v>
      </c>
      <c r="H699" t="s">
        <v>1991</v>
      </c>
      <c r="I699">
        <v>-21</v>
      </c>
      <c r="J699" t="str">
        <f>HYPERLINK("https://www.eliteprospects.com/player/661701/brady-ness")</f>
        <v>https://www.eliteprospects.com/player/661701/brady-ness</v>
      </c>
      <c r="K699" t="s">
        <v>27</v>
      </c>
      <c r="L699" t="s">
        <v>631</v>
      </c>
      <c r="M699" t="s">
        <v>1296</v>
      </c>
      <c r="N699">
        <v>5</v>
      </c>
      <c r="O699" t="s">
        <v>645</v>
      </c>
      <c r="P699">
        <v>0.04</v>
      </c>
      <c r="Q699" t="s">
        <v>245</v>
      </c>
      <c r="R699">
        <v>28.6</v>
      </c>
      <c r="S699">
        <v>31.4</v>
      </c>
      <c r="T699">
        <v>28.6</v>
      </c>
      <c r="U699">
        <v>4.3</v>
      </c>
      <c r="V699">
        <v>7.1</v>
      </c>
    </row>
    <row r="700" spans="1:22" x14ac:dyDescent="0.25">
      <c r="A700" t="s">
        <v>1992</v>
      </c>
      <c r="B700" t="s">
        <v>671</v>
      </c>
      <c r="C700">
        <v>30</v>
      </c>
      <c r="D700" t="s">
        <v>132</v>
      </c>
      <c r="E700" t="s">
        <v>69</v>
      </c>
      <c r="F700" t="s">
        <v>69</v>
      </c>
      <c r="G700">
        <v>0.37</v>
      </c>
      <c r="H700" t="s">
        <v>513</v>
      </c>
      <c r="I700">
        <v>-9</v>
      </c>
      <c r="J700" t="str">
        <f>HYPERLINK("https://www.eliteprospects.com/player/577091/owen-schoettler")</f>
        <v>https://www.eliteprospects.com/player/577091/owen-schoettler</v>
      </c>
      <c r="K700" t="s">
        <v>27</v>
      </c>
      <c r="L700" t="s">
        <v>631</v>
      </c>
      <c r="M700" t="s">
        <v>1296</v>
      </c>
      <c r="N700">
        <v>4</v>
      </c>
      <c r="O700" t="s">
        <v>632</v>
      </c>
      <c r="P700">
        <v>0.05</v>
      </c>
      <c r="Q700" t="s">
        <v>1325</v>
      </c>
      <c r="R700">
        <v>26.3</v>
      </c>
      <c r="S700">
        <v>23.7</v>
      </c>
      <c r="T700">
        <v>28.9</v>
      </c>
      <c r="U700">
        <v>5.3</v>
      </c>
      <c r="V700">
        <v>15.8</v>
      </c>
    </row>
    <row r="701" spans="1:22" x14ac:dyDescent="0.25">
      <c r="A701" t="s">
        <v>1993</v>
      </c>
      <c r="B701" t="s">
        <v>507</v>
      </c>
      <c r="C701">
        <v>31</v>
      </c>
      <c r="D701" t="s">
        <v>66</v>
      </c>
      <c r="E701" t="s">
        <v>57</v>
      </c>
      <c r="F701" t="s">
        <v>32</v>
      </c>
      <c r="G701">
        <v>0.32</v>
      </c>
      <c r="H701" t="s">
        <v>38</v>
      </c>
      <c r="I701">
        <v>-7</v>
      </c>
      <c r="J701" t="str">
        <f>HYPERLINK("https://www.eliteprospects.com/player/647040/rylan-pearce")</f>
        <v>https://www.eliteprospects.com/player/647040/rylan-pearce</v>
      </c>
      <c r="K701" t="s">
        <v>27</v>
      </c>
      <c r="L701" t="s">
        <v>631</v>
      </c>
      <c r="M701" t="s">
        <v>1296</v>
      </c>
      <c r="N701">
        <v>4</v>
      </c>
      <c r="O701" t="s">
        <v>632</v>
      </c>
      <c r="P701">
        <v>0.05</v>
      </c>
      <c r="Q701" t="s">
        <v>1325</v>
      </c>
      <c r="R701">
        <v>26.3</v>
      </c>
      <c r="S701">
        <v>23.7</v>
      </c>
      <c r="T701">
        <v>28.9</v>
      </c>
      <c r="U701">
        <v>5.3</v>
      </c>
      <c r="V701">
        <v>15.8</v>
      </c>
    </row>
    <row r="702" spans="1:22" x14ac:dyDescent="0.25">
      <c r="A702" t="s">
        <v>1994</v>
      </c>
      <c r="B702" t="s">
        <v>635</v>
      </c>
      <c r="C702">
        <v>38</v>
      </c>
      <c r="D702" t="s">
        <v>66</v>
      </c>
      <c r="E702" t="s">
        <v>57</v>
      </c>
      <c r="F702" t="s">
        <v>32</v>
      </c>
      <c r="G702">
        <v>0.26</v>
      </c>
      <c r="H702" t="s">
        <v>23</v>
      </c>
      <c r="I702">
        <v>18</v>
      </c>
      <c r="J702" t="str">
        <f>HYPERLINK("https://www.eliteprospects.com/player/628106/josh-lee")</f>
        <v>https://www.eliteprospects.com/player/628106/josh-lee</v>
      </c>
      <c r="K702" t="s">
        <v>27</v>
      </c>
      <c r="L702" t="s">
        <v>631</v>
      </c>
      <c r="M702" t="s">
        <v>1296</v>
      </c>
      <c r="N702">
        <v>2</v>
      </c>
      <c r="O702" t="s">
        <v>636</v>
      </c>
      <c r="P702">
        <v>0.04</v>
      </c>
      <c r="Q702" t="s">
        <v>245</v>
      </c>
      <c r="R702">
        <v>28.6</v>
      </c>
      <c r="S702">
        <v>31.4</v>
      </c>
      <c r="T702">
        <v>28.6</v>
      </c>
      <c r="U702">
        <v>4.3</v>
      </c>
      <c r="V702">
        <v>7.1</v>
      </c>
    </row>
    <row r="703" spans="1:22" x14ac:dyDescent="0.25">
      <c r="A703" t="s">
        <v>1995</v>
      </c>
      <c r="B703" t="s">
        <v>694</v>
      </c>
      <c r="C703">
        <v>39</v>
      </c>
      <c r="D703" t="s">
        <v>66</v>
      </c>
      <c r="E703" t="s">
        <v>57</v>
      </c>
      <c r="F703" t="s">
        <v>32</v>
      </c>
      <c r="G703">
        <v>0.26</v>
      </c>
      <c r="H703" t="s">
        <v>512</v>
      </c>
      <c r="I703">
        <v>-19</v>
      </c>
      <c r="J703" t="str">
        <f>HYPERLINK("https://www.eliteprospects.com/player/577060/carsen-adair")</f>
        <v>https://www.eliteprospects.com/player/577060/carsen-adair</v>
      </c>
      <c r="K703" t="s">
        <v>27</v>
      </c>
      <c r="L703" t="s">
        <v>631</v>
      </c>
      <c r="M703" t="s">
        <v>1296</v>
      </c>
      <c r="N703">
        <v>3</v>
      </c>
      <c r="O703" t="s">
        <v>639</v>
      </c>
      <c r="P703">
        <v>0.04</v>
      </c>
      <c r="Q703" t="s">
        <v>245</v>
      </c>
      <c r="R703">
        <v>28.6</v>
      </c>
      <c r="S703">
        <v>31.4</v>
      </c>
      <c r="T703">
        <v>28.6</v>
      </c>
      <c r="U703">
        <v>4.3</v>
      </c>
      <c r="V703">
        <v>7.1</v>
      </c>
    </row>
    <row r="704" spans="1:22" x14ac:dyDescent="0.25">
      <c r="A704" t="s">
        <v>1996</v>
      </c>
      <c r="B704" t="s">
        <v>507</v>
      </c>
      <c r="C704">
        <v>42</v>
      </c>
      <c r="D704" t="s">
        <v>66</v>
      </c>
      <c r="E704" t="s">
        <v>57</v>
      </c>
      <c r="F704" t="s">
        <v>32</v>
      </c>
      <c r="G704">
        <v>0.24</v>
      </c>
      <c r="H704" t="s">
        <v>178</v>
      </c>
      <c r="I704">
        <v>-6</v>
      </c>
      <c r="J704" t="str">
        <f>HYPERLINK("https://www.eliteprospects.com/player/710606/marek-howell")</f>
        <v>https://www.eliteprospects.com/player/710606/marek-howell</v>
      </c>
      <c r="K704" t="s">
        <v>27</v>
      </c>
      <c r="L704" t="s">
        <v>631</v>
      </c>
      <c r="M704" t="s">
        <v>1296</v>
      </c>
      <c r="N704">
        <v>5</v>
      </c>
      <c r="O704" t="s">
        <v>645</v>
      </c>
      <c r="P704">
        <v>0.03</v>
      </c>
      <c r="Q704" t="s">
        <v>245</v>
      </c>
      <c r="R704">
        <v>28.6</v>
      </c>
      <c r="S704">
        <v>31.4</v>
      </c>
      <c r="T704">
        <v>28.6</v>
      </c>
      <c r="U704">
        <v>4.3</v>
      </c>
      <c r="V704">
        <v>7.1</v>
      </c>
    </row>
    <row r="705" spans="1:22" x14ac:dyDescent="0.25">
      <c r="A705" t="s">
        <v>1997</v>
      </c>
      <c r="B705" t="s">
        <v>659</v>
      </c>
      <c r="C705">
        <v>39</v>
      </c>
      <c r="D705" t="s">
        <v>140</v>
      </c>
      <c r="E705" t="s">
        <v>78</v>
      </c>
      <c r="F705" t="s">
        <v>32</v>
      </c>
      <c r="G705">
        <v>0.26</v>
      </c>
      <c r="H705" t="s">
        <v>529</v>
      </c>
      <c r="I705">
        <v>-7</v>
      </c>
      <c r="J705" t="str">
        <f>HYPERLINK("https://www.eliteprospects.com/player/577076/jaxen-adam")</f>
        <v>https://www.eliteprospects.com/player/577076/jaxen-adam</v>
      </c>
      <c r="K705" t="s">
        <v>27</v>
      </c>
      <c r="L705" t="s">
        <v>631</v>
      </c>
      <c r="M705" t="s">
        <v>1296</v>
      </c>
      <c r="N705">
        <v>3</v>
      </c>
      <c r="O705" t="s">
        <v>639</v>
      </c>
      <c r="P705">
        <v>0.04</v>
      </c>
      <c r="Q705" t="s">
        <v>245</v>
      </c>
      <c r="R705">
        <v>28.6</v>
      </c>
      <c r="S705">
        <v>31.4</v>
      </c>
      <c r="T705">
        <v>28.6</v>
      </c>
      <c r="U705">
        <v>4.3</v>
      </c>
      <c r="V705">
        <v>7.1</v>
      </c>
    </row>
    <row r="706" spans="1:22" x14ac:dyDescent="0.25">
      <c r="A706" t="s">
        <v>1998</v>
      </c>
      <c r="B706" t="s">
        <v>657</v>
      </c>
      <c r="C706">
        <v>36</v>
      </c>
      <c r="D706" t="s">
        <v>79</v>
      </c>
      <c r="E706" t="s">
        <v>26</v>
      </c>
      <c r="F706" t="s">
        <v>32</v>
      </c>
      <c r="G706">
        <v>0.28000000000000003</v>
      </c>
      <c r="H706" t="s">
        <v>39</v>
      </c>
      <c r="I706">
        <v>2</v>
      </c>
      <c r="J706" t="str">
        <f>HYPERLINK("https://www.eliteprospects.com/player/862394/odin-vauhkonen")</f>
        <v>https://www.eliteprospects.com/player/862394/odin-vauhkonen</v>
      </c>
      <c r="K706" t="s">
        <v>27</v>
      </c>
      <c r="L706" t="s">
        <v>631</v>
      </c>
      <c r="M706" t="s">
        <v>1296</v>
      </c>
      <c r="N706">
        <v>1</v>
      </c>
      <c r="O706" t="s">
        <v>634</v>
      </c>
      <c r="P706">
        <v>0.04</v>
      </c>
      <c r="Q706" t="s">
        <v>245</v>
      </c>
      <c r="R706">
        <v>28.6</v>
      </c>
      <c r="S706">
        <v>31.4</v>
      </c>
      <c r="T706">
        <v>28.6</v>
      </c>
      <c r="U706">
        <v>4.3</v>
      </c>
      <c r="V706">
        <v>7.1</v>
      </c>
    </row>
    <row r="707" spans="1:22" x14ac:dyDescent="0.25">
      <c r="A707" t="s">
        <v>1999</v>
      </c>
      <c r="B707" t="s">
        <v>702</v>
      </c>
      <c r="C707">
        <v>37</v>
      </c>
      <c r="D707" t="s">
        <v>79</v>
      </c>
      <c r="E707" t="s">
        <v>26</v>
      </c>
      <c r="F707" t="s">
        <v>32</v>
      </c>
      <c r="G707">
        <v>0.27</v>
      </c>
      <c r="H707" t="s">
        <v>544</v>
      </c>
      <c r="I707">
        <v>-3</v>
      </c>
      <c r="J707" t="str">
        <f>HYPERLINK("https://www.eliteprospects.com/player/758760/ethan-mittelsteadt")</f>
        <v>https://www.eliteprospects.com/player/758760/ethan-mittelsteadt</v>
      </c>
      <c r="K707" t="s">
        <v>27</v>
      </c>
      <c r="L707" t="s">
        <v>631</v>
      </c>
      <c r="M707" t="s">
        <v>1296</v>
      </c>
      <c r="N707">
        <v>5</v>
      </c>
      <c r="O707" t="s">
        <v>645</v>
      </c>
      <c r="P707">
        <v>0.04</v>
      </c>
      <c r="Q707" t="s">
        <v>245</v>
      </c>
      <c r="R707">
        <v>28.6</v>
      </c>
      <c r="S707">
        <v>31.4</v>
      </c>
      <c r="T707">
        <v>28.6</v>
      </c>
      <c r="U707">
        <v>4.3</v>
      </c>
      <c r="V707">
        <v>7.1</v>
      </c>
    </row>
    <row r="708" spans="1:22" x14ac:dyDescent="0.25">
      <c r="A708" t="s">
        <v>2000</v>
      </c>
      <c r="B708" t="s">
        <v>507</v>
      </c>
      <c r="C708">
        <v>39</v>
      </c>
      <c r="D708" t="s">
        <v>79</v>
      </c>
      <c r="E708" t="s">
        <v>26</v>
      </c>
      <c r="F708" t="s">
        <v>32</v>
      </c>
      <c r="G708">
        <v>0.26</v>
      </c>
      <c r="H708" t="s">
        <v>512</v>
      </c>
      <c r="I708">
        <v>0</v>
      </c>
      <c r="J708" t="str">
        <f>HYPERLINK("https://www.eliteprospects.com/player/719326/carson-olsen")</f>
        <v>https://www.eliteprospects.com/player/719326/carson-olsen</v>
      </c>
      <c r="K708" t="s">
        <v>27</v>
      </c>
      <c r="L708" t="s">
        <v>631</v>
      </c>
      <c r="M708" t="s">
        <v>1296</v>
      </c>
      <c r="N708">
        <v>1</v>
      </c>
      <c r="O708" t="s">
        <v>634</v>
      </c>
      <c r="P708">
        <v>0.04</v>
      </c>
      <c r="Q708" t="s">
        <v>245</v>
      </c>
      <c r="R708">
        <v>28.6</v>
      </c>
      <c r="S708">
        <v>31.4</v>
      </c>
      <c r="T708">
        <v>28.6</v>
      </c>
      <c r="U708">
        <v>4.3</v>
      </c>
      <c r="V708">
        <v>7.1</v>
      </c>
    </row>
    <row r="709" spans="1:22" x14ac:dyDescent="0.25">
      <c r="A709" t="s">
        <v>2001</v>
      </c>
      <c r="B709" t="s">
        <v>684</v>
      </c>
      <c r="C709">
        <v>38</v>
      </c>
      <c r="D709" t="s">
        <v>260</v>
      </c>
      <c r="E709" t="s">
        <v>45</v>
      </c>
      <c r="F709" t="s">
        <v>32</v>
      </c>
      <c r="G709">
        <v>0.26</v>
      </c>
      <c r="H709" t="s">
        <v>638</v>
      </c>
      <c r="I709">
        <v>-23</v>
      </c>
      <c r="J709" t="str">
        <f>HYPERLINK("https://www.eliteprospects.com/player/878405/brandon-osborne")</f>
        <v>https://www.eliteprospects.com/player/878405/brandon-osborne</v>
      </c>
      <c r="K709" t="s">
        <v>27</v>
      </c>
      <c r="L709" t="s">
        <v>631</v>
      </c>
      <c r="M709" t="s">
        <v>1296</v>
      </c>
      <c r="N709">
        <v>3</v>
      </c>
      <c r="O709" t="s">
        <v>639</v>
      </c>
      <c r="P709">
        <v>0.04</v>
      </c>
      <c r="Q709" t="s">
        <v>245</v>
      </c>
      <c r="R709">
        <v>28.6</v>
      </c>
      <c r="S709">
        <v>31.4</v>
      </c>
      <c r="T709">
        <v>28.6</v>
      </c>
      <c r="U709">
        <v>4.3</v>
      </c>
      <c r="V709">
        <v>7.1</v>
      </c>
    </row>
    <row r="710" spans="1:22" x14ac:dyDescent="0.25">
      <c r="A710" t="s">
        <v>2002</v>
      </c>
      <c r="B710" t="s">
        <v>684</v>
      </c>
      <c r="C710">
        <v>19</v>
      </c>
      <c r="D710" t="s">
        <v>66</v>
      </c>
      <c r="E710" t="s">
        <v>96</v>
      </c>
      <c r="F710" t="s">
        <v>45</v>
      </c>
      <c r="G710">
        <v>0.47</v>
      </c>
      <c r="H710" t="s">
        <v>24</v>
      </c>
      <c r="I710">
        <v>10</v>
      </c>
      <c r="J710" t="str">
        <f>HYPERLINK("https://www.eliteprospects.com/player/597715/josh-fluker")</f>
        <v>https://www.eliteprospects.com/player/597715/josh-fluker</v>
      </c>
      <c r="K710" t="s">
        <v>27</v>
      </c>
      <c r="L710" t="s">
        <v>631</v>
      </c>
      <c r="M710" t="s">
        <v>1296</v>
      </c>
      <c r="N710">
        <v>5</v>
      </c>
      <c r="O710" t="s">
        <v>645</v>
      </c>
      <c r="P710">
        <v>7.0000000000000007E-2</v>
      </c>
      <c r="Q710" t="s">
        <v>1325</v>
      </c>
      <c r="R710">
        <v>30</v>
      </c>
      <c r="S710">
        <v>25</v>
      </c>
      <c r="T710">
        <v>32.5</v>
      </c>
      <c r="U710">
        <v>5</v>
      </c>
      <c r="V710">
        <v>7.5</v>
      </c>
    </row>
    <row r="711" spans="1:22" x14ac:dyDescent="0.25">
      <c r="A711" t="s">
        <v>2003</v>
      </c>
      <c r="B711" t="s">
        <v>633</v>
      </c>
      <c r="C711">
        <v>27</v>
      </c>
      <c r="D711" t="s">
        <v>66</v>
      </c>
      <c r="E711" t="s">
        <v>96</v>
      </c>
      <c r="F711" t="s">
        <v>45</v>
      </c>
      <c r="G711">
        <v>0.33</v>
      </c>
      <c r="H711" t="s">
        <v>75</v>
      </c>
      <c r="I711">
        <v>11</v>
      </c>
      <c r="J711" t="str">
        <f>HYPERLINK("https://www.eliteprospects.com/player/603567/rhett-ravndahl")</f>
        <v>https://www.eliteprospects.com/player/603567/rhett-ravndahl</v>
      </c>
      <c r="K711" t="s">
        <v>27</v>
      </c>
      <c r="L711" t="s">
        <v>631</v>
      </c>
      <c r="M711" t="s">
        <v>1296</v>
      </c>
      <c r="N711">
        <v>5</v>
      </c>
      <c r="O711" t="s">
        <v>645</v>
      </c>
      <c r="P711">
        <v>0.05</v>
      </c>
      <c r="Q711" t="s">
        <v>1325</v>
      </c>
      <c r="R711">
        <v>26.3</v>
      </c>
      <c r="S711">
        <v>23.7</v>
      </c>
      <c r="T711">
        <v>28.9</v>
      </c>
      <c r="U711">
        <v>5.3</v>
      </c>
      <c r="V711">
        <v>15.8</v>
      </c>
    </row>
    <row r="712" spans="1:22" x14ac:dyDescent="0.25">
      <c r="A712" t="s">
        <v>2004</v>
      </c>
      <c r="B712" t="s">
        <v>637</v>
      </c>
      <c r="C712">
        <v>23</v>
      </c>
      <c r="D712" t="s">
        <v>140</v>
      </c>
      <c r="E712" t="s">
        <v>57</v>
      </c>
      <c r="F712" t="s">
        <v>45</v>
      </c>
      <c r="G712">
        <v>0.39</v>
      </c>
      <c r="H712" t="s">
        <v>65</v>
      </c>
      <c r="I712">
        <v>1</v>
      </c>
      <c r="J712" t="str">
        <f>HYPERLINK("https://www.eliteprospects.com/player/642601/josh-van-mulligen")</f>
        <v>https://www.eliteprospects.com/player/642601/josh-van-mulligen</v>
      </c>
      <c r="K712" t="s">
        <v>27</v>
      </c>
      <c r="L712" t="s">
        <v>631</v>
      </c>
      <c r="M712" t="s">
        <v>1296</v>
      </c>
      <c r="N712">
        <v>5</v>
      </c>
      <c r="O712" t="s">
        <v>645</v>
      </c>
      <c r="P712">
        <v>0.05</v>
      </c>
      <c r="Q712" t="s">
        <v>1325</v>
      </c>
      <c r="R712">
        <v>26.3</v>
      </c>
      <c r="S712">
        <v>23.7</v>
      </c>
      <c r="T712">
        <v>28.9</v>
      </c>
      <c r="U712">
        <v>5.3</v>
      </c>
      <c r="V712">
        <v>15.8</v>
      </c>
    </row>
    <row r="713" spans="1:22" x14ac:dyDescent="0.25">
      <c r="A713" t="s">
        <v>2005</v>
      </c>
      <c r="B713" t="s">
        <v>507</v>
      </c>
      <c r="C713">
        <v>24</v>
      </c>
      <c r="D713" t="s">
        <v>79</v>
      </c>
      <c r="E713" t="s">
        <v>78</v>
      </c>
      <c r="F713" t="s">
        <v>45</v>
      </c>
      <c r="G713">
        <v>0.38</v>
      </c>
      <c r="H713" t="s">
        <v>32</v>
      </c>
      <c r="I713">
        <v>2</v>
      </c>
      <c r="J713" t="str">
        <f>HYPERLINK("https://www.eliteprospects.com/player/905934/ji%C5%99i-kamas")</f>
        <v>https://www.eliteprospects.com/player/905934/ji%C5%99i-kamas</v>
      </c>
      <c r="K713" t="s">
        <v>27</v>
      </c>
      <c r="L713" t="s">
        <v>631</v>
      </c>
      <c r="M713" t="s">
        <v>1296</v>
      </c>
      <c r="N713">
        <v>1</v>
      </c>
      <c r="O713" t="s">
        <v>634</v>
      </c>
      <c r="P713">
        <v>0.05</v>
      </c>
      <c r="Q713" t="s">
        <v>1325</v>
      </c>
      <c r="R713">
        <v>26.3</v>
      </c>
      <c r="S713">
        <v>23.7</v>
      </c>
      <c r="T713">
        <v>28.9</v>
      </c>
      <c r="U713">
        <v>5.3</v>
      </c>
      <c r="V713">
        <v>15.8</v>
      </c>
    </row>
    <row r="714" spans="1:22" x14ac:dyDescent="0.25">
      <c r="A714" t="s">
        <v>2006</v>
      </c>
      <c r="B714" t="s">
        <v>647</v>
      </c>
      <c r="C714">
        <v>34</v>
      </c>
      <c r="D714" t="s">
        <v>79</v>
      </c>
      <c r="E714" t="s">
        <v>78</v>
      </c>
      <c r="F714" t="s">
        <v>45</v>
      </c>
      <c r="G714">
        <v>0.26</v>
      </c>
      <c r="H714" t="s">
        <v>23</v>
      </c>
      <c r="I714">
        <v>9</v>
      </c>
      <c r="J714" t="str">
        <f>HYPERLINK("https://www.eliteprospects.com/player/883541/cameron-allard")</f>
        <v>https://www.eliteprospects.com/player/883541/cameron-allard</v>
      </c>
      <c r="K714" t="s">
        <v>27</v>
      </c>
      <c r="L714" t="s">
        <v>631</v>
      </c>
      <c r="M714" t="s">
        <v>1296</v>
      </c>
      <c r="N714">
        <v>2</v>
      </c>
      <c r="O714" t="s">
        <v>636</v>
      </c>
      <c r="P714">
        <v>0.04</v>
      </c>
      <c r="Q714" t="s">
        <v>245</v>
      </c>
      <c r="R714">
        <v>28.6</v>
      </c>
      <c r="S714">
        <v>31.4</v>
      </c>
      <c r="T714">
        <v>28.6</v>
      </c>
      <c r="U714">
        <v>4.3</v>
      </c>
      <c r="V714">
        <v>7.1</v>
      </c>
    </row>
    <row r="715" spans="1:22" x14ac:dyDescent="0.25">
      <c r="A715" t="s">
        <v>2007</v>
      </c>
      <c r="B715" t="s">
        <v>686</v>
      </c>
      <c r="C715">
        <v>32</v>
      </c>
      <c r="D715" t="s">
        <v>140</v>
      </c>
      <c r="E715" t="s">
        <v>96</v>
      </c>
      <c r="F715" t="s">
        <v>26</v>
      </c>
      <c r="G715">
        <v>0.25</v>
      </c>
      <c r="H715" t="s">
        <v>26</v>
      </c>
      <c r="I715">
        <v>2</v>
      </c>
      <c r="J715" t="str">
        <f>HYPERLINK("https://www.eliteprospects.com/player/806018/matus-lisy")</f>
        <v>https://www.eliteprospects.com/player/806018/matus-lisy</v>
      </c>
      <c r="K715" t="s">
        <v>27</v>
      </c>
      <c r="L715" t="s">
        <v>631</v>
      </c>
      <c r="M715" t="s">
        <v>1296</v>
      </c>
      <c r="N715">
        <v>1</v>
      </c>
      <c r="O715" t="s">
        <v>634</v>
      </c>
      <c r="P715">
        <v>0.04</v>
      </c>
      <c r="Q715" t="s">
        <v>245</v>
      </c>
      <c r="R715">
        <v>28.6</v>
      </c>
      <c r="S715">
        <v>31.4</v>
      </c>
      <c r="T715">
        <v>28.6</v>
      </c>
      <c r="U715">
        <v>4.3</v>
      </c>
      <c r="V715">
        <v>7.1</v>
      </c>
    </row>
    <row r="716" spans="1:22" x14ac:dyDescent="0.25">
      <c r="A716" t="s">
        <v>2008</v>
      </c>
      <c r="B716" t="s">
        <v>646</v>
      </c>
      <c r="C716">
        <v>34</v>
      </c>
      <c r="D716" t="s">
        <v>140</v>
      </c>
      <c r="E716" t="s">
        <v>96</v>
      </c>
      <c r="F716" t="s">
        <v>26</v>
      </c>
      <c r="G716">
        <v>0.24</v>
      </c>
      <c r="H716" t="s">
        <v>61</v>
      </c>
      <c r="I716">
        <v>12</v>
      </c>
      <c r="J716" t="str">
        <f>HYPERLINK("https://www.eliteprospects.com/player/640415/axel-hurtig")</f>
        <v>https://www.eliteprospects.com/player/640415/axel-hurtig</v>
      </c>
      <c r="K716" t="s">
        <v>27</v>
      </c>
      <c r="L716" t="s">
        <v>631</v>
      </c>
      <c r="M716" t="s">
        <v>1296</v>
      </c>
      <c r="N716">
        <v>2</v>
      </c>
      <c r="O716" t="s">
        <v>636</v>
      </c>
      <c r="P716">
        <v>0.03</v>
      </c>
      <c r="Q716" t="s">
        <v>245</v>
      </c>
      <c r="R716">
        <v>28.6</v>
      </c>
      <c r="S716">
        <v>31.4</v>
      </c>
      <c r="T716">
        <v>28.6</v>
      </c>
      <c r="U716">
        <v>4.3</v>
      </c>
      <c r="V716">
        <v>7.1</v>
      </c>
    </row>
    <row r="717" spans="1:22" x14ac:dyDescent="0.25">
      <c r="A717" t="s">
        <v>2009</v>
      </c>
      <c r="B717" t="s">
        <v>507</v>
      </c>
      <c r="C717">
        <v>35</v>
      </c>
      <c r="D717" t="s">
        <v>140</v>
      </c>
      <c r="E717" t="s">
        <v>96</v>
      </c>
      <c r="F717" t="s">
        <v>26</v>
      </c>
      <c r="G717">
        <v>0.23</v>
      </c>
      <c r="H717" t="s">
        <v>47</v>
      </c>
      <c r="I717">
        <v>-1</v>
      </c>
      <c r="J717" t="str">
        <f>HYPERLINK("https://www.eliteprospects.com/player/597812/tyrone-sobry")</f>
        <v>https://www.eliteprospects.com/player/597812/tyrone-sobry</v>
      </c>
      <c r="K717" t="s">
        <v>27</v>
      </c>
      <c r="L717" t="s">
        <v>631</v>
      </c>
      <c r="M717" t="s">
        <v>1296</v>
      </c>
      <c r="N717">
        <v>3</v>
      </c>
      <c r="O717" t="s">
        <v>639</v>
      </c>
      <c r="P717">
        <v>0.03</v>
      </c>
      <c r="Q717" t="s">
        <v>245</v>
      </c>
      <c r="R717">
        <v>28.6</v>
      </c>
      <c r="S717">
        <v>31.4</v>
      </c>
      <c r="T717">
        <v>28.6</v>
      </c>
      <c r="U717">
        <v>4.3</v>
      </c>
      <c r="V717">
        <v>7.1</v>
      </c>
    </row>
    <row r="718" spans="1:22" x14ac:dyDescent="0.25">
      <c r="A718" t="s">
        <v>2010</v>
      </c>
      <c r="B718" t="s">
        <v>507</v>
      </c>
      <c r="C718">
        <v>36</v>
      </c>
      <c r="D718" t="s">
        <v>140</v>
      </c>
      <c r="E718" t="s">
        <v>96</v>
      </c>
      <c r="F718" t="s">
        <v>26</v>
      </c>
      <c r="G718">
        <v>0.22</v>
      </c>
      <c r="H718" t="s">
        <v>1907</v>
      </c>
      <c r="I718">
        <v>5</v>
      </c>
      <c r="J718" t="str">
        <f>HYPERLINK("https://www.eliteprospects.com/player/804750/kaleb-hartmann")</f>
        <v>https://www.eliteprospects.com/player/804750/kaleb-hartmann</v>
      </c>
      <c r="K718" t="s">
        <v>27</v>
      </c>
      <c r="L718" t="s">
        <v>631</v>
      </c>
      <c r="M718" t="s">
        <v>1296</v>
      </c>
      <c r="N718">
        <v>4</v>
      </c>
      <c r="O718" t="s">
        <v>632</v>
      </c>
      <c r="P718">
        <v>0.03</v>
      </c>
      <c r="Q718" t="s">
        <v>245</v>
      </c>
      <c r="R718">
        <v>28.6</v>
      </c>
      <c r="S718">
        <v>31.4</v>
      </c>
      <c r="T718">
        <v>28.6</v>
      </c>
      <c r="U718">
        <v>4.3</v>
      </c>
      <c r="V718">
        <v>7.1</v>
      </c>
    </row>
    <row r="719" spans="1:22" x14ac:dyDescent="0.25">
      <c r="A719" t="s">
        <v>2011</v>
      </c>
      <c r="B719" t="s">
        <v>671</v>
      </c>
      <c r="C719">
        <v>28</v>
      </c>
      <c r="D719" t="s">
        <v>79</v>
      </c>
      <c r="E719" t="s">
        <v>57</v>
      </c>
      <c r="F719" t="s">
        <v>26</v>
      </c>
      <c r="G719">
        <v>0.28999999999999998</v>
      </c>
      <c r="H719" t="s">
        <v>132</v>
      </c>
      <c r="I719">
        <v>6</v>
      </c>
      <c r="J719" t="str">
        <f>HYPERLINK("https://www.eliteprospects.com/player/628057/nolan-saunderson")</f>
        <v>https://www.eliteprospects.com/player/628057/nolan-saunderson</v>
      </c>
      <c r="K719" t="s">
        <v>27</v>
      </c>
      <c r="L719" t="s">
        <v>631</v>
      </c>
      <c r="M719" t="s">
        <v>1296</v>
      </c>
      <c r="N719">
        <v>2</v>
      </c>
      <c r="O719" t="s">
        <v>636</v>
      </c>
      <c r="P719">
        <v>0.04</v>
      </c>
      <c r="Q719" t="s">
        <v>245</v>
      </c>
      <c r="R719">
        <v>28.6</v>
      </c>
      <c r="S719">
        <v>31.4</v>
      </c>
      <c r="T719">
        <v>28.6</v>
      </c>
      <c r="U719">
        <v>4.3</v>
      </c>
      <c r="V719">
        <v>7.1</v>
      </c>
    </row>
    <row r="720" spans="1:22" x14ac:dyDescent="0.25">
      <c r="A720" t="s">
        <v>2012</v>
      </c>
      <c r="B720" t="s">
        <v>653</v>
      </c>
      <c r="C720">
        <v>38</v>
      </c>
      <c r="D720" t="s">
        <v>79</v>
      </c>
      <c r="E720" t="s">
        <v>57</v>
      </c>
      <c r="F720" t="s">
        <v>26</v>
      </c>
      <c r="G720">
        <v>0.21</v>
      </c>
      <c r="H720" t="s">
        <v>57</v>
      </c>
      <c r="I720">
        <v>-2</v>
      </c>
      <c r="J720" t="str">
        <f>HYPERLINK("https://www.eliteprospects.com/player/628111/jacob-henderson")</f>
        <v>https://www.eliteprospects.com/player/628111/jacob-henderson</v>
      </c>
      <c r="K720" t="s">
        <v>27</v>
      </c>
      <c r="L720" t="s">
        <v>631</v>
      </c>
      <c r="M720" t="s">
        <v>1296</v>
      </c>
      <c r="N720">
        <v>2</v>
      </c>
      <c r="O720" t="s">
        <v>636</v>
      </c>
      <c r="P720">
        <v>0.03</v>
      </c>
      <c r="Q720" t="s">
        <v>245</v>
      </c>
      <c r="R720">
        <v>28.6</v>
      </c>
      <c r="S720">
        <v>31.4</v>
      </c>
      <c r="T720">
        <v>28.6</v>
      </c>
      <c r="U720">
        <v>4.3</v>
      </c>
      <c r="V720">
        <v>7.1</v>
      </c>
    </row>
    <row r="721" spans="1:22" x14ac:dyDescent="0.25">
      <c r="A721" t="s">
        <v>2013</v>
      </c>
      <c r="B721" t="s">
        <v>684</v>
      </c>
      <c r="C721">
        <v>27</v>
      </c>
      <c r="D721" t="s">
        <v>260</v>
      </c>
      <c r="E721" t="s">
        <v>78</v>
      </c>
      <c r="F721" t="s">
        <v>26</v>
      </c>
      <c r="G721">
        <v>0.3</v>
      </c>
      <c r="H721" t="s">
        <v>178</v>
      </c>
      <c r="I721">
        <v>4</v>
      </c>
      <c r="J721" t="str">
        <f>HYPERLINK("https://www.eliteprospects.com/player/690458/michal-capos")</f>
        <v>https://www.eliteprospects.com/player/690458/michal-capos</v>
      </c>
      <c r="K721" t="s">
        <v>27</v>
      </c>
      <c r="L721" t="s">
        <v>631</v>
      </c>
      <c r="M721" t="s">
        <v>1296</v>
      </c>
      <c r="N721">
        <v>1</v>
      </c>
      <c r="O721" t="s">
        <v>634</v>
      </c>
      <c r="P721">
        <v>0.04</v>
      </c>
      <c r="Q721" t="s">
        <v>245</v>
      </c>
      <c r="R721">
        <v>28.6</v>
      </c>
      <c r="S721">
        <v>31.4</v>
      </c>
      <c r="T721">
        <v>28.6</v>
      </c>
      <c r="U721">
        <v>4.3</v>
      </c>
      <c r="V721">
        <v>7.1</v>
      </c>
    </row>
    <row r="722" spans="1:22" x14ac:dyDescent="0.25">
      <c r="A722" t="s">
        <v>2014</v>
      </c>
      <c r="B722" t="s">
        <v>662</v>
      </c>
      <c r="C722">
        <v>30</v>
      </c>
      <c r="D722" t="s">
        <v>260</v>
      </c>
      <c r="E722" t="s">
        <v>78</v>
      </c>
      <c r="F722" t="s">
        <v>26</v>
      </c>
      <c r="G722">
        <v>0.27</v>
      </c>
      <c r="H722" t="s">
        <v>26</v>
      </c>
      <c r="I722">
        <v>-2</v>
      </c>
      <c r="J722" t="str">
        <f>HYPERLINK("https://www.eliteprospects.com/player/701393/grayson-tash")</f>
        <v>https://www.eliteprospects.com/player/701393/grayson-tash</v>
      </c>
      <c r="K722" t="s">
        <v>27</v>
      </c>
      <c r="L722" t="s">
        <v>631</v>
      </c>
      <c r="M722" t="s">
        <v>1296</v>
      </c>
      <c r="N722">
        <v>2</v>
      </c>
      <c r="O722" t="s">
        <v>636</v>
      </c>
      <c r="P722">
        <v>0.04</v>
      </c>
      <c r="Q722" t="s">
        <v>245</v>
      </c>
      <c r="R722">
        <v>28.6</v>
      </c>
      <c r="S722">
        <v>31.4</v>
      </c>
      <c r="T722">
        <v>28.6</v>
      </c>
      <c r="U722">
        <v>4.3</v>
      </c>
      <c r="V722">
        <v>7.1</v>
      </c>
    </row>
    <row r="723" spans="1:22" x14ac:dyDescent="0.25">
      <c r="A723" t="s">
        <v>2015</v>
      </c>
      <c r="B723" t="s">
        <v>507</v>
      </c>
      <c r="C723">
        <v>34</v>
      </c>
      <c r="D723" t="s">
        <v>260</v>
      </c>
      <c r="E723" t="s">
        <v>78</v>
      </c>
      <c r="F723" t="s">
        <v>26</v>
      </c>
      <c r="G723">
        <v>0.24</v>
      </c>
      <c r="H723" t="s">
        <v>81</v>
      </c>
      <c r="I723">
        <v>12</v>
      </c>
      <c r="J723" t="str">
        <f>HYPERLINK("https://www.eliteprospects.com/player/917782/jakub-seidl")</f>
        <v>https://www.eliteprospects.com/player/917782/jakub-seidl</v>
      </c>
      <c r="K723" t="s">
        <v>27</v>
      </c>
      <c r="L723" t="s">
        <v>631</v>
      </c>
      <c r="M723" t="s">
        <v>1296</v>
      </c>
      <c r="N723">
        <v>1</v>
      </c>
      <c r="O723" t="s">
        <v>634</v>
      </c>
      <c r="P723">
        <v>0.03</v>
      </c>
      <c r="Q723" t="s">
        <v>245</v>
      </c>
      <c r="R723">
        <v>28.6</v>
      </c>
      <c r="S723">
        <v>31.4</v>
      </c>
      <c r="T723">
        <v>28.6</v>
      </c>
      <c r="U723">
        <v>4.3</v>
      </c>
      <c r="V723">
        <v>7.1</v>
      </c>
    </row>
    <row r="724" spans="1:22" x14ac:dyDescent="0.25">
      <c r="A724" t="s">
        <v>2016</v>
      </c>
      <c r="B724" t="s">
        <v>657</v>
      </c>
      <c r="C724">
        <v>38</v>
      </c>
      <c r="D724" t="s">
        <v>260</v>
      </c>
      <c r="E724" t="s">
        <v>78</v>
      </c>
      <c r="F724" t="s">
        <v>26</v>
      </c>
      <c r="G724">
        <v>0.21</v>
      </c>
      <c r="H724" t="s">
        <v>75</v>
      </c>
      <c r="I724">
        <v>-10</v>
      </c>
      <c r="J724" t="str">
        <f>HYPERLINK("https://www.eliteprospects.com/player/846583/henry-peterson")</f>
        <v>https://www.eliteprospects.com/player/846583/henry-peterson</v>
      </c>
      <c r="K724" t="s">
        <v>27</v>
      </c>
      <c r="L724" t="s">
        <v>631</v>
      </c>
      <c r="M724" t="s">
        <v>1296</v>
      </c>
      <c r="N724">
        <v>1</v>
      </c>
      <c r="O724" t="s">
        <v>634</v>
      </c>
      <c r="P724">
        <v>0.03</v>
      </c>
      <c r="Q724" t="s">
        <v>245</v>
      </c>
      <c r="R724">
        <v>28.6</v>
      </c>
      <c r="S724">
        <v>31.4</v>
      </c>
      <c r="T724">
        <v>28.6</v>
      </c>
      <c r="U724">
        <v>4.3</v>
      </c>
      <c r="V724">
        <v>7.1</v>
      </c>
    </row>
    <row r="725" spans="1:22" x14ac:dyDescent="0.25">
      <c r="A725" t="s">
        <v>2017</v>
      </c>
      <c r="B725" t="s">
        <v>633</v>
      </c>
      <c r="C725">
        <v>40</v>
      </c>
      <c r="D725" t="s">
        <v>260</v>
      </c>
      <c r="E725" t="s">
        <v>78</v>
      </c>
      <c r="F725" t="s">
        <v>26</v>
      </c>
      <c r="G725">
        <v>0.2</v>
      </c>
      <c r="H725" t="s">
        <v>79</v>
      </c>
      <c r="I725">
        <v>-1</v>
      </c>
      <c r="J725" t="str">
        <f>HYPERLINK("https://www.eliteprospects.com/player/883672/dryden-deobald")</f>
        <v>https://www.eliteprospects.com/player/883672/dryden-deobald</v>
      </c>
      <c r="K725" t="s">
        <v>27</v>
      </c>
      <c r="L725" t="s">
        <v>631</v>
      </c>
      <c r="M725" t="s">
        <v>1296</v>
      </c>
      <c r="N725">
        <v>2</v>
      </c>
      <c r="O725" t="s">
        <v>636</v>
      </c>
      <c r="P725">
        <v>0.03</v>
      </c>
      <c r="Q725" t="s">
        <v>245</v>
      </c>
      <c r="R725">
        <v>28.6</v>
      </c>
      <c r="S725">
        <v>31.4</v>
      </c>
      <c r="T725">
        <v>28.6</v>
      </c>
      <c r="U725">
        <v>4.3</v>
      </c>
      <c r="V725">
        <v>7.1</v>
      </c>
    </row>
    <row r="726" spans="1:22" x14ac:dyDescent="0.25">
      <c r="A726" t="s">
        <v>2018</v>
      </c>
      <c r="B726" t="s">
        <v>507</v>
      </c>
      <c r="C726">
        <v>35</v>
      </c>
      <c r="D726" t="s">
        <v>132</v>
      </c>
      <c r="E726" t="s">
        <v>26</v>
      </c>
      <c r="F726" t="s">
        <v>26</v>
      </c>
      <c r="G726">
        <v>0.23</v>
      </c>
      <c r="H726" t="s">
        <v>52</v>
      </c>
      <c r="I726">
        <v>10</v>
      </c>
      <c r="J726" t="str">
        <f>HYPERLINK("https://www.eliteprospects.com/player/801843/luke-vlooswyk")</f>
        <v>https://www.eliteprospects.com/player/801843/luke-vlooswyk</v>
      </c>
      <c r="K726" t="s">
        <v>27</v>
      </c>
      <c r="L726" t="s">
        <v>631</v>
      </c>
      <c r="M726" t="s">
        <v>1296</v>
      </c>
      <c r="N726">
        <v>4</v>
      </c>
      <c r="O726" t="s">
        <v>632</v>
      </c>
      <c r="P726">
        <v>0.03</v>
      </c>
      <c r="Q726" t="s">
        <v>245</v>
      </c>
      <c r="R726">
        <v>28.6</v>
      </c>
      <c r="S726">
        <v>31.4</v>
      </c>
      <c r="T726">
        <v>28.6</v>
      </c>
      <c r="U726">
        <v>4.3</v>
      </c>
      <c r="V726">
        <v>7.1</v>
      </c>
    </row>
    <row r="727" spans="1:22" x14ac:dyDescent="0.25">
      <c r="A727" t="s">
        <v>2019</v>
      </c>
      <c r="B727" t="s">
        <v>660</v>
      </c>
      <c r="C727">
        <v>13</v>
      </c>
      <c r="D727" t="s">
        <v>96</v>
      </c>
      <c r="E727" t="s">
        <v>79</v>
      </c>
      <c r="F727" t="s">
        <v>78</v>
      </c>
      <c r="G727">
        <v>0.54</v>
      </c>
      <c r="H727" t="s">
        <v>66</v>
      </c>
      <c r="I727">
        <v>5</v>
      </c>
      <c r="J727" t="str">
        <f>HYPERLINK("https://www.eliteprospects.com/player/804047/nolan-paquette")</f>
        <v>https://www.eliteprospects.com/player/804047/nolan-paquette</v>
      </c>
      <c r="K727" t="s">
        <v>27</v>
      </c>
      <c r="L727" t="s">
        <v>631</v>
      </c>
      <c r="M727" t="s">
        <v>1296</v>
      </c>
      <c r="N727">
        <v>2</v>
      </c>
      <c r="O727" t="s">
        <v>636</v>
      </c>
      <c r="P727">
        <v>0.08</v>
      </c>
      <c r="Q727" t="s">
        <v>1325</v>
      </c>
      <c r="R727">
        <v>30</v>
      </c>
      <c r="S727">
        <v>25</v>
      </c>
      <c r="T727">
        <v>32.5</v>
      </c>
      <c r="U727">
        <v>5</v>
      </c>
      <c r="V727">
        <v>7.5</v>
      </c>
    </row>
    <row r="728" spans="1:22" x14ac:dyDescent="0.25">
      <c r="A728" t="s">
        <v>2020</v>
      </c>
      <c r="B728" t="s">
        <v>507</v>
      </c>
      <c r="C728">
        <v>27</v>
      </c>
      <c r="D728" t="s">
        <v>79</v>
      </c>
      <c r="E728" t="s">
        <v>96</v>
      </c>
      <c r="F728" t="s">
        <v>78</v>
      </c>
      <c r="G728">
        <v>0.26</v>
      </c>
      <c r="H728" t="s">
        <v>26</v>
      </c>
      <c r="I728">
        <v>-4</v>
      </c>
      <c r="J728" t="str">
        <f>HYPERLINK("https://www.eliteprospects.com/player/597842/hyde-davidson")</f>
        <v>https://www.eliteprospects.com/player/597842/hyde-davidson</v>
      </c>
      <c r="K728" t="s">
        <v>27</v>
      </c>
      <c r="L728" t="s">
        <v>631</v>
      </c>
      <c r="M728" t="s">
        <v>1296</v>
      </c>
      <c r="N728">
        <v>5</v>
      </c>
      <c r="O728" t="s">
        <v>645</v>
      </c>
      <c r="P728">
        <v>0.04</v>
      </c>
      <c r="Q728" t="s">
        <v>245</v>
      </c>
      <c r="R728">
        <v>28.6</v>
      </c>
      <c r="S728">
        <v>31.4</v>
      </c>
      <c r="T728">
        <v>28.6</v>
      </c>
      <c r="U728">
        <v>4.3</v>
      </c>
      <c r="V728">
        <v>7.1</v>
      </c>
    </row>
    <row r="729" spans="1:22" x14ac:dyDescent="0.25">
      <c r="A729" t="s">
        <v>2021</v>
      </c>
      <c r="B729" t="s">
        <v>637</v>
      </c>
      <c r="C729">
        <v>32</v>
      </c>
      <c r="D729" t="s">
        <v>79</v>
      </c>
      <c r="E729" t="s">
        <v>96</v>
      </c>
      <c r="F729" t="s">
        <v>78</v>
      </c>
      <c r="G729">
        <v>0.22</v>
      </c>
      <c r="H729" t="s">
        <v>46</v>
      </c>
      <c r="I729">
        <v>8</v>
      </c>
      <c r="J729" t="str">
        <f>HYPERLINK("https://www.eliteprospects.com/player/825455/riley-steen")</f>
        <v>https://www.eliteprospects.com/player/825455/riley-steen</v>
      </c>
      <c r="K729" t="s">
        <v>27</v>
      </c>
      <c r="L729" t="s">
        <v>631</v>
      </c>
      <c r="M729" t="s">
        <v>1296</v>
      </c>
      <c r="N729">
        <v>2</v>
      </c>
      <c r="O729" t="s">
        <v>636</v>
      </c>
      <c r="P729">
        <v>0.03</v>
      </c>
      <c r="Q729" t="s">
        <v>245</v>
      </c>
      <c r="R729">
        <v>28.6</v>
      </c>
      <c r="S729">
        <v>31.4</v>
      </c>
      <c r="T729">
        <v>28.6</v>
      </c>
      <c r="U729">
        <v>4.3</v>
      </c>
      <c r="V729">
        <v>7.1</v>
      </c>
    </row>
    <row r="730" spans="1:22" x14ac:dyDescent="0.25">
      <c r="A730" t="s">
        <v>2022</v>
      </c>
      <c r="B730" t="s">
        <v>694</v>
      </c>
      <c r="C730">
        <v>33</v>
      </c>
      <c r="D730" t="s">
        <v>260</v>
      </c>
      <c r="E730" t="s">
        <v>57</v>
      </c>
      <c r="F730" t="s">
        <v>78</v>
      </c>
      <c r="G730">
        <v>0.21</v>
      </c>
      <c r="H730" t="s">
        <v>66</v>
      </c>
      <c r="I730">
        <v>-12</v>
      </c>
      <c r="J730" t="str">
        <f>HYPERLINK("https://www.eliteprospects.com/player/879898/grady-pichette")</f>
        <v>https://www.eliteprospects.com/player/879898/grady-pichette</v>
      </c>
      <c r="K730" t="s">
        <v>27</v>
      </c>
      <c r="L730" t="s">
        <v>631</v>
      </c>
      <c r="M730" t="s">
        <v>1296</v>
      </c>
      <c r="N730">
        <v>3</v>
      </c>
      <c r="O730" t="s">
        <v>639</v>
      </c>
      <c r="P730">
        <v>0.03</v>
      </c>
      <c r="Q730" t="s">
        <v>245</v>
      </c>
      <c r="R730">
        <v>28.6</v>
      </c>
      <c r="S730">
        <v>31.4</v>
      </c>
      <c r="T730">
        <v>28.6</v>
      </c>
      <c r="U730">
        <v>4.3</v>
      </c>
      <c r="V730">
        <v>7.1</v>
      </c>
    </row>
    <row r="731" spans="1:22" x14ac:dyDescent="0.25">
      <c r="A731" t="s">
        <v>2023</v>
      </c>
      <c r="B731" t="s">
        <v>647</v>
      </c>
      <c r="C731">
        <v>38</v>
      </c>
      <c r="D731" t="s">
        <v>140</v>
      </c>
      <c r="E731" t="s">
        <v>140</v>
      </c>
      <c r="F731" t="s">
        <v>57</v>
      </c>
      <c r="G731">
        <v>0.16</v>
      </c>
      <c r="H731" t="s">
        <v>739</v>
      </c>
      <c r="I731">
        <v>-2</v>
      </c>
      <c r="J731" t="str">
        <f>HYPERLINK("https://www.eliteprospects.com/player/804734/max-lavoie")</f>
        <v>https://www.eliteprospects.com/player/804734/max-lavoie</v>
      </c>
      <c r="K731" t="s">
        <v>27</v>
      </c>
      <c r="L731" t="s">
        <v>631</v>
      </c>
      <c r="M731" t="s">
        <v>1296</v>
      </c>
      <c r="N731">
        <v>1</v>
      </c>
      <c r="O731" t="s">
        <v>634</v>
      </c>
      <c r="P731">
        <v>0.02</v>
      </c>
      <c r="Q731" t="s">
        <v>245</v>
      </c>
      <c r="R731">
        <v>28.6</v>
      </c>
      <c r="S731">
        <v>31.4</v>
      </c>
      <c r="T731">
        <v>28.6</v>
      </c>
      <c r="U731">
        <v>4.3</v>
      </c>
      <c r="V731">
        <v>7.1</v>
      </c>
    </row>
    <row r="732" spans="1:22" x14ac:dyDescent="0.25">
      <c r="A732" t="s">
        <v>2024</v>
      </c>
      <c r="B732" t="s">
        <v>676</v>
      </c>
      <c r="C732">
        <v>21</v>
      </c>
      <c r="D732" t="s">
        <v>260</v>
      </c>
      <c r="E732" t="s">
        <v>96</v>
      </c>
      <c r="F732" t="s">
        <v>57</v>
      </c>
      <c r="G732">
        <v>0.28999999999999998</v>
      </c>
      <c r="H732" t="s">
        <v>84</v>
      </c>
      <c r="I732">
        <v>2</v>
      </c>
      <c r="J732" t="str">
        <f>HYPERLINK("https://www.eliteprospects.com/player/715231/kolten-bridgeman")</f>
        <v>https://www.eliteprospects.com/player/715231/kolten-bridgeman</v>
      </c>
      <c r="K732" t="s">
        <v>27</v>
      </c>
      <c r="L732" t="s">
        <v>631</v>
      </c>
      <c r="M732" t="s">
        <v>1296</v>
      </c>
      <c r="N732">
        <v>4</v>
      </c>
      <c r="O732" t="s">
        <v>632</v>
      </c>
      <c r="P732">
        <v>0.04</v>
      </c>
      <c r="Q732" t="s">
        <v>245</v>
      </c>
      <c r="R732">
        <v>28.6</v>
      </c>
      <c r="S732">
        <v>31.4</v>
      </c>
      <c r="T732">
        <v>28.6</v>
      </c>
      <c r="U732">
        <v>4.3</v>
      </c>
      <c r="V732">
        <v>7.1</v>
      </c>
    </row>
    <row r="733" spans="1:22" x14ac:dyDescent="0.25">
      <c r="A733" t="s">
        <v>2025</v>
      </c>
      <c r="B733" t="s">
        <v>646</v>
      </c>
      <c r="C733">
        <v>22</v>
      </c>
      <c r="D733" t="s">
        <v>260</v>
      </c>
      <c r="E733" t="s">
        <v>96</v>
      </c>
      <c r="F733" t="s">
        <v>57</v>
      </c>
      <c r="G733">
        <v>0.27</v>
      </c>
      <c r="H733" t="s">
        <v>25</v>
      </c>
      <c r="I733">
        <v>-1</v>
      </c>
      <c r="J733" t="str">
        <f>HYPERLINK("https://www.eliteprospects.com/player/891214/kaden-meyer")</f>
        <v>https://www.eliteprospects.com/player/891214/kaden-meyer</v>
      </c>
      <c r="K733" t="s">
        <v>27</v>
      </c>
      <c r="L733" t="s">
        <v>631</v>
      </c>
      <c r="M733" t="s">
        <v>1296</v>
      </c>
      <c r="N733">
        <v>1</v>
      </c>
      <c r="O733" t="s">
        <v>634</v>
      </c>
      <c r="P733">
        <v>0.04</v>
      </c>
      <c r="Q733" t="s">
        <v>245</v>
      </c>
      <c r="R733">
        <v>28.6</v>
      </c>
      <c r="S733">
        <v>31.4</v>
      </c>
      <c r="T733">
        <v>28.6</v>
      </c>
      <c r="U733">
        <v>4.3</v>
      </c>
      <c r="V733">
        <v>7.1</v>
      </c>
    </row>
    <row r="734" spans="1:22" x14ac:dyDescent="0.25">
      <c r="A734" t="s">
        <v>2026</v>
      </c>
      <c r="B734" t="s">
        <v>641</v>
      </c>
      <c r="C734">
        <v>26</v>
      </c>
      <c r="D734" t="s">
        <v>260</v>
      </c>
      <c r="E734" t="s">
        <v>96</v>
      </c>
      <c r="F734" t="s">
        <v>57</v>
      </c>
      <c r="G734">
        <v>0.23</v>
      </c>
      <c r="H734" t="s">
        <v>81</v>
      </c>
      <c r="I734">
        <v>-1</v>
      </c>
      <c r="J734" t="str">
        <f>HYPERLINK("https://www.eliteprospects.com/player/795053/morgan-tastad")</f>
        <v>https://www.eliteprospects.com/player/795053/morgan-tastad</v>
      </c>
      <c r="K734" t="s">
        <v>27</v>
      </c>
      <c r="L734" t="s">
        <v>631</v>
      </c>
      <c r="M734" t="s">
        <v>1296</v>
      </c>
      <c r="N734">
        <v>4</v>
      </c>
      <c r="O734" t="s">
        <v>632</v>
      </c>
      <c r="P734">
        <v>0.03</v>
      </c>
      <c r="Q734" t="s">
        <v>245</v>
      </c>
      <c r="R734">
        <v>28.6</v>
      </c>
      <c r="S734">
        <v>31.4</v>
      </c>
      <c r="T734">
        <v>28.6</v>
      </c>
      <c r="U734">
        <v>4.3</v>
      </c>
      <c r="V734">
        <v>7.1</v>
      </c>
    </row>
    <row r="735" spans="1:22" x14ac:dyDescent="0.25">
      <c r="A735" t="s">
        <v>2027</v>
      </c>
      <c r="B735" t="s">
        <v>635</v>
      </c>
      <c r="C735">
        <v>37</v>
      </c>
      <c r="D735" t="s">
        <v>260</v>
      </c>
      <c r="E735" t="s">
        <v>96</v>
      </c>
      <c r="F735" t="s">
        <v>57</v>
      </c>
      <c r="G735">
        <v>0.16</v>
      </c>
      <c r="H735" t="s">
        <v>503</v>
      </c>
      <c r="I735">
        <v>18</v>
      </c>
      <c r="J735" t="str">
        <f>HYPERLINK("https://www.eliteprospects.com/player/746977/noa-ta-amu")</f>
        <v>https://www.eliteprospects.com/player/746977/noa-ta-amu</v>
      </c>
      <c r="K735" t="s">
        <v>27</v>
      </c>
      <c r="L735" t="s">
        <v>631</v>
      </c>
      <c r="M735" t="s">
        <v>1296</v>
      </c>
      <c r="N735">
        <v>2</v>
      </c>
      <c r="O735" t="s">
        <v>636</v>
      </c>
      <c r="P735">
        <v>0.02</v>
      </c>
      <c r="Q735" t="s">
        <v>245</v>
      </c>
      <c r="R735">
        <v>28.6</v>
      </c>
      <c r="S735">
        <v>31.4</v>
      </c>
      <c r="T735">
        <v>28.6</v>
      </c>
      <c r="U735">
        <v>4.3</v>
      </c>
      <c r="V735">
        <v>7.1</v>
      </c>
    </row>
    <row r="736" spans="1:22" x14ac:dyDescent="0.25">
      <c r="A736" t="s">
        <v>2028</v>
      </c>
      <c r="B736" t="s">
        <v>507</v>
      </c>
      <c r="C736">
        <v>41</v>
      </c>
      <c r="D736" t="s">
        <v>260</v>
      </c>
      <c r="E736" t="s">
        <v>96</v>
      </c>
      <c r="F736" t="s">
        <v>57</v>
      </c>
      <c r="G736">
        <v>0.15</v>
      </c>
      <c r="H736" t="s">
        <v>125</v>
      </c>
      <c r="I736">
        <v>-13</v>
      </c>
      <c r="J736" t="str">
        <f>HYPERLINK("https://www.eliteprospects.com/player/825450/colton-alain")</f>
        <v>https://www.eliteprospects.com/player/825450/colton-alain</v>
      </c>
      <c r="K736" t="s">
        <v>27</v>
      </c>
      <c r="L736" t="s">
        <v>631</v>
      </c>
      <c r="M736" t="s">
        <v>1296</v>
      </c>
      <c r="N736">
        <v>4</v>
      </c>
      <c r="O736" t="s">
        <v>632</v>
      </c>
      <c r="P736">
        <v>0.02</v>
      </c>
      <c r="Q736" t="s">
        <v>245</v>
      </c>
      <c r="R736">
        <v>28.6</v>
      </c>
      <c r="S736">
        <v>31.4</v>
      </c>
      <c r="T736">
        <v>28.6</v>
      </c>
      <c r="U736">
        <v>4.3</v>
      </c>
      <c r="V736">
        <v>7.1</v>
      </c>
    </row>
    <row r="737" spans="1:22" x14ac:dyDescent="0.25">
      <c r="A737" t="s">
        <v>2029</v>
      </c>
      <c r="B737" t="s">
        <v>507</v>
      </c>
      <c r="C737">
        <v>23</v>
      </c>
      <c r="D737" t="s">
        <v>132</v>
      </c>
      <c r="E737" t="s">
        <v>57</v>
      </c>
      <c r="F737" t="s">
        <v>57</v>
      </c>
      <c r="G737">
        <v>0.26</v>
      </c>
      <c r="H737" t="s">
        <v>39</v>
      </c>
      <c r="I737">
        <v>13</v>
      </c>
      <c r="J737" t="str">
        <f>HYPERLINK("https://www.eliteprospects.com/player/647521/niko-tsakumis")</f>
        <v>https://www.eliteprospects.com/player/647521/niko-tsakumis</v>
      </c>
      <c r="K737" t="s">
        <v>27</v>
      </c>
      <c r="L737" t="s">
        <v>631</v>
      </c>
      <c r="M737" t="s">
        <v>1296</v>
      </c>
      <c r="N737">
        <v>5</v>
      </c>
      <c r="O737" t="s">
        <v>645</v>
      </c>
      <c r="P737">
        <v>0.04</v>
      </c>
      <c r="Q737" t="s">
        <v>245</v>
      </c>
      <c r="R737">
        <v>28.6</v>
      </c>
      <c r="S737">
        <v>31.4</v>
      </c>
      <c r="T737">
        <v>28.6</v>
      </c>
      <c r="U737">
        <v>4.3</v>
      </c>
      <c r="V737">
        <v>7.1</v>
      </c>
    </row>
    <row r="738" spans="1:22" x14ac:dyDescent="0.25">
      <c r="A738" t="s">
        <v>2030</v>
      </c>
      <c r="B738" t="s">
        <v>507</v>
      </c>
      <c r="C738">
        <v>24</v>
      </c>
      <c r="D738" t="s">
        <v>132</v>
      </c>
      <c r="E738" t="s">
        <v>57</v>
      </c>
      <c r="F738" t="s">
        <v>57</v>
      </c>
      <c r="G738">
        <v>0.25</v>
      </c>
      <c r="H738" t="s">
        <v>79</v>
      </c>
      <c r="I738">
        <v>-1</v>
      </c>
      <c r="J738" t="str">
        <f>HYPERLINK("https://www.eliteprospects.com/player/628126/eli-johnson")</f>
        <v>https://www.eliteprospects.com/player/628126/eli-johnson</v>
      </c>
      <c r="K738" t="s">
        <v>27</v>
      </c>
      <c r="L738" t="s">
        <v>631</v>
      </c>
      <c r="M738" t="s">
        <v>1296</v>
      </c>
      <c r="N738">
        <v>1</v>
      </c>
      <c r="O738" t="s">
        <v>634</v>
      </c>
      <c r="P738">
        <v>0.04</v>
      </c>
      <c r="Q738" t="s">
        <v>245</v>
      </c>
      <c r="R738">
        <v>28.6</v>
      </c>
      <c r="S738">
        <v>31.4</v>
      </c>
      <c r="T738">
        <v>28.6</v>
      </c>
      <c r="U738">
        <v>4.3</v>
      </c>
      <c r="V738">
        <v>7.1</v>
      </c>
    </row>
    <row r="739" spans="1:22" x14ac:dyDescent="0.25">
      <c r="A739" t="s">
        <v>2031</v>
      </c>
      <c r="B739" t="s">
        <v>646</v>
      </c>
      <c r="C739">
        <v>29</v>
      </c>
      <c r="D739" t="s">
        <v>132</v>
      </c>
      <c r="E739" t="s">
        <v>57</v>
      </c>
      <c r="F739" t="s">
        <v>57</v>
      </c>
      <c r="G739">
        <v>0.21</v>
      </c>
      <c r="H739" t="s">
        <v>55</v>
      </c>
      <c r="I739">
        <v>-3</v>
      </c>
      <c r="J739" t="str">
        <f>HYPERLINK("https://www.eliteprospects.com/player/804146/bobby-williams")</f>
        <v>https://www.eliteprospects.com/player/804146/bobby-williams</v>
      </c>
      <c r="K739" t="s">
        <v>27</v>
      </c>
      <c r="L739" t="s">
        <v>631</v>
      </c>
      <c r="M739" t="s">
        <v>1296</v>
      </c>
      <c r="N739">
        <v>1</v>
      </c>
      <c r="O739" t="s">
        <v>634</v>
      </c>
      <c r="P739">
        <v>0.03</v>
      </c>
      <c r="Q739" t="s">
        <v>245</v>
      </c>
      <c r="R739">
        <v>28.6</v>
      </c>
      <c r="S739">
        <v>31.4</v>
      </c>
      <c r="T739">
        <v>28.6</v>
      </c>
      <c r="U739">
        <v>4.3</v>
      </c>
      <c r="V739">
        <v>7.1</v>
      </c>
    </row>
    <row r="740" spans="1:22" x14ac:dyDescent="0.25">
      <c r="A740" t="s">
        <v>2032</v>
      </c>
      <c r="B740" t="s">
        <v>709</v>
      </c>
      <c r="C740">
        <v>25</v>
      </c>
      <c r="D740" t="s">
        <v>260</v>
      </c>
      <c r="E740" t="s">
        <v>66</v>
      </c>
      <c r="F740" t="s">
        <v>96</v>
      </c>
      <c r="G740">
        <v>0.2</v>
      </c>
      <c r="H740" t="s">
        <v>46</v>
      </c>
      <c r="I740">
        <v>-17</v>
      </c>
      <c r="J740" t="str">
        <f>HYPERLINK("https://www.eliteprospects.com/player/798240/caleb-potter")</f>
        <v>https://www.eliteprospects.com/player/798240/caleb-potter</v>
      </c>
      <c r="K740" t="s">
        <v>27</v>
      </c>
      <c r="L740" t="s">
        <v>631</v>
      </c>
      <c r="M740" t="s">
        <v>1296</v>
      </c>
      <c r="N740">
        <v>3</v>
      </c>
      <c r="O740" t="s">
        <v>639</v>
      </c>
      <c r="P740">
        <v>0.03</v>
      </c>
      <c r="Q740" t="s">
        <v>245</v>
      </c>
      <c r="R740">
        <v>28.6</v>
      </c>
      <c r="S740">
        <v>31.4</v>
      </c>
      <c r="T740">
        <v>28.6</v>
      </c>
      <c r="U740">
        <v>4.3</v>
      </c>
      <c r="V740">
        <v>7.1</v>
      </c>
    </row>
    <row r="741" spans="1:22" x14ac:dyDescent="0.25">
      <c r="A741" t="s">
        <v>2033</v>
      </c>
      <c r="B741" t="s">
        <v>507</v>
      </c>
      <c r="C741">
        <v>33</v>
      </c>
      <c r="D741" t="s">
        <v>260</v>
      </c>
      <c r="E741" t="s">
        <v>66</v>
      </c>
      <c r="F741" t="s">
        <v>96</v>
      </c>
      <c r="G741">
        <v>0.15</v>
      </c>
      <c r="H741" t="s">
        <v>280</v>
      </c>
      <c r="I741">
        <v>2</v>
      </c>
      <c r="J741" t="str">
        <f>HYPERLINK("https://www.eliteprospects.com/player/647852/aleksey-chichkin")</f>
        <v>https://www.eliteprospects.com/player/647852/aleksey-chichkin</v>
      </c>
      <c r="K741" t="s">
        <v>27</v>
      </c>
      <c r="L741" t="s">
        <v>631</v>
      </c>
      <c r="M741" t="s">
        <v>1296</v>
      </c>
      <c r="N741">
        <v>3</v>
      </c>
      <c r="O741" t="s">
        <v>639</v>
      </c>
      <c r="P741">
        <v>0.02</v>
      </c>
      <c r="Q741" t="s">
        <v>245</v>
      </c>
      <c r="R741">
        <v>28.6</v>
      </c>
      <c r="S741">
        <v>31.4</v>
      </c>
      <c r="T741">
        <v>28.6</v>
      </c>
      <c r="U741">
        <v>4.3</v>
      </c>
      <c r="V741">
        <v>7.1</v>
      </c>
    </row>
    <row r="742" spans="1:22" x14ac:dyDescent="0.25">
      <c r="A742" t="s">
        <v>2034</v>
      </c>
      <c r="B742" t="s">
        <v>657</v>
      </c>
      <c r="C742">
        <v>34</v>
      </c>
      <c r="D742" t="s">
        <v>260</v>
      </c>
      <c r="E742" t="s">
        <v>66</v>
      </c>
      <c r="F742" t="s">
        <v>96</v>
      </c>
      <c r="G742">
        <v>0.15</v>
      </c>
      <c r="H742" t="s">
        <v>672</v>
      </c>
      <c r="I742">
        <v>-4</v>
      </c>
      <c r="J742" t="str">
        <f>HYPERLINK("https://www.eliteprospects.com/player/804735/seth-fryer")</f>
        <v>https://www.eliteprospects.com/player/804735/seth-fryer</v>
      </c>
      <c r="K742" t="s">
        <v>27</v>
      </c>
      <c r="L742" t="s">
        <v>631</v>
      </c>
      <c r="M742" t="s">
        <v>1296</v>
      </c>
      <c r="N742">
        <v>4</v>
      </c>
      <c r="O742" t="s">
        <v>632</v>
      </c>
      <c r="P742">
        <v>0.02</v>
      </c>
      <c r="Q742" t="s">
        <v>245</v>
      </c>
      <c r="R742">
        <v>28.6</v>
      </c>
      <c r="S742">
        <v>31.4</v>
      </c>
      <c r="T742">
        <v>28.6</v>
      </c>
      <c r="U742">
        <v>4.3</v>
      </c>
      <c r="V742">
        <v>7.1</v>
      </c>
    </row>
    <row r="743" spans="1:22" x14ac:dyDescent="0.25">
      <c r="A743" t="s">
        <v>2035</v>
      </c>
      <c r="B743" t="s">
        <v>637</v>
      </c>
      <c r="C743">
        <v>19</v>
      </c>
      <c r="D743" t="s">
        <v>132</v>
      </c>
      <c r="E743" t="s">
        <v>96</v>
      </c>
      <c r="F743" t="s">
        <v>96</v>
      </c>
      <c r="G743">
        <v>0.26</v>
      </c>
      <c r="H743" t="s">
        <v>60</v>
      </c>
      <c r="I743">
        <v>8</v>
      </c>
      <c r="J743" t="str">
        <f>HYPERLINK("https://www.eliteprospects.com/player/692903/niilopekka-muhonen")</f>
        <v>https://www.eliteprospects.com/player/692903/niilopekka-muhonen</v>
      </c>
      <c r="K743" t="s">
        <v>27</v>
      </c>
      <c r="L743" t="s">
        <v>631</v>
      </c>
      <c r="M743" t="s">
        <v>1296</v>
      </c>
      <c r="N743">
        <v>2</v>
      </c>
      <c r="O743" t="s">
        <v>636</v>
      </c>
      <c r="P743">
        <v>0.04</v>
      </c>
      <c r="Q743" t="s">
        <v>245</v>
      </c>
      <c r="R743">
        <v>28.6</v>
      </c>
      <c r="S743">
        <v>31.4</v>
      </c>
      <c r="T743">
        <v>28.6</v>
      </c>
      <c r="U743">
        <v>4.3</v>
      </c>
      <c r="V743">
        <v>7.1</v>
      </c>
    </row>
    <row r="744" spans="1:22" x14ac:dyDescent="0.25">
      <c r="A744" t="s">
        <v>2036</v>
      </c>
      <c r="B744" t="s">
        <v>507</v>
      </c>
      <c r="C744">
        <v>24</v>
      </c>
      <c r="D744" t="s">
        <v>132</v>
      </c>
      <c r="E744" t="s">
        <v>96</v>
      </c>
      <c r="F744" t="s">
        <v>96</v>
      </c>
      <c r="G744">
        <v>0.21</v>
      </c>
      <c r="H744" t="s">
        <v>57</v>
      </c>
      <c r="I744">
        <v>3</v>
      </c>
      <c r="J744" t="str">
        <f>HYPERLINK("https://www.eliteprospects.com/player/890156/kaden-allan")</f>
        <v>https://www.eliteprospects.com/player/890156/kaden-allan</v>
      </c>
      <c r="K744" t="s">
        <v>27</v>
      </c>
      <c r="L744" t="s">
        <v>631</v>
      </c>
      <c r="M744" t="s">
        <v>1296</v>
      </c>
      <c r="N744">
        <v>3</v>
      </c>
      <c r="O744" t="s">
        <v>639</v>
      </c>
      <c r="P744">
        <v>0.03</v>
      </c>
      <c r="Q744" t="s">
        <v>245</v>
      </c>
      <c r="R744">
        <v>28.6</v>
      </c>
      <c r="S744">
        <v>31.4</v>
      </c>
      <c r="T744">
        <v>28.6</v>
      </c>
      <c r="U744">
        <v>4.3</v>
      </c>
      <c r="V744">
        <v>7.1</v>
      </c>
    </row>
    <row r="745" spans="1:22" x14ac:dyDescent="0.25">
      <c r="A745" t="s">
        <v>2037</v>
      </c>
      <c r="B745" t="s">
        <v>507</v>
      </c>
      <c r="C745">
        <v>24</v>
      </c>
      <c r="D745" t="s">
        <v>132</v>
      </c>
      <c r="E745" t="s">
        <v>96</v>
      </c>
      <c r="F745" t="s">
        <v>96</v>
      </c>
      <c r="G745">
        <v>0.21</v>
      </c>
      <c r="H745" t="s">
        <v>32</v>
      </c>
      <c r="I745">
        <v>-13</v>
      </c>
      <c r="J745" t="str">
        <f>HYPERLINK("https://www.eliteprospects.com/player/577074/brayden-smith")</f>
        <v>https://www.eliteprospects.com/player/577074/brayden-smith</v>
      </c>
      <c r="K745" t="s">
        <v>27</v>
      </c>
      <c r="L745" t="s">
        <v>631</v>
      </c>
      <c r="M745" t="s">
        <v>1296</v>
      </c>
      <c r="N745">
        <v>3</v>
      </c>
      <c r="O745" t="s">
        <v>639</v>
      </c>
      <c r="P745">
        <v>0.03</v>
      </c>
      <c r="Q745" t="s">
        <v>245</v>
      </c>
      <c r="R745">
        <v>28.6</v>
      </c>
      <c r="S745">
        <v>31.4</v>
      </c>
      <c r="T745">
        <v>28.6</v>
      </c>
      <c r="U745">
        <v>4.3</v>
      </c>
      <c r="V745">
        <v>7.1</v>
      </c>
    </row>
    <row r="746" spans="1:22" x14ac:dyDescent="0.25">
      <c r="A746" t="s">
        <v>2038</v>
      </c>
      <c r="B746" t="s">
        <v>640</v>
      </c>
      <c r="C746">
        <v>30</v>
      </c>
      <c r="D746" t="s">
        <v>132</v>
      </c>
      <c r="E746" t="s">
        <v>96</v>
      </c>
      <c r="F746" t="s">
        <v>96</v>
      </c>
      <c r="G746">
        <v>0.17</v>
      </c>
      <c r="H746" t="s">
        <v>39</v>
      </c>
      <c r="I746">
        <v>-14</v>
      </c>
      <c r="J746" t="str">
        <f>HYPERLINK("https://www.eliteprospects.com/player/883604/griffin-darby")</f>
        <v>https://www.eliteprospects.com/player/883604/griffin-darby</v>
      </c>
      <c r="K746" t="s">
        <v>27</v>
      </c>
      <c r="L746" t="s">
        <v>631</v>
      </c>
      <c r="M746" t="s">
        <v>1296</v>
      </c>
      <c r="N746">
        <v>2</v>
      </c>
      <c r="O746" t="s">
        <v>636</v>
      </c>
      <c r="P746">
        <v>0.02</v>
      </c>
      <c r="Q746" t="s">
        <v>245</v>
      </c>
      <c r="R746">
        <v>28.6</v>
      </c>
      <c r="S746">
        <v>31.4</v>
      </c>
      <c r="T746">
        <v>28.6</v>
      </c>
      <c r="U746">
        <v>4.3</v>
      </c>
      <c r="V746">
        <v>7.1</v>
      </c>
    </row>
    <row r="747" spans="1:22" x14ac:dyDescent="0.25">
      <c r="A747" t="s">
        <v>2039</v>
      </c>
      <c r="B747" t="s">
        <v>633</v>
      </c>
      <c r="C747">
        <v>34</v>
      </c>
      <c r="D747" t="s">
        <v>132</v>
      </c>
      <c r="E747" t="s">
        <v>96</v>
      </c>
      <c r="F747" t="s">
        <v>96</v>
      </c>
      <c r="G747">
        <v>0.15</v>
      </c>
      <c r="H747" t="s">
        <v>26</v>
      </c>
      <c r="I747">
        <v>-1</v>
      </c>
      <c r="J747" t="str">
        <f>HYPERLINK("https://www.eliteprospects.com/player/960835/joaquin-geras")</f>
        <v>https://www.eliteprospects.com/player/960835/joaquin-geras</v>
      </c>
      <c r="K747" t="s">
        <v>27</v>
      </c>
      <c r="L747" t="s">
        <v>631</v>
      </c>
      <c r="M747" t="s">
        <v>1296</v>
      </c>
      <c r="N747">
        <v>2</v>
      </c>
      <c r="O747" t="s">
        <v>636</v>
      </c>
      <c r="P747">
        <v>0.02</v>
      </c>
      <c r="Q747" t="s">
        <v>245</v>
      </c>
      <c r="R747">
        <v>28.6</v>
      </c>
      <c r="S747">
        <v>31.4</v>
      </c>
      <c r="T747">
        <v>28.6</v>
      </c>
      <c r="U747">
        <v>4.3</v>
      </c>
      <c r="V747">
        <v>7.1</v>
      </c>
    </row>
    <row r="748" spans="1:22" x14ac:dyDescent="0.25">
      <c r="A748" t="s">
        <v>2040</v>
      </c>
      <c r="B748" t="s">
        <v>660</v>
      </c>
      <c r="C748">
        <v>29</v>
      </c>
      <c r="D748" t="s">
        <v>140</v>
      </c>
      <c r="E748" t="s">
        <v>260</v>
      </c>
      <c r="F748" t="s">
        <v>66</v>
      </c>
      <c r="G748">
        <v>0.14000000000000001</v>
      </c>
      <c r="H748" t="s">
        <v>79</v>
      </c>
      <c r="I748">
        <v>0</v>
      </c>
      <c r="J748" t="str">
        <f>HYPERLINK("https://www.eliteprospects.com/player/628128/william-degagne")</f>
        <v>https://www.eliteprospects.com/player/628128/william-degagne</v>
      </c>
      <c r="K748" t="s">
        <v>27</v>
      </c>
      <c r="L748" t="s">
        <v>631</v>
      </c>
      <c r="M748" t="s">
        <v>1296</v>
      </c>
      <c r="N748">
        <v>2</v>
      </c>
      <c r="O748" t="s">
        <v>636</v>
      </c>
      <c r="P748">
        <v>0.02</v>
      </c>
      <c r="Q748" t="s">
        <v>245</v>
      </c>
      <c r="R748">
        <v>28.6</v>
      </c>
      <c r="S748">
        <v>31.4</v>
      </c>
      <c r="T748">
        <v>28.6</v>
      </c>
      <c r="U748">
        <v>4.3</v>
      </c>
      <c r="V748">
        <v>7.1</v>
      </c>
    </row>
    <row r="749" spans="1:22" x14ac:dyDescent="0.25">
      <c r="A749" t="s">
        <v>2041</v>
      </c>
      <c r="B749" t="s">
        <v>676</v>
      </c>
      <c r="C749">
        <v>21</v>
      </c>
      <c r="D749" t="s">
        <v>79</v>
      </c>
      <c r="E749" t="s">
        <v>79</v>
      </c>
      <c r="F749" t="s">
        <v>66</v>
      </c>
      <c r="G749">
        <v>0.19</v>
      </c>
      <c r="H749" t="s">
        <v>132</v>
      </c>
      <c r="I749">
        <v>0</v>
      </c>
      <c r="J749" t="str">
        <f>HYPERLINK("https://www.eliteprospects.com/player/966683/aiden-wagner")</f>
        <v>https://www.eliteprospects.com/player/966683/aiden-wagner</v>
      </c>
      <c r="K749" t="s">
        <v>27</v>
      </c>
      <c r="L749" t="s">
        <v>631</v>
      </c>
      <c r="M749" t="s">
        <v>1296</v>
      </c>
      <c r="N749">
        <v>2</v>
      </c>
      <c r="O749" t="s">
        <v>636</v>
      </c>
      <c r="P749">
        <v>0.03</v>
      </c>
      <c r="Q749" t="s">
        <v>245</v>
      </c>
      <c r="R749">
        <v>28.6</v>
      </c>
      <c r="S749">
        <v>31.4</v>
      </c>
      <c r="T749">
        <v>28.6</v>
      </c>
      <c r="U749">
        <v>4.3</v>
      </c>
      <c r="V749">
        <v>7.1</v>
      </c>
    </row>
    <row r="750" spans="1:22" x14ac:dyDescent="0.25">
      <c r="A750" t="s">
        <v>2042</v>
      </c>
      <c r="B750" t="s">
        <v>653</v>
      </c>
      <c r="C750">
        <v>22</v>
      </c>
      <c r="D750" t="s">
        <v>79</v>
      </c>
      <c r="E750" t="s">
        <v>79</v>
      </c>
      <c r="F750" t="s">
        <v>66</v>
      </c>
      <c r="G750">
        <v>0.18</v>
      </c>
      <c r="H750" t="s">
        <v>716</v>
      </c>
      <c r="I750">
        <v>7</v>
      </c>
      <c r="J750" t="str">
        <f>HYPERLINK("https://www.eliteprospects.com/player/727572/nate-corbet")</f>
        <v>https://www.eliteprospects.com/player/727572/nate-corbet</v>
      </c>
      <c r="K750" t="s">
        <v>27</v>
      </c>
      <c r="L750" t="s">
        <v>631</v>
      </c>
      <c r="M750" t="s">
        <v>1296</v>
      </c>
      <c r="N750">
        <v>3</v>
      </c>
      <c r="O750" t="s">
        <v>639</v>
      </c>
      <c r="P750">
        <v>0.03</v>
      </c>
      <c r="Q750" t="s">
        <v>245</v>
      </c>
      <c r="R750">
        <v>28.6</v>
      </c>
      <c r="S750">
        <v>31.4</v>
      </c>
      <c r="T750">
        <v>28.6</v>
      </c>
      <c r="U750">
        <v>4.3</v>
      </c>
      <c r="V750">
        <v>7.1</v>
      </c>
    </row>
    <row r="751" spans="1:22" x14ac:dyDescent="0.25">
      <c r="A751" t="s">
        <v>2043</v>
      </c>
      <c r="B751" t="s">
        <v>662</v>
      </c>
      <c r="C751">
        <v>33</v>
      </c>
      <c r="D751" t="s">
        <v>79</v>
      </c>
      <c r="E751" t="s">
        <v>79</v>
      </c>
      <c r="F751" t="s">
        <v>66</v>
      </c>
      <c r="G751">
        <v>0.12</v>
      </c>
      <c r="H751" t="s">
        <v>55</v>
      </c>
      <c r="I751">
        <v>5</v>
      </c>
      <c r="J751" t="str">
        <f>HYPERLINK("https://www.eliteprospects.com/player/891499/vanek-popil")</f>
        <v>https://www.eliteprospects.com/player/891499/vanek-popil</v>
      </c>
      <c r="K751" t="s">
        <v>27</v>
      </c>
      <c r="L751" t="s">
        <v>631</v>
      </c>
      <c r="M751" t="s">
        <v>1296</v>
      </c>
      <c r="N751">
        <v>3</v>
      </c>
      <c r="O751" t="s">
        <v>639</v>
      </c>
      <c r="P751">
        <v>0.02</v>
      </c>
      <c r="Q751" t="s">
        <v>245</v>
      </c>
      <c r="R751">
        <v>28.6</v>
      </c>
      <c r="S751">
        <v>31.4</v>
      </c>
      <c r="T751">
        <v>28.6</v>
      </c>
      <c r="U751">
        <v>4.3</v>
      </c>
      <c r="V751">
        <v>7.1</v>
      </c>
    </row>
    <row r="752" spans="1:22" x14ac:dyDescent="0.25">
      <c r="A752" t="s">
        <v>2044</v>
      </c>
      <c r="B752" t="s">
        <v>659</v>
      </c>
      <c r="C752">
        <v>39</v>
      </c>
      <c r="D752" t="s">
        <v>79</v>
      </c>
      <c r="E752" t="s">
        <v>79</v>
      </c>
      <c r="F752" t="s">
        <v>66</v>
      </c>
      <c r="G752">
        <v>0.1</v>
      </c>
      <c r="H752" t="s">
        <v>739</v>
      </c>
      <c r="I752">
        <v>-2</v>
      </c>
      <c r="J752" t="str">
        <f>HYPERLINK("https://www.eliteprospects.com/player/711430/ismail-abougouche")</f>
        <v>https://www.eliteprospects.com/player/711430/ismail-abougouche</v>
      </c>
      <c r="K752" t="s">
        <v>27</v>
      </c>
      <c r="L752" t="s">
        <v>631</v>
      </c>
      <c r="M752" t="s">
        <v>1417</v>
      </c>
      <c r="N752">
        <v>4</v>
      </c>
      <c r="O752" t="s">
        <v>632</v>
      </c>
      <c r="P752">
        <v>0.01</v>
      </c>
      <c r="Q752" t="s">
        <v>245</v>
      </c>
      <c r="R752">
        <v>28.6</v>
      </c>
      <c r="S752">
        <v>31.4</v>
      </c>
      <c r="T752">
        <v>28.6</v>
      </c>
      <c r="U752">
        <v>4.3</v>
      </c>
      <c r="V752">
        <v>7.1</v>
      </c>
    </row>
    <row r="753" spans="1:22" x14ac:dyDescent="0.25">
      <c r="A753" t="s">
        <v>2045</v>
      </c>
      <c r="B753" t="s">
        <v>651</v>
      </c>
      <c r="C753">
        <v>27</v>
      </c>
      <c r="D753" t="s">
        <v>260</v>
      </c>
      <c r="E753" t="s">
        <v>140</v>
      </c>
      <c r="F753" t="s">
        <v>66</v>
      </c>
      <c r="G753">
        <v>0.15</v>
      </c>
      <c r="H753" t="s">
        <v>47</v>
      </c>
      <c r="I753">
        <v>13</v>
      </c>
      <c r="J753" t="str">
        <f>HYPERLINK("https://www.eliteprospects.com/player/854386/matyas-man")</f>
        <v>https://www.eliteprospects.com/player/854386/matyas-man</v>
      </c>
      <c r="K753" t="s">
        <v>27</v>
      </c>
      <c r="L753" t="s">
        <v>631</v>
      </c>
      <c r="M753" t="s">
        <v>1296</v>
      </c>
      <c r="N753">
        <v>1</v>
      </c>
      <c r="O753" t="s">
        <v>634</v>
      </c>
      <c r="P753">
        <v>0.02</v>
      </c>
      <c r="Q753" t="s">
        <v>245</v>
      </c>
      <c r="R753">
        <v>28.6</v>
      </c>
      <c r="S753">
        <v>31.4</v>
      </c>
      <c r="T753">
        <v>28.6</v>
      </c>
      <c r="U753">
        <v>4.3</v>
      </c>
      <c r="V753">
        <v>7.1</v>
      </c>
    </row>
    <row r="754" spans="1:22" x14ac:dyDescent="0.25">
      <c r="A754" t="s">
        <v>2046</v>
      </c>
      <c r="B754" t="s">
        <v>694</v>
      </c>
      <c r="C754">
        <v>35</v>
      </c>
      <c r="D754" t="s">
        <v>260</v>
      </c>
      <c r="E754" t="s">
        <v>140</v>
      </c>
      <c r="F754" t="s">
        <v>66</v>
      </c>
      <c r="G754">
        <v>0.11</v>
      </c>
      <c r="H754" t="s">
        <v>47</v>
      </c>
      <c r="I754">
        <v>-9</v>
      </c>
      <c r="J754" t="str">
        <f>HYPERLINK("https://www.eliteprospects.com/player/917679/tomas-malinek")</f>
        <v>https://www.eliteprospects.com/player/917679/tomas-malinek</v>
      </c>
      <c r="K754" t="s">
        <v>27</v>
      </c>
      <c r="L754" t="s">
        <v>631</v>
      </c>
      <c r="M754" t="s">
        <v>1296</v>
      </c>
      <c r="N754">
        <v>1</v>
      </c>
      <c r="O754" t="s">
        <v>634</v>
      </c>
      <c r="P754">
        <v>0.02</v>
      </c>
      <c r="Q754" t="s">
        <v>245</v>
      </c>
      <c r="R754">
        <v>28.6</v>
      </c>
      <c r="S754">
        <v>31.4</v>
      </c>
      <c r="T754">
        <v>28.6</v>
      </c>
      <c r="U754">
        <v>4.3</v>
      </c>
      <c r="V754">
        <v>7.1</v>
      </c>
    </row>
    <row r="755" spans="1:22" x14ac:dyDescent="0.25">
      <c r="A755" t="s">
        <v>2047</v>
      </c>
      <c r="B755" t="s">
        <v>671</v>
      </c>
      <c r="C755">
        <v>37</v>
      </c>
      <c r="D755" t="s">
        <v>260</v>
      </c>
      <c r="E755" t="s">
        <v>140</v>
      </c>
      <c r="F755" t="s">
        <v>66</v>
      </c>
      <c r="G755">
        <v>0.11</v>
      </c>
      <c r="H755" t="s">
        <v>513</v>
      </c>
      <c r="I755">
        <v>-16</v>
      </c>
      <c r="J755" t="str">
        <f>HYPERLINK("https://www.eliteprospects.com/player/735915/nathan-mayes")</f>
        <v>https://www.eliteprospects.com/player/735915/nathan-mayes</v>
      </c>
      <c r="K755" t="s">
        <v>27</v>
      </c>
      <c r="L755" t="s">
        <v>631</v>
      </c>
      <c r="M755" t="s">
        <v>1296</v>
      </c>
      <c r="N755">
        <v>5</v>
      </c>
      <c r="O755" t="s">
        <v>645</v>
      </c>
      <c r="P755">
        <v>0.02</v>
      </c>
      <c r="Q755" t="s">
        <v>245</v>
      </c>
      <c r="R755">
        <v>28.6</v>
      </c>
      <c r="S755">
        <v>31.4</v>
      </c>
      <c r="T755">
        <v>28.6</v>
      </c>
      <c r="U755">
        <v>4.3</v>
      </c>
      <c r="V755">
        <v>7.1</v>
      </c>
    </row>
    <row r="756" spans="1:22" x14ac:dyDescent="0.25">
      <c r="A756" t="s">
        <v>2048</v>
      </c>
      <c r="B756" t="s">
        <v>647</v>
      </c>
      <c r="C756">
        <v>22</v>
      </c>
      <c r="D756" t="s">
        <v>132</v>
      </c>
      <c r="E756" t="s">
        <v>66</v>
      </c>
      <c r="F756" t="s">
        <v>66</v>
      </c>
      <c r="G756">
        <v>0.18</v>
      </c>
      <c r="H756" t="s">
        <v>23</v>
      </c>
      <c r="I756">
        <v>-4</v>
      </c>
      <c r="J756" t="str">
        <f>HYPERLINK("https://www.eliteprospects.com/player/836540/daniil-skvortsov")</f>
        <v>https://www.eliteprospects.com/player/836540/daniil-skvortsov</v>
      </c>
      <c r="K756" t="s">
        <v>27</v>
      </c>
      <c r="L756" t="s">
        <v>631</v>
      </c>
      <c r="M756" t="s">
        <v>1296</v>
      </c>
      <c r="N756">
        <v>3</v>
      </c>
      <c r="O756" t="s">
        <v>717</v>
      </c>
      <c r="P756">
        <v>0.03</v>
      </c>
      <c r="Q756" t="s">
        <v>245</v>
      </c>
      <c r="R756">
        <v>28.6</v>
      </c>
      <c r="S756">
        <v>31.4</v>
      </c>
      <c r="T756">
        <v>28.6</v>
      </c>
      <c r="U756">
        <v>4.3</v>
      </c>
      <c r="V756">
        <v>7.1</v>
      </c>
    </row>
    <row r="757" spans="1:22" x14ac:dyDescent="0.25">
      <c r="A757" t="s">
        <v>2049</v>
      </c>
      <c r="B757" t="s">
        <v>651</v>
      </c>
      <c r="C757">
        <v>22</v>
      </c>
      <c r="D757" t="s">
        <v>132</v>
      </c>
      <c r="E757" t="s">
        <v>66</v>
      </c>
      <c r="F757" t="s">
        <v>66</v>
      </c>
      <c r="G757">
        <v>0.18</v>
      </c>
      <c r="H757" t="s">
        <v>39</v>
      </c>
      <c r="I757">
        <v>2</v>
      </c>
      <c r="J757" t="str">
        <f>HYPERLINK("https://www.eliteprospects.com/player/805657/hubert-clarke")</f>
        <v>https://www.eliteprospects.com/player/805657/hubert-clarke</v>
      </c>
      <c r="K757" t="s">
        <v>27</v>
      </c>
      <c r="L757" t="s">
        <v>631</v>
      </c>
      <c r="M757" t="s">
        <v>1296</v>
      </c>
      <c r="N757">
        <v>1</v>
      </c>
      <c r="O757" t="s">
        <v>634</v>
      </c>
      <c r="P757">
        <v>0.03</v>
      </c>
      <c r="Q757" t="s">
        <v>245</v>
      </c>
      <c r="R757">
        <v>28.6</v>
      </c>
      <c r="S757">
        <v>31.4</v>
      </c>
      <c r="T757">
        <v>28.6</v>
      </c>
      <c r="U757">
        <v>4.3</v>
      </c>
      <c r="V757">
        <v>7.1</v>
      </c>
    </row>
    <row r="758" spans="1:22" x14ac:dyDescent="0.25">
      <c r="A758" t="s">
        <v>2050</v>
      </c>
      <c r="B758" t="s">
        <v>684</v>
      </c>
      <c r="C758">
        <v>26</v>
      </c>
      <c r="D758" t="s">
        <v>132</v>
      </c>
      <c r="E758" t="s">
        <v>66</v>
      </c>
      <c r="F758" t="s">
        <v>66</v>
      </c>
      <c r="G758">
        <v>0.15</v>
      </c>
      <c r="H758" t="s">
        <v>39</v>
      </c>
      <c r="I758">
        <v>-6</v>
      </c>
      <c r="J758" t="str">
        <f>HYPERLINK("https://www.eliteprospects.com/player/815003/drew-smith")</f>
        <v>https://www.eliteprospects.com/player/815003/drew-smith</v>
      </c>
      <c r="K758" t="s">
        <v>27</v>
      </c>
      <c r="L758" t="s">
        <v>631</v>
      </c>
      <c r="M758" t="s">
        <v>1296</v>
      </c>
      <c r="N758">
        <v>1</v>
      </c>
      <c r="O758" t="s">
        <v>634</v>
      </c>
      <c r="P758">
        <v>0.02</v>
      </c>
      <c r="Q758" t="s">
        <v>245</v>
      </c>
      <c r="R758">
        <v>28.6</v>
      </c>
      <c r="S758">
        <v>31.4</v>
      </c>
      <c r="T758">
        <v>28.6</v>
      </c>
      <c r="U758">
        <v>4.3</v>
      </c>
      <c r="V758">
        <v>7.1</v>
      </c>
    </row>
    <row r="759" spans="1:22" x14ac:dyDescent="0.25">
      <c r="A759" t="s">
        <v>2051</v>
      </c>
      <c r="B759" t="s">
        <v>507</v>
      </c>
      <c r="C759">
        <v>27</v>
      </c>
      <c r="D759" t="s">
        <v>132</v>
      </c>
      <c r="E759" t="s">
        <v>66</v>
      </c>
      <c r="F759" t="s">
        <v>66</v>
      </c>
      <c r="G759">
        <v>0.15</v>
      </c>
      <c r="H759" t="s">
        <v>39</v>
      </c>
      <c r="I759">
        <v>-25</v>
      </c>
      <c r="J759" t="str">
        <f>HYPERLINK("https://www.eliteprospects.com/player/788680/jackson-gillespie")</f>
        <v>https://www.eliteprospects.com/player/788680/jackson-gillespie</v>
      </c>
      <c r="K759" t="s">
        <v>27</v>
      </c>
      <c r="L759" t="s">
        <v>631</v>
      </c>
      <c r="M759" t="s">
        <v>1296</v>
      </c>
      <c r="N759">
        <v>3</v>
      </c>
      <c r="O759" t="s">
        <v>639</v>
      </c>
      <c r="P759">
        <v>0.02</v>
      </c>
      <c r="Q759" t="s">
        <v>245</v>
      </c>
      <c r="R759">
        <v>28.6</v>
      </c>
      <c r="S759">
        <v>31.4</v>
      </c>
      <c r="T759">
        <v>28.6</v>
      </c>
      <c r="U759">
        <v>4.3</v>
      </c>
      <c r="V759">
        <v>7.1</v>
      </c>
    </row>
    <row r="760" spans="1:22" x14ac:dyDescent="0.25">
      <c r="A760" t="s">
        <v>2052</v>
      </c>
      <c r="B760" t="s">
        <v>684</v>
      </c>
      <c r="C760">
        <v>35</v>
      </c>
      <c r="D760" t="s">
        <v>132</v>
      </c>
      <c r="E760" t="s">
        <v>66</v>
      </c>
      <c r="F760" t="s">
        <v>66</v>
      </c>
      <c r="G760">
        <v>0.11</v>
      </c>
      <c r="H760" t="s">
        <v>39</v>
      </c>
      <c r="I760">
        <v>-8</v>
      </c>
      <c r="J760" t="str">
        <f>HYPERLINK("https://www.eliteprospects.com/player/810648/darian-rolsing")</f>
        <v>https://www.eliteprospects.com/player/810648/darian-rolsing</v>
      </c>
      <c r="K760" t="s">
        <v>27</v>
      </c>
      <c r="L760" t="s">
        <v>631</v>
      </c>
      <c r="M760" t="s">
        <v>1296</v>
      </c>
      <c r="N760">
        <v>1</v>
      </c>
      <c r="O760" t="s">
        <v>634</v>
      </c>
      <c r="P760">
        <v>0.02</v>
      </c>
      <c r="Q760" t="s">
        <v>245</v>
      </c>
      <c r="R760">
        <v>28.6</v>
      </c>
      <c r="S760">
        <v>31.4</v>
      </c>
      <c r="T760">
        <v>28.6</v>
      </c>
      <c r="U760">
        <v>4.3</v>
      </c>
      <c r="V760">
        <v>7.1</v>
      </c>
    </row>
    <row r="761" spans="1:22" x14ac:dyDescent="0.25">
      <c r="A761" t="s">
        <v>2053</v>
      </c>
      <c r="B761" t="s">
        <v>507</v>
      </c>
      <c r="C761">
        <v>39</v>
      </c>
      <c r="D761" t="s">
        <v>132</v>
      </c>
      <c r="E761" t="s">
        <v>66</v>
      </c>
      <c r="F761" t="s">
        <v>66</v>
      </c>
      <c r="G761">
        <v>0.1</v>
      </c>
      <c r="H761" t="s">
        <v>23</v>
      </c>
      <c r="I761">
        <v>-22</v>
      </c>
      <c r="J761" t="str">
        <f>HYPERLINK("https://www.eliteprospects.com/player/577083/brennen-hocher")</f>
        <v>https://www.eliteprospects.com/player/577083/brennen-hocher</v>
      </c>
      <c r="K761" t="s">
        <v>27</v>
      </c>
      <c r="L761" t="s">
        <v>631</v>
      </c>
      <c r="M761" t="s">
        <v>1296</v>
      </c>
      <c r="N761">
        <v>1</v>
      </c>
      <c r="O761" t="s">
        <v>634</v>
      </c>
      <c r="P761">
        <v>0.01</v>
      </c>
      <c r="Q761" t="s">
        <v>245</v>
      </c>
      <c r="R761">
        <v>28.6</v>
      </c>
      <c r="S761">
        <v>31.4</v>
      </c>
      <c r="T761">
        <v>28.6</v>
      </c>
      <c r="U761">
        <v>4.3</v>
      </c>
      <c r="V761">
        <v>7.1</v>
      </c>
    </row>
    <row r="762" spans="1:22" x14ac:dyDescent="0.25">
      <c r="A762" t="s">
        <v>2054</v>
      </c>
      <c r="B762" t="s">
        <v>507</v>
      </c>
      <c r="C762">
        <v>19</v>
      </c>
      <c r="D762" t="s">
        <v>79</v>
      </c>
      <c r="E762" t="s">
        <v>260</v>
      </c>
      <c r="F762" t="s">
        <v>140</v>
      </c>
      <c r="G762">
        <v>0.16</v>
      </c>
      <c r="H762" t="s">
        <v>66</v>
      </c>
      <c r="I762">
        <v>-2</v>
      </c>
      <c r="J762" t="str">
        <f>HYPERLINK("https://www.eliteprospects.com/player/830374/cameron-dillard")</f>
        <v>https://www.eliteprospects.com/player/830374/cameron-dillard</v>
      </c>
      <c r="K762" t="s">
        <v>27</v>
      </c>
      <c r="L762" t="s">
        <v>631</v>
      </c>
      <c r="M762" t="s">
        <v>1296</v>
      </c>
      <c r="N762">
        <v>1</v>
      </c>
      <c r="O762" t="s">
        <v>634</v>
      </c>
      <c r="P762">
        <v>0.02</v>
      </c>
      <c r="Q762" t="s">
        <v>245</v>
      </c>
      <c r="R762">
        <v>28.6</v>
      </c>
      <c r="S762">
        <v>31.4</v>
      </c>
      <c r="T762">
        <v>28.6</v>
      </c>
      <c r="U762">
        <v>4.3</v>
      </c>
      <c r="V762">
        <v>7.1</v>
      </c>
    </row>
    <row r="763" spans="1:22" x14ac:dyDescent="0.25">
      <c r="A763" t="s">
        <v>2055</v>
      </c>
      <c r="B763" t="s">
        <v>653</v>
      </c>
      <c r="C763">
        <v>12</v>
      </c>
      <c r="D763" t="s">
        <v>260</v>
      </c>
      <c r="E763" t="s">
        <v>79</v>
      </c>
      <c r="F763" t="s">
        <v>140</v>
      </c>
      <c r="G763">
        <v>0.25</v>
      </c>
      <c r="H763" t="s">
        <v>132</v>
      </c>
      <c r="I763">
        <v>0</v>
      </c>
      <c r="J763" t="str">
        <f>HYPERLINK("https://www.eliteprospects.com/player/692793/gabriel-guilbault")</f>
        <v>https://www.eliteprospects.com/player/692793/gabriel-guilbault</v>
      </c>
      <c r="K763" t="s">
        <v>27</v>
      </c>
      <c r="L763" t="s">
        <v>631</v>
      </c>
      <c r="M763" t="s">
        <v>1296</v>
      </c>
      <c r="N763">
        <v>2</v>
      </c>
      <c r="O763" t="s">
        <v>636</v>
      </c>
      <c r="P763">
        <v>0.04</v>
      </c>
      <c r="Q763" t="s">
        <v>245</v>
      </c>
      <c r="R763">
        <v>28.6</v>
      </c>
      <c r="S763">
        <v>31.4</v>
      </c>
      <c r="T763">
        <v>28.6</v>
      </c>
      <c r="U763">
        <v>4.3</v>
      </c>
      <c r="V763">
        <v>7.1</v>
      </c>
    </row>
    <row r="764" spans="1:22" x14ac:dyDescent="0.25">
      <c r="A764" t="s">
        <v>2056</v>
      </c>
      <c r="B764" t="s">
        <v>507</v>
      </c>
      <c r="C764">
        <v>14</v>
      </c>
      <c r="D764" t="s">
        <v>260</v>
      </c>
      <c r="E764" t="s">
        <v>79</v>
      </c>
      <c r="F764" t="s">
        <v>140</v>
      </c>
      <c r="G764">
        <v>0.21</v>
      </c>
      <c r="H764" t="s">
        <v>66</v>
      </c>
      <c r="I764">
        <v>-7</v>
      </c>
      <c r="J764" t="str">
        <f>HYPERLINK("https://www.eliteprospects.com/player/881380/easton-laplante")</f>
        <v>https://www.eliteprospects.com/player/881380/easton-laplante</v>
      </c>
      <c r="K764" t="s">
        <v>27</v>
      </c>
      <c r="L764" t="s">
        <v>631</v>
      </c>
      <c r="M764" t="s">
        <v>1296</v>
      </c>
      <c r="N764">
        <v>3</v>
      </c>
      <c r="O764" t="s">
        <v>639</v>
      </c>
      <c r="P764">
        <v>0.03</v>
      </c>
      <c r="Q764" t="s">
        <v>245</v>
      </c>
      <c r="R764">
        <v>28.6</v>
      </c>
      <c r="S764">
        <v>31.4</v>
      </c>
      <c r="T764">
        <v>28.6</v>
      </c>
      <c r="U764">
        <v>4.3</v>
      </c>
      <c r="V764">
        <v>7.1</v>
      </c>
    </row>
    <row r="765" spans="1:22" x14ac:dyDescent="0.25">
      <c r="A765" t="s">
        <v>2057</v>
      </c>
      <c r="B765" t="s">
        <v>657</v>
      </c>
      <c r="C765">
        <v>14</v>
      </c>
      <c r="D765" t="s">
        <v>260</v>
      </c>
      <c r="E765" t="s">
        <v>79</v>
      </c>
      <c r="F765" t="s">
        <v>140</v>
      </c>
      <c r="G765">
        <v>0.21</v>
      </c>
      <c r="H765" t="s">
        <v>26</v>
      </c>
      <c r="I765">
        <v>3</v>
      </c>
      <c r="J765" t="str">
        <f>HYPERLINK("https://www.eliteprospects.com/player/698203/cosmo-wilson")</f>
        <v>https://www.eliteprospects.com/player/698203/cosmo-wilson</v>
      </c>
      <c r="K765" t="s">
        <v>27</v>
      </c>
      <c r="L765" t="s">
        <v>631</v>
      </c>
      <c r="M765" t="s">
        <v>1296</v>
      </c>
      <c r="N765">
        <v>5</v>
      </c>
      <c r="O765" t="s">
        <v>645</v>
      </c>
      <c r="P765">
        <v>0.03</v>
      </c>
      <c r="Q765" t="s">
        <v>245</v>
      </c>
      <c r="R765">
        <v>28.6</v>
      </c>
      <c r="S765">
        <v>31.4</v>
      </c>
      <c r="T765">
        <v>28.6</v>
      </c>
      <c r="U765">
        <v>4.3</v>
      </c>
      <c r="V765">
        <v>7.1</v>
      </c>
    </row>
    <row r="766" spans="1:22" x14ac:dyDescent="0.25">
      <c r="A766" t="s">
        <v>2058</v>
      </c>
      <c r="B766" t="s">
        <v>659</v>
      </c>
      <c r="C766">
        <v>23</v>
      </c>
      <c r="D766" t="s">
        <v>260</v>
      </c>
      <c r="E766" t="s">
        <v>79</v>
      </c>
      <c r="F766" t="s">
        <v>140</v>
      </c>
      <c r="G766">
        <v>0.13</v>
      </c>
      <c r="H766" t="s">
        <v>79</v>
      </c>
      <c r="I766">
        <v>-4</v>
      </c>
      <c r="J766" t="str">
        <f>HYPERLINK("https://www.eliteprospects.com/player/884921/david-byrne")</f>
        <v>https://www.eliteprospects.com/player/884921/david-byrne</v>
      </c>
      <c r="K766" t="s">
        <v>27</v>
      </c>
      <c r="L766" t="s">
        <v>631</v>
      </c>
      <c r="M766" t="s">
        <v>1296</v>
      </c>
      <c r="N766">
        <v>2</v>
      </c>
      <c r="O766" t="s">
        <v>636</v>
      </c>
      <c r="P766">
        <v>0.02</v>
      </c>
      <c r="Q766" t="s">
        <v>245</v>
      </c>
      <c r="R766">
        <v>28.6</v>
      </c>
      <c r="S766">
        <v>31.4</v>
      </c>
      <c r="T766">
        <v>28.6</v>
      </c>
      <c r="U766">
        <v>4.3</v>
      </c>
      <c r="V766">
        <v>7.1</v>
      </c>
    </row>
    <row r="767" spans="1:22" x14ac:dyDescent="0.25">
      <c r="A767" t="s">
        <v>2059</v>
      </c>
      <c r="B767" t="s">
        <v>507</v>
      </c>
      <c r="C767">
        <v>23</v>
      </c>
      <c r="D767" t="s">
        <v>260</v>
      </c>
      <c r="E767" t="s">
        <v>79</v>
      </c>
      <c r="F767" t="s">
        <v>140</v>
      </c>
      <c r="G767">
        <v>0.13</v>
      </c>
      <c r="H767" t="s">
        <v>518</v>
      </c>
      <c r="I767">
        <v>-2</v>
      </c>
      <c r="J767" t="str">
        <f>HYPERLINK("https://www.eliteprospects.com/player/709809/derek-thurston")</f>
        <v>https://www.eliteprospects.com/player/709809/derek-thurston</v>
      </c>
      <c r="K767" t="s">
        <v>27</v>
      </c>
      <c r="L767" t="s">
        <v>631</v>
      </c>
      <c r="M767" t="s">
        <v>1296</v>
      </c>
      <c r="N767">
        <v>3</v>
      </c>
      <c r="O767" t="s">
        <v>639</v>
      </c>
      <c r="P767">
        <v>0.02</v>
      </c>
      <c r="Q767" t="s">
        <v>245</v>
      </c>
      <c r="R767">
        <v>28.6</v>
      </c>
      <c r="S767">
        <v>31.4</v>
      </c>
      <c r="T767">
        <v>28.6</v>
      </c>
      <c r="U767">
        <v>4.3</v>
      </c>
      <c r="V767">
        <v>7.1</v>
      </c>
    </row>
    <row r="768" spans="1:22" x14ac:dyDescent="0.25">
      <c r="A768" t="s">
        <v>2060</v>
      </c>
      <c r="B768" t="s">
        <v>659</v>
      </c>
      <c r="C768">
        <v>29</v>
      </c>
      <c r="D768" t="s">
        <v>260</v>
      </c>
      <c r="E768" t="s">
        <v>79</v>
      </c>
      <c r="F768" t="s">
        <v>140</v>
      </c>
      <c r="G768">
        <v>0.1</v>
      </c>
      <c r="H768" t="s">
        <v>79</v>
      </c>
      <c r="I768">
        <v>-8</v>
      </c>
      <c r="J768" t="str">
        <f>HYPERLINK("https://www.eliteprospects.com/player/701498/aden-bouchard")</f>
        <v>https://www.eliteprospects.com/player/701498/aden-bouchard</v>
      </c>
      <c r="K768" t="s">
        <v>27</v>
      </c>
      <c r="L768" t="s">
        <v>631</v>
      </c>
      <c r="M768" t="s">
        <v>1296</v>
      </c>
      <c r="N768">
        <v>2</v>
      </c>
      <c r="O768" t="s">
        <v>636</v>
      </c>
      <c r="P768">
        <v>0.01</v>
      </c>
      <c r="Q768" t="s">
        <v>245</v>
      </c>
      <c r="R768">
        <v>28.6</v>
      </c>
      <c r="S768">
        <v>31.4</v>
      </c>
      <c r="T768">
        <v>28.6</v>
      </c>
      <c r="U768">
        <v>4.3</v>
      </c>
      <c r="V768">
        <v>7.1</v>
      </c>
    </row>
    <row r="769" spans="1:22" x14ac:dyDescent="0.25">
      <c r="A769" t="s">
        <v>2061</v>
      </c>
      <c r="B769" t="s">
        <v>660</v>
      </c>
      <c r="C769">
        <v>29</v>
      </c>
      <c r="D769" t="s">
        <v>260</v>
      </c>
      <c r="E769" t="s">
        <v>79</v>
      </c>
      <c r="F769" t="s">
        <v>140</v>
      </c>
      <c r="G769">
        <v>0.1</v>
      </c>
      <c r="H769" t="s">
        <v>45</v>
      </c>
      <c r="I769">
        <v>-17</v>
      </c>
      <c r="J769" t="str">
        <f>HYPERLINK("https://www.eliteprospects.com/player/962129/cohen-williams")</f>
        <v>https://www.eliteprospects.com/player/962129/cohen-williams</v>
      </c>
      <c r="K769" t="s">
        <v>27</v>
      </c>
      <c r="L769" t="s">
        <v>631</v>
      </c>
      <c r="M769" t="s">
        <v>1296</v>
      </c>
      <c r="N769">
        <v>2</v>
      </c>
      <c r="O769" t="s">
        <v>636</v>
      </c>
      <c r="P769">
        <v>0.01</v>
      </c>
      <c r="Q769" t="s">
        <v>245</v>
      </c>
      <c r="R769">
        <v>28.6</v>
      </c>
      <c r="S769">
        <v>31.4</v>
      </c>
      <c r="T769">
        <v>28.6</v>
      </c>
      <c r="U769">
        <v>4.3</v>
      </c>
      <c r="V769">
        <v>7.1</v>
      </c>
    </row>
    <row r="770" spans="1:22" x14ac:dyDescent="0.25">
      <c r="A770" t="s">
        <v>2062</v>
      </c>
      <c r="B770" t="s">
        <v>671</v>
      </c>
      <c r="C770">
        <v>30</v>
      </c>
      <c r="D770" t="s">
        <v>260</v>
      </c>
      <c r="E770" t="s">
        <v>79</v>
      </c>
      <c r="F770" t="s">
        <v>140</v>
      </c>
      <c r="G770">
        <v>0.1</v>
      </c>
      <c r="H770" t="s">
        <v>47</v>
      </c>
      <c r="I770">
        <v>2</v>
      </c>
      <c r="J770" t="str">
        <f>HYPERLINK("https://www.eliteprospects.com/player/941082/harry-mattern")</f>
        <v>https://www.eliteprospects.com/player/941082/harry-mattern</v>
      </c>
      <c r="K770" t="s">
        <v>27</v>
      </c>
      <c r="L770" t="s">
        <v>631</v>
      </c>
      <c r="M770" t="s">
        <v>1296</v>
      </c>
      <c r="N770">
        <v>2</v>
      </c>
      <c r="O770" t="s">
        <v>636</v>
      </c>
      <c r="P770">
        <v>0.01</v>
      </c>
      <c r="Q770" t="s">
        <v>245</v>
      </c>
      <c r="R770">
        <v>28.6</v>
      </c>
      <c r="S770">
        <v>31.4</v>
      </c>
      <c r="T770">
        <v>28.6</v>
      </c>
      <c r="U770">
        <v>4.3</v>
      </c>
      <c r="V770">
        <v>7.1</v>
      </c>
    </row>
    <row r="771" spans="1:22" x14ac:dyDescent="0.25">
      <c r="A771" t="s">
        <v>2063</v>
      </c>
      <c r="B771" t="s">
        <v>702</v>
      </c>
      <c r="C771">
        <v>38</v>
      </c>
      <c r="D771" t="s">
        <v>260</v>
      </c>
      <c r="E771" t="s">
        <v>79</v>
      </c>
      <c r="F771" t="s">
        <v>140</v>
      </c>
      <c r="G771">
        <v>0.08</v>
      </c>
      <c r="H771" t="s">
        <v>39</v>
      </c>
      <c r="I771">
        <v>-3</v>
      </c>
      <c r="J771" t="str">
        <f>HYPERLINK("https://www.eliteprospects.com/player/784264/lance-mccloskey")</f>
        <v>https://www.eliteprospects.com/player/784264/lance-mccloskey</v>
      </c>
      <c r="K771" t="s">
        <v>27</v>
      </c>
      <c r="L771" t="s">
        <v>631</v>
      </c>
      <c r="M771" t="s">
        <v>1296</v>
      </c>
      <c r="N771">
        <v>1</v>
      </c>
      <c r="O771" t="s">
        <v>634</v>
      </c>
      <c r="P771">
        <v>0.01</v>
      </c>
      <c r="Q771" t="s">
        <v>245</v>
      </c>
      <c r="R771">
        <v>28.6</v>
      </c>
      <c r="S771">
        <v>31.4</v>
      </c>
      <c r="T771">
        <v>28.6</v>
      </c>
      <c r="U771">
        <v>4.3</v>
      </c>
      <c r="V771">
        <v>7.1</v>
      </c>
    </row>
    <row r="772" spans="1:22" x14ac:dyDescent="0.25">
      <c r="A772" t="s">
        <v>2064</v>
      </c>
      <c r="B772" t="s">
        <v>676</v>
      </c>
      <c r="C772">
        <v>27</v>
      </c>
      <c r="D772" t="s">
        <v>132</v>
      </c>
      <c r="E772" t="s">
        <v>140</v>
      </c>
      <c r="F772" t="s">
        <v>140</v>
      </c>
      <c r="G772">
        <v>0.11</v>
      </c>
      <c r="H772" t="s">
        <v>25</v>
      </c>
      <c r="I772">
        <v>-9</v>
      </c>
      <c r="J772" t="str">
        <f>HYPERLINK("https://www.eliteprospects.com/player/795077/dayton-deschamps")</f>
        <v>https://www.eliteprospects.com/player/795077/dayton-deschamps</v>
      </c>
      <c r="K772" t="s">
        <v>27</v>
      </c>
      <c r="L772" t="s">
        <v>631</v>
      </c>
      <c r="M772" t="s">
        <v>1296</v>
      </c>
      <c r="N772">
        <v>2</v>
      </c>
      <c r="O772" t="s">
        <v>636</v>
      </c>
      <c r="P772">
        <v>0.02</v>
      </c>
      <c r="Q772" t="s">
        <v>245</v>
      </c>
      <c r="R772">
        <v>28.6</v>
      </c>
      <c r="S772">
        <v>31.4</v>
      </c>
      <c r="T772">
        <v>28.6</v>
      </c>
      <c r="U772">
        <v>4.3</v>
      </c>
      <c r="V772">
        <v>7.1</v>
      </c>
    </row>
    <row r="773" spans="1:22" x14ac:dyDescent="0.25">
      <c r="A773" t="s">
        <v>2065</v>
      </c>
      <c r="B773" t="s">
        <v>635</v>
      </c>
      <c r="C773">
        <v>28</v>
      </c>
      <c r="D773" t="s">
        <v>132</v>
      </c>
      <c r="E773" t="s">
        <v>140</v>
      </c>
      <c r="F773" t="s">
        <v>140</v>
      </c>
      <c r="G773">
        <v>0.11</v>
      </c>
      <c r="H773" t="s">
        <v>269</v>
      </c>
      <c r="I773">
        <v>4</v>
      </c>
      <c r="J773" t="str">
        <f>HYPERLINK("https://www.eliteprospects.com/player/725705/rhys-pederson")</f>
        <v>https://www.eliteprospects.com/player/725705/rhys-pederson</v>
      </c>
      <c r="K773" t="s">
        <v>27</v>
      </c>
      <c r="L773" t="s">
        <v>631</v>
      </c>
      <c r="M773" t="s">
        <v>1296</v>
      </c>
      <c r="N773">
        <v>4</v>
      </c>
      <c r="O773" t="s">
        <v>632</v>
      </c>
      <c r="P773">
        <v>0.02</v>
      </c>
      <c r="Q773" t="s">
        <v>245</v>
      </c>
      <c r="R773">
        <v>28.6</v>
      </c>
      <c r="S773">
        <v>31.4</v>
      </c>
      <c r="T773">
        <v>28.6</v>
      </c>
      <c r="U773">
        <v>4.3</v>
      </c>
      <c r="V773">
        <v>7.1</v>
      </c>
    </row>
    <row r="774" spans="1:22" x14ac:dyDescent="0.25">
      <c r="A774" t="s">
        <v>2066</v>
      </c>
      <c r="B774" t="s">
        <v>641</v>
      </c>
      <c r="C774">
        <v>30</v>
      </c>
      <c r="D774" t="s">
        <v>132</v>
      </c>
      <c r="E774" t="s">
        <v>140</v>
      </c>
      <c r="F774" t="s">
        <v>140</v>
      </c>
      <c r="G774">
        <v>0.1</v>
      </c>
      <c r="H774" t="s">
        <v>277</v>
      </c>
      <c r="I774">
        <v>15</v>
      </c>
      <c r="J774" t="str">
        <f>HYPERLINK("https://www.eliteprospects.com/player/617646/sean-burick")</f>
        <v>https://www.eliteprospects.com/player/617646/sean-burick</v>
      </c>
      <c r="K774" t="s">
        <v>27</v>
      </c>
      <c r="L774" t="s">
        <v>631</v>
      </c>
      <c r="M774" t="s">
        <v>1296</v>
      </c>
      <c r="N774">
        <v>1</v>
      </c>
      <c r="O774" t="s">
        <v>634</v>
      </c>
      <c r="P774">
        <v>0.01</v>
      </c>
      <c r="Q774" t="s">
        <v>245</v>
      </c>
      <c r="R774">
        <v>28.6</v>
      </c>
      <c r="S774">
        <v>31.4</v>
      </c>
      <c r="T774">
        <v>28.6</v>
      </c>
      <c r="U774">
        <v>4.3</v>
      </c>
      <c r="V774">
        <v>7.1</v>
      </c>
    </row>
    <row r="775" spans="1:22" x14ac:dyDescent="0.25">
      <c r="A775" t="s">
        <v>2067</v>
      </c>
      <c r="B775" t="s">
        <v>686</v>
      </c>
      <c r="C775">
        <v>38</v>
      </c>
      <c r="D775" t="s">
        <v>132</v>
      </c>
      <c r="E775" t="s">
        <v>140</v>
      </c>
      <c r="F775" t="s">
        <v>140</v>
      </c>
      <c r="G775">
        <v>0.08</v>
      </c>
      <c r="H775" t="s">
        <v>178</v>
      </c>
      <c r="I775">
        <v>-11</v>
      </c>
      <c r="J775" t="str">
        <f>HYPERLINK("https://www.eliteprospects.com/player/883645/jake-missura")</f>
        <v>https://www.eliteprospects.com/player/883645/jake-missura</v>
      </c>
      <c r="K775" t="s">
        <v>27</v>
      </c>
      <c r="L775" t="s">
        <v>631</v>
      </c>
      <c r="M775" t="s">
        <v>1296</v>
      </c>
      <c r="N775">
        <v>3</v>
      </c>
      <c r="O775" t="s">
        <v>639</v>
      </c>
      <c r="P775">
        <v>0.01</v>
      </c>
      <c r="Q775" t="s">
        <v>245</v>
      </c>
      <c r="R775">
        <v>28.6</v>
      </c>
      <c r="S775">
        <v>31.4</v>
      </c>
      <c r="T775">
        <v>28.6</v>
      </c>
      <c r="U775">
        <v>4.3</v>
      </c>
      <c r="V775">
        <v>7.1</v>
      </c>
    </row>
    <row r="776" spans="1:22" x14ac:dyDescent="0.25">
      <c r="A776" t="s">
        <v>2068</v>
      </c>
      <c r="B776" t="s">
        <v>507</v>
      </c>
      <c r="C776">
        <v>17</v>
      </c>
      <c r="D776" t="s">
        <v>79</v>
      </c>
      <c r="E776" t="s">
        <v>132</v>
      </c>
      <c r="F776" t="s">
        <v>79</v>
      </c>
      <c r="G776">
        <v>0.12</v>
      </c>
      <c r="H776" t="s">
        <v>39</v>
      </c>
      <c r="I776">
        <v>-3</v>
      </c>
      <c r="J776" t="str">
        <f>HYPERLINK("https://www.eliteprospects.com/player/746975/caden-campion")</f>
        <v>https://www.eliteprospects.com/player/746975/caden-campion</v>
      </c>
      <c r="K776" t="s">
        <v>27</v>
      </c>
      <c r="L776" t="s">
        <v>631</v>
      </c>
      <c r="M776" t="s">
        <v>1296</v>
      </c>
      <c r="N776">
        <v>1</v>
      </c>
      <c r="O776" t="s">
        <v>634</v>
      </c>
      <c r="P776">
        <v>0.02</v>
      </c>
      <c r="Q776" t="s">
        <v>245</v>
      </c>
      <c r="R776">
        <v>28.6</v>
      </c>
      <c r="S776">
        <v>31.4</v>
      </c>
      <c r="T776">
        <v>28.6</v>
      </c>
      <c r="U776">
        <v>4.3</v>
      </c>
      <c r="V776">
        <v>7.1</v>
      </c>
    </row>
    <row r="777" spans="1:22" x14ac:dyDescent="0.25">
      <c r="A777" t="s">
        <v>2069</v>
      </c>
      <c r="B777" t="s">
        <v>667</v>
      </c>
      <c r="C777">
        <v>14</v>
      </c>
      <c r="D777" t="s">
        <v>260</v>
      </c>
      <c r="E777" t="s">
        <v>260</v>
      </c>
      <c r="F777" t="s">
        <v>79</v>
      </c>
      <c r="G777">
        <v>0.14000000000000001</v>
      </c>
      <c r="H777" t="s">
        <v>24</v>
      </c>
      <c r="I777">
        <v>6</v>
      </c>
      <c r="J777" t="str">
        <f>HYPERLINK("https://www.eliteprospects.com/player/736409/isaac-poll")</f>
        <v>https://www.eliteprospects.com/player/736409/isaac-poll</v>
      </c>
      <c r="K777" t="s">
        <v>27</v>
      </c>
      <c r="L777" t="s">
        <v>631</v>
      </c>
      <c r="M777" t="s">
        <v>1296</v>
      </c>
      <c r="N777">
        <v>3</v>
      </c>
      <c r="O777" t="s">
        <v>639</v>
      </c>
      <c r="P777">
        <v>0.02</v>
      </c>
      <c r="Q777" t="s">
        <v>245</v>
      </c>
      <c r="R777">
        <v>28.6</v>
      </c>
      <c r="S777">
        <v>31.4</v>
      </c>
      <c r="T777">
        <v>28.6</v>
      </c>
      <c r="U777">
        <v>4.3</v>
      </c>
      <c r="V777">
        <v>7.1</v>
      </c>
    </row>
    <row r="778" spans="1:22" x14ac:dyDescent="0.25">
      <c r="A778" t="s">
        <v>2070</v>
      </c>
      <c r="B778" t="s">
        <v>640</v>
      </c>
      <c r="C778">
        <v>18</v>
      </c>
      <c r="D778" t="s">
        <v>260</v>
      </c>
      <c r="E778" t="s">
        <v>260</v>
      </c>
      <c r="F778" t="s">
        <v>79</v>
      </c>
      <c r="G778">
        <v>0.11</v>
      </c>
      <c r="H778" t="s">
        <v>132</v>
      </c>
      <c r="I778">
        <v>3</v>
      </c>
      <c r="J778" t="str">
        <f>HYPERLINK("https://www.eliteprospects.com/player/950610/luke-christopherson")</f>
        <v>https://www.eliteprospects.com/player/950610/luke-christopherson</v>
      </c>
      <c r="K778" t="s">
        <v>27</v>
      </c>
      <c r="L778" t="s">
        <v>631</v>
      </c>
      <c r="M778" t="s">
        <v>1296</v>
      </c>
      <c r="N778">
        <v>1</v>
      </c>
      <c r="O778" t="s">
        <v>634</v>
      </c>
      <c r="P778">
        <v>0.02</v>
      </c>
      <c r="Q778" t="s">
        <v>245</v>
      </c>
      <c r="R778">
        <v>28.6</v>
      </c>
      <c r="S778">
        <v>31.4</v>
      </c>
      <c r="T778">
        <v>28.6</v>
      </c>
      <c r="U778">
        <v>4.3</v>
      </c>
      <c r="V778">
        <v>7.1</v>
      </c>
    </row>
    <row r="779" spans="1:22" x14ac:dyDescent="0.25">
      <c r="A779" t="s">
        <v>2071</v>
      </c>
      <c r="B779" t="s">
        <v>507</v>
      </c>
      <c r="C779">
        <v>23</v>
      </c>
      <c r="D779" t="s">
        <v>260</v>
      </c>
      <c r="E779" t="s">
        <v>260</v>
      </c>
      <c r="F779" t="s">
        <v>79</v>
      </c>
      <c r="G779">
        <v>0.09</v>
      </c>
      <c r="H779" t="s">
        <v>40</v>
      </c>
      <c r="I779">
        <v>0</v>
      </c>
      <c r="J779" t="str">
        <f>HYPERLINK("https://www.eliteprospects.com/player/825478/jaxson-pawlenchuk")</f>
        <v>https://www.eliteprospects.com/player/825478/jaxson-pawlenchuk</v>
      </c>
      <c r="K779" t="s">
        <v>27</v>
      </c>
      <c r="L779" t="s">
        <v>631</v>
      </c>
      <c r="M779" t="s">
        <v>1296</v>
      </c>
      <c r="N779">
        <v>2</v>
      </c>
      <c r="O779" t="s">
        <v>636</v>
      </c>
      <c r="P779">
        <v>0.01</v>
      </c>
      <c r="Q779" t="s">
        <v>245</v>
      </c>
      <c r="R779">
        <v>28.6</v>
      </c>
      <c r="S779">
        <v>31.4</v>
      </c>
      <c r="T779">
        <v>28.6</v>
      </c>
      <c r="U779">
        <v>4.3</v>
      </c>
      <c r="V779">
        <v>7.1</v>
      </c>
    </row>
    <row r="780" spans="1:22" x14ac:dyDescent="0.25">
      <c r="A780" t="s">
        <v>2072</v>
      </c>
      <c r="B780" t="s">
        <v>684</v>
      </c>
      <c r="C780">
        <v>13</v>
      </c>
      <c r="D780" t="s">
        <v>132</v>
      </c>
      <c r="E780" t="s">
        <v>79</v>
      </c>
      <c r="F780" t="s">
        <v>79</v>
      </c>
      <c r="G780">
        <v>0.15</v>
      </c>
      <c r="H780" t="s">
        <v>23</v>
      </c>
      <c r="I780">
        <v>-6</v>
      </c>
      <c r="J780" t="str">
        <f>HYPERLINK("https://www.eliteprospects.com/player/965717/daniel-vaillant")</f>
        <v>https://www.eliteprospects.com/player/965717/daniel-vaillant</v>
      </c>
      <c r="K780" t="s">
        <v>27</v>
      </c>
      <c r="L780" t="s">
        <v>631</v>
      </c>
      <c r="M780" t="s">
        <v>1296</v>
      </c>
      <c r="N780">
        <v>2</v>
      </c>
      <c r="O780" t="s">
        <v>636</v>
      </c>
      <c r="P780">
        <v>0.02</v>
      </c>
      <c r="Q780" t="s">
        <v>245</v>
      </c>
      <c r="R780">
        <v>28.6</v>
      </c>
      <c r="S780">
        <v>31.4</v>
      </c>
      <c r="T780">
        <v>28.6</v>
      </c>
      <c r="U780">
        <v>4.3</v>
      </c>
      <c r="V780">
        <v>7.1</v>
      </c>
    </row>
    <row r="781" spans="1:22" x14ac:dyDescent="0.25">
      <c r="A781" t="s">
        <v>2073</v>
      </c>
      <c r="B781" t="s">
        <v>635</v>
      </c>
      <c r="C781">
        <v>17</v>
      </c>
      <c r="D781" t="s">
        <v>132</v>
      </c>
      <c r="E781" t="s">
        <v>79</v>
      </c>
      <c r="F781" t="s">
        <v>79</v>
      </c>
      <c r="G781">
        <v>0.12</v>
      </c>
      <c r="H781" t="s">
        <v>60</v>
      </c>
      <c r="I781">
        <v>4</v>
      </c>
      <c r="J781" t="str">
        <f>HYPERLINK("https://www.eliteprospects.com/player/804399/ryan-gower")</f>
        <v>https://www.eliteprospects.com/player/804399/ryan-gower</v>
      </c>
      <c r="K781" t="s">
        <v>27</v>
      </c>
      <c r="L781" t="s">
        <v>631</v>
      </c>
      <c r="M781" t="s">
        <v>1296</v>
      </c>
      <c r="N781">
        <v>2</v>
      </c>
      <c r="O781" t="s">
        <v>636</v>
      </c>
      <c r="P781">
        <v>0.02</v>
      </c>
      <c r="Q781" t="s">
        <v>245</v>
      </c>
      <c r="R781">
        <v>28.6</v>
      </c>
      <c r="S781">
        <v>31.4</v>
      </c>
      <c r="T781">
        <v>28.6</v>
      </c>
      <c r="U781">
        <v>4.3</v>
      </c>
      <c r="V781">
        <v>7.1</v>
      </c>
    </row>
    <row r="782" spans="1:22" x14ac:dyDescent="0.25">
      <c r="A782" t="s">
        <v>2074</v>
      </c>
      <c r="B782" t="s">
        <v>709</v>
      </c>
      <c r="C782">
        <v>25</v>
      </c>
      <c r="D782" t="s">
        <v>132</v>
      </c>
      <c r="E782" t="s">
        <v>79</v>
      </c>
      <c r="F782" t="s">
        <v>79</v>
      </c>
      <c r="G782">
        <v>0.08</v>
      </c>
      <c r="H782" t="s">
        <v>55</v>
      </c>
      <c r="I782">
        <v>-10</v>
      </c>
      <c r="J782" t="str">
        <f>HYPERLINK("https://www.eliteprospects.com/player/879108/nathan-gray")</f>
        <v>https://www.eliteprospects.com/player/879108/nathan-gray</v>
      </c>
      <c r="K782" t="s">
        <v>27</v>
      </c>
      <c r="L782" t="s">
        <v>631</v>
      </c>
      <c r="M782" t="s">
        <v>1296</v>
      </c>
      <c r="N782">
        <v>2</v>
      </c>
      <c r="O782" t="s">
        <v>636</v>
      </c>
      <c r="P782">
        <v>0.01</v>
      </c>
      <c r="Q782" t="s">
        <v>245</v>
      </c>
      <c r="R782">
        <v>28.6</v>
      </c>
      <c r="S782">
        <v>31.4</v>
      </c>
      <c r="T782">
        <v>28.6</v>
      </c>
      <c r="U782">
        <v>4.3</v>
      </c>
      <c r="V782">
        <v>7.1</v>
      </c>
    </row>
    <row r="783" spans="1:22" x14ac:dyDescent="0.25">
      <c r="A783" t="s">
        <v>2075</v>
      </c>
      <c r="B783" t="s">
        <v>676</v>
      </c>
      <c r="C783">
        <v>27</v>
      </c>
      <c r="D783" t="s">
        <v>132</v>
      </c>
      <c r="E783" t="s">
        <v>79</v>
      </c>
      <c r="F783" t="s">
        <v>79</v>
      </c>
      <c r="G783">
        <v>7.0000000000000007E-2</v>
      </c>
      <c r="H783" t="s">
        <v>34</v>
      </c>
      <c r="I783">
        <v>-8</v>
      </c>
      <c r="J783" t="str">
        <f>HYPERLINK("https://www.eliteprospects.com/player/855900/jonas-kohn")</f>
        <v>https://www.eliteprospects.com/player/855900/jonas-kohn</v>
      </c>
      <c r="K783" t="s">
        <v>27</v>
      </c>
      <c r="L783" t="s">
        <v>631</v>
      </c>
      <c r="M783" t="s">
        <v>1296</v>
      </c>
      <c r="N783">
        <v>1</v>
      </c>
      <c r="O783" t="s">
        <v>634</v>
      </c>
      <c r="P783">
        <v>0.01</v>
      </c>
      <c r="Q783" t="s">
        <v>245</v>
      </c>
      <c r="R783">
        <v>28.6</v>
      </c>
      <c r="S783">
        <v>31.4</v>
      </c>
      <c r="T783">
        <v>28.6</v>
      </c>
      <c r="U783">
        <v>4.3</v>
      </c>
      <c r="V783">
        <v>7.1</v>
      </c>
    </row>
    <row r="784" spans="1:22" x14ac:dyDescent="0.25">
      <c r="A784" t="s">
        <v>2076</v>
      </c>
      <c r="B784" t="s">
        <v>640</v>
      </c>
      <c r="C784">
        <v>28</v>
      </c>
      <c r="D784" t="s">
        <v>132</v>
      </c>
      <c r="E784" t="s">
        <v>79</v>
      </c>
      <c r="F784" t="s">
        <v>79</v>
      </c>
      <c r="G784">
        <v>7.0000000000000007E-2</v>
      </c>
      <c r="H784" t="s">
        <v>41</v>
      </c>
      <c r="I784">
        <v>-8</v>
      </c>
      <c r="J784" t="str">
        <f>HYPERLINK("https://www.eliteprospects.com/player/883528/cameron-jacobson")</f>
        <v>https://www.eliteprospects.com/player/883528/cameron-jacobson</v>
      </c>
      <c r="K784" t="s">
        <v>27</v>
      </c>
      <c r="L784" t="s">
        <v>631</v>
      </c>
      <c r="M784" t="s">
        <v>1296</v>
      </c>
      <c r="N784">
        <v>1</v>
      </c>
      <c r="O784" t="s">
        <v>634</v>
      </c>
      <c r="P784">
        <v>0.01</v>
      </c>
      <c r="Q784" t="s">
        <v>245</v>
      </c>
      <c r="R784">
        <v>28.6</v>
      </c>
      <c r="S784">
        <v>31.4</v>
      </c>
      <c r="T784">
        <v>28.6</v>
      </c>
      <c r="U784">
        <v>4.3</v>
      </c>
      <c r="V784">
        <v>7.1</v>
      </c>
    </row>
    <row r="785" spans="1:22" x14ac:dyDescent="0.25">
      <c r="A785" t="s">
        <v>2077</v>
      </c>
      <c r="B785" t="s">
        <v>709</v>
      </c>
      <c r="C785">
        <v>32</v>
      </c>
      <c r="D785" t="s">
        <v>132</v>
      </c>
      <c r="E785" t="s">
        <v>79</v>
      </c>
      <c r="F785" t="s">
        <v>79</v>
      </c>
      <c r="G785">
        <v>0.06</v>
      </c>
      <c r="H785" t="s">
        <v>52</v>
      </c>
      <c r="I785">
        <v>-17</v>
      </c>
      <c r="J785" t="str">
        <f>HYPERLINK("https://www.eliteprospects.com/player/885641/daxon-yerex")</f>
        <v>https://www.eliteprospects.com/player/885641/daxon-yerex</v>
      </c>
      <c r="K785" t="s">
        <v>27</v>
      </c>
      <c r="L785" t="s">
        <v>631</v>
      </c>
      <c r="M785" t="s">
        <v>1296</v>
      </c>
      <c r="N785">
        <v>3</v>
      </c>
      <c r="O785" t="s">
        <v>639</v>
      </c>
      <c r="P785">
        <v>0.01</v>
      </c>
      <c r="Q785" t="s">
        <v>245</v>
      </c>
      <c r="R785">
        <v>28.6</v>
      </c>
      <c r="S785">
        <v>31.4</v>
      </c>
      <c r="T785">
        <v>28.6</v>
      </c>
      <c r="U785">
        <v>4.3</v>
      </c>
      <c r="V785">
        <v>7.1</v>
      </c>
    </row>
    <row r="786" spans="1:22" x14ac:dyDescent="0.25">
      <c r="A786" t="s">
        <v>2078</v>
      </c>
      <c r="B786" t="s">
        <v>644</v>
      </c>
      <c r="C786">
        <v>35</v>
      </c>
      <c r="D786" t="s">
        <v>132</v>
      </c>
      <c r="E786" t="s">
        <v>79</v>
      </c>
      <c r="F786" t="s">
        <v>79</v>
      </c>
      <c r="G786">
        <v>0.06</v>
      </c>
      <c r="H786" t="s">
        <v>39</v>
      </c>
      <c r="I786">
        <v>-5</v>
      </c>
      <c r="J786" t="str">
        <f>HYPERLINK("https://www.eliteprospects.com/player/862399/phoenix-cahill")</f>
        <v>https://www.eliteprospects.com/player/862399/phoenix-cahill</v>
      </c>
      <c r="K786" t="s">
        <v>27</v>
      </c>
      <c r="L786" t="s">
        <v>631</v>
      </c>
      <c r="M786" t="s">
        <v>1296</v>
      </c>
      <c r="N786">
        <v>1</v>
      </c>
      <c r="O786" t="s">
        <v>634</v>
      </c>
      <c r="P786">
        <v>0.01</v>
      </c>
      <c r="Q786" t="s">
        <v>245</v>
      </c>
      <c r="R786">
        <v>28.6</v>
      </c>
      <c r="S786">
        <v>31.4</v>
      </c>
      <c r="T786">
        <v>28.6</v>
      </c>
      <c r="U786">
        <v>4.3</v>
      </c>
      <c r="V786">
        <v>7.1</v>
      </c>
    </row>
    <row r="787" spans="1:22" x14ac:dyDescent="0.25">
      <c r="A787" t="s">
        <v>2079</v>
      </c>
      <c r="B787" t="s">
        <v>671</v>
      </c>
      <c r="C787">
        <v>11</v>
      </c>
      <c r="D787" t="s">
        <v>260</v>
      </c>
      <c r="E787" t="s">
        <v>132</v>
      </c>
      <c r="F787" t="s">
        <v>260</v>
      </c>
      <c r="G787">
        <v>0.09</v>
      </c>
      <c r="H787" t="s">
        <v>79</v>
      </c>
      <c r="I787">
        <v>5</v>
      </c>
      <c r="J787" t="str">
        <f>HYPERLINK("https://www.eliteprospects.com/player/963790/bryson-roberts")</f>
        <v>https://www.eliteprospects.com/player/963790/bryson-roberts</v>
      </c>
      <c r="K787" t="s">
        <v>27</v>
      </c>
      <c r="L787" t="s">
        <v>631</v>
      </c>
      <c r="M787" t="s">
        <v>1296</v>
      </c>
      <c r="N787">
        <v>1</v>
      </c>
      <c r="O787" t="s">
        <v>634</v>
      </c>
      <c r="P787">
        <v>0.01</v>
      </c>
      <c r="Q787" t="s">
        <v>245</v>
      </c>
      <c r="R787">
        <v>28.6</v>
      </c>
      <c r="S787">
        <v>31.4</v>
      </c>
      <c r="T787">
        <v>28.6</v>
      </c>
      <c r="U787">
        <v>4.3</v>
      </c>
      <c r="V787">
        <v>7.1</v>
      </c>
    </row>
    <row r="788" spans="1:22" x14ac:dyDescent="0.25">
      <c r="A788" t="s">
        <v>2080</v>
      </c>
      <c r="B788" t="s">
        <v>640</v>
      </c>
      <c r="C788">
        <v>11</v>
      </c>
      <c r="D788" t="s">
        <v>260</v>
      </c>
      <c r="E788" t="s">
        <v>132</v>
      </c>
      <c r="F788" t="s">
        <v>260</v>
      </c>
      <c r="G788">
        <v>0.09</v>
      </c>
      <c r="H788" t="s">
        <v>51</v>
      </c>
      <c r="I788">
        <v>-2</v>
      </c>
      <c r="J788" t="str">
        <f>HYPERLINK("https://www.eliteprospects.com/player/879242/aaron-zulinick")</f>
        <v>https://www.eliteprospects.com/player/879242/aaron-zulinick</v>
      </c>
      <c r="K788" t="s">
        <v>27</v>
      </c>
      <c r="L788" t="s">
        <v>631</v>
      </c>
      <c r="M788" t="s">
        <v>1296</v>
      </c>
      <c r="N788">
        <v>2</v>
      </c>
      <c r="O788" t="s">
        <v>636</v>
      </c>
      <c r="P788">
        <v>0.01</v>
      </c>
      <c r="Q788" t="s">
        <v>245</v>
      </c>
      <c r="R788">
        <v>28.6</v>
      </c>
      <c r="S788">
        <v>31.4</v>
      </c>
      <c r="T788">
        <v>28.6</v>
      </c>
      <c r="U788">
        <v>4.3</v>
      </c>
      <c r="V788">
        <v>7.1</v>
      </c>
    </row>
    <row r="789" spans="1:22" x14ac:dyDescent="0.25">
      <c r="A789" t="s">
        <v>2081</v>
      </c>
      <c r="B789" t="s">
        <v>657</v>
      </c>
      <c r="C789">
        <v>13</v>
      </c>
      <c r="D789" t="s">
        <v>132</v>
      </c>
      <c r="E789" t="s">
        <v>260</v>
      </c>
      <c r="F789" t="s">
        <v>260</v>
      </c>
      <c r="G789">
        <v>0.08</v>
      </c>
      <c r="H789" t="s">
        <v>26</v>
      </c>
      <c r="I789">
        <v>-4</v>
      </c>
      <c r="J789" t="str">
        <f>HYPERLINK("https://www.eliteprospects.com/player/597560/cohen-massey")</f>
        <v>https://www.eliteprospects.com/player/597560/cohen-massey</v>
      </c>
      <c r="K789" t="s">
        <v>27</v>
      </c>
      <c r="L789" t="s">
        <v>631</v>
      </c>
      <c r="M789" t="s">
        <v>1296</v>
      </c>
      <c r="N789">
        <v>3</v>
      </c>
      <c r="O789" t="s">
        <v>639</v>
      </c>
      <c r="P789">
        <v>0.01</v>
      </c>
      <c r="Q789" t="s">
        <v>245</v>
      </c>
      <c r="R789">
        <v>28.6</v>
      </c>
      <c r="S789">
        <v>31.4</v>
      </c>
      <c r="T789">
        <v>28.6</v>
      </c>
      <c r="U789">
        <v>4.3</v>
      </c>
      <c r="V789">
        <v>7.1</v>
      </c>
    </row>
    <row r="790" spans="1:22" x14ac:dyDescent="0.25">
      <c r="A790" t="s">
        <v>2082</v>
      </c>
      <c r="B790" t="s">
        <v>633</v>
      </c>
      <c r="C790">
        <v>17</v>
      </c>
      <c r="D790" t="s">
        <v>132</v>
      </c>
      <c r="E790" t="s">
        <v>260</v>
      </c>
      <c r="F790" t="s">
        <v>260</v>
      </c>
      <c r="G790">
        <v>0.06</v>
      </c>
      <c r="H790" t="s">
        <v>26</v>
      </c>
      <c r="I790">
        <v>-6</v>
      </c>
      <c r="J790" t="str">
        <f>HYPERLINK("https://www.eliteprospects.com/player/804863/evan-markel")</f>
        <v>https://www.eliteprospects.com/player/804863/evan-markel</v>
      </c>
      <c r="K790" t="s">
        <v>27</v>
      </c>
      <c r="L790" t="s">
        <v>631</v>
      </c>
      <c r="M790" t="s">
        <v>1296</v>
      </c>
      <c r="N790">
        <v>1</v>
      </c>
      <c r="O790" t="s">
        <v>634</v>
      </c>
      <c r="P790">
        <v>0.01</v>
      </c>
      <c r="Q790" t="s">
        <v>245</v>
      </c>
      <c r="R790">
        <v>28.6</v>
      </c>
      <c r="S790">
        <v>31.4</v>
      </c>
      <c r="T790">
        <v>28.6</v>
      </c>
      <c r="U790">
        <v>4.3</v>
      </c>
      <c r="V790">
        <v>7.1</v>
      </c>
    </row>
    <row r="791" spans="1:22" x14ac:dyDescent="0.25">
      <c r="A791" t="s">
        <v>2083</v>
      </c>
      <c r="B791" t="s">
        <v>657</v>
      </c>
      <c r="C791">
        <v>21</v>
      </c>
      <c r="D791" t="s">
        <v>132</v>
      </c>
      <c r="E791" t="s">
        <v>260</v>
      </c>
      <c r="F791" t="s">
        <v>260</v>
      </c>
      <c r="G791">
        <v>0.05</v>
      </c>
      <c r="H791" t="s">
        <v>65</v>
      </c>
      <c r="I791">
        <v>-11</v>
      </c>
      <c r="J791" t="str">
        <f>HYPERLINK("https://www.eliteprospects.com/player/762929/mykola-kosarev")</f>
        <v>https://www.eliteprospects.com/player/762929/mykola-kosarev</v>
      </c>
      <c r="K791" t="s">
        <v>27</v>
      </c>
      <c r="L791" t="s">
        <v>631</v>
      </c>
      <c r="M791" t="s">
        <v>1296</v>
      </c>
      <c r="N791">
        <v>1</v>
      </c>
      <c r="O791" t="s">
        <v>634</v>
      </c>
      <c r="P791">
        <v>0.01</v>
      </c>
      <c r="Q791" t="s">
        <v>245</v>
      </c>
      <c r="R791">
        <v>28.6</v>
      </c>
      <c r="S791">
        <v>31.4</v>
      </c>
      <c r="T791">
        <v>28.6</v>
      </c>
      <c r="U791">
        <v>4.3</v>
      </c>
      <c r="V791">
        <v>7.1</v>
      </c>
    </row>
    <row r="792" spans="1:22" x14ac:dyDescent="0.25">
      <c r="A792" t="s">
        <v>2084</v>
      </c>
      <c r="B792" t="s">
        <v>702</v>
      </c>
      <c r="C792">
        <v>24</v>
      </c>
      <c r="D792" t="s">
        <v>132</v>
      </c>
      <c r="E792" t="s">
        <v>260</v>
      </c>
      <c r="F792" t="s">
        <v>260</v>
      </c>
      <c r="G792">
        <v>0.04</v>
      </c>
      <c r="H792" t="s">
        <v>45</v>
      </c>
      <c r="I792">
        <v>-6</v>
      </c>
      <c r="J792" t="str">
        <f>HYPERLINK("https://www.eliteprospects.com/player/884880/braydon-riggall")</f>
        <v>https://www.eliteprospects.com/player/884880/braydon-riggall</v>
      </c>
      <c r="K792" t="s">
        <v>27</v>
      </c>
      <c r="L792" t="s">
        <v>631</v>
      </c>
      <c r="M792" t="s">
        <v>1296</v>
      </c>
      <c r="N792">
        <v>2</v>
      </c>
      <c r="O792" t="s">
        <v>636</v>
      </c>
      <c r="P792">
        <v>0.01</v>
      </c>
      <c r="Q792" t="s">
        <v>245</v>
      </c>
      <c r="R792">
        <v>28.6</v>
      </c>
      <c r="S792">
        <v>31.4</v>
      </c>
      <c r="T792">
        <v>28.6</v>
      </c>
      <c r="U792">
        <v>4.3</v>
      </c>
      <c r="V792">
        <v>7.1</v>
      </c>
    </row>
    <row r="793" spans="1:22" x14ac:dyDescent="0.25">
      <c r="A793" t="s">
        <v>2085</v>
      </c>
      <c r="B793" t="s">
        <v>653</v>
      </c>
      <c r="C793">
        <v>24</v>
      </c>
      <c r="D793" t="s">
        <v>132</v>
      </c>
      <c r="E793" t="s">
        <v>260</v>
      </c>
      <c r="F793" t="s">
        <v>260</v>
      </c>
      <c r="G793">
        <v>0.04</v>
      </c>
      <c r="H793" t="s">
        <v>265</v>
      </c>
      <c r="I793">
        <v>-3</v>
      </c>
      <c r="J793" t="str">
        <f>HYPERLINK("https://www.eliteprospects.com/player/889565/owen-hayden")</f>
        <v>https://www.eliteprospects.com/player/889565/owen-hayden</v>
      </c>
      <c r="K793" t="s">
        <v>27</v>
      </c>
      <c r="L793" t="s">
        <v>631</v>
      </c>
      <c r="M793" t="s">
        <v>1296</v>
      </c>
      <c r="N793">
        <v>1</v>
      </c>
      <c r="O793" t="s">
        <v>634</v>
      </c>
      <c r="P793">
        <v>0.01</v>
      </c>
      <c r="Q793" t="s">
        <v>245</v>
      </c>
      <c r="R793">
        <v>28.6</v>
      </c>
      <c r="S793">
        <v>31.4</v>
      </c>
      <c r="T793">
        <v>28.6</v>
      </c>
      <c r="U793">
        <v>4.3</v>
      </c>
      <c r="V793">
        <v>7.1</v>
      </c>
    </row>
    <row r="794" spans="1:22" x14ac:dyDescent="0.25">
      <c r="A794" t="s">
        <v>2086</v>
      </c>
      <c r="B794" t="s">
        <v>667</v>
      </c>
      <c r="C794">
        <v>25</v>
      </c>
      <c r="D794" t="s">
        <v>132</v>
      </c>
      <c r="E794" t="s">
        <v>260</v>
      </c>
      <c r="F794" t="s">
        <v>260</v>
      </c>
      <c r="G794">
        <v>0.04</v>
      </c>
      <c r="H794" t="s">
        <v>57</v>
      </c>
      <c r="I794">
        <v>3</v>
      </c>
      <c r="J794" t="str">
        <f>HYPERLINK("https://www.eliteprospects.com/player/628119/jack-lavallee")</f>
        <v>https://www.eliteprospects.com/player/628119/jack-lavallee</v>
      </c>
      <c r="K794" t="s">
        <v>27</v>
      </c>
      <c r="L794" t="s">
        <v>631</v>
      </c>
      <c r="M794" t="s">
        <v>1296</v>
      </c>
      <c r="N794">
        <v>2</v>
      </c>
      <c r="O794" t="s">
        <v>636</v>
      </c>
      <c r="P794">
        <v>0.01</v>
      </c>
      <c r="Q794" t="s">
        <v>245</v>
      </c>
      <c r="R794">
        <v>28.6</v>
      </c>
      <c r="S794">
        <v>31.4</v>
      </c>
      <c r="T794">
        <v>28.6</v>
      </c>
      <c r="U794">
        <v>4.3</v>
      </c>
      <c r="V794">
        <v>7.1</v>
      </c>
    </row>
    <row r="795" spans="1:22" x14ac:dyDescent="0.25">
      <c r="A795" t="s">
        <v>2087</v>
      </c>
      <c r="B795" t="s">
        <v>649</v>
      </c>
      <c r="C795">
        <v>29</v>
      </c>
      <c r="D795" t="s">
        <v>132</v>
      </c>
      <c r="E795" t="s">
        <v>260</v>
      </c>
      <c r="F795" t="s">
        <v>260</v>
      </c>
      <c r="G795">
        <v>0.03</v>
      </c>
      <c r="H795" t="s">
        <v>38</v>
      </c>
      <c r="I795">
        <v>-8</v>
      </c>
      <c r="J795" t="str">
        <f>HYPERLINK("https://www.eliteprospects.com/player/701510/jaxon-pisani")</f>
        <v>https://www.eliteprospects.com/player/701510/jaxon-pisani</v>
      </c>
      <c r="K795" t="s">
        <v>27</v>
      </c>
      <c r="L795" t="s">
        <v>631</v>
      </c>
      <c r="M795" t="s">
        <v>1296</v>
      </c>
      <c r="N795">
        <v>2</v>
      </c>
      <c r="O795" t="s">
        <v>636</v>
      </c>
      <c r="P795">
        <v>0</v>
      </c>
      <c r="Q795" t="s">
        <v>245</v>
      </c>
      <c r="R795">
        <v>28.6</v>
      </c>
      <c r="S795">
        <v>31.4</v>
      </c>
      <c r="T795">
        <v>28.6</v>
      </c>
      <c r="U795">
        <v>4.3</v>
      </c>
      <c r="V795">
        <v>7.1</v>
      </c>
    </row>
    <row r="796" spans="1:22" x14ac:dyDescent="0.25">
      <c r="A796" t="s">
        <v>2088</v>
      </c>
      <c r="B796" t="s">
        <v>633</v>
      </c>
      <c r="C796">
        <v>34</v>
      </c>
      <c r="D796" t="s">
        <v>132</v>
      </c>
      <c r="E796" t="s">
        <v>260</v>
      </c>
      <c r="F796" t="s">
        <v>260</v>
      </c>
      <c r="G796">
        <v>0.03</v>
      </c>
      <c r="H796" t="s">
        <v>25</v>
      </c>
      <c r="I796">
        <v>-9</v>
      </c>
      <c r="J796" t="str">
        <f>HYPERLINK("https://www.eliteprospects.com/player/967125/madden-tymchak")</f>
        <v>https://www.eliteprospects.com/player/967125/madden-tymchak</v>
      </c>
      <c r="K796" t="s">
        <v>27</v>
      </c>
      <c r="L796" t="s">
        <v>631</v>
      </c>
      <c r="M796" t="s">
        <v>1296</v>
      </c>
      <c r="N796">
        <v>1</v>
      </c>
      <c r="O796" t="s">
        <v>634</v>
      </c>
      <c r="P796">
        <v>0</v>
      </c>
      <c r="Q796" t="s">
        <v>245</v>
      </c>
      <c r="R796">
        <v>28.6</v>
      </c>
      <c r="S796">
        <v>31.4</v>
      </c>
      <c r="T796">
        <v>28.6</v>
      </c>
      <c r="U796">
        <v>4.3</v>
      </c>
      <c r="V796">
        <v>7.1</v>
      </c>
    </row>
    <row r="797" spans="1:22" x14ac:dyDescent="0.25">
      <c r="A797" t="s">
        <v>2089</v>
      </c>
      <c r="B797" t="s">
        <v>702</v>
      </c>
      <c r="C797">
        <v>35</v>
      </c>
      <c r="D797" t="s">
        <v>132</v>
      </c>
      <c r="E797" t="s">
        <v>260</v>
      </c>
      <c r="F797" t="s">
        <v>260</v>
      </c>
      <c r="G797">
        <v>0.03</v>
      </c>
      <c r="H797" t="s">
        <v>503</v>
      </c>
      <c r="I797">
        <v>-5</v>
      </c>
      <c r="J797" t="str">
        <f>HYPERLINK("https://www.eliteprospects.com/player/869430/jan-skok")</f>
        <v>https://www.eliteprospects.com/player/869430/jan-skok</v>
      </c>
      <c r="K797" t="s">
        <v>27</v>
      </c>
      <c r="L797" t="s">
        <v>631</v>
      </c>
      <c r="M797" t="s">
        <v>1296</v>
      </c>
      <c r="N797">
        <v>1</v>
      </c>
      <c r="O797" t="s">
        <v>634</v>
      </c>
      <c r="P797">
        <v>0</v>
      </c>
      <c r="Q797" t="s">
        <v>245</v>
      </c>
      <c r="R797">
        <v>28.6</v>
      </c>
      <c r="S797">
        <v>31.4</v>
      </c>
      <c r="T797">
        <v>28.6</v>
      </c>
      <c r="U797">
        <v>4.3</v>
      </c>
      <c r="V797">
        <v>7.1</v>
      </c>
    </row>
    <row r="798" spans="1:22" x14ac:dyDescent="0.25">
      <c r="A798" t="s">
        <v>2090</v>
      </c>
      <c r="B798" t="s">
        <v>662</v>
      </c>
      <c r="C798">
        <v>11</v>
      </c>
      <c r="D798" t="s">
        <v>132</v>
      </c>
      <c r="E798" t="s">
        <v>132</v>
      </c>
      <c r="F798" t="s">
        <v>132</v>
      </c>
      <c r="G798">
        <v>0</v>
      </c>
      <c r="H798" t="s">
        <v>66</v>
      </c>
      <c r="I798">
        <v>2</v>
      </c>
      <c r="J798" t="str">
        <f>HYPERLINK("https://www.eliteprospects.com/player/891523/ethan-creran")</f>
        <v>https://www.eliteprospects.com/player/891523/ethan-creran</v>
      </c>
      <c r="K798" t="s">
        <v>27</v>
      </c>
      <c r="L798" t="s">
        <v>631</v>
      </c>
      <c r="M798" t="s">
        <v>1296</v>
      </c>
      <c r="N798">
        <v>1</v>
      </c>
      <c r="O798" t="s">
        <v>634</v>
      </c>
      <c r="P798">
        <v>0</v>
      </c>
      <c r="Q798" t="s">
        <v>245</v>
      </c>
      <c r="R798">
        <v>28.6</v>
      </c>
      <c r="S798">
        <v>31.4</v>
      </c>
      <c r="T798">
        <v>28.6</v>
      </c>
      <c r="U798">
        <v>4.3</v>
      </c>
      <c r="V798">
        <v>7.1</v>
      </c>
    </row>
    <row r="799" spans="1:22" x14ac:dyDescent="0.25">
      <c r="A799" t="s">
        <v>2091</v>
      </c>
      <c r="B799" t="s">
        <v>686</v>
      </c>
      <c r="C799">
        <v>14</v>
      </c>
      <c r="D799" t="s">
        <v>132</v>
      </c>
      <c r="E799" t="s">
        <v>132</v>
      </c>
      <c r="F799" t="s">
        <v>132</v>
      </c>
      <c r="G799">
        <v>0</v>
      </c>
      <c r="H799" t="s">
        <v>132</v>
      </c>
      <c r="I799">
        <v>-4</v>
      </c>
      <c r="J799" t="str">
        <f>HYPERLINK("https://www.eliteprospects.com/player/956760/nikolas-ferry")</f>
        <v>https://www.eliteprospects.com/player/956760/nikolas-ferry</v>
      </c>
      <c r="K799" t="s">
        <v>27</v>
      </c>
      <c r="L799" t="s">
        <v>631</v>
      </c>
      <c r="M799" t="s">
        <v>1296</v>
      </c>
      <c r="N799">
        <v>1</v>
      </c>
      <c r="O799" t="s">
        <v>634</v>
      </c>
      <c r="P799">
        <v>0</v>
      </c>
      <c r="Q799" t="s">
        <v>245</v>
      </c>
      <c r="R799">
        <v>28.6</v>
      </c>
      <c r="S799">
        <v>31.4</v>
      </c>
      <c r="T799">
        <v>28.6</v>
      </c>
      <c r="U799">
        <v>4.3</v>
      </c>
      <c r="V799">
        <v>7.1</v>
      </c>
    </row>
    <row r="800" spans="1:22" x14ac:dyDescent="0.25">
      <c r="A800" t="s">
        <v>2092</v>
      </c>
      <c r="B800" t="s">
        <v>660</v>
      </c>
      <c r="C800">
        <v>22</v>
      </c>
      <c r="D800" t="s">
        <v>132</v>
      </c>
      <c r="E800" t="s">
        <v>132</v>
      </c>
      <c r="F800" t="s">
        <v>132</v>
      </c>
      <c r="G800">
        <v>0</v>
      </c>
      <c r="H800" t="s">
        <v>45</v>
      </c>
      <c r="I800">
        <v>-8</v>
      </c>
      <c r="J800" t="str">
        <f>HYPERLINK("https://www.eliteprospects.com/player/908418/benson-hirst")</f>
        <v>https://www.eliteprospects.com/player/908418/benson-hirst</v>
      </c>
      <c r="K800" t="s">
        <v>27</v>
      </c>
      <c r="L800" t="s">
        <v>631</v>
      </c>
      <c r="M800" t="s">
        <v>1296</v>
      </c>
      <c r="N800">
        <v>1</v>
      </c>
      <c r="O800" t="s">
        <v>634</v>
      </c>
      <c r="P800">
        <v>0</v>
      </c>
      <c r="Q800" t="s">
        <v>245</v>
      </c>
      <c r="R800">
        <v>28.6</v>
      </c>
      <c r="S800">
        <v>31.4</v>
      </c>
      <c r="T800">
        <v>28.6</v>
      </c>
      <c r="U800">
        <v>4.3</v>
      </c>
      <c r="V800">
        <v>7.1</v>
      </c>
    </row>
    <row r="801" spans="1:22" x14ac:dyDescent="0.25">
      <c r="A801" t="s">
        <v>2093</v>
      </c>
      <c r="B801" t="s">
        <v>644</v>
      </c>
      <c r="C801">
        <v>32</v>
      </c>
      <c r="D801" t="s">
        <v>132</v>
      </c>
      <c r="E801" t="s">
        <v>132</v>
      </c>
      <c r="F801" t="s">
        <v>132</v>
      </c>
      <c r="G801">
        <v>0</v>
      </c>
      <c r="H801" t="s">
        <v>69</v>
      </c>
      <c r="I801">
        <v>-9</v>
      </c>
      <c r="J801" t="str">
        <f>HYPERLINK("https://www.eliteprospects.com/player/881368/dermot-johnston")</f>
        <v>https://www.eliteprospects.com/player/881368/dermot-johnston</v>
      </c>
      <c r="K801" t="s">
        <v>27</v>
      </c>
      <c r="L801" t="s">
        <v>631</v>
      </c>
      <c r="M801" t="s">
        <v>1296</v>
      </c>
      <c r="N801">
        <v>2</v>
      </c>
      <c r="O801" t="s">
        <v>636</v>
      </c>
      <c r="P801">
        <v>0</v>
      </c>
      <c r="Q801" t="s">
        <v>245</v>
      </c>
      <c r="R801">
        <v>28.6</v>
      </c>
      <c r="S801">
        <v>31.4</v>
      </c>
      <c r="T801">
        <v>28.6</v>
      </c>
      <c r="U801">
        <v>4.3</v>
      </c>
      <c r="V801">
        <v>7.1</v>
      </c>
    </row>
    <row r="802" spans="1:22" x14ac:dyDescent="0.25">
      <c r="A802" t="s">
        <v>2094</v>
      </c>
      <c r="B802" t="s">
        <v>820</v>
      </c>
      <c r="C802">
        <v>37</v>
      </c>
      <c r="D802" t="s">
        <v>78</v>
      </c>
      <c r="E802" t="s">
        <v>300</v>
      </c>
      <c r="F802" t="s">
        <v>503</v>
      </c>
      <c r="G802">
        <v>1.27</v>
      </c>
      <c r="H802" t="s">
        <v>38</v>
      </c>
      <c r="I802">
        <v>41</v>
      </c>
      <c r="J802" t="str">
        <f>HYPERLINK("https://www.eliteprospects.com/player/577026/tommy-bleyl")</f>
        <v>https://www.eliteprospects.com/player/577026/tommy-bleyl</v>
      </c>
      <c r="K802" t="s">
        <v>27</v>
      </c>
      <c r="L802" t="s">
        <v>804</v>
      </c>
      <c r="M802" t="s">
        <v>1296</v>
      </c>
      <c r="N802">
        <v>1</v>
      </c>
      <c r="O802" t="s">
        <v>816</v>
      </c>
      <c r="P802">
        <v>0.14000000000000001</v>
      </c>
      <c r="Q802" t="s">
        <v>1300</v>
      </c>
      <c r="R802">
        <v>30.8</v>
      </c>
      <c r="S802">
        <v>20.5</v>
      </c>
      <c r="T802">
        <v>10.3</v>
      </c>
      <c r="U802">
        <v>10.3</v>
      </c>
      <c r="V802">
        <v>28.2</v>
      </c>
    </row>
    <row r="803" spans="1:22" x14ac:dyDescent="0.25">
      <c r="A803" t="s">
        <v>2095</v>
      </c>
      <c r="B803" t="s">
        <v>808</v>
      </c>
      <c r="C803">
        <v>37</v>
      </c>
      <c r="D803" t="s">
        <v>66</v>
      </c>
      <c r="E803" t="s">
        <v>518</v>
      </c>
      <c r="F803" t="s">
        <v>277</v>
      </c>
      <c r="G803">
        <v>1.1100000000000001</v>
      </c>
      <c r="H803" t="s">
        <v>26</v>
      </c>
      <c r="I803">
        <v>33</v>
      </c>
      <c r="J803" t="str">
        <f>HYPERLINK("https://www.eliteprospects.com/player/689875/alex-huang")</f>
        <v>https://www.eliteprospects.com/player/689875/alex-huang</v>
      </c>
      <c r="K803" t="s">
        <v>27</v>
      </c>
      <c r="L803" t="s">
        <v>804</v>
      </c>
      <c r="M803" t="s">
        <v>1296</v>
      </c>
      <c r="N803">
        <v>3</v>
      </c>
      <c r="O803" t="s">
        <v>805</v>
      </c>
      <c r="P803">
        <v>0.13</v>
      </c>
      <c r="Q803" t="s">
        <v>1300</v>
      </c>
      <c r="R803">
        <v>30.8</v>
      </c>
      <c r="S803">
        <v>20.5</v>
      </c>
      <c r="T803">
        <v>10.3</v>
      </c>
      <c r="U803">
        <v>10.3</v>
      </c>
      <c r="V803">
        <v>28.2</v>
      </c>
    </row>
    <row r="804" spans="1:22" x14ac:dyDescent="0.25">
      <c r="A804" t="s">
        <v>2096</v>
      </c>
      <c r="B804" t="s">
        <v>832</v>
      </c>
      <c r="C804">
        <v>39</v>
      </c>
      <c r="D804" t="s">
        <v>32</v>
      </c>
      <c r="E804" t="s">
        <v>61</v>
      </c>
      <c r="F804" t="s">
        <v>518</v>
      </c>
      <c r="G804">
        <v>0.95</v>
      </c>
      <c r="H804" t="s">
        <v>47</v>
      </c>
      <c r="I804">
        <v>-13</v>
      </c>
      <c r="J804" t="str">
        <f>HYPERLINK("https://www.eliteprospects.com/player/577057/louis-alex-tremblay")</f>
        <v>https://www.eliteprospects.com/player/577057/louis-alex-tremblay</v>
      </c>
      <c r="K804" t="s">
        <v>27</v>
      </c>
      <c r="L804" t="s">
        <v>804</v>
      </c>
      <c r="M804" t="s">
        <v>1296</v>
      </c>
      <c r="N804">
        <v>3</v>
      </c>
      <c r="O804" t="s">
        <v>805</v>
      </c>
      <c r="P804">
        <v>0.11</v>
      </c>
      <c r="Q804" t="s">
        <v>1325</v>
      </c>
      <c r="R804">
        <v>27.3</v>
      </c>
      <c r="S804">
        <v>22.7</v>
      </c>
      <c r="T804">
        <v>27.3</v>
      </c>
      <c r="U804">
        <v>4.5</v>
      </c>
      <c r="V804">
        <v>18.2</v>
      </c>
    </row>
    <row r="805" spans="1:22" x14ac:dyDescent="0.25">
      <c r="A805" t="s">
        <v>2097</v>
      </c>
      <c r="B805" t="s">
        <v>818</v>
      </c>
      <c r="C805">
        <v>35</v>
      </c>
      <c r="D805" t="s">
        <v>57</v>
      </c>
      <c r="E805" t="s">
        <v>40</v>
      </c>
      <c r="F805" t="s">
        <v>280</v>
      </c>
      <c r="G805">
        <v>1.03</v>
      </c>
      <c r="H805" t="s">
        <v>265</v>
      </c>
      <c r="I805">
        <v>6</v>
      </c>
      <c r="J805" t="str">
        <f>HYPERLINK("https://www.eliteprospects.com/player/746649/xavier-villeneuve")</f>
        <v>https://www.eliteprospects.com/player/746649/xavier-villeneuve</v>
      </c>
      <c r="K805" t="s">
        <v>27</v>
      </c>
      <c r="L805" t="s">
        <v>804</v>
      </c>
      <c r="M805" t="s">
        <v>1296</v>
      </c>
      <c r="N805">
        <v>3</v>
      </c>
      <c r="O805" t="s">
        <v>805</v>
      </c>
      <c r="P805">
        <v>0.12</v>
      </c>
      <c r="Q805" t="s">
        <v>1300</v>
      </c>
      <c r="R805">
        <v>30.8</v>
      </c>
      <c r="S805">
        <v>20.5</v>
      </c>
      <c r="T805">
        <v>10.3</v>
      </c>
      <c r="U805">
        <v>10.3</v>
      </c>
      <c r="V805">
        <v>28.2</v>
      </c>
    </row>
    <row r="806" spans="1:22" x14ac:dyDescent="0.25">
      <c r="A806" t="s">
        <v>2098</v>
      </c>
      <c r="B806" t="s">
        <v>821</v>
      </c>
      <c r="C806">
        <v>38</v>
      </c>
      <c r="D806" t="s">
        <v>69</v>
      </c>
      <c r="E806" t="s">
        <v>47</v>
      </c>
      <c r="F806" t="s">
        <v>269</v>
      </c>
      <c r="G806">
        <v>0.87</v>
      </c>
      <c r="H806" t="s">
        <v>39</v>
      </c>
      <c r="I806">
        <v>-6</v>
      </c>
      <c r="J806" t="str">
        <f>HYPERLINK("https://www.eliteprospects.com/player/718482/marcus-kearsey")</f>
        <v>https://www.eliteprospects.com/player/718482/marcus-kearsey</v>
      </c>
      <c r="K806" t="s">
        <v>27</v>
      </c>
      <c r="L806" t="s">
        <v>804</v>
      </c>
      <c r="M806" t="s">
        <v>1296</v>
      </c>
      <c r="N806">
        <v>4</v>
      </c>
      <c r="O806" t="s">
        <v>809</v>
      </c>
      <c r="P806">
        <v>0.1</v>
      </c>
      <c r="Q806" t="s">
        <v>1325</v>
      </c>
      <c r="R806">
        <v>27.3</v>
      </c>
      <c r="S806">
        <v>22.7</v>
      </c>
      <c r="T806">
        <v>27.3</v>
      </c>
      <c r="U806">
        <v>4.5</v>
      </c>
      <c r="V806">
        <v>18.2</v>
      </c>
    </row>
    <row r="807" spans="1:22" x14ac:dyDescent="0.25">
      <c r="A807" t="s">
        <v>2099</v>
      </c>
      <c r="B807" t="s">
        <v>806</v>
      </c>
      <c r="C807">
        <v>38</v>
      </c>
      <c r="D807" t="s">
        <v>57</v>
      </c>
      <c r="E807" t="s">
        <v>61</v>
      </c>
      <c r="F807" t="s">
        <v>269</v>
      </c>
      <c r="G807">
        <v>0.87</v>
      </c>
      <c r="H807" t="s">
        <v>34</v>
      </c>
      <c r="I807">
        <v>2</v>
      </c>
      <c r="J807" t="str">
        <f>HYPERLINK("https://www.eliteprospects.com/player/597538/noah-laberge")</f>
        <v>https://www.eliteprospects.com/player/597538/noah-laberge</v>
      </c>
      <c r="K807" t="s">
        <v>27</v>
      </c>
      <c r="L807" t="s">
        <v>804</v>
      </c>
      <c r="M807" t="s">
        <v>1296</v>
      </c>
      <c r="N807">
        <v>3</v>
      </c>
      <c r="O807" t="s">
        <v>805</v>
      </c>
      <c r="P807">
        <v>0.1</v>
      </c>
      <c r="Q807" t="s">
        <v>1325</v>
      </c>
      <c r="R807">
        <v>27.3</v>
      </c>
      <c r="S807">
        <v>22.7</v>
      </c>
      <c r="T807">
        <v>27.3</v>
      </c>
      <c r="U807">
        <v>4.5</v>
      </c>
      <c r="V807">
        <v>18.2</v>
      </c>
    </row>
    <row r="808" spans="1:22" x14ac:dyDescent="0.25">
      <c r="A808" t="s">
        <v>2100</v>
      </c>
      <c r="B808" t="s">
        <v>823</v>
      </c>
      <c r="C808">
        <v>39</v>
      </c>
      <c r="D808" t="s">
        <v>69</v>
      </c>
      <c r="E808" t="s">
        <v>33</v>
      </c>
      <c r="F808" t="s">
        <v>25</v>
      </c>
      <c r="G808">
        <v>0.82</v>
      </c>
      <c r="H808" t="s">
        <v>52</v>
      </c>
      <c r="I808">
        <v>12</v>
      </c>
      <c r="J808" t="str">
        <f>HYPERLINK("https://www.eliteprospects.com/player/710730/cal-uens")</f>
        <v>https://www.eliteprospects.com/player/710730/cal-uens</v>
      </c>
      <c r="K808" t="s">
        <v>27</v>
      </c>
      <c r="L808" t="s">
        <v>804</v>
      </c>
      <c r="M808" t="s">
        <v>1296</v>
      </c>
      <c r="N808">
        <v>5</v>
      </c>
      <c r="O808" t="s">
        <v>620</v>
      </c>
      <c r="P808">
        <v>0.09</v>
      </c>
      <c r="Q808" t="s">
        <v>1325</v>
      </c>
      <c r="R808">
        <v>27.3</v>
      </c>
      <c r="S808">
        <v>22.7</v>
      </c>
      <c r="T808">
        <v>27.3</v>
      </c>
      <c r="U808">
        <v>4.5</v>
      </c>
      <c r="V808">
        <v>18.2</v>
      </c>
    </row>
    <row r="809" spans="1:22" x14ac:dyDescent="0.25">
      <c r="A809" t="s">
        <v>2101</v>
      </c>
      <c r="B809" t="s">
        <v>507</v>
      </c>
      <c r="C809">
        <v>31</v>
      </c>
      <c r="D809" t="s">
        <v>57</v>
      </c>
      <c r="E809" t="s">
        <v>47</v>
      </c>
      <c r="F809" t="s">
        <v>52</v>
      </c>
      <c r="G809">
        <v>0.9</v>
      </c>
      <c r="H809" t="s">
        <v>55</v>
      </c>
      <c r="I809">
        <v>9</v>
      </c>
      <c r="J809" t="str">
        <f>HYPERLINK("https://www.eliteprospects.com/player/610512/tomas-lavoie")</f>
        <v>https://www.eliteprospects.com/player/610512/tomas-lavoie</v>
      </c>
      <c r="K809" t="s">
        <v>27</v>
      </c>
      <c r="L809" t="s">
        <v>804</v>
      </c>
      <c r="M809" t="s">
        <v>1296</v>
      </c>
      <c r="N809">
        <v>4</v>
      </c>
      <c r="O809" t="s">
        <v>809</v>
      </c>
      <c r="P809">
        <v>0.1</v>
      </c>
      <c r="Q809" t="s">
        <v>1325</v>
      </c>
      <c r="R809">
        <v>27.3</v>
      </c>
      <c r="S809">
        <v>22.7</v>
      </c>
      <c r="T809">
        <v>27.3</v>
      </c>
      <c r="U809">
        <v>4.5</v>
      </c>
      <c r="V809">
        <v>18.2</v>
      </c>
    </row>
    <row r="810" spans="1:22" x14ac:dyDescent="0.25">
      <c r="A810" t="s">
        <v>2102</v>
      </c>
      <c r="B810" t="s">
        <v>507</v>
      </c>
      <c r="C810">
        <v>36</v>
      </c>
      <c r="D810" t="s">
        <v>32</v>
      </c>
      <c r="E810" t="s">
        <v>60</v>
      </c>
      <c r="F810" t="s">
        <v>61</v>
      </c>
      <c r="G810">
        <v>0.75</v>
      </c>
      <c r="H810" t="s">
        <v>187</v>
      </c>
      <c r="I810">
        <v>2</v>
      </c>
      <c r="J810" t="str">
        <f>HYPERLINK("https://www.eliteprospects.com/player/716098/evan-depatie")</f>
        <v>https://www.eliteprospects.com/player/716098/evan-depatie</v>
      </c>
      <c r="K810" t="s">
        <v>27</v>
      </c>
      <c r="L810" t="s">
        <v>804</v>
      </c>
      <c r="M810" t="s">
        <v>1296</v>
      </c>
      <c r="N810">
        <v>4</v>
      </c>
      <c r="O810" t="s">
        <v>809</v>
      </c>
      <c r="P810">
        <v>0.08</v>
      </c>
      <c r="Q810" t="s">
        <v>1325</v>
      </c>
      <c r="R810">
        <v>30</v>
      </c>
      <c r="S810">
        <v>25</v>
      </c>
      <c r="T810">
        <v>32.5</v>
      </c>
      <c r="U810">
        <v>5</v>
      </c>
      <c r="V810">
        <v>7.5</v>
      </c>
    </row>
    <row r="811" spans="1:22" x14ac:dyDescent="0.25">
      <c r="A811" t="s">
        <v>2103</v>
      </c>
      <c r="B811" t="s">
        <v>507</v>
      </c>
      <c r="C811">
        <v>33</v>
      </c>
      <c r="D811" t="s">
        <v>96</v>
      </c>
      <c r="E811" t="s">
        <v>47</v>
      </c>
      <c r="F811" t="s">
        <v>61</v>
      </c>
      <c r="G811">
        <v>0.82</v>
      </c>
      <c r="H811" t="s">
        <v>53</v>
      </c>
      <c r="I811">
        <v>5</v>
      </c>
      <c r="J811" t="str">
        <f>HYPERLINK("https://www.eliteprospects.com/player/599314/jordan-tourigny")</f>
        <v>https://www.eliteprospects.com/player/599314/jordan-tourigny</v>
      </c>
      <c r="K811" t="s">
        <v>27</v>
      </c>
      <c r="L811" t="s">
        <v>804</v>
      </c>
      <c r="M811" t="s">
        <v>1296</v>
      </c>
      <c r="N811">
        <v>5</v>
      </c>
      <c r="O811" t="s">
        <v>807</v>
      </c>
      <c r="P811">
        <v>0.09</v>
      </c>
      <c r="Q811" t="s">
        <v>1325</v>
      </c>
      <c r="R811">
        <v>27.3</v>
      </c>
      <c r="S811">
        <v>22.7</v>
      </c>
      <c r="T811">
        <v>27.3</v>
      </c>
      <c r="U811">
        <v>4.5</v>
      </c>
      <c r="V811">
        <v>18.2</v>
      </c>
    </row>
    <row r="812" spans="1:22" x14ac:dyDescent="0.25">
      <c r="A812" t="s">
        <v>2104</v>
      </c>
      <c r="B812" t="s">
        <v>507</v>
      </c>
      <c r="C812">
        <v>64</v>
      </c>
      <c r="D812" t="s">
        <v>57</v>
      </c>
      <c r="E812" t="s">
        <v>24</v>
      </c>
      <c r="F812" t="s">
        <v>125</v>
      </c>
      <c r="G812">
        <v>0.41</v>
      </c>
      <c r="H812" t="s">
        <v>81</v>
      </c>
      <c r="I812">
        <v>36</v>
      </c>
      <c r="J812" t="str">
        <f>HYPERLINK("https://www.eliteprospects.com/player/646882/xavier-daigle")</f>
        <v>https://www.eliteprospects.com/player/646882/xavier-daigle</v>
      </c>
      <c r="K812" t="s">
        <v>27</v>
      </c>
      <c r="L812" t="s">
        <v>804</v>
      </c>
      <c r="M812" t="s">
        <v>1296</v>
      </c>
      <c r="N812">
        <v>5</v>
      </c>
      <c r="O812" t="s">
        <v>807</v>
      </c>
      <c r="P812">
        <v>0.05</v>
      </c>
      <c r="Q812" t="s">
        <v>1325</v>
      </c>
      <c r="R812">
        <v>26.3</v>
      </c>
      <c r="S812">
        <v>23.7</v>
      </c>
      <c r="T812">
        <v>28.9</v>
      </c>
      <c r="U812">
        <v>5.3</v>
      </c>
      <c r="V812">
        <v>15.8</v>
      </c>
    </row>
    <row r="813" spans="1:22" x14ac:dyDescent="0.25">
      <c r="A813" t="s">
        <v>2105</v>
      </c>
      <c r="B813" t="s">
        <v>826</v>
      </c>
      <c r="C813">
        <v>40</v>
      </c>
      <c r="D813" t="s">
        <v>66</v>
      </c>
      <c r="E813" t="s">
        <v>33</v>
      </c>
      <c r="F813" t="s">
        <v>75</v>
      </c>
      <c r="G813">
        <v>0.63</v>
      </c>
      <c r="H813" t="s">
        <v>277</v>
      </c>
      <c r="I813">
        <v>11</v>
      </c>
      <c r="J813" t="str">
        <f>HYPERLINK("https://www.eliteprospects.com/player/597624/owen-keefe")</f>
        <v>https://www.eliteprospects.com/player/597624/owen-keefe</v>
      </c>
      <c r="K813" t="s">
        <v>27</v>
      </c>
      <c r="L813" t="s">
        <v>804</v>
      </c>
      <c r="M813" t="s">
        <v>1296</v>
      </c>
      <c r="N813">
        <v>1</v>
      </c>
      <c r="O813" t="s">
        <v>816</v>
      </c>
      <c r="P813">
        <v>7.0000000000000007E-2</v>
      </c>
      <c r="Q813" t="s">
        <v>1325</v>
      </c>
      <c r="R813">
        <v>30</v>
      </c>
      <c r="S813">
        <v>25</v>
      </c>
      <c r="T813">
        <v>32.5</v>
      </c>
      <c r="U813">
        <v>5</v>
      </c>
      <c r="V813">
        <v>7.5</v>
      </c>
    </row>
    <row r="814" spans="1:22" x14ac:dyDescent="0.25">
      <c r="A814" t="s">
        <v>2106</v>
      </c>
      <c r="B814" t="s">
        <v>812</v>
      </c>
      <c r="C814">
        <v>34</v>
      </c>
      <c r="D814" t="s">
        <v>57</v>
      </c>
      <c r="E814" t="s">
        <v>55</v>
      </c>
      <c r="F814" t="s">
        <v>81</v>
      </c>
      <c r="G814">
        <v>0.71</v>
      </c>
      <c r="H814" t="s">
        <v>65</v>
      </c>
      <c r="I814">
        <v>-6</v>
      </c>
      <c r="J814" t="str">
        <f>HYPERLINK("https://www.eliteprospects.com/player/763425/antoine-st-laurent")</f>
        <v>https://www.eliteprospects.com/player/763425/antoine-st-laurent</v>
      </c>
      <c r="K814" t="s">
        <v>27</v>
      </c>
      <c r="L814" t="s">
        <v>804</v>
      </c>
      <c r="M814" t="s">
        <v>1296</v>
      </c>
      <c r="N814">
        <v>2</v>
      </c>
      <c r="O814" t="s">
        <v>825</v>
      </c>
      <c r="P814">
        <v>0.08</v>
      </c>
      <c r="Q814" t="s">
        <v>1325</v>
      </c>
      <c r="R814">
        <v>30</v>
      </c>
      <c r="S814">
        <v>25</v>
      </c>
      <c r="T814">
        <v>32.5</v>
      </c>
      <c r="U814">
        <v>5</v>
      </c>
      <c r="V814">
        <v>7.5</v>
      </c>
    </row>
    <row r="815" spans="1:22" x14ac:dyDescent="0.25">
      <c r="A815" t="s">
        <v>2107</v>
      </c>
      <c r="B815" t="s">
        <v>811</v>
      </c>
      <c r="C815">
        <v>38</v>
      </c>
      <c r="D815" t="s">
        <v>66</v>
      </c>
      <c r="E815" t="s">
        <v>24</v>
      </c>
      <c r="F815" t="s">
        <v>81</v>
      </c>
      <c r="G815">
        <v>0.63</v>
      </c>
      <c r="H815" t="s">
        <v>32</v>
      </c>
      <c r="I815">
        <v>32</v>
      </c>
      <c r="J815" t="str">
        <f>HYPERLINK("https://www.eliteprospects.com/player/722857/felix-plamondon")</f>
        <v>https://www.eliteprospects.com/player/722857/felix-plamondon</v>
      </c>
      <c r="K815" t="s">
        <v>27</v>
      </c>
      <c r="L815" t="s">
        <v>804</v>
      </c>
      <c r="M815" t="s">
        <v>1296</v>
      </c>
      <c r="N815">
        <v>4</v>
      </c>
      <c r="O815" t="s">
        <v>809</v>
      </c>
      <c r="P815">
        <v>7.0000000000000007E-2</v>
      </c>
      <c r="Q815" t="s">
        <v>1325</v>
      </c>
      <c r="R815">
        <v>30</v>
      </c>
      <c r="S815">
        <v>25</v>
      </c>
      <c r="T815">
        <v>32.5</v>
      </c>
      <c r="U815">
        <v>5</v>
      </c>
      <c r="V815">
        <v>7.5</v>
      </c>
    </row>
    <row r="816" spans="1:22" x14ac:dyDescent="0.25">
      <c r="A816" t="s">
        <v>2108</v>
      </c>
      <c r="B816" t="s">
        <v>824</v>
      </c>
      <c r="C816">
        <v>38</v>
      </c>
      <c r="D816" t="s">
        <v>79</v>
      </c>
      <c r="E816" t="s">
        <v>47</v>
      </c>
      <c r="F816" t="s">
        <v>81</v>
      </c>
      <c r="G816">
        <v>0.63</v>
      </c>
      <c r="H816" t="s">
        <v>23</v>
      </c>
      <c r="I816">
        <v>2</v>
      </c>
      <c r="J816" t="str">
        <f>HYPERLINK("https://www.eliteprospects.com/player/712192/owen-phillips")</f>
        <v>https://www.eliteprospects.com/player/712192/owen-phillips</v>
      </c>
      <c r="K816" t="s">
        <v>27</v>
      </c>
      <c r="L816" t="s">
        <v>804</v>
      </c>
      <c r="M816" t="s">
        <v>1296</v>
      </c>
      <c r="N816">
        <v>4</v>
      </c>
      <c r="O816" t="s">
        <v>809</v>
      </c>
      <c r="P816">
        <v>7.0000000000000007E-2</v>
      </c>
      <c r="Q816" t="s">
        <v>1325</v>
      </c>
      <c r="R816">
        <v>30</v>
      </c>
      <c r="S816">
        <v>25</v>
      </c>
      <c r="T816">
        <v>32.5</v>
      </c>
      <c r="U816">
        <v>5</v>
      </c>
      <c r="V816">
        <v>7.5</v>
      </c>
    </row>
    <row r="817" spans="1:22" x14ac:dyDescent="0.25">
      <c r="A817" t="s">
        <v>2109</v>
      </c>
      <c r="B817" t="s">
        <v>803</v>
      </c>
      <c r="C817">
        <v>38</v>
      </c>
      <c r="D817" t="s">
        <v>260</v>
      </c>
      <c r="E817" t="s">
        <v>84</v>
      </c>
      <c r="F817" t="s">
        <v>81</v>
      </c>
      <c r="G817">
        <v>0.63</v>
      </c>
      <c r="H817" t="s">
        <v>39</v>
      </c>
      <c r="I817">
        <v>-6</v>
      </c>
      <c r="J817" t="str">
        <f>HYPERLINK("https://www.eliteprospects.com/player/870116/benjamin-cossette-ayotte")</f>
        <v>https://www.eliteprospects.com/player/870116/benjamin-cossette-ayotte</v>
      </c>
      <c r="K817" t="s">
        <v>27</v>
      </c>
      <c r="L817" t="s">
        <v>804</v>
      </c>
      <c r="M817" t="s">
        <v>1296</v>
      </c>
      <c r="N817">
        <v>2</v>
      </c>
      <c r="O817" t="s">
        <v>825</v>
      </c>
      <c r="P817">
        <v>7.0000000000000007E-2</v>
      </c>
      <c r="Q817" t="s">
        <v>1325</v>
      </c>
      <c r="R817">
        <v>30</v>
      </c>
      <c r="S817">
        <v>25</v>
      </c>
      <c r="T817">
        <v>32.5</v>
      </c>
      <c r="U817">
        <v>5</v>
      </c>
      <c r="V817">
        <v>7.5</v>
      </c>
    </row>
    <row r="818" spans="1:22" x14ac:dyDescent="0.25">
      <c r="A818" t="s">
        <v>2110</v>
      </c>
      <c r="B818" t="s">
        <v>808</v>
      </c>
      <c r="C818">
        <v>37</v>
      </c>
      <c r="D818" t="s">
        <v>78</v>
      </c>
      <c r="E818" t="s">
        <v>38</v>
      </c>
      <c r="F818" t="s">
        <v>84</v>
      </c>
      <c r="G818">
        <v>0.62</v>
      </c>
      <c r="H818" t="s">
        <v>26</v>
      </c>
      <c r="I818">
        <v>25</v>
      </c>
      <c r="J818" t="str">
        <f>HYPERLINK("https://www.eliteprospects.com/player/620205/peteris-bulans")</f>
        <v>https://www.eliteprospects.com/player/620205/peteris-bulans</v>
      </c>
      <c r="K818" t="s">
        <v>27</v>
      </c>
      <c r="L818" t="s">
        <v>804</v>
      </c>
      <c r="M818" t="s">
        <v>1296</v>
      </c>
      <c r="N818">
        <v>4</v>
      </c>
      <c r="O818" t="s">
        <v>809</v>
      </c>
      <c r="P818">
        <v>7.0000000000000007E-2</v>
      </c>
      <c r="Q818" t="s">
        <v>1325</v>
      </c>
      <c r="R818">
        <v>30</v>
      </c>
      <c r="S818">
        <v>25</v>
      </c>
      <c r="T818">
        <v>32.5</v>
      </c>
      <c r="U818">
        <v>5</v>
      </c>
      <c r="V818">
        <v>7.5</v>
      </c>
    </row>
    <row r="819" spans="1:22" x14ac:dyDescent="0.25">
      <c r="A819" t="s">
        <v>2111</v>
      </c>
      <c r="B819" t="s">
        <v>818</v>
      </c>
      <c r="C819">
        <v>39</v>
      </c>
      <c r="D819" t="s">
        <v>66</v>
      </c>
      <c r="E819" t="s">
        <v>55</v>
      </c>
      <c r="F819" t="s">
        <v>47</v>
      </c>
      <c r="G819">
        <v>0.56000000000000005</v>
      </c>
      <c r="H819" t="s">
        <v>47</v>
      </c>
      <c r="I819">
        <v>26</v>
      </c>
      <c r="J819" t="str">
        <f>HYPERLINK("https://www.eliteprospects.com/player/592903/theo-lemieux")</f>
        <v>https://www.eliteprospects.com/player/592903/theo-lemieux</v>
      </c>
      <c r="K819" t="s">
        <v>27</v>
      </c>
      <c r="L819" t="s">
        <v>804</v>
      </c>
      <c r="M819" t="s">
        <v>1296</v>
      </c>
      <c r="N819">
        <v>5</v>
      </c>
      <c r="O819" t="s">
        <v>807</v>
      </c>
      <c r="P819">
        <v>0.06</v>
      </c>
      <c r="Q819" t="s">
        <v>1325</v>
      </c>
      <c r="R819">
        <v>26.3</v>
      </c>
      <c r="S819">
        <v>23.7</v>
      </c>
      <c r="T819">
        <v>28.9</v>
      </c>
      <c r="U819">
        <v>5.3</v>
      </c>
      <c r="V819">
        <v>15.8</v>
      </c>
    </row>
    <row r="820" spans="1:22" x14ac:dyDescent="0.25">
      <c r="A820" t="s">
        <v>2112</v>
      </c>
      <c r="B820" t="s">
        <v>815</v>
      </c>
      <c r="C820">
        <v>35</v>
      </c>
      <c r="D820" t="s">
        <v>79</v>
      </c>
      <c r="E820" t="s">
        <v>24</v>
      </c>
      <c r="F820" t="s">
        <v>47</v>
      </c>
      <c r="G820">
        <v>0.63</v>
      </c>
      <c r="H820" t="s">
        <v>57</v>
      </c>
      <c r="I820">
        <v>-2</v>
      </c>
      <c r="J820" t="str">
        <f>HYPERLINK("https://www.eliteprospects.com/player/721275/matheo-lepage")</f>
        <v>https://www.eliteprospects.com/player/721275/matheo-lepage</v>
      </c>
      <c r="K820" t="s">
        <v>27</v>
      </c>
      <c r="L820" t="s">
        <v>804</v>
      </c>
      <c r="M820" t="s">
        <v>1296</v>
      </c>
      <c r="N820">
        <v>2</v>
      </c>
      <c r="O820" t="s">
        <v>825</v>
      </c>
      <c r="P820">
        <v>7.0000000000000007E-2</v>
      </c>
      <c r="Q820" t="s">
        <v>1325</v>
      </c>
      <c r="R820">
        <v>30</v>
      </c>
      <c r="S820">
        <v>25</v>
      </c>
      <c r="T820">
        <v>32.5</v>
      </c>
      <c r="U820">
        <v>5</v>
      </c>
      <c r="V820">
        <v>7.5</v>
      </c>
    </row>
    <row r="821" spans="1:22" x14ac:dyDescent="0.25">
      <c r="A821" t="s">
        <v>2113</v>
      </c>
      <c r="B821" t="s">
        <v>828</v>
      </c>
      <c r="C821">
        <v>37</v>
      </c>
      <c r="D821" t="s">
        <v>45</v>
      </c>
      <c r="E821" t="s">
        <v>23</v>
      </c>
      <c r="F821" t="s">
        <v>33</v>
      </c>
      <c r="G821">
        <v>0.56999999999999995</v>
      </c>
      <c r="H821" t="s">
        <v>24</v>
      </c>
      <c r="I821">
        <v>-21</v>
      </c>
      <c r="J821" t="str">
        <f>HYPERLINK("https://www.eliteprospects.com/player/893556/everett-baldwin")</f>
        <v>https://www.eliteprospects.com/player/893556/everett-baldwin</v>
      </c>
      <c r="K821" t="s">
        <v>27</v>
      </c>
      <c r="L821" t="s">
        <v>804</v>
      </c>
      <c r="M821" t="s">
        <v>1296</v>
      </c>
      <c r="N821">
        <v>1</v>
      </c>
      <c r="O821" t="s">
        <v>816</v>
      </c>
      <c r="P821">
        <v>0.06</v>
      </c>
      <c r="Q821" t="s">
        <v>1325</v>
      </c>
      <c r="R821">
        <v>26.3</v>
      </c>
      <c r="S821">
        <v>23.7</v>
      </c>
      <c r="T821">
        <v>28.9</v>
      </c>
      <c r="U821">
        <v>5.3</v>
      </c>
      <c r="V821">
        <v>15.8</v>
      </c>
    </row>
    <row r="822" spans="1:22" x14ac:dyDescent="0.25">
      <c r="A822" t="s">
        <v>2114</v>
      </c>
      <c r="B822" t="s">
        <v>828</v>
      </c>
      <c r="C822">
        <v>35</v>
      </c>
      <c r="D822" t="s">
        <v>96</v>
      </c>
      <c r="E822" t="s">
        <v>41</v>
      </c>
      <c r="F822" t="s">
        <v>24</v>
      </c>
      <c r="G822">
        <v>0.56999999999999995</v>
      </c>
      <c r="H822" t="s">
        <v>66</v>
      </c>
      <c r="I822">
        <v>-1</v>
      </c>
      <c r="J822" t="str">
        <f>HYPERLINK("https://www.eliteprospects.com/player/878286/olivier-duhamel")</f>
        <v>https://www.eliteprospects.com/player/878286/olivier-duhamel</v>
      </c>
      <c r="K822" t="s">
        <v>27</v>
      </c>
      <c r="L822" t="s">
        <v>804</v>
      </c>
      <c r="M822" t="s">
        <v>1296</v>
      </c>
      <c r="N822">
        <v>3</v>
      </c>
      <c r="O822" t="s">
        <v>805</v>
      </c>
      <c r="P822">
        <v>0.06</v>
      </c>
      <c r="Q822" t="s">
        <v>1325</v>
      </c>
      <c r="R822">
        <v>26.3</v>
      </c>
      <c r="S822">
        <v>23.7</v>
      </c>
      <c r="T822">
        <v>28.9</v>
      </c>
      <c r="U822">
        <v>5.3</v>
      </c>
      <c r="V822">
        <v>15.8</v>
      </c>
    </row>
    <row r="823" spans="1:22" x14ac:dyDescent="0.25">
      <c r="A823" t="s">
        <v>2115</v>
      </c>
      <c r="B823" t="s">
        <v>820</v>
      </c>
      <c r="C823">
        <v>38</v>
      </c>
      <c r="D823" t="s">
        <v>140</v>
      </c>
      <c r="E823" t="s">
        <v>60</v>
      </c>
      <c r="F823" t="s">
        <v>24</v>
      </c>
      <c r="G823">
        <v>0.53</v>
      </c>
      <c r="H823" t="s">
        <v>23</v>
      </c>
      <c r="I823">
        <v>35</v>
      </c>
      <c r="J823" t="str">
        <f>HYPERLINK("https://www.eliteprospects.com/player/597537/adam-fortier-gendron")</f>
        <v>https://www.eliteprospects.com/player/597537/adam-fortier-gendron</v>
      </c>
      <c r="K823" t="s">
        <v>27</v>
      </c>
      <c r="L823" t="s">
        <v>804</v>
      </c>
      <c r="M823" t="s">
        <v>1296</v>
      </c>
      <c r="N823">
        <v>4</v>
      </c>
      <c r="O823" t="s">
        <v>809</v>
      </c>
      <c r="P823">
        <v>0.06</v>
      </c>
      <c r="Q823" t="s">
        <v>1325</v>
      </c>
      <c r="R823">
        <v>26.3</v>
      </c>
      <c r="S823">
        <v>23.7</v>
      </c>
      <c r="T823">
        <v>28.9</v>
      </c>
      <c r="U823">
        <v>5.3</v>
      </c>
      <c r="V823">
        <v>15.8</v>
      </c>
    </row>
    <row r="824" spans="1:22" x14ac:dyDescent="0.25">
      <c r="A824" t="s">
        <v>2116</v>
      </c>
      <c r="B824" t="s">
        <v>865</v>
      </c>
      <c r="C824">
        <v>40</v>
      </c>
      <c r="D824" t="s">
        <v>66</v>
      </c>
      <c r="E824" t="s">
        <v>39</v>
      </c>
      <c r="F824" t="s">
        <v>55</v>
      </c>
      <c r="G824">
        <v>0.45</v>
      </c>
      <c r="H824" t="s">
        <v>66</v>
      </c>
      <c r="I824">
        <v>-5</v>
      </c>
      <c r="J824" t="str">
        <f>HYPERLINK("https://www.eliteprospects.com/player/714709/mattias-gilbert")</f>
        <v>https://www.eliteprospects.com/player/714709/mattias-gilbert</v>
      </c>
      <c r="K824" t="s">
        <v>27</v>
      </c>
      <c r="L824" t="s">
        <v>804</v>
      </c>
      <c r="M824" t="s">
        <v>1296</v>
      </c>
      <c r="N824">
        <v>4</v>
      </c>
      <c r="O824" t="s">
        <v>809</v>
      </c>
      <c r="P824">
        <v>0.05</v>
      </c>
      <c r="Q824" t="s">
        <v>1325</v>
      </c>
      <c r="R824">
        <v>26.3</v>
      </c>
      <c r="S824">
        <v>23.7</v>
      </c>
      <c r="T824">
        <v>28.9</v>
      </c>
      <c r="U824">
        <v>5.3</v>
      </c>
      <c r="V824">
        <v>15.8</v>
      </c>
    </row>
    <row r="825" spans="1:22" x14ac:dyDescent="0.25">
      <c r="A825" t="s">
        <v>2117</v>
      </c>
      <c r="B825" t="s">
        <v>803</v>
      </c>
      <c r="C825">
        <v>39</v>
      </c>
      <c r="D825" t="s">
        <v>140</v>
      </c>
      <c r="E825" t="s">
        <v>41</v>
      </c>
      <c r="F825" t="s">
        <v>55</v>
      </c>
      <c r="G825">
        <v>0.46</v>
      </c>
      <c r="H825" t="s">
        <v>23</v>
      </c>
      <c r="I825">
        <v>-12</v>
      </c>
      <c r="J825" t="str">
        <f>HYPERLINK("https://www.eliteprospects.com/player/661400/anthony-pare")</f>
        <v>https://www.eliteprospects.com/player/661400/anthony-pare</v>
      </c>
      <c r="K825" t="s">
        <v>27</v>
      </c>
      <c r="L825" t="s">
        <v>804</v>
      </c>
      <c r="M825" t="s">
        <v>1296</v>
      </c>
      <c r="N825">
        <v>4</v>
      </c>
      <c r="O825" t="s">
        <v>809</v>
      </c>
      <c r="P825">
        <v>0.05</v>
      </c>
      <c r="Q825" t="s">
        <v>1325</v>
      </c>
      <c r="R825">
        <v>26.3</v>
      </c>
      <c r="S825">
        <v>23.7</v>
      </c>
      <c r="T825">
        <v>28.9</v>
      </c>
      <c r="U825">
        <v>5.3</v>
      </c>
      <c r="V825">
        <v>15.8</v>
      </c>
    </row>
    <row r="826" spans="1:22" x14ac:dyDescent="0.25">
      <c r="A826" t="s">
        <v>2118</v>
      </c>
      <c r="B826" t="s">
        <v>821</v>
      </c>
      <c r="C826">
        <v>38</v>
      </c>
      <c r="D826" t="s">
        <v>260</v>
      </c>
      <c r="E826" t="s">
        <v>60</v>
      </c>
      <c r="F826" t="s">
        <v>55</v>
      </c>
      <c r="G826">
        <v>0.47</v>
      </c>
      <c r="H826" t="s">
        <v>26</v>
      </c>
      <c r="I826">
        <v>2</v>
      </c>
      <c r="J826" t="str">
        <f>HYPERLINK("https://www.eliteprospects.com/player/803922/owen-conrad")</f>
        <v>https://www.eliteprospects.com/player/803922/owen-conrad</v>
      </c>
      <c r="K826" t="s">
        <v>27</v>
      </c>
      <c r="L826" t="s">
        <v>804</v>
      </c>
      <c r="M826" t="s">
        <v>1296</v>
      </c>
      <c r="N826">
        <v>3</v>
      </c>
      <c r="O826" t="s">
        <v>805</v>
      </c>
      <c r="P826">
        <v>0.05</v>
      </c>
      <c r="Q826" t="s">
        <v>1325</v>
      </c>
      <c r="R826">
        <v>26.3</v>
      </c>
      <c r="S826">
        <v>23.7</v>
      </c>
      <c r="T826">
        <v>28.9</v>
      </c>
      <c r="U826">
        <v>5.3</v>
      </c>
      <c r="V826">
        <v>15.8</v>
      </c>
    </row>
    <row r="827" spans="1:22" x14ac:dyDescent="0.25">
      <c r="A827" t="s">
        <v>2119</v>
      </c>
      <c r="B827" t="s">
        <v>811</v>
      </c>
      <c r="C827">
        <v>33</v>
      </c>
      <c r="D827" t="s">
        <v>96</v>
      </c>
      <c r="E827" t="s">
        <v>23</v>
      </c>
      <c r="F827" t="s">
        <v>60</v>
      </c>
      <c r="G827">
        <v>0.52</v>
      </c>
      <c r="H827" t="s">
        <v>55</v>
      </c>
      <c r="I827">
        <v>13</v>
      </c>
      <c r="J827" t="str">
        <f>HYPERLINK("https://www.eliteprospects.com/player/722856/mathieu-plante")</f>
        <v>https://www.eliteprospects.com/player/722856/mathieu-plante</v>
      </c>
      <c r="K827" t="s">
        <v>27</v>
      </c>
      <c r="L827" t="s">
        <v>804</v>
      </c>
      <c r="M827" t="s">
        <v>1296</v>
      </c>
      <c r="N827">
        <v>3</v>
      </c>
      <c r="O827" t="s">
        <v>805</v>
      </c>
      <c r="P827">
        <v>0.06</v>
      </c>
      <c r="Q827" t="s">
        <v>1325</v>
      </c>
      <c r="R827">
        <v>26.3</v>
      </c>
      <c r="S827">
        <v>23.7</v>
      </c>
      <c r="T827">
        <v>28.9</v>
      </c>
      <c r="U827">
        <v>5.3</v>
      </c>
      <c r="V827">
        <v>15.8</v>
      </c>
    </row>
    <row r="828" spans="1:22" x14ac:dyDescent="0.25">
      <c r="A828" t="s">
        <v>2120</v>
      </c>
      <c r="B828" t="s">
        <v>823</v>
      </c>
      <c r="C828">
        <v>28</v>
      </c>
      <c r="D828" t="s">
        <v>79</v>
      </c>
      <c r="E828" t="s">
        <v>41</v>
      </c>
      <c r="F828" t="s">
        <v>60</v>
      </c>
      <c r="G828">
        <v>0.61</v>
      </c>
      <c r="H828" t="s">
        <v>41</v>
      </c>
      <c r="I828">
        <v>6</v>
      </c>
      <c r="J828" t="str">
        <f>HYPERLINK("https://www.eliteprospects.com/player/747957/alexandre-taillefer")</f>
        <v>https://www.eliteprospects.com/player/747957/alexandre-taillefer</v>
      </c>
      <c r="K828" t="s">
        <v>27</v>
      </c>
      <c r="L828" t="s">
        <v>804</v>
      </c>
      <c r="M828" t="s">
        <v>1296</v>
      </c>
      <c r="N828">
        <v>2</v>
      </c>
      <c r="O828" t="s">
        <v>825</v>
      </c>
      <c r="P828">
        <v>7.0000000000000007E-2</v>
      </c>
      <c r="Q828" t="s">
        <v>1325</v>
      </c>
      <c r="R828">
        <v>30</v>
      </c>
      <c r="S828">
        <v>25</v>
      </c>
      <c r="T828">
        <v>32.5</v>
      </c>
      <c r="U828">
        <v>5</v>
      </c>
      <c r="V828">
        <v>7.5</v>
      </c>
    </row>
    <row r="829" spans="1:22" x14ac:dyDescent="0.25">
      <c r="A829" t="s">
        <v>2121</v>
      </c>
      <c r="B829" t="s">
        <v>507</v>
      </c>
      <c r="C829">
        <v>32</v>
      </c>
      <c r="D829" t="s">
        <v>260</v>
      </c>
      <c r="E829" t="s">
        <v>38</v>
      </c>
      <c r="F829" t="s">
        <v>60</v>
      </c>
      <c r="G829">
        <v>0.53</v>
      </c>
      <c r="H829" t="s">
        <v>125</v>
      </c>
      <c r="I829">
        <v>-17</v>
      </c>
      <c r="J829" t="str">
        <f>HYPERLINK("https://www.eliteprospects.com/player/843589/jan-golicic")</f>
        <v>https://www.eliteprospects.com/player/843589/jan-golicic</v>
      </c>
      <c r="K829" t="s">
        <v>27</v>
      </c>
      <c r="L829" t="s">
        <v>804</v>
      </c>
      <c r="M829" t="s">
        <v>1296</v>
      </c>
      <c r="N829">
        <v>3</v>
      </c>
      <c r="O829" t="s">
        <v>805</v>
      </c>
      <c r="P829">
        <v>0.06</v>
      </c>
      <c r="Q829" t="s">
        <v>1325</v>
      </c>
      <c r="R829">
        <v>26.3</v>
      </c>
      <c r="S829">
        <v>23.7</v>
      </c>
      <c r="T829">
        <v>28.9</v>
      </c>
      <c r="U829">
        <v>5.3</v>
      </c>
      <c r="V829">
        <v>15.8</v>
      </c>
    </row>
    <row r="830" spans="1:22" x14ac:dyDescent="0.25">
      <c r="A830" t="s">
        <v>2122</v>
      </c>
      <c r="B830" t="s">
        <v>815</v>
      </c>
      <c r="C830">
        <v>34</v>
      </c>
      <c r="D830" t="s">
        <v>260</v>
      </c>
      <c r="E830" t="s">
        <v>38</v>
      </c>
      <c r="F830" t="s">
        <v>60</v>
      </c>
      <c r="G830">
        <v>0.5</v>
      </c>
      <c r="H830" t="s">
        <v>269</v>
      </c>
      <c r="I830">
        <v>-8</v>
      </c>
      <c r="J830" t="str">
        <f>HYPERLINK("https://www.eliteprospects.com/player/660791/simon-pier-brunet")</f>
        <v>https://www.eliteprospects.com/player/660791/simon-pier-brunet</v>
      </c>
      <c r="K830" t="s">
        <v>27</v>
      </c>
      <c r="L830" t="s">
        <v>804</v>
      </c>
      <c r="M830" t="s">
        <v>1296</v>
      </c>
      <c r="N830">
        <v>5</v>
      </c>
      <c r="O830" t="s">
        <v>807</v>
      </c>
      <c r="P830">
        <v>0.06</v>
      </c>
      <c r="Q830" t="s">
        <v>1325</v>
      </c>
      <c r="R830">
        <v>26.3</v>
      </c>
      <c r="S830">
        <v>23.7</v>
      </c>
      <c r="T830">
        <v>28.9</v>
      </c>
      <c r="U830">
        <v>5.3</v>
      </c>
      <c r="V830">
        <v>15.8</v>
      </c>
    </row>
    <row r="831" spans="1:22" x14ac:dyDescent="0.25">
      <c r="A831" t="s">
        <v>2123</v>
      </c>
      <c r="B831" t="s">
        <v>811</v>
      </c>
      <c r="C831">
        <v>32</v>
      </c>
      <c r="D831" t="s">
        <v>66</v>
      </c>
      <c r="E831" t="s">
        <v>23</v>
      </c>
      <c r="F831" t="s">
        <v>38</v>
      </c>
      <c r="G831">
        <v>0.5</v>
      </c>
      <c r="H831" t="s">
        <v>46</v>
      </c>
      <c r="I831">
        <v>7</v>
      </c>
      <c r="J831" t="str">
        <f>HYPERLINK("https://www.eliteprospects.com/player/759417/noah-mckinnon")</f>
        <v>https://www.eliteprospects.com/player/759417/noah-mckinnon</v>
      </c>
      <c r="K831" t="s">
        <v>27</v>
      </c>
      <c r="L831" t="s">
        <v>804</v>
      </c>
      <c r="M831" t="s">
        <v>1296</v>
      </c>
      <c r="N831">
        <v>3</v>
      </c>
      <c r="O831" t="s">
        <v>805</v>
      </c>
      <c r="P831">
        <v>0.06</v>
      </c>
      <c r="Q831" t="s">
        <v>1325</v>
      </c>
      <c r="R831">
        <v>26.3</v>
      </c>
      <c r="S831">
        <v>23.7</v>
      </c>
      <c r="T831">
        <v>28.9</v>
      </c>
      <c r="U831">
        <v>5.3</v>
      </c>
      <c r="V831">
        <v>15.8</v>
      </c>
    </row>
    <row r="832" spans="1:22" x14ac:dyDescent="0.25">
      <c r="A832" t="s">
        <v>2124</v>
      </c>
      <c r="B832" t="s">
        <v>808</v>
      </c>
      <c r="C832">
        <v>39</v>
      </c>
      <c r="D832" t="s">
        <v>79</v>
      </c>
      <c r="E832" t="s">
        <v>39</v>
      </c>
      <c r="F832" t="s">
        <v>38</v>
      </c>
      <c r="G832">
        <v>0.41</v>
      </c>
      <c r="H832" t="s">
        <v>47</v>
      </c>
      <c r="I832">
        <v>21</v>
      </c>
      <c r="J832" t="str">
        <f>HYPERLINK("https://www.eliteprospects.com/player/577050/alonso-gosselin")</f>
        <v>https://www.eliteprospects.com/player/577050/alonso-gosselin</v>
      </c>
      <c r="K832" t="s">
        <v>27</v>
      </c>
      <c r="L832" t="s">
        <v>804</v>
      </c>
      <c r="M832" t="s">
        <v>1296</v>
      </c>
      <c r="N832">
        <v>3</v>
      </c>
      <c r="O832" t="s">
        <v>805</v>
      </c>
      <c r="P832">
        <v>0.05</v>
      </c>
      <c r="Q832" t="s">
        <v>1325</v>
      </c>
      <c r="R832">
        <v>26.3</v>
      </c>
      <c r="S832">
        <v>23.7</v>
      </c>
      <c r="T832">
        <v>28.9</v>
      </c>
      <c r="U832">
        <v>5.3</v>
      </c>
      <c r="V832">
        <v>15.8</v>
      </c>
    </row>
    <row r="833" spans="1:22" x14ac:dyDescent="0.25">
      <c r="A833" t="s">
        <v>2125</v>
      </c>
      <c r="B833" t="s">
        <v>808</v>
      </c>
      <c r="C833">
        <v>39</v>
      </c>
      <c r="D833" t="s">
        <v>78</v>
      </c>
      <c r="E833" t="s">
        <v>26</v>
      </c>
      <c r="F833" t="s">
        <v>41</v>
      </c>
      <c r="G833">
        <v>0.38</v>
      </c>
      <c r="H833" t="s">
        <v>61</v>
      </c>
      <c r="I833">
        <v>15</v>
      </c>
      <c r="J833" t="str">
        <f>HYPERLINK("https://www.eliteprospects.com/player/720898/alexandre-desmarais")</f>
        <v>https://www.eliteprospects.com/player/720898/alexandre-desmarais</v>
      </c>
      <c r="K833" t="s">
        <v>27</v>
      </c>
      <c r="L833" t="s">
        <v>804</v>
      </c>
      <c r="M833" t="s">
        <v>1296</v>
      </c>
      <c r="N833">
        <v>3</v>
      </c>
      <c r="O833" t="s">
        <v>805</v>
      </c>
      <c r="P833">
        <v>0.04</v>
      </c>
      <c r="Q833" t="s">
        <v>245</v>
      </c>
      <c r="R833">
        <v>28.6</v>
      </c>
      <c r="S833">
        <v>31.4</v>
      </c>
      <c r="T833">
        <v>28.6</v>
      </c>
      <c r="U833">
        <v>4.3</v>
      </c>
      <c r="V833">
        <v>7.1</v>
      </c>
    </row>
    <row r="834" spans="1:22" x14ac:dyDescent="0.25">
      <c r="A834" t="s">
        <v>2126</v>
      </c>
      <c r="B834" t="s">
        <v>826</v>
      </c>
      <c r="C834">
        <v>31</v>
      </c>
      <c r="D834" t="s">
        <v>96</v>
      </c>
      <c r="E834" t="s">
        <v>32</v>
      </c>
      <c r="F834" t="s">
        <v>41</v>
      </c>
      <c r="G834">
        <v>0.48</v>
      </c>
      <c r="H834" t="s">
        <v>66</v>
      </c>
      <c r="I834">
        <v>12</v>
      </c>
      <c r="J834" t="str">
        <f>HYPERLINK("https://www.eliteprospects.com/player/892667/xavier-cormier")</f>
        <v>https://www.eliteprospects.com/player/892667/xavier-cormier</v>
      </c>
      <c r="K834" t="s">
        <v>27</v>
      </c>
      <c r="L834" t="s">
        <v>804</v>
      </c>
      <c r="M834" t="s">
        <v>1296</v>
      </c>
      <c r="N834">
        <v>1</v>
      </c>
      <c r="O834" t="s">
        <v>816</v>
      </c>
      <c r="P834">
        <v>0.05</v>
      </c>
      <c r="Q834" t="s">
        <v>1325</v>
      </c>
      <c r="R834">
        <v>26.3</v>
      </c>
      <c r="S834">
        <v>23.7</v>
      </c>
      <c r="T834">
        <v>28.9</v>
      </c>
      <c r="U834">
        <v>5.3</v>
      </c>
      <c r="V834">
        <v>15.8</v>
      </c>
    </row>
    <row r="835" spans="1:22" x14ac:dyDescent="0.25">
      <c r="A835" t="s">
        <v>2127</v>
      </c>
      <c r="B835" t="s">
        <v>820</v>
      </c>
      <c r="C835">
        <v>38</v>
      </c>
      <c r="D835" t="s">
        <v>66</v>
      </c>
      <c r="E835" t="s">
        <v>69</v>
      </c>
      <c r="F835" t="s">
        <v>41</v>
      </c>
      <c r="G835">
        <v>0.39</v>
      </c>
      <c r="H835" t="s">
        <v>178</v>
      </c>
      <c r="I835">
        <v>14</v>
      </c>
      <c r="J835" t="str">
        <f>HYPERLINK("https://www.eliteprospects.com/player/597693/matthew-virgilio")</f>
        <v>https://www.eliteprospects.com/player/597693/matthew-virgilio</v>
      </c>
      <c r="K835" t="s">
        <v>27</v>
      </c>
      <c r="L835" t="s">
        <v>804</v>
      </c>
      <c r="M835" t="s">
        <v>1296</v>
      </c>
      <c r="N835">
        <v>4</v>
      </c>
      <c r="O835" t="s">
        <v>2128</v>
      </c>
      <c r="P835">
        <v>0.04</v>
      </c>
      <c r="Q835" t="s">
        <v>245</v>
      </c>
      <c r="R835">
        <v>28.6</v>
      </c>
      <c r="S835">
        <v>31.4</v>
      </c>
      <c r="T835">
        <v>28.6</v>
      </c>
      <c r="U835">
        <v>4.3</v>
      </c>
      <c r="V835">
        <v>7.1</v>
      </c>
    </row>
    <row r="836" spans="1:22" x14ac:dyDescent="0.25">
      <c r="A836" t="s">
        <v>2129</v>
      </c>
      <c r="B836" t="s">
        <v>822</v>
      </c>
      <c r="C836">
        <v>40</v>
      </c>
      <c r="D836" t="s">
        <v>66</v>
      </c>
      <c r="E836" t="s">
        <v>69</v>
      </c>
      <c r="F836" t="s">
        <v>41</v>
      </c>
      <c r="G836">
        <v>0.38</v>
      </c>
      <c r="H836" t="s">
        <v>26</v>
      </c>
      <c r="I836">
        <v>9</v>
      </c>
      <c r="J836" t="str">
        <f>HYPERLINK("https://www.eliteprospects.com/player/679623/noah-jettelson")</f>
        <v>https://www.eliteprospects.com/player/679623/noah-jettelson</v>
      </c>
      <c r="K836" t="s">
        <v>27</v>
      </c>
      <c r="L836" t="s">
        <v>804</v>
      </c>
      <c r="M836" t="s">
        <v>1296</v>
      </c>
      <c r="N836">
        <v>1</v>
      </c>
      <c r="O836" t="s">
        <v>816</v>
      </c>
      <c r="P836">
        <v>0.04</v>
      </c>
      <c r="Q836" t="s">
        <v>245</v>
      </c>
      <c r="R836">
        <v>28.6</v>
      </c>
      <c r="S836">
        <v>31.4</v>
      </c>
      <c r="T836">
        <v>28.6</v>
      </c>
      <c r="U836">
        <v>4.3</v>
      </c>
      <c r="V836">
        <v>7.1</v>
      </c>
    </row>
    <row r="837" spans="1:22" x14ac:dyDescent="0.25">
      <c r="A837" t="s">
        <v>2130</v>
      </c>
      <c r="B837" t="s">
        <v>823</v>
      </c>
      <c r="C837">
        <v>39</v>
      </c>
      <c r="D837" t="s">
        <v>140</v>
      </c>
      <c r="E837" t="s">
        <v>23</v>
      </c>
      <c r="F837" t="s">
        <v>41</v>
      </c>
      <c r="G837">
        <v>0.38</v>
      </c>
      <c r="H837" t="s">
        <v>60</v>
      </c>
      <c r="I837">
        <v>19</v>
      </c>
      <c r="J837" t="str">
        <f>HYPERLINK("https://www.eliteprospects.com/player/727836/etienne-desjardins")</f>
        <v>https://www.eliteprospects.com/player/727836/etienne-desjardins</v>
      </c>
      <c r="K837" t="s">
        <v>27</v>
      </c>
      <c r="L837" t="s">
        <v>804</v>
      </c>
      <c r="M837" t="s">
        <v>1296</v>
      </c>
      <c r="N837">
        <v>4</v>
      </c>
      <c r="O837" t="s">
        <v>809</v>
      </c>
      <c r="P837">
        <v>0.04</v>
      </c>
      <c r="Q837" t="s">
        <v>245</v>
      </c>
      <c r="R837">
        <v>28.6</v>
      </c>
      <c r="S837">
        <v>31.4</v>
      </c>
      <c r="T837">
        <v>28.6</v>
      </c>
      <c r="U837">
        <v>4.3</v>
      </c>
      <c r="V837">
        <v>7.1</v>
      </c>
    </row>
    <row r="838" spans="1:22" x14ac:dyDescent="0.25">
      <c r="A838" t="s">
        <v>2131</v>
      </c>
      <c r="B838" t="s">
        <v>824</v>
      </c>
      <c r="C838">
        <v>27</v>
      </c>
      <c r="D838" t="s">
        <v>79</v>
      </c>
      <c r="E838" t="s">
        <v>65</v>
      </c>
      <c r="F838" t="s">
        <v>41</v>
      </c>
      <c r="G838">
        <v>0.56000000000000005</v>
      </c>
      <c r="H838" t="s">
        <v>23</v>
      </c>
      <c r="I838">
        <v>-10</v>
      </c>
      <c r="J838" t="str">
        <f>HYPERLINK("https://www.eliteprospects.com/player/872615/carlos-handel")</f>
        <v>https://www.eliteprospects.com/player/872615/carlos-handel</v>
      </c>
      <c r="K838" t="s">
        <v>27</v>
      </c>
      <c r="L838" t="s">
        <v>804</v>
      </c>
      <c r="M838" t="s">
        <v>1296</v>
      </c>
      <c r="N838">
        <v>2</v>
      </c>
      <c r="O838" t="s">
        <v>825</v>
      </c>
      <c r="P838">
        <v>0.06</v>
      </c>
      <c r="Q838" t="s">
        <v>1325</v>
      </c>
      <c r="R838">
        <v>26.3</v>
      </c>
      <c r="S838">
        <v>23.7</v>
      </c>
      <c r="T838">
        <v>28.9</v>
      </c>
      <c r="U838">
        <v>5.3</v>
      </c>
      <c r="V838">
        <v>15.8</v>
      </c>
    </row>
    <row r="839" spans="1:22" x14ac:dyDescent="0.25">
      <c r="A839" t="s">
        <v>2132</v>
      </c>
      <c r="B839" t="s">
        <v>806</v>
      </c>
      <c r="C839">
        <v>38</v>
      </c>
      <c r="D839" t="s">
        <v>79</v>
      </c>
      <c r="E839" t="s">
        <v>65</v>
      </c>
      <c r="F839" t="s">
        <v>41</v>
      </c>
      <c r="G839">
        <v>0.39</v>
      </c>
      <c r="H839" t="s">
        <v>544</v>
      </c>
      <c r="I839">
        <v>15</v>
      </c>
      <c r="J839" t="str">
        <f>HYPERLINK("https://www.eliteprospects.com/player/876161/will-reynolds")</f>
        <v>https://www.eliteprospects.com/player/876161/will-reynolds</v>
      </c>
      <c r="K839" t="s">
        <v>27</v>
      </c>
      <c r="L839" t="s">
        <v>804</v>
      </c>
      <c r="M839" t="s">
        <v>1296</v>
      </c>
      <c r="N839">
        <v>3</v>
      </c>
      <c r="O839" t="s">
        <v>805</v>
      </c>
      <c r="P839">
        <v>0.04</v>
      </c>
      <c r="Q839" t="s">
        <v>245</v>
      </c>
      <c r="R839">
        <v>28.6</v>
      </c>
      <c r="S839">
        <v>31.4</v>
      </c>
      <c r="T839">
        <v>28.6</v>
      </c>
      <c r="U839">
        <v>4.3</v>
      </c>
      <c r="V839">
        <v>7.1</v>
      </c>
    </row>
    <row r="840" spans="1:22" x14ac:dyDescent="0.25">
      <c r="A840" t="s">
        <v>2133</v>
      </c>
      <c r="B840" t="s">
        <v>806</v>
      </c>
      <c r="C840">
        <v>40</v>
      </c>
      <c r="D840" t="s">
        <v>66</v>
      </c>
      <c r="E840" t="s">
        <v>32</v>
      </c>
      <c r="F840" t="s">
        <v>39</v>
      </c>
      <c r="G840">
        <v>0.35</v>
      </c>
      <c r="H840" t="s">
        <v>24</v>
      </c>
      <c r="I840">
        <v>17</v>
      </c>
      <c r="J840" t="str">
        <f>HYPERLINK("https://www.eliteprospects.com/player/644801/emile-perron")</f>
        <v>https://www.eliteprospects.com/player/644801/emile-perron</v>
      </c>
      <c r="K840" t="s">
        <v>27</v>
      </c>
      <c r="L840" t="s">
        <v>804</v>
      </c>
      <c r="M840" t="s">
        <v>1296</v>
      </c>
      <c r="N840">
        <v>5</v>
      </c>
      <c r="O840" t="s">
        <v>807</v>
      </c>
      <c r="P840">
        <v>0.04</v>
      </c>
      <c r="Q840" t="s">
        <v>245</v>
      </c>
      <c r="R840">
        <v>28.6</v>
      </c>
      <c r="S840">
        <v>31.4</v>
      </c>
      <c r="T840">
        <v>28.6</v>
      </c>
      <c r="U840">
        <v>4.3</v>
      </c>
      <c r="V840">
        <v>7.1</v>
      </c>
    </row>
    <row r="841" spans="1:22" x14ac:dyDescent="0.25">
      <c r="A841" t="s">
        <v>2134</v>
      </c>
      <c r="B841" t="s">
        <v>507</v>
      </c>
      <c r="C841">
        <v>29</v>
      </c>
      <c r="D841" t="s">
        <v>79</v>
      </c>
      <c r="E841" t="s">
        <v>23</v>
      </c>
      <c r="F841" t="s">
        <v>39</v>
      </c>
      <c r="G841">
        <v>0.48</v>
      </c>
      <c r="H841" t="s">
        <v>23</v>
      </c>
      <c r="I841">
        <v>-7</v>
      </c>
      <c r="J841" t="str">
        <f>HYPERLINK("https://www.eliteprospects.com/player/796654/max-vilen")</f>
        <v>https://www.eliteprospects.com/player/796654/max-vilen</v>
      </c>
      <c r="K841" t="s">
        <v>27</v>
      </c>
      <c r="L841" t="s">
        <v>804</v>
      </c>
      <c r="M841" t="s">
        <v>1296</v>
      </c>
      <c r="N841">
        <v>1</v>
      </c>
      <c r="O841" t="s">
        <v>816</v>
      </c>
      <c r="P841">
        <v>0.05</v>
      </c>
      <c r="Q841" t="s">
        <v>1325</v>
      </c>
      <c r="R841">
        <v>26.3</v>
      </c>
      <c r="S841">
        <v>23.7</v>
      </c>
      <c r="T841">
        <v>28.9</v>
      </c>
      <c r="U841">
        <v>5.3</v>
      </c>
      <c r="V841">
        <v>15.8</v>
      </c>
    </row>
    <row r="842" spans="1:22" x14ac:dyDescent="0.25">
      <c r="A842" t="s">
        <v>2135</v>
      </c>
      <c r="B842" t="s">
        <v>824</v>
      </c>
      <c r="C842">
        <v>33</v>
      </c>
      <c r="D842" t="s">
        <v>79</v>
      </c>
      <c r="E842" t="s">
        <v>23</v>
      </c>
      <c r="F842" t="s">
        <v>39</v>
      </c>
      <c r="G842">
        <v>0.42</v>
      </c>
      <c r="H842" t="s">
        <v>32</v>
      </c>
      <c r="I842">
        <v>5</v>
      </c>
      <c r="J842" t="str">
        <f>HYPERLINK("https://www.eliteprospects.com/player/806442/eddy-doyle")</f>
        <v>https://www.eliteprospects.com/player/806442/eddy-doyle</v>
      </c>
      <c r="K842" t="s">
        <v>27</v>
      </c>
      <c r="L842" t="s">
        <v>804</v>
      </c>
      <c r="M842" t="s">
        <v>1296</v>
      </c>
      <c r="N842">
        <v>3</v>
      </c>
      <c r="O842" t="s">
        <v>805</v>
      </c>
      <c r="P842">
        <v>0.05</v>
      </c>
      <c r="Q842" t="s">
        <v>1325</v>
      </c>
      <c r="R842">
        <v>26.3</v>
      </c>
      <c r="S842">
        <v>23.7</v>
      </c>
      <c r="T842">
        <v>28.9</v>
      </c>
      <c r="U842">
        <v>5.3</v>
      </c>
      <c r="V842">
        <v>15.8</v>
      </c>
    </row>
    <row r="843" spans="1:22" x14ac:dyDescent="0.25">
      <c r="A843" t="s">
        <v>2136</v>
      </c>
      <c r="B843" t="s">
        <v>826</v>
      </c>
      <c r="C843">
        <v>33</v>
      </c>
      <c r="D843" t="s">
        <v>260</v>
      </c>
      <c r="E843" t="s">
        <v>65</v>
      </c>
      <c r="F843" t="s">
        <v>39</v>
      </c>
      <c r="G843">
        <v>0.42</v>
      </c>
      <c r="H843" t="s">
        <v>66</v>
      </c>
      <c r="I843">
        <v>9</v>
      </c>
      <c r="J843" t="str">
        <f>HYPERLINK("https://www.eliteprospects.com/player/958724/filip-kovalcik")</f>
        <v>https://www.eliteprospects.com/player/958724/filip-kovalcik</v>
      </c>
      <c r="K843" t="s">
        <v>27</v>
      </c>
      <c r="L843" t="s">
        <v>804</v>
      </c>
      <c r="M843" t="s">
        <v>1296</v>
      </c>
      <c r="N843">
        <v>1</v>
      </c>
      <c r="O843" t="s">
        <v>816</v>
      </c>
      <c r="P843">
        <v>0.05</v>
      </c>
      <c r="Q843" t="s">
        <v>1325</v>
      </c>
      <c r="R843">
        <v>26.3</v>
      </c>
      <c r="S843">
        <v>23.7</v>
      </c>
      <c r="T843">
        <v>28.9</v>
      </c>
      <c r="U843">
        <v>5.3</v>
      </c>
      <c r="V843">
        <v>15.8</v>
      </c>
    </row>
    <row r="844" spans="1:22" x14ac:dyDescent="0.25">
      <c r="A844" t="s">
        <v>2137</v>
      </c>
      <c r="B844" t="s">
        <v>507</v>
      </c>
      <c r="C844">
        <v>38</v>
      </c>
      <c r="D844" t="s">
        <v>79</v>
      </c>
      <c r="E844" t="s">
        <v>69</v>
      </c>
      <c r="F844" t="s">
        <v>65</v>
      </c>
      <c r="G844">
        <v>0.34</v>
      </c>
      <c r="H844" t="s">
        <v>55</v>
      </c>
      <c r="I844">
        <v>-6</v>
      </c>
      <c r="J844" t="str">
        <f>HYPERLINK("https://www.eliteprospects.com/player/880927/biagio-jr.-daniele")</f>
        <v>https://www.eliteprospects.com/player/880927/biagio-jr.-daniele</v>
      </c>
      <c r="K844" t="s">
        <v>27</v>
      </c>
      <c r="L844" t="s">
        <v>804</v>
      </c>
      <c r="M844" t="s">
        <v>1296</v>
      </c>
      <c r="N844">
        <v>2</v>
      </c>
      <c r="O844" t="s">
        <v>825</v>
      </c>
      <c r="P844">
        <v>0.04</v>
      </c>
      <c r="Q844" t="s">
        <v>245</v>
      </c>
      <c r="R844">
        <v>28.6</v>
      </c>
      <c r="S844">
        <v>31.4</v>
      </c>
      <c r="T844">
        <v>28.6</v>
      </c>
      <c r="U844">
        <v>4.3</v>
      </c>
      <c r="V844">
        <v>7.1</v>
      </c>
    </row>
    <row r="845" spans="1:22" x14ac:dyDescent="0.25">
      <c r="A845" t="s">
        <v>2138</v>
      </c>
      <c r="B845" t="s">
        <v>812</v>
      </c>
      <c r="C845">
        <v>38</v>
      </c>
      <c r="D845" t="s">
        <v>79</v>
      </c>
      <c r="E845" t="s">
        <v>69</v>
      </c>
      <c r="F845" t="s">
        <v>65</v>
      </c>
      <c r="G845">
        <v>0.34</v>
      </c>
      <c r="H845" t="s">
        <v>47</v>
      </c>
      <c r="I845">
        <v>17</v>
      </c>
      <c r="J845" t="str">
        <f>HYPERLINK("https://www.eliteprospects.com/player/727113/alexis-lemire")</f>
        <v>https://www.eliteprospects.com/player/727113/alexis-lemire</v>
      </c>
      <c r="K845" t="s">
        <v>27</v>
      </c>
      <c r="L845" t="s">
        <v>804</v>
      </c>
      <c r="M845" t="s">
        <v>1296</v>
      </c>
      <c r="N845">
        <v>4</v>
      </c>
      <c r="O845" t="s">
        <v>809</v>
      </c>
      <c r="P845">
        <v>0.04</v>
      </c>
      <c r="Q845" t="s">
        <v>245</v>
      </c>
      <c r="R845">
        <v>28.6</v>
      </c>
      <c r="S845">
        <v>31.4</v>
      </c>
      <c r="T845">
        <v>28.6</v>
      </c>
      <c r="U845">
        <v>4.3</v>
      </c>
      <c r="V845">
        <v>7.1</v>
      </c>
    </row>
    <row r="846" spans="1:22" x14ac:dyDescent="0.25">
      <c r="A846" t="s">
        <v>2139</v>
      </c>
      <c r="B846" t="s">
        <v>818</v>
      </c>
      <c r="C846">
        <v>38</v>
      </c>
      <c r="D846" t="s">
        <v>260</v>
      </c>
      <c r="E846" t="s">
        <v>23</v>
      </c>
      <c r="F846" t="s">
        <v>65</v>
      </c>
      <c r="G846">
        <v>0.34</v>
      </c>
      <c r="H846" t="s">
        <v>24</v>
      </c>
      <c r="I846">
        <v>17</v>
      </c>
      <c r="J846" t="str">
        <f>HYPERLINK("https://www.eliteprospects.com/player/577055/zackary-plamondon")</f>
        <v>https://www.eliteprospects.com/player/577055/zackary-plamondon</v>
      </c>
      <c r="K846" t="s">
        <v>27</v>
      </c>
      <c r="L846" t="s">
        <v>804</v>
      </c>
      <c r="M846" t="s">
        <v>1296</v>
      </c>
      <c r="N846">
        <v>3</v>
      </c>
      <c r="O846" t="s">
        <v>805</v>
      </c>
      <c r="P846">
        <v>0.04</v>
      </c>
      <c r="Q846" t="s">
        <v>245</v>
      </c>
      <c r="R846">
        <v>28.6</v>
      </c>
      <c r="S846">
        <v>31.4</v>
      </c>
      <c r="T846">
        <v>28.6</v>
      </c>
      <c r="U846">
        <v>4.3</v>
      </c>
      <c r="V846">
        <v>7.1</v>
      </c>
    </row>
    <row r="847" spans="1:22" x14ac:dyDescent="0.25">
      <c r="A847" t="s">
        <v>2140</v>
      </c>
      <c r="B847" t="s">
        <v>815</v>
      </c>
      <c r="C847">
        <v>34</v>
      </c>
      <c r="D847" t="s">
        <v>132</v>
      </c>
      <c r="E847" t="s">
        <v>65</v>
      </c>
      <c r="F847" t="s">
        <v>65</v>
      </c>
      <c r="G847">
        <v>0.38</v>
      </c>
      <c r="H847" t="s">
        <v>38</v>
      </c>
      <c r="I847">
        <v>-11</v>
      </c>
      <c r="J847" t="str">
        <f>HYPERLINK("https://www.eliteprospects.com/player/747936/maddox-labre")</f>
        <v>https://www.eliteprospects.com/player/747936/maddox-labre</v>
      </c>
      <c r="K847" t="s">
        <v>27</v>
      </c>
      <c r="L847" t="s">
        <v>804</v>
      </c>
      <c r="M847" t="s">
        <v>1296</v>
      </c>
      <c r="N847">
        <v>3</v>
      </c>
      <c r="O847" t="s">
        <v>805</v>
      </c>
      <c r="P847">
        <v>0.04</v>
      </c>
      <c r="Q847" t="s">
        <v>245</v>
      </c>
      <c r="R847">
        <v>28.6</v>
      </c>
      <c r="S847">
        <v>31.4</v>
      </c>
      <c r="T847">
        <v>28.6</v>
      </c>
      <c r="U847">
        <v>4.3</v>
      </c>
      <c r="V847">
        <v>7.1</v>
      </c>
    </row>
    <row r="848" spans="1:22" x14ac:dyDescent="0.25">
      <c r="A848" t="s">
        <v>2141</v>
      </c>
      <c r="B848" t="s">
        <v>856</v>
      </c>
      <c r="C848">
        <v>28</v>
      </c>
      <c r="D848" t="s">
        <v>96</v>
      </c>
      <c r="E848" t="s">
        <v>78</v>
      </c>
      <c r="F848" t="s">
        <v>23</v>
      </c>
      <c r="G848">
        <v>0.43</v>
      </c>
      <c r="H848" t="s">
        <v>65</v>
      </c>
      <c r="I848">
        <v>-4</v>
      </c>
      <c r="J848" t="str">
        <f>HYPERLINK("https://www.eliteprospects.com/player/673078/jack-martin")</f>
        <v>https://www.eliteprospects.com/player/673078/jack-martin</v>
      </c>
      <c r="K848" t="s">
        <v>27</v>
      </c>
      <c r="L848" t="s">
        <v>804</v>
      </c>
      <c r="M848" t="s">
        <v>1296</v>
      </c>
      <c r="N848">
        <v>5</v>
      </c>
      <c r="O848" t="s">
        <v>807</v>
      </c>
      <c r="P848">
        <v>0.05</v>
      </c>
      <c r="Q848" t="s">
        <v>1325</v>
      </c>
      <c r="R848">
        <v>26.3</v>
      </c>
      <c r="S848">
        <v>23.7</v>
      </c>
      <c r="T848">
        <v>28.9</v>
      </c>
      <c r="U848">
        <v>5.3</v>
      </c>
      <c r="V848">
        <v>15.8</v>
      </c>
    </row>
    <row r="849" spans="1:22" x14ac:dyDescent="0.25">
      <c r="A849" t="s">
        <v>2142</v>
      </c>
      <c r="B849" t="s">
        <v>821</v>
      </c>
      <c r="C849">
        <v>38</v>
      </c>
      <c r="D849" t="s">
        <v>79</v>
      </c>
      <c r="E849" t="s">
        <v>32</v>
      </c>
      <c r="F849" t="s">
        <v>23</v>
      </c>
      <c r="G849">
        <v>0.32</v>
      </c>
      <c r="H849" t="s">
        <v>53</v>
      </c>
      <c r="I849">
        <v>-3</v>
      </c>
      <c r="J849" t="str">
        <f>HYPERLINK("https://www.eliteprospects.com/player/803899/brady-peddle")</f>
        <v>https://www.eliteprospects.com/player/803899/brady-peddle</v>
      </c>
      <c r="K849" t="s">
        <v>27</v>
      </c>
      <c r="L849" t="s">
        <v>804</v>
      </c>
      <c r="M849" t="s">
        <v>1296</v>
      </c>
      <c r="N849">
        <v>1</v>
      </c>
      <c r="O849" t="s">
        <v>816</v>
      </c>
      <c r="P849">
        <v>0.04</v>
      </c>
      <c r="Q849" t="s">
        <v>245</v>
      </c>
      <c r="R849">
        <v>28.6</v>
      </c>
      <c r="S849">
        <v>31.4</v>
      </c>
      <c r="T849">
        <v>28.6</v>
      </c>
      <c r="U849">
        <v>4.3</v>
      </c>
      <c r="V849">
        <v>7.1</v>
      </c>
    </row>
    <row r="850" spans="1:22" x14ac:dyDescent="0.25">
      <c r="A850" t="s">
        <v>2143</v>
      </c>
      <c r="B850" t="s">
        <v>848</v>
      </c>
      <c r="C850">
        <v>39</v>
      </c>
      <c r="D850" t="s">
        <v>79</v>
      </c>
      <c r="E850" t="s">
        <v>32</v>
      </c>
      <c r="F850" t="s">
        <v>23</v>
      </c>
      <c r="G850">
        <v>0.31</v>
      </c>
      <c r="H850" t="s">
        <v>265</v>
      </c>
      <c r="I850">
        <v>-22</v>
      </c>
      <c r="J850" t="str">
        <f>HYPERLINK("https://www.eliteprospects.com/player/599567/jeremie-dumas")</f>
        <v>https://www.eliteprospects.com/player/599567/jeremie-dumas</v>
      </c>
      <c r="K850" t="s">
        <v>27</v>
      </c>
      <c r="L850" t="s">
        <v>804</v>
      </c>
      <c r="M850" t="s">
        <v>1296</v>
      </c>
      <c r="N850">
        <v>5</v>
      </c>
      <c r="O850" t="s">
        <v>807</v>
      </c>
      <c r="P850">
        <v>0.04</v>
      </c>
      <c r="Q850" t="s">
        <v>245</v>
      </c>
      <c r="R850">
        <v>28.6</v>
      </c>
      <c r="S850">
        <v>31.4</v>
      </c>
      <c r="T850">
        <v>28.6</v>
      </c>
      <c r="U850">
        <v>4.3</v>
      </c>
      <c r="V850">
        <v>7.1</v>
      </c>
    </row>
    <row r="851" spans="1:22" x14ac:dyDescent="0.25">
      <c r="A851" t="s">
        <v>2144</v>
      </c>
      <c r="B851" t="s">
        <v>812</v>
      </c>
      <c r="C851">
        <v>32</v>
      </c>
      <c r="D851" t="s">
        <v>260</v>
      </c>
      <c r="E851" t="s">
        <v>69</v>
      </c>
      <c r="F851" t="s">
        <v>23</v>
      </c>
      <c r="G851">
        <v>0.38</v>
      </c>
      <c r="H851" t="s">
        <v>55</v>
      </c>
      <c r="I851">
        <v>7</v>
      </c>
      <c r="J851" t="str">
        <f>HYPERLINK("https://www.eliteprospects.com/player/944329/guus-van-der-kaaij")</f>
        <v>https://www.eliteprospects.com/player/944329/guus-van-der-kaaij</v>
      </c>
      <c r="K851" t="s">
        <v>27</v>
      </c>
      <c r="L851" t="s">
        <v>804</v>
      </c>
      <c r="M851" t="s">
        <v>1296</v>
      </c>
      <c r="N851">
        <v>1</v>
      </c>
      <c r="O851" t="s">
        <v>816</v>
      </c>
      <c r="P851">
        <v>0.04</v>
      </c>
      <c r="Q851" t="s">
        <v>245</v>
      </c>
      <c r="R851">
        <v>28.6</v>
      </c>
      <c r="S851">
        <v>31.4</v>
      </c>
      <c r="T851">
        <v>28.6</v>
      </c>
      <c r="U851">
        <v>4.3</v>
      </c>
      <c r="V851">
        <v>7.1</v>
      </c>
    </row>
    <row r="852" spans="1:22" x14ac:dyDescent="0.25">
      <c r="A852" t="s">
        <v>2145</v>
      </c>
      <c r="B852" t="s">
        <v>507</v>
      </c>
      <c r="C852">
        <v>39</v>
      </c>
      <c r="D852" t="s">
        <v>260</v>
      </c>
      <c r="E852" t="s">
        <v>69</v>
      </c>
      <c r="F852" t="s">
        <v>23</v>
      </c>
      <c r="G852">
        <v>0.31</v>
      </c>
      <c r="H852" t="s">
        <v>39</v>
      </c>
      <c r="I852">
        <v>12</v>
      </c>
      <c r="J852" t="str">
        <f>HYPERLINK("https://www.eliteprospects.com/player/744834/bo-damphousse")</f>
        <v>https://www.eliteprospects.com/player/744834/bo-damphousse</v>
      </c>
      <c r="K852" t="s">
        <v>27</v>
      </c>
      <c r="L852" t="s">
        <v>804</v>
      </c>
      <c r="M852" t="s">
        <v>1296</v>
      </c>
      <c r="N852">
        <v>3</v>
      </c>
      <c r="O852" t="s">
        <v>805</v>
      </c>
      <c r="P852">
        <v>0.04</v>
      </c>
      <c r="Q852" t="s">
        <v>245</v>
      </c>
      <c r="R852">
        <v>28.6</v>
      </c>
      <c r="S852">
        <v>31.4</v>
      </c>
      <c r="T852">
        <v>28.6</v>
      </c>
      <c r="U852">
        <v>4.3</v>
      </c>
      <c r="V852">
        <v>7.1</v>
      </c>
    </row>
    <row r="853" spans="1:22" x14ac:dyDescent="0.25">
      <c r="A853" t="s">
        <v>2146</v>
      </c>
      <c r="B853" t="s">
        <v>832</v>
      </c>
      <c r="C853">
        <v>36</v>
      </c>
      <c r="D853" t="s">
        <v>96</v>
      </c>
      <c r="E853" t="s">
        <v>57</v>
      </c>
      <c r="F853" t="s">
        <v>69</v>
      </c>
      <c r="G853">
        <v>0.31</v>
      </c>
      <c r="H853" t="s">
        <v>26</v>
      </c>
      <c r="I853">
        <v>-3</v>
      </c>
      <c r="J853" t="str">
        <f>HYPERLINK("https://www.eliteprospects.com/player/885506/brandon-delarosbil")</f>
        <v>https://www.eliteprospects.com/player/885506/brandon-delarosbil</v>
      </c>
      <c r="K853" t="s">
        <v>27</v>
      </c>
      <c r="L853" t="s">
        <v>804</v>
      </c>
      <c r="M853" t="s">
        <v>1296</v>
      </c>
      <c r="N853">
        <v>2</v>
      </c>
      <c r="O853" t="s">
        <v>825</v>
      </c>
      <c r="P853">
        <v>0.04</v>
      </c>
      <c r="Q853" t="s">
        <v>245</v>
      </c>
      <c r="R853">
        <v>28.6</v>
      </c>
      <c r="S853">
        <v>31.4</v>
      </c>
      <c r="T853">
        <v>28.6</v>
      </c>
      <c r="U853">
        <v>4.3</v>
      </c>
      <c r="V853">
        <v>7.1</v>
      </c>
    </row>
    <row r="854" spans="1:22" x14ac:dyDescent="0.25">
      <c r="A854" t="s">
        <v>2147</v>
      </c>
      <c r="B854" t="s">
        <v>856</v>
      </c>
      <c r="C854">
        <v>35</v>
      </c>
      <c r="D854" t="s">
        <v>66</v>
      </c>
      <c r="E854" t="s">
        <v>78</v>
      </c>
      <c r="F854" t="s">
        <v>69</v>
      </c>
      <c r="G854">
        <v>0.31</v>
      </c>
      <c r="H854" t="s">
        <v>24</v>
      </c>
      <c r="I854">
        <v>-9</v>
      </c>
      <c r="J854" t="str">
        <f>HYPERLINK("https://www.eliteprospects.com/player/765828/luca-nappiot")</f>
        <v>https://www.eliteprospects.com/player/765828/luca-nappiot</v>
      </c>
      <c r="K854" t="s">
        <v>27</v>
      </c>
      <c r="L854" t="s">
        <v>804</v>
      </c>
      <c r="M854" t="s">
        <v>1296</v>
      </c>
      <c r="N854">
        <v>1</v>
      </c>
      <c r="O854" t="s">
        <v>816</v>
      </c>
      <c r="P854">
        <v>0.04</v>
      </c>
      <c r="Q854" t="s">
        <v>245</v>
      </c>
      <c r="R854">
        <v>28.6</v>
      </c>
      <c r="S854">
        <v>31.4</v>
      </c>
      <c r="T854">
        <v>28.6</v>
      </c>
      <c r="U854">
        <v>4.3</v>
      </c>
      <c r="V854">
        <v>7.1</v>
      </c>
    </row>
    <row r="855" spans="1:22" x14ac:dyDescent="0.25">
      <c r="A855" t="s">
        <v>2148</v>
      </c>
      <c r="B855" t="s">
        <v>832</v>
      </c>
      <c r="C855">
        <v>39</v>
      </c>
      <c r="D855" t="s">
        <v>66</v>
      </c>
      <c r="E855" t="s">
        <v>78</v>
      </c>
      <c r="F855" t="s">
        <v>69</v>
      </c>
      <c r="G855">
        <v>0.28000000000000003</v>
      </c>
      <c r="H855" t="s">
        <v>427</v>
      </c>
      <c r="I855">
        <v>-16</v>
      </c>
      <c r="J855" t="str">
        <f>HYPERLINK("https://www.eliteprospects.com/player/727930/sydney-gagnon")</f>
        <v>https://www.eliteprospects.com/player/727930/sydney-gagnon</v>
      </c>
      <c r="K855" t="s">
        <v>27</v>
      </c>
      <c r="L855" t="s">
        <v>804</v>
      </c>
      <c r="M855" t="s">
        <v>1296</v>
      </c>
      <c r="N855">
        <v>3</v>
      </c>
      <c r="O855" t="s">
        <v>805</v>
      </c>
      <c r="P855">
        <v>0.03</v>
      </c>
      <c r="Q855" t="s">
        <v>245</v>
      </c>
      <c r="R855">
        <v>28.6</v>
      </c>
      <c r="S855">
        <v>31.4</v>
      </c>
      <c r="T855">
        <v>28.6</v>
      </c>
      <c r="U855">
        <v>4.3</v>
      </c>
      <c r="V855">
        <v>7.1</v>
      </c>
    </row>
    <row r="856" spans="1:22" x14ac:dyDescent="0.25">
      <c r="A856" t="s">
        <v>2149</v>
      </c>
      <c r="B856" t="s">
        <v>507</v>
      </c>
      <c r="C856">
        <v>37</v>
      </c>
      <c r="D856" t="s">
        <v>140</v>
      </c>
      <c r="E856" t="s">
        <v>26</v>
      </c>
      <c r="F856" t="s">
        <v>69</v>
      </c>
      <c r="G856">
        <v>0.3</v>
      </c>
      <c r="H856" t="s">
        <v>600</v>
      </c>
      <c r="I856">
        <v>20</v>
      </c>
      <c r="J856" t="str">
        <f>HYPERLINK("https://www.eliteprospects.com/player/646706/alexandre-carbonneau")</f>
        <v>https://www.eliteprospects.com/player/646706/alexandre-carbonneau</v>
      </c>
      <c r="K856" t="s">
        <v>27</v>
      </c>
      <c r="L856" t="s">
        <v>804</v>
      </c>
      <c r="M856" t="s">
        <v>1296</v>
      </c>
      <c r="N856">
        <v>3</v>
      </c>
      <c r="O856" t="s">
        <v>805</v>
      </c>
      <c r="P856">
        <v>0.03</v>
      </c>
      <c r="Q856" t="s">
        <v>245</v>
      </c>
      <c r="R856">
        <v>28.6</v>
      </c>
      <c r="S856">
        <v>31.4</v>
      </c>
      <c r="T856">
        <v>28.6</v>
      </c>
      <c r="U856">
        <v>4.3</v>
      </c>
      <c r="V856">
        <v>7.1</v>
      </c>
    </row>
    <row r="857" spans="1:22" x14ac:dyDescent="0.25">
      <c r="A857" t="s">
        <v>2150</v>
      </c>
      <c r="B857" t="s">
        <v>812</v>
      </c>
      <c r="C857">
        <v>25</v>
      </c>
      <c r="D857" t="s">
        <v>79</v>
      </c>
      <c r="E857" t="s">
        <v>45</v>
      </c>
      <c r="F857" t="s">
        <v>69</v>
      </c>
      <c r="G857">
        <v>0.44</v>
      </c>
      <c r="H857" t="s">
        <v>57</v>
      </c>
      <c r="I857">
        <v>-5</v>
      </c>
      <c r="J857" t="str">
        <f>HYPERLINK("https://www.eliteprospects.com/player/592015/axel-dufresne")</f>
        <v>https://www.eliteprospects.com/player/592015/axel-dufresne</v>
      </c>
      <c r="K857" t="s">
        <v>27</v>
      </c>
      <c r="L857" t="s">
        <v>804</v>
      </c>
      <c r="M857" t="s">
        <v>1296</v>
      </c>
      <c r="N857">
        <v>5</v>
      </c>
      <c r="O857" t="s">
        <v>807</v>
      </c>
      <c r="P857">
        <v>0.05</v>
      </c>
      <c r="Q857" t="s">
        <v>1325</v>
      </c>
      <c r="R857">
        <v>26.3</v>
      </c>
      <c r="S857">
        <v>23.7</v>
      </c>
      <c r="T857">
        <v>28.9</v>
      </c>
      <c r="U857">
        <v>5.3</v>
      </c>
      <c r="V857">
        <v>15.8</v>
      </c>
    </row>
    <row r="858" spans="1:22" x14ac:dyDescent="0.25">
      <c r="A858" t="s">
        <v>2151</v>
      </c>
      <c r="B858" t="s">
        <v>824</v>
      </c>
      <c r="C858">
        <v>38</v>
      </c>
      <c r="D858" t="s">
        <v>79</v>
      </c>
      <c r="E858" t="s">
        <v>45</v>
      </c>
      <c r="F858" t="s">
        <v>69</v>
      </c>
      <c r="G858">
        <v>0.28999999999999998</v>
      </c>
      <c r="H858" t="s">
        <v>24</v>
      </c>
      <c r="I858">
        <v>-8</v>
      </c>
      <c r="J858" t="str">
        <f>HYPERLINK("https://www.eliteprospects.com/player/908578/malik-l-italien")</f>
        <v>https://www.eliteprospects.com/player/908578/malik-l-italien</v>
      </c>
      <c r="K858" t="s">
        <v>27</v>
      </c>
      <c r="L858" t="s">
        <v>804</v>
      </c>
      <c r="M858" t="s">
        <v>1296</v>
      </c>
      <c r="N858">
        <v>1</v>
      </c>
      <c r="O858" t="s">
        <v>816</v>
      </c>
      <c r="P858">
        <v>0.03</v>
      </c>
      <c r="Q858" t="s">
        <v>245</v>
      </c>
      <c r="R858">
        <v>28.6</v>
      </c>
      <c r="S858">
        <v>31.4</v>
      </c>
      <c r="T858">
        <v>28.6</v>
      </c>
      <c r="U858">
        <v>4.3</v>
      </c>
      <c r="V858">
        <v>7.1</v>
      </c>
    </row>
    <row r="859" spans="1:22" x14ac:dyDescent="0.25">
      <c r="A859" t="s">
        <v>2152</v>
      </c>
      <c r="B859" t="s">
        <v>832</v>
      </c>
      <c r="C859">
        <v>37</v>
      </c>
      <c r="D859" t="s">
        <v>79</v>
      </c>
      <c r="E859" t="s">
        <v>26</v>
      </c>
      <c r="F859" t="s">
        <v>32</v>
      </c>
      <c r="G859">
        <v>0.27</v>
      </c>
      <c r="H859" t="s">
        <v>34</v>
      </c>
      <c r="I859">
        <v>-13</v>
      </c>
      <c r="J859" t="str">
        <f>HYPERLINK("https://www.eliteprospects.com/player/646866/jean-felix-lapointe")</f>
        <v>https://www.eliteprospects.com/player/646866/jean-felix-lapointe</v>
      </c>
      <c r="K859" t="s">
        <v>27</v>
      </c>
      <c r="L859" t="s">
        <v>804</v>
      </c>
      <c r="M859" t="s">
        <v>1296</v>
      </c>
      <c r="N859">
        <v>4</v>
      </c>
      <c r="O859" t="s">
        <v>809</v>
      </c>
      <c r="P859">
        <v>0.03</v>
      </c>
      <c r="Q859" t="s">
        <v>245</v>
      </c>
      <c r="R859">
        <v>28.6</v>
      </c>
      <c r="S859">
        <v>31.4</v>
      </c>
      <c r="T859">
        <v>28.6</v>
      </c>
      <c r="U859">
        <v>4.3</v>
      </c>
      <c r="V859">
        <v>7.1</v>
      </c>
    </row>
    <row r="860" spans="1:22" x14ac:dyDescent="0.25">
      <c r="A860" t="s">
        <v>2153</v>
      </c>
      <c r="B860" t="s">
        <v>865</v>
      </c>
      <c r="C860">
        <v>38</v>
      </c>
      <c r="D860" t="s">
        <v>79</v>
      </c>
      <c r="E860" t="s">
        <v>26</v>
      </c>
      <c r="F860" t="s">
        <v>32</v>
      </c>
      <c r="G860">
        <v>0.26</v>
      </c>
      <c r="H860" t="s">
        <v>81</v>
      </c>
      <c r="I860">
        <v>-4</v>
      </c>
      <c r="J860" t="str">
        <f>HYPERLINK("https://www.eliteprospects.com/player/876253/drew-allison")</f>
        <v>https://www.eliteprospects.com/player/876253/drew-allison</v>
      </c>
      <c r="K860" t="s">
        <v>27</v>
      </c>
      <c r="L860" t="s">
        <v>804</v>
      </c>
      <c r="M860" t="s">
        <v>1296</v>
      </c>
      <c r="N860">
        <v>2</v>
      </c>
      <c r="O860" t="s">
        <v>825</v>
      </c>
      <c r="P860">
        <v>0.03</v>
      </c>
      <c r="Q860" t="s">
        <v>245</v>
      </c>
      <c r="R860">
        <v>28.6</v>
      </c>
      <c r="S860">
        <v>31.4</v>
      </c>
      <c r="T860">
        <v>28.6</v>
      </c>
      <c r="U860">
        <v>4.3</v>
      </c>
      <c r="V860">
        <v>7.1</v>
      </c>
    </row>
    <row r="861" spans="1:22" x14ac:dyDescent="0.25">
      <c r="A861" t="s">
        <v>2154</v>
      </c>
      <c r="B861" t="s">
        <v>826</v>
      </c>
      <c r="C861">
        <v>40</v>
      </c>
      <c r="D861" t="s">
        <v>79</v>
      </c>
      <c r="E861" t="s">
        <v>78</v>
      </c>
      <c r="F861" t="s">
        <v>45</v>
      </c>
      <c r="G861">
        <v>0.23</v>
      </c>
      <c r="H861" t="s">
        <v>23</v>
      </c>
      <c r="I861">
        <v>6</v>
      </c>
      <c r="J861" t="str">
        <f>HYPERLINK("https://www.eliteprospects.com/player/668063/matteo-rotondi")</f>
        <v>https://www.eliteprospects.com/player/668063/matteo-rotondi</v>
      </c>
      <c r="K861" t="s">
        <v>27</v>
      </c>
      <c r="L861" t="s">
        <v>804</v>
      </c>
      <c r="M861" t="s">
        <v>1296</v>
      </c>
      <c r="N861">
        <v>5</v>
      </c>
      <c r="O861" t="s">
        <v>807</v>
      </c>
      <c r="P861">
        <v>0.03</v>
      </c>
      <c r="Q861" t="s">
        <v>245</v>
      </c>
      <c r="R861">
        <v>28.6</v>
      </c>
      <c r="S861">
        <v>31.4</v>
      </c>
      <c r="T861">
        <v>28.6</v>
      </c>
      <c r="U861">
        <v>4.3</v>
      </c>
      <c r="V861">
        <v>7.1</v>
      </c>
    </row>
    <row r="862" spans="1:22" x14ac:dyDescent="0.25">
      <c r="A862" t="s">
        <v>2155</v>
      </c>
      <c r="B862" t="s">
        <v>822</v>
      </c>
      <c r="C862">
        <v>19</v>
      </c>
      <c r="D862" t="s">
        <v>260</v>
      </c>
      <c r="E862" t="s">
        <v>26</v>
      </c>
      <c r="F862" t="s">
        <v>45</v>
      </c>
      <c r="G862">
        <v>0.47</v>
      </c>
      <c r="H862" t="s">
        <v>47</v>
      </c>
      <c r="I862">
        <v>0</v>
      </c>
      <c r="J862" t="str">
        <f>HYPERLINK("https://www.eliteprospects.com/player/693221/jack-brauti")</f>
        <v>https://www.eliteprospects.com/player/693221/jack-brauti</v>
      </c>
      <c r="K862" t="s">
        <v>27</v>
      </c>
      <c r="L862" t="s">
        <v>804</v>
      </c>
      <c r="M862" t="s">
        <v>1296</v>
      </c>
      <c r="N862">
        <v>3</v>
      </c>
      <c r="O862" t="s">
        <v>894</v>
      </c>
      <c r="P862">
        <v>0.05</v>
      </c>
      <c r="Q862" t="s">
        <v>1325</v>
      </c>
      <c r="R862">
        <v>26.3</v>
      </c>
      <c r="S862">
        <v>23.7</v>
      </c>
      <c r="T862">
        <v>28.9</v>
      </c>
      <c r="U862">
        <v>5.3</v>
      </c>
      <c r="V862">
        <v>15.8</v>
      </c>
    </row>
    <row r="863" spans="1:22" x14ac:dyDescent="0.25">
      <c r="A863" t="s">
        <v>2156</v>
      </c>
      <c r="B863" t="s">
        <v>823</v>
      </c>
      <c r="C863">
        <v>35</v>
      </c>
      <c r="D863" t="s">
        <v>140</v>
      </c>
      <c r="E863" t="s">
        <v>96</v>
      </c>
      <c r="F863" t="s">
        <v>26</v>
      </c>
      <c r="G863">
        <v>0.23</v>
      </c>
      <c r="H863" t="s">
        <v>497</v>
      </c>
      <c r="I863">
        <v>5</v>
      </c>
      <c r="J863" t="str">
        <f>HYPERLINK("https://www.eliteprospects.com/player/852128/logan-brennan")</f>
        <v>https://www.eliteprospects.com/player/852128/logan-brennan</v>
      </c>
      <c r="K863" t="s">
        <v>27</v>
      </c>
      <c r="L863" t="s">
        <v>804</v>
      </c>
      <c r="M863" t="s">
        <v>1296</v>
      </c>
      <c r="N863">
        <v>1</v>
      </c>
      <c r="O863" t="s">
        <v>816</v>
      </c>
      <c r="P863">
        <v>0.03</v>
      </c>
      <c r="Q863" t="s">
        <v>245</v>
      </c>
      <c r="R863">
        <v>28.6</v>
      </c>
      <c r="S863">
        <v>31.4</v>
      </c>
      <c r="T863">
        <v>28.6</v>
      </c>
      <c r="U863">
        <v>4.3</v>
      </c>
      <c r="V863">
        <v>7.1</v>
      </c>
    </row>
    <row r="864" spans="1:22" x14ac:dyDescent="0.25">
      <c r="A864" t="s">
        <v>2157</v>
      </c>
      <c r="B864" t="s">
        <v>818</v>
      </c>
      <c r="C864">
        <v>39</v>
      </c>
      <c r="D864" t="s">
        <v>79</v>
      </c>
      <c r="E864" t="s">
        <v>57</v>
      </c>
      <c r="F864" t="s">
        <v>26</v>
      </c>
      <c r="G864">
        <v>0.21</v>
      </c>
      <c r="H864" t="s">
        <v>81</v>
      </c>
      <c r="I864">
        <v>19</v>
      </c>
      <c r="J864" t="str">
        <f>HYPERLINK("https://www.eliteprospects.com/player/259004/olivier-filaj")</f>
        <v>https://www.eliteprospects.com/player/259004/olivier-filaj</v>
      </c>
      <c r="K864" t="s">
        <v>27</v>
      </c>
      <c r="L864" t="s">
        <v>804</v>
      </c>
      <c r="M864" t="s">
        <v>1296</v>
      </c>
      <c r="N864">
        <v>4</v>
      </c>
      <c r="O864" t="s">
        <v>809</v>
      </c>
      <c r="P864">
        <v>0.02</v>
      </c>
      <c r="Q864" t="s">
        <v>245</v>
      </c>
      <c r="R864">
        <v>28.6</v>
      </c>
      <c r="S864">
        <v>31.4</v>
      </c>
      <c r="T864">
        <v>28.6</v>
      </c>
      <c r="U864">
        <v>4.3</v>
      </c>
      <c r="V864">
        <v>7.1</v>
      </c>
    </row>
    <row r="865" spans="1:22" x14ac:dyDescent="0.25">
      <c r="A865" t="s">
        <v>2158</v>
      </c>
      <c r="B865" t="s">
        <v>507</v>
      </c>
      <c r="C865">
        <v>34</v>
      </c>
      <c r="D865" t="s">
        <v>260</v>
      </c>
      <c r="E865" t="s">
        <v>78</v>
      </c>
      <c r="F865" t="s">
        <v>26</v>
      </c>
      <c r="G865">
        <v>0.24</v>
      </c>
      <c r="H865" t="s">
        <v>84</v>
      </c>
      <c r="I865">
        <v>2</v>
      </c>
      <c r="J865" t="str">
        <f>HYPERLINK("https://www.eliteprospects.com/player/723525/carl-otto-magnusson")</f>
        <v>https://www.eliteprospects.com/player/723525/carl-otto-magnusson</v>
      </c>
      <c r="K865" t="s">
        <v>27</v>
      </c>
      <c r="L865" t="s">
        <v>804</v>
      </c>
      <c r="M865" t="s">
        <v>1296</v>
      </c>
      <c r="N865">
        <v>1</v>
      </c>
      <c r="O865" t="s">
        <v>816</v>
      </c>
      <c r="P865">
        <v>0.03</v>
      </c>
      <c r="Q865" t="s">
        <v>245</v>
      </c>
      <c r="R865">
        <v>28.6</v>
      </c>
      <c r="S865">
        <v>31.4</v>
      </c>
      <c r="T865">
        <v>28.6</v>
      </c>
      <c r="U865">
        <v>4.3</v>
      </c>
      <c r="V865">
        <v>7.1</v>
      </c>
    </row>
    <row r="866" spans="1:22" x14ac:dyDescent="0.25">
      <c r="A866" t="s">
        <v>2159</v>
      </c>
      <c r="B866" t="s">
        <v>820</v>
      </c>
      <c r="C866">
        <v>36</v>
      </c>
      <c r="D866" t="s">
        <v>260</v>
      </c>
      <c r="E866" t="s">
        <v>78</v>
      </c>
      <c r="F866" t="s">
        <v>26</v>
      </c>
      <c r="G866">
        <v>0.22</v>
      </c>
      <c r="H866" t="s">
        <v>589</v>
      </c>
      <c r="I866">
        <v>12</v>
      </c>
      <c r="J866" t="str">
        <f>HYPERLINK("https://www.eliteprospects.com/player/865077/eerik-wallenius")</f>
        <v>https://www.eliteprospects.com/player/865077/eerik-wallenius</v>
      </c>
      <c r="K866" t="s">
        <v>27</v>
      </c>
      <c r="L866" t="s">
        <v>804</v>
      </c>
      <c r="M866" t="s">
        <v>1296</v>
      </c>
      <c r="N866">
        <v>1</v>
      </c>
      <c r="O866" t="s">
        <v>816</v>
      </c>
      <c r="P866">
        <v>0.02</v>
      </c>
      <c r="Q866" t="s">
        <v>245</v>
      </c>
      <c r="R866">
        <v>28.6</v>
      </c>
      <c r="S866">
        <v>31.4</v>
      </c>
      <c r="T866">
        <v>28.6</v>
      </c>
      <c r="U866">
        <v>4.3</v>
      </c>
      <c r="V866">
        <v>7.1</v>
      </c>
    </row>
    <row r="867" spans="1:22" x14ac:dyDescent="0.25">
      <c r="A867" t="s">
        <v>2160</v>
      </c>
      <c r="B867" t="s">
        <v>832</v>
      </c>
      <c r="C867">
        <v>39</v>
      </c>
      <c r="D867" t="s">
        <v>260</v>
      </c>
      <c r="E867" t="s">
        <v>78</v>
      </c>
      <c r="F867" t="s">
        <v>26</v>
      </c>
      <c r="G867">
        <v>0.21</v>
      </c>
      <c r="H867" t="s">
        <v>489</v>
      </c>
      <c r="I867">
        <v>-16</v>
      </c>
      <c r="J867" t="str">
        <f>HYPERLINK("https://www.eliteprospects.com/player/599569/eloi-bourdeau")</f>
        <v>https://www.eliteprospects.com/player/599569/eloi-bourdeau</v>
      </c>
      <c r="K867" t="s">
        <v>27</v>
      </c>
      <c r="L867" t="s">
        <v>804</v>
      </c>
      <c r="M867" t="s">
        <v>1296</v>
      </c>
      <c r="N867">
        <v>4</v>
      </c>
      <c r="O867" t="s">
        <v>809</v>
      </c>
      <c r="P867">
        <v>0.02</v>
      </c>
      <c r="Q867" t="s">
        <v>245</v>
      </c>
      <c r="R867">
        <v>28.6</v>
      </c>
      <c r="S867">
        <v>31.4</v>
      </c>
      <c r="T867">
        <v>28.6</v>
      </c>
      <c r="U867">
        <v>4.3</v>
      </c>
      <c r="V867">
        <v>7.1</v>
      </c>
    </row>
    <row r="868" spans="1:22" x14ac:dyDescent="0.25">
      <c r="A868" t="s">
        <v>2161</v>
      </c>
      <c r="B868" t="s">
        <v>828</v>
      </c>
      <c r="C868">
        <v>38</v>
      </c>
      <c r="D868" t="s">
        <v>132</v>
      </c>
      <c r="E868" t="s">
        <v>26</v>
      </c>
      <c r="F868" t="s">
        <v>26</v>
      </c>
      <c r="G868">
        <v>0.21</v>
      </c>
      <c r="H868" t="s">
        <v>24</v>
      </c>
      <c r="I868">
        <v>-10</v>
      </c>
      <c r="J868" t="str">
        <f>HYPERLINK("https://www.eliteprospects.com/player/707136/julien-wasmer")</f>
        <v>https://www.eliteprospects.com/player/707136/julien-wasmer</v>
      </c>
      <c r="K868" t="s">
        <v>27</v>
      </c>
      <c r="L868" t="s">
        <v>804</v>
      </c>
      <c r="M868" t="s">
        <v>1296</v>
      </c>
      <c r="N868">
        <v>2</v>
      </c>
      <c r="O868" t="s">
        <v>825</v>
      </c>
      <c r="P868">
        <v>0.02</v>
      </c>
      <c r="Q868" t="s">
        <v>245</v>
      </c>
      <c r="R868">
        <v>28.6</v>
      </c>
      <c r="S868">
        <v>31.4</v>
      </c>
      <c r="T868">
        <v>28.6</v>
      </c>
      <c r="U868">
        <v>4.3</v>
      </c>
      <c r="V868">
        <v>7.1</v>
      </c>
    </row>
    <row r="869" spans="1:22" x14ac:dyDescent="0.25">
      <c r="A869" t="s">
        <v>2162</v>
      </c>
      <c r="B869" t="s">
        <v>826</v>
      </c>
      <c r="C869">
        <v>39</v>
      </c>
      <c r="D869" t="s">
        <v>132</v>
      </c>
      <c r="E869" t="s">
        <v>26</v>
      </c>
      <c r="F869" t="s">
        <v>26</v>
      </c>
      <c r="G869">
        <v>0.21</v>
      </c>
      <c r="H869" t="s">
        <v>66</v>
      </c>
      <c r="I869">
        <v>9</v>
      </c>
      <c r="J869" t="str">
        <f>HYPERLINK("https://www.eliteprospects.com/player/905937/owen-ronson")</f>
        <v>https://www.eliteprospects.com/player/905937/owen-ronson</v>
      </c>
      <c r="K869" t="s">
        <v>27</v>
      </c>
      <c r="L869" t="s">
        <v>804</v>
      </c>
      <c r="M869" t="s">
        <v>1296</v>
      </c>
      <c r="N869">
        <v>2</v>
      </c>
      <c r="O869" t="s">
        <v>825</v>
      </c>
      <c r="P869">
        <v>0.02</v>
      </c>
      <c r="Q869" t="s">
        <v>245</v>
      </c>
      <c r="R869">
        <v>28.6</v>
      </c>
      <c r="S869">
        <v>31.4</v>
      </c>
      <c r="T869">
        <v>28.6</v>
      </c>
      <c r="U869">
        <v>4.3</v>
      </c>
      <c r="V869">
        <v>7.1</v>
      </c>
    </row>
    <row r="870" spans="1:22" x14ac:dyDescent="0.25">
      <c r="A870" t="s">
        <v>2163</v>
      </c>
      <c r="B870" t="s">
        <v>507</v>
      </c>
      <c r="C870">
        <v>39</v>
      </c>
      <c r="D870" t="s">
        <v>132</v>
      </c>
      <c r="E870" t="s">
        <v>26</v>
      </c>
      <c r="F870" t="s">
        <v>26</v>
      </c>
      <c r="G870">
        <v>0.21</v>
      </c>
      <c r="H870" t="s">
        <v>2164</v>
      </c>
      <c r="I870">
        <v>9</v>
      </c>
      <c r="J870" t="str">
        <f>HYPERLINK("https://www.eliteprospects.com/player/679662/jonathan-prud-homme")</f>
        <v>https://www.eliteprospects.com/player/679662/jonathan-prud-homme</v>
      </c>
      <c r="K870" t="s">
        <v>27</v>
      </c>
      <c r="L870" t="s">
        <v>804</v>
      </c>
      <c r="M870" t="s">
        <v>1296</v>
      </c>
      <c r="N870">
        <v>3</v>
      </c>
      <c r="O870" t="s">
        <v>805</v>
      </c>
      <c r="P870">
        <v>0.02</v>
      </c>
      <c r="Q870" t="s">
        <v>245</v>
      </c>
      <c r="R870">
        <v>28.6</v>
      </c>
      <c r="S870">
        <v>31.4</v>
      </c>
      <c r="T870">
        <v>28.6</v>
      </c>
      <c r="U870">
        <v>4.3</v>
      </c>
      <c r="V870">
        <v>7.1</v>
      </c>
    </row>
    <row r="871" spans="1:22" x14ac:dyDescent="0.25">
      <c r="A871" t="s">
        <v>2165</v>
      </c>
      <c r="B871" t="s">
        <v>507</v>
      </c>
      <c r="C871">
        <v>37</v>
      </c>
      <c r="D871" t="s">
        <v>66</v>
      </c>
      <c r="E871" t="s">
        <v>140</v>
      </c>
      <c r="F871" t="s">
        <v>78</v>
      </c>
      <c r="G871">
        <v>0.19</v>
      </c>
      <c r="H871" t="s">
        <v>427</v>
      </c>
      <c r="I871">
        <v>-21</v>
      </c>
      <c r="J871" t="str">
        <f>HYPERLINK("https://www.eliteprospects.com/player/763400/alexis-mathieu")</f>
        <v>https://www.eliteprospects.com/player/763400/alexis-mathieu</v>
      </c>
      <c r="K871" t="s">
        <v>27</v>
      </c>
      <c r="L871" t="s">
        <v>804</v>
      </c>
      <c r="M871" t="s">
        <v>1296</v>
      </c>
      <c r="N871">
        <v>3</v>
      </c>
      <c r="O871" t="s">
        <v>805</v>
      </c>
      <c r="P871">
        <v>0.02</v>
      </c>
      <c r="Q871" t="s">
        <v>245</v>
      </c>
      <c r="R871">
        <v>28.6</v>
      </c>
      <c r="S871">
        <v>31.4</v>
      </c>
      <c r="T871">
        <v>28.6</v>
      </c>
      <c r="U871">
        <v>4.3</v>
      </c>
      <c r="V871">
        <v>7.1</v>
      </c>
    </row>
    <row r="872" spans="1:22" x14ac:dyDescent="0.25">
      <c r="A872" t="s">
        <v>2166</v>
      </c>
      <c r="B872" t="s">
        <v>848</v>
      </c>
      <c r="C872">
        <v>30</v>
      </c>
      <c r="D872" t="s">
        <v>140</v>
      </c>
      <c r="E872" t="s">
        <v>66</v>
      </c>
      <c r="F872" t="s">
        <v>78</v>
      </c>
      <c r="G872">
        <v>0.23</v>
      </c>
      <c r="H872" t="s">
        <v>61</v>
      </c>
      <c r="I872">
        <v>-3</v>
      </c>
      <c r="J872" t="str">
        <f>HYPERLINK("https://www.eliteprospects.com/player/887190/zachary-roussy")</f>
        <v>https://www.eliteprospects.com/player/887190/zachary-roussy</v>
      </c>
      <c r="K872" t="s">
        <v>27</v>
      </c>
      <c r="L872" t="s">
        <v>804</v>
      </c>
      <c r="M872" t="s">
        <v>1296</v>
      </c>
      <c r="N872">
        <v>1</v>
      </c>
      <c r="O872" t="s">
        <v>816</v>
      </c>
      <c r="P872">
        <v>0.03</v>
      </c>
      <c r="Q872" t="s">
        <v>245</v>
      </c>
      <c r="R872">
        <v>28.6</v>
      </c>
      <c r="S872">
        <v>31.4</v>
      </c>
      <c r="T872">
        <v>28.6</v>
      </c>
      <c r="U872">
        <v>4.3</v>
      </c>
      <c r="V872">
        <v>7.1</v>
      </c>
    </row>
    <row r="873" spans="1:22" x14ac:dyDescent="0.25">
      <c r="A873" t="s">
        <v>2167</v>
      </c>
      <c r="B873" t="s">
        <v>803</v>
      </c>
      <c r="C873">
        <v>39</v>
      </c>
      <c r="D873" t="s">
        <v>140</v>
      </c>
      <c r="E873" t="s">
        <v>66</v>
      </c>
      <c r="F873" t="s">
        <v>78</v>
      </c>
      <c r="G873">
        <v>0.18</v>
      </c>
      <c r="H873" t="s">
        <v>39</v>
      </c>
      <c r="I873">
        <v>-9</v>
      </c>
      <c r="J873" t="str">
        <f>HYPERLINK("https://www.eliteprospects.com/player/772967/alexis-fortin")</f>
        <v>https://www.eliteprospects.com/player/772967/alexis-fortin</v>
      </c>
      <c r="K873" t="s">
        <v>27</v>
      </c>
      <c r="L873" t="s">
        <v>804</v>
      </c>
      <c r="M873" t="s">
        <v>1296</v>
      </c>
      <c r="N873">
        <v>3</v>
      </c>
      <c r="O873" t="s">
        <v>805</v>
      </c>
      <c r="P873">
        <v>0.02</v>
      </c>
      <c r="Q873" t="s">
        <v>245</v>
      </c>
      <c r="R873">
        <v>28.6</v>
      </c>
      <c r="S873">
        <v>31.4</v>
      </c>
      <c r="T873">
        <v>28.6</v>
      </c>
      <c r="U873">
        <v>4.3</v>
      </c>
      <c r="V873">
        <v>7.1</v>
      </c>
    </row>
    <row r="874" spans="1:22" x14ac:dyDescent="0.25">
      <c r="A874" t="s">
        <v>2168</v>
      </c>
      <c r="B874" t="s">
        <v>822</v>
      </c>
      <c r="C874">
        <v>35</v>
      </c>
      <c r="D874" t="s">
        <v>79</v>
      </c>
      <c r="E874" t="s">
        <v>96</v>
      </c>
      <c r="F874" t="s">
        <v>78</v>
      </c>
      <c r="G874">
        <v>0.2</v>
      </c>
      <c r="H874" t="s">
        <v>26</v>
      </c>
      <c r="I874">
        <v>9</v>
      </c>
      <c r="J874" t="str">
        <f>HYPERLINK("https://www.eliteprospects.com/player/806149/jacob-de-ladurantaye")</f>
        <v>https://www.eliteprospects.com/player/806149/jacob-de-ladurantaye</v>
      </c>
      <c r="K874" t="s">
        <v>27</v>
      </c>
      <c r="L874" t="s">
        <v>804</v>
      </c>
      <c r="M874" t="s">
        <v>1296</v>
      </c>
      <c r="N874">
        <v>2</v>
      </c>
      <c r="O874" t="s">
        <v>825</v>
      </c>
      <c r="P874">
        <v>0.02</v>
      </c>
      <c r="Q874" t="s">
        <v>245</v>
      </c>
      <c r="R874">
        <v>28.6</v>
      </c>
      <c r="S874">
        <v>31.4</v>
      </c>
      <c r="T874">
        <v>28.6</v>
      </c>
      <c r="U874">
        <v>4.3</v>
      </c>
      <c r="V874">
        <v>7.1</v>
      </c>
    </row>
    <row r="875" spans="1:22" x14ac:dyDescent="0.25">
      <c r="A875" t="s">
        <v>2169</v>
      </c>
      <c r="B875" t="s">
        <v>824</v>
      </c>
      <c r="C875">
        <v>38</v>
      </c>
      <c r="D875" t="s">
        <v>79</v>
      </c>
      <c r="E875" t="s">
        <v>96</v>
      </c>
      <c r="F875" t="s">
        <v>78</v>
      </c>
      <c r="G875">
        <v>0.18</v>
      </c>
      <c r="H875" t="s">
        <v>66</v>
      </c>
      <c r="I875">
        <v>-5</v>
      </c>
      <c r="J875" t="str">
        <f>HYPERLINK("https://www.eliteprospects.com/player/978999/cameron-minella")</f>
        <v>https://www.eliteprospects.com/player/978999/cameron-minella</v>
      </c>
      <c r="K875" t="s">
        <v>27</v>
      </c>
      <c r="L875" t="s">
        <v>804</v>
      </c>
      <c r="M875" t="s">
        <v>1296</v>
      </c>
      <c r="N875">
        <v>1</v>
      </c>
      <c r="O875" t="s">
        <v>816</v>
      </c>
      <c r="P875">
        <v>0.02</v>
      </c>
      <c r="Q875" t="s">
        <v>245</v>
      </c>
      <c r="R875">
        <v>28.6</v>
      </c>
      <c r="S875">
        <v>31.4</v>
      </c>
      <c r="T875">
        <v>28.6</v>
      </c>
      <c r="U875">
        <v>4.3</v>
      </c>
      <c r="V875">
        <v>7.1</v>
      </c>
    </row>
    <row r="876" spans="1:22" x14ac:dyDescent="0.25">
      <c r="A876" t="s">
        <v>2170</v>
      </c>
      <c r="B876" t="s">
        <v>811</v>
      </c>
      <c r="C876">
        <v>17</v>
      </c>
      <c r="D876" t="s">
        <v>260</v>
      </c>
      <c r="E876" t="s">
        <v>57</v>
      </c>
      <c r="F876" t="s">
        <v>78</v>
      </c>
      <c r="G876">
        <v>0.41</v>
      </c>
      <c r="H876" t="s">
        <v>81</v>
      </c>
      <c r="I876">
        <v>5</v>
      </c>
      <c r="J876" t="str">
        <f>HYPERLINK("https://www.eliteprospects.com/player/718561/julien-lanthier")</f>
        <v>https://www.eliteprospects.com/player/718561/julien-lanthier</v>
      </c>
      <c r="K876" t="s">
        <v>27</v>
      </c>
      <c r="L876" t="s">
        <v>804</v>
      </c>
      <c r="M876" t="s">
        <v>1296</v>
      </c>
      <c r="N876">
        <v>4</v>
      </c>
      <c r="O876" t="s">
        <v>809</v>
      </c>
      <c r="P876">
        <v>0.05</v>
      </c>
      <c r="Q876" t="s">
        <v>1325</v>
      </c>
      <c r="R876">
        <v>26.3</v>
      </c>
      <c r="S876">
        <v>23.7</v>
      </c>
      <c r="T876">
        <v>28.9</v>
      </c>
      <c r="U876">
        <v>5.3</v>
      </c>
      <c r="V876">
        <v>15.8</v>
      </c>
    </row>
    <row r="877" spans="1:22" x14ac:dyDescent="0.25">
      <c r="A877" t="s">
        <v>2171</v>
      </c>
      <c r="B877" t="s">
        <v>507</v>
      </c>
      <c r="C877">
        <v>31</v>
      </c>
      <c r="D877" t="s">
        <v>260</v>
      </c>
      <c r="E877" t="s">
        <v>57</v>
      </c>
      <c r="F877" t="s">
        <v>78</v>
      </c>
      <c r="G877">
        <v>0.23</v>
      </c>
      <c r="H877" t="s">
        <v>39</v>
      </c>
      <c r="I877">
        <v>1</v>
      </c>
      <c r="J877" t="str">
        <f>HYPERLINK("https://www.eliteprospects.com/player/673059/dylan-mackinnon")</f>
        <v>https://www.eliteprospects.com/player/673059/dylan-mackinnon</v>
      </c>
      <c r="K877" t="s">
        <v>27</v>
      </c>
      <c r="L877" t="s">
        <v>804</v>
      </c>
      <c r="M877" t="s">
        <v>1296</v>
      </c>
      <c r="N877">
        <v>5</v>
      </c>
      <c r="O877" t="s">
        <v>807</v>
      </c>
      <c r="P877">
        <v>0.03</v>
      </c>
      <c r="Q877" t="s">
        <v>245</v>
      </c>
      <c r="R877">
        <v>28.6</v>
      </c>
      <c r="S877">
        <v>31.4</v>
      </c>
      <c r="T877">
        <v>28.6</v>
      </c>
      <c r="U877">
        <v>4.3</v>
      </c>
      <c r="V877">
        <v>7.1</v>
      </c>
    </row>
    <row r="878" spans="1:22" x14ac:dyDescent="0.25">
      <c r="A878" t="s">
        <v>2172</v>
      </c>
      <c r="B878" t="s">
        <v>507</v>
      </c>
      <c r="C878">
        <v>40</v>
      </c>
      <c r="D878" t="s">
        <v>260</v>
      </c>
      <c r="E878" t="s">
        <v>57</v>
      </c>
      <c r="F878" t="s">
        <v>78</v>
      </c>
      <c r="G878">
        <v>0.18</v>
      </c>
      <c r="H878" t="s">
        <v>75</v>
      </c>
      <c r="I878">
        <v>11</v>
      </c>
      <c r="J878" t="str">
        <f>HYPERLINK("https://www.eliteprospects.com/player/684089/yan-gaudreau")</f>
        <v>https://www.eliteprospects.com/player/684089/yan-gaudreau</v>
      </c>
      <c r="K878" t="s">
        <v>27</v>
      </c>
      <c r="L878" t="s">
        <v>804</v>
      </c>
      <c r="M878" t="s">
        <v>1296</v>
      </c>
      <c r="N878">
        <v>3</v>
      </c>
      <c r="O878" t="s">
        <v>805</v>
      </c>
      <c r="P878">
        <v>0.02</v>
      </c>
      <c r="Q878" t="s">
        <v>245</v>
      </c>
      <c r="R878">
        <v>28.6</v>
      </c>
      <c r="S878">
        <v>31.4</v>
      </c>
      <c r="T878">
        <v>28.6</v>
      </c>
      <c r="U878">
        <v>4.3</v>
      </c>
      <c r="V878">
        <v>7.1</v>
      </c>
    </row>
    <row r="879" spans="1:22" x14ac:dyDescent="0.25">
      <c r="A879" t="s">
        <v>2173</v>
      </c>
      <c r="B879" t="s">
        <v>826</v>
      </c>
      <c r="C879">
        <v>24</v>
      </c>
      <c r="D879" t="s">
        <v>132</v>
      </c>
      <c r="E879" t="s">
        <v>78</v>
      </c>
      <c r="F879" t="s">
        <v>78</v>
      </c>
      <c r="G879">
        <v>0.28999999999999998</v>
      </c>
      <c r="H879" t="s">
        <v>60</v>
      </c>
      <c r="I879">
        <v>10</v>
      </c>
      <c r="J879" t="str">
        <f>HYPERLINK("https://www.eliteprospects.com/player/914130/cooper-campbell")</f>
        <v>https://www.eliteprospects.com/player/914130/cooper-campbell</v>
      </c>
      <c r="K879" t="s">
        <v>27</v>
      </c>
      <c r="L879" t="s">
        <v>804</v>
      </c>
      <c r="M879" t="s">
        <v>1296</v>
      </c>
      <c r="N879">
        <v>1</v>
      </c>
      <c r="O879" t="s">
        <v>816</v>
      </c>
      <c r="P879">
        <v>0.03</v>
      </c>
      <c r="Q879" t="s">
        <v>245</v>
      </c>
      <c r="R879">
        <v>28.6</v>
      </c>
      <c r="S879">
        <v>31.4</v>
      </c>
      <c r="T879">
        <v>28.6</v>
      </c>
      <c r="U879">
        <v>4.3</v>
      </c>
      <c r="V879">
        <v>7.1</v>
      </c>
    </row>
    <row r="880" spans="1:22" x14ac:dyDescent="0.25">
      <c r="A880" t="s">
        <v>2174</v>
      </c>
      <c r="B880" t="s">
        <v>820</v>
      </c>
      <c r="C880">
        <v>27</v>
      </c>
      <c r="D880" t="s">
        <v>132</v>
      </c>
      <c r="E880" t="s">
        <v>78</v>
      </c>
      <c r="F880" t="s">
        <v>78</v>
      </c>
      <c r="G880">
        <v>0.26</v>
      </c>
      <c r="H880" t="s">
        <v>41</v>
      </c>
      <c r="I880">
        <v>4</v>
      </c>
      <c r="J880" t="str">
        <f>HYPERLINK("https://www.eliteprospects.com/player/781217/aiden-diamond")</f>
        <v>https://www.eliteprospects.com/player/781217/aiden-diamond</v>
      </c>
      <c r="K880" t="s">
        <v>27</v>
      </c>
      <c r="L880" t="s">
        <v>804</v>
      </c>
      <c r="M880" t="s">
        <v>1296</v>
      </c>
      <c r="N880">
        <v>2</v>
      </c>
      <c r="O880" t="s">
        <v>825</v>
      </c>
      <c r="P880">
        <v>0.03</v>
      </c>
      <c r="Q880" t="s">
        <v>245</v>
      </c>
      <c r="R880">
        <v>28.6</v>
      </c>
      <c r="S880">
        <v>31.4</v>
      </c>
      <c r="T880">
        <v>28.6</v>
      </c>
      <c r="U880">
        <v>4.3</v>
      </c>
      <c r="V880">
        <v>7.1</v>
      </c>
    </row>
    <row r="881" spans="1:22" x14ac:dyDescent="0.25">
      <c r="A881" t="s">
        <v>2175</v>
      </c>
      <c r="B881" t="s">
        <v>823</v>
      </c>
      <c r="C881">
        <v>23</v>
      </c>
      <c r="D881" t="s">
        <v>79</v>
      </c>
      <c r="E881" t="s">
        <v>66</v>
      </c>
      <c r="F881" t="s">
        <v>57</v>
      </c>
      <c r="G881">
        <v>0.26</v>
      </c>
      <c r="H881" t="s">
        <v>51</v>
      </c>
      <c r="I881">
        <v>2</v>
      </c>
      <c r="J881" t="str">
        <f>HYPERLINK("https://www.eliteprospects.com/player/745779/charlie-morrison")</f>
        <v>https://www.eliteprospects.com/player/745779/charlie-morrison</v>
      </c>
      <c r="K881" t="s">
        <v>27</v>
      </c>
      <c r="L881" t="s">
        <v>804</v>
      </c>
      <c r="M881" t="s">
        <v>1296</v>
      </c>
      <c r="N881">
        <v>2</v>
      </c>
      <c r="O881" t="s">
        <v>825</v>
      </c>
      <c r="P881">
        <v>0.03</v>
      </c>
      <c r="Q881" t="s">
        <v>245</v>
      </c>
      <c r="R881">
        <v>28.6</v>
      </c>
      <c r="S881">
        <v>31.4</v>
      </c>
      <c r="T881">
        <v>28.6</v>
      </c>
      <c r="U881">
        <v>4.3</v>
      </c>
      <c r="V881">
        <v>7.1</v>
      </c>
    </row>
    <row r="882" spans="1:22" x14ac:dyDescent="0.25">
      <c r="A882" t="s">
        <v>2176</v>
      </c>
      <c r="B882" t="s">
        <v>828</v>
      </c>
      <c r="C882">
        <v>27</v>
      </c>
      <c r="D882" t="s">
        <v>79</v>
      </c>
      <c r="E882" t="s">
        <v>66</v>
      </c>
      <c r="F882" t="s">
        <v>57</v>
      </c>
      <c r="G882">
        <v>0.22</v>
      </c>
      <c r="H882" t="s">
        <v>132</v>
      </c>
      <c r="I882">
        <v>11</v>
      </c>
      <c r="J882" t="str">
        <f>HYPERLINK("https://www.eliteprospects.com/player/898377/oskar-drabczynski")</f>
        <v>https://www.eliteprospects.com/player/898377/oskar-drabczynski</v>
      </c>
      <c r="K882" t="s">
        <v>27</v>
      </c>
      <c r="L882" t="s">
        <v>804</v>
      </c>
      <c r="M882" t="s">
        <v>1296</v>
      </c>
      <c r="N882">
        <v>1</v>
      </c>
      <c r="O882" t="s">
        <v>816</v>
      </c>
      <c r="P882">
        <v>0.02</v>
      </c>
      <c r="Q882" t="s">
        <v>245</v>
      </c>
      <c r="R882">
        <v>28.6</v>
      </c>
      <c r="S882">
        <v>31.4</v>
      </c>
      <c r="T882">
        <v>28.6</v>
      </c>
      <c r="U882">
        <v>4.3</v>
      </c>
      <c r="V882">
        <v>7.1</v>
      </c>
    </row>
    <row r="883" spans="1:22" x14ac:dyDescent="0.25">
      <c r="A883" t="s">
        <v>2177</v>
      </c>
      <c r="B883" t="s">
        <v>803</v>
      </c>
      <c r="C883">
        <v>31</v>
      </c>
      <c r="D883" t="s">
        <v>79</v>
      </c>
      <c r="E883" t="s">
        <v>66</v>
      </c>
      <c r="F883" t="s">
        <v>57</v>
      </c>
      <c r="G883">
        <v>0.19</v>
      </c>
      <c r="H883" t="s">
        <v>638</v>
      </c>
      <c r="I883">
        <v>-4</v>
      </c>
      <c r="J883" t="str">
        <f>HYPERLINK("https://www.eliteprospects.com/player/889796/jacob-gouchie")</f>
        <v>https://www.eliteprospects.com/player/889796/jacob-gouchie</v>
      </c>
      <c r="K883" t="s">
        <v>27</v>
      </c>
      <c r="L883" t="s">
        <v>804</v>
      </c>
      <c r="M883" t="s">
        <v>1296</v>
      </c>
      <c r="N883">
        <v>2</v>
      </c>
      <c r="O883" t="s">
        <v>825</v>
      </c>
      <c r="P883">
        <v>0.02</v>
      </c>
      <c r="Q883" t="s">
        <v>245</v>
      </c>
      <c r="R883">
        <v>28.6</v>
      </c>
      <c r="S883">
        <v>31.4</v>
      </c>
      <c r="T883">
        <v>28.6</v>
      </c>
      <c r="U883">
        <v>4.3</v>
      </c>
      <c r="V883">
        <v>7.1</v>
      </c>
    </row>
    <row r="884" spans="1:22" x14ac:dyDescent="0.25">
      <c r="A884" t="s">
        <v>2178</v>
      </c>
      <c r="B884" t="s">
        <v>507</v>
      </c>
      <c r="C884">
        <v>33</v>
      </c>
      <c r="D884" t="s">
        <v>260</v>
      </c>
      <c r="E884" t="s">
        <v>96</v>
      </c>
      <c r="F884" t="s">
        <v>57</v>
      </c>
      <c r="G884">
        <v>0.18</v>
      </c>
      <c r="H884" t="s">
        <v>57</v>
      </c>
      <c r="I884">
        <v>-10</v>
      </c>
      <c r="J884" t="str">
        <f>HYPERLINK("https://www.eliteprospects.com/player/852804/brady-flynn")</f>
        <v>https://www.eliteprospects.com/player/852804/brady-flynn</v>
      </c>
      <c r="K884" t="s">
        <v>27</v>
      </c>
      <c r="L884" t="s">
        <v>804</v>
      </c>
      <c r="M884" t="s">
        <v>1296</v>
      </c>
      <c r="N884">
        <v>2</v>
      </c>
      <c r="O884" t="s">
        <v>825</v>
      </c>
      <c r="P884">
        <v>0.02</v>
      </c>
      <c r="Q884" t="s">
        <v>245</v>
      </c>
      <c r="R884">
        <v>28.6</v>
      </c>
      <c r="S884">
        <v>31.4</v>
      </c>
      <c r="T884">
        <v>28.6</v>
      </c>
      <c r="U884">
        <v>4.3</v>
      </c>
      <c r="V884">
        <v>7.1</v>
      </c>
    </row>
    <row r="885" spans="1:22" x14ac:dyDescent="0.25">
      <c r="A885" t="s">
        <v>2179</v>
      </c>
      <c r="B885" t="s">
        <v>823</v>
      </c>
      <c r="C885">
        <v>33</v>
      </c>
      <c r="D885" t="s">
        <v>260</v>
      </c>
      <c r="E885" t="s">
        <v>96</v>
      </c>
      <c r="F885" t="s">
        <v>57</v>
      </c>
      <c r="G885">
        <v>0.18</v>
      </c>
      <c r="H885" t="s">
        <v>69</v>
      </c>
      <c r="I885">
        <v>-5</v>
      </c>
      <c r="J885" t="str">
        <f>HYPERLINK("https://www.eliteprospects.com/player/689946/freddy-meyer")</f>
        <v>https://www.eliteprospects.com/player/689946/freddy-meyer</v>
      </c>
      <c r="K885" t="s">
        <v>27</v>
      </c>
      <c r="L885" t="s">
        <v>804</v>
      </c>
      <c r="M885" t="s">
        <v>1296</v>
      </c>
      <c r="N885">
        <v>1</v>
      </c>
      <c r="O885" t="s">
        <v>816</v>
      </c>
      <c r="P885">
        <v>0.02</v>
      </c>
      <c r="Q885" t="s">
        <v>245</v>
      </c>
      <c r="R885">
        <v>28.6</v>
      </c>
      <c r="S885">
        <v>31.4</v>
      </c>
      <c r="T885">
        <v>28.6</v>
      </c>
      <c r="U885">
        <v>4.3</v>
      </c>
      <c r="V885">
        <v>7.1</v>
      </c>
    </row>
    <row r="886" spans="1:22" x14ac:dyDescent="0.25">
      <c r="A886" t="s">
        <v>2180</v>
      </c>
      <c r="B886" t="s">
        <v>823</v>
      </c>
      <c r="C886">
        <v>25</v>
      </c>
      <c r="D886" t="s">
        <v>132</v>
      </c>
      <c r="E886" t="s">
        <v>57</v>
      </c>
      <c r="F886" t="s">
        <v>57</v>
      </c>
      <c r="G886">
        <v>0.24</v>
      </c>
      <c r="H886" t="s">
        <v>32</v>
      </c>
      <c r="I886">
        <v>3</v>
      </c>
      <c r="J886" t="str">
        <f>HYPERLINK("https://www.eliteprospects.com/player/701452/thomas-charbonneau")</f>
        <v>https://www.eliteprospects.com/player/701452/thomas-charbonneau</v>
      </c>
      <c r="K886" t="s">
        <v>27</v>
      </c>
      <c r="L886" t="s">
        <v>804</v>
      </c>
      <c r="M886" t="s">
        <v>1296</v>
      </c>
      <c r="N886">
        <v>1</v>
      </c>
      <c r="O886" t="s">
        <v>816</v>
      </c>
      <c r="P886">
        <v>0.03</v>
      </c>
      <c r="Q886" t="s">
        <v>245</v>
      </c>
      <c r="R886">
        <v>28.6</v>
      </c>
      <c r="S886">
        <v>31.4</v>
      </c>
      <c r="T886">
        <v>28.6</v>
      </c>
      <c r="U886">
        <v>4.3</v>
      </c>
      <c r="V886">
        <v>7.1</v>
      </c>
    </row>
    <row r="887" spans="1:22" x14ac:dyDescent="0.25">
      <c r="A887" t="s">
        <v>2181</v>
      </c>
      <c r="B887" t="s">
        <v>507</v>
      </c>
      <c r="C887">
        <v>29</v>
      </c>
      <c r="D887" t="s">
        <v>132</v>
      </c>
      <c r="E887" t="s">
        <v>57</v>
      </c>
      <c r="F887" t="s">
        <v>57</v>
      </c>
      <c r="G887">
        <v>0.21</v>
      </c>
      <c r="H887" t="s">
        <v>55</v>
      </c>
      <c r="I887">
        <v>-9</v>
      </c>
      <c r="J887" t="str">
        <f>HYPERLINK("https://www.eliteprospects.com/player/957296/patryk-zubek")</f>
        <v>https://www.eliteprospects.com/player/957296/patryk-zubek</v>
      </c>
      <c r="K887" t="s">
        <v>27</v>
      </c>
      <c r="L887" t="s">
        <v>804</v>
      </c>
      <c r="M887" t="s">
        <v>1296</v>
      </c>
      <c r="N887">
        <v>1</v>
      </c>
      <c r="O887" t="s">
        <v>816</v>
      </c>
      <c r="P887">
        <v>0.02</v>
      </c>
      <c r="Q887" t="s">
        <v>245</v>
      </c>
      <c r="R887">
        <v>28.6</v>
      </c>
      <c r="S887">
        <v>31.4</v>
      </c>
      <c r="T887">
        <v>28.6</v>
      </c>
      <c r="U887">
        <v>4.3</v>
      </c>
      <c r="V887">
        <v>7.1</v>
      </c>
    </row>
    <row r="888" spans="1:22" x14ac:dyDescent="0.25">
      <c r="A888" t="s">
        <v>2182</v>
      </c>
      <c r="B888" t="s">
        <v>806</v>
      </c>
      <c r="C888">
        <v>34</v>
      </c>
      <c r="D888" t="s">
        <v>132</v>
      </c>
      <c r="E888" t="s">
        <v>57</v>
      </c>
      <c r="F888" t="s">
        <v>57</v>
      </c>
      <c r="G888">
        <v>0.18</v>
      </c>
      <c r="H888" t="s">
        <v>32</v>
      </c>
      <c r="I888">
        <v>-8</v>
      </c>
      <c r="J888" t="str">
        <f>HYPERLINK("https://www.eliteprospects.com/player/999201/quinn-norman")</f>
        <v>https://www.eliteprospects.com/player/999201/quinn-norman</v>
      </c>
      <c r="K888" t="s">
        <v>27</v>
      </c>
      <c r="L888" t="s">
        <v>804</v>
      </c>
      <c r="M888" t="s">
        <v>1296</v>
      </c>
      <c r="N888">
        <v>1</v>
      </c>
      <c r="O888" t="s">
        <v>816</v>
      </c>
      <c r="P888">
        <v>0.02</v>
      </c>
      <c r="Q888" t="s">
        <v>245</v>
      </c>
      <c r="R888">
        <v>28.6</v>
      </c>
      <c r="S888">
        <v>31.4</v>
      </c>
      <c r="T888">
        <v>28.6</v>
      </c>
      <c r="U888">
        <v>4.3</v>
      </c>
      <c r="V888">
        <v>7.1</v>
      </c>
    </row>
    <row r="889" spans="1:22" x14ac:dyDescent="0.25">
      <c r="A889" t="s">
        <v>2183</v>
      </c>
      <c r="B889" t="s">
        <v>822</v>
      </c>
      <c r="C889">
        <v>28</v>
      </c>
      <c r="D889" t="s">
        <v>140</v>
      </c>
      <c r="E889" t="s">
        <v>79</v>
      </c>
      <c r="F889" t="s">
        <v>96</v>
      </c>
      <c r="G889">
        <v>0.18</v>
      </c>
      <c r="H889" t="s">
        <v>277</v>
      </c>
      <c r="I889">
        <v>1</v>
      </c>
      <c r="J889" t="str">
        <f>HYPERLINK("https://www.eliteprospects.com/player/806444/will-murphy")</f>
        <v>https://www.eliteprospects.com/player/806444/will-murphy</v>
      </c>
      <c r="K889" t="s">
        <v>27</v>
      </c>
      <c r="L889" t="s">
        <v>804</v>
      </c>
      <c r="M889" t="s">
        <v>1296</v>
      </c>
      <c r="N889">
        <v>3</v>
      </c>
      <c r="O889" t="s">
        <v>805</v>
      </c>
      <c r="P889">
        <v>0.02</v>
      </c>
      <c r="Q889" t="s">
        <v>245</v>
      </c>
      <c r="R889">
        <v>28.6</v>
      </c>
      <c r="S889">
        <v>31.4</v>
      </c>
      <c r="T889">
        <v>28.6</v>
      </c>
      <c r="U889">
        <v>4.3</v>
      </c>
      <c r="V889">
        <v>7.1</v>
      </c>
    </row>
    <row r="890" spans="1:22" x14ac:dyDescent="0.25">
      <c r="A890" t="s">
        <v>2184</v>
      </c>
      <c r="B890" t="s">
        <v>865</v>
      </c>
      <c r="C890">
        <v>34</v>
      </c>
      <c r="D890" t="s">
        <v>140</v>
      </c>
      <c r="E890" t="s">
        <v>79</v>
      </c>
      <c r="F890" t="s">
        <v>96</v>
      </c>
      <c r="G890">
        <v>0.15</v>
      </c>
      <c r="H890" t="s">
        <v>32</v>
      </c>
      <c r="I890">
        <v>-7</v>
      </c>
      <c r="J890" t="str">
        <f>HYPERLINK("https://www.eliteprospects.com/player/805225/zachary-hachey")</f>
        <v>https://www.eliteprospects.com/player/805225/zachary-hachey</v>
      </c>
      <c r="K890" t="s">
        <v>27</v>
      </c>
      <c r="L890" t="s">
        <v>804</v>
      </c>
      <c r="M890" t="s">
        <v>1296</v>
      </c>
      <c r="N890">
        <v>1</v>
      </c>
      <c r="O890" t="s">
        <v>816</v>
      </c>
      <c r="P890">
        <v>0.02</v>
      </c>
      <c r="Q890" t="s">
        <v>245</v>
      </c>
      <c r="R890">
        <v>28.6</v>
      </c>
      <c r="S890">
        <v>31.4</v>
      </c>
      <c r="T890">
        <v>28.6</v>
      </c>
      <c r="U890">
        <v>4.3</v>
      </c>
      <c r="V890">
        <v>7.1</v>
      </c>
    </row>
    <row r="891" spans="1:22" x14ac:dyDescent="0.25">
      <c r="A891" t="s">
        <v>2185</v>
      </c>
      <c r="B891" t="s">
        <v>828</v>
      </c>
      <c r="C891">
        <v>18</v>
      </c>
      <c r="D891" t="s">
        <v>79</v>
      </c>
      <c r="E891" t="s">
        <v>140</v>
      </c>
      <c r="F891" t="s">
        <v>96</v>
      </c>
      <c r="G891">
        <v>0.28000000000000003</v>
      </c>
      <c r="H891" t="s">
        <v>57</v>
      </c>
      <c r="I891">
        <v>1</v>
      </c>
      <c r="J891" t="str">
        <f>HYPERLINK("https://www.eliteprospects.com/player/877117/cameron-chartrand")</f>
        <v>https://www.eliteprospects.com/player/877117/cameron-chartrand</v>
      </c>
      <c r="K891" t="s">
        <v>27</v>
      </c>
      <c r="L891" t="s">
        <v>804</v>
      </c>
      <c r="M891" t="s">
        <v>1296</v>
      </c>
      <c r="N891">
        <v>1</v>
      </c>
      <c r="O891" t="s">
        <v>816</v>
      </c>
      <c r="P891">
        <v>0.03</v>
      </c>
      <c r="Q891" t="s">
        <v>245</v>
      </c>
      <c r="R891">
        <v>28.6</v>
      </c>
      <c r="S891">
        <v>31.4</v>
      </c>
      <c r="T891">
        <v>28.6</v>
      </c>
      <c r="U891">
        <v>4.3</v>
      </c>
      <c r="V891">
        <v>7.1</v>
      </c>
    </row>
    <row r="892" spans="1:22" x14ac:dyDescent="0.25">
      <c r="A892" t="s">
        <v>2186</v>
      </c>
      <c r="B892" t="s">
        <v>803</v>
      </c>
      <c r="C892">
        <v>35</v>
      </c>
      <c r="D892" t="s">
        <v>79</v>
      </c>
      <c r="E892" t="s">
        <v>140</v>
      </c>
      <c r="F892" t="s">
        <v>96</v>
      </c>
      <c r="G892">
        <v>0.14000000000000001</v>
      </c>
      <c r="H892" t="s">
        <v>65</v>
      </c>
      <c r="I892">
        <v>5</v>
      </c>
      <c r="J892" t="str">
        <f>HYPERLINK("https://www.eliteprospects.com/player/755225/hemrick-carbonneau")</f>
        <v>https://www.eliteprospects.com/player/755225/hemrick-carbonneau</v>
      </c>
      <c r="K892" t="s">
        <v>27</v>
      </c>
      <c r="L892" t="s">
        <v>804</v>
      </c>
      <c r="M892" t="s">
        <v>1296</v>
      </c>
      <c r="N892">
        <v>3</v>
      </c>
      <c r="O892" t="s">
        <v>805</v>
      </c>
      <c r="P892">
        <v>0.02</v>
      </c>
      <c r="Q892" t="s">
        <v>245</v>
      </c>
      <c r="R892">
        <v>28.6</v>
      </c>
      <c r="S892">
        <v>31.4</v>
      </c>
      <c r="T892">
        <v>28.6</v>
      </c>
      <c r="U892">
        <v>4.3</v>
      </c>
      <c r="V892">
        <v>7.1</v>
      </c>
    </row>
    <row r="893" spans="1:22" x14ac:dyDescent="0.25">
      <c r="A893" t="s">
        <v>2187</v>
      </c>
      <c r="B893" t="s">
        <v>822</v>
      </c>
      <c r="C893">
        <v>36</v>
      </c>
      <c r="D893" t="s">
        <v>79</v>
      </c>
      <c r="E893" t="s">
        <v>140</v>
      </c>
      <c r="F893" t="s">
        <v>96</v>
      </c>
      <c r="G893">
        <v>0.14000000000000001</v>
      </c>
      <c r="H893" t="s">
        <v>40</v>
      </c>
      <c r="I893">
        <v>-12</v>
      </c>
      <c r="J893" t="str">
        <f>HYPERLINK("https://www.eliteprospects.com/player/889802/aiden-mccullough")</f>
        <v>https://www.eliteprospects.com/player/889802/aiden-mccullough</v>
      </c>
      <c r="K893" t="s">
        <v>27</v>
      </c>
      <c r="L893" t="s">
        <v>804</v>
      </c>
      <c r="M893" t="s">
        <v>1296</v>
      </c>
      <c r="N893">
        <v>2</v>
      </c>
      <c r="O893" t="s">
        <v>825</v>
      </c>
      <c r="P893">
        <v>0.02</v>
      </c>
      <c r="Q893" t="s">
        <v>245</v>
      </c>
      <c r="R893">
        <v>28.6</v>
      </c>
      <c r="S893">
        <v>31.4</v>
      </c>
      <c r="T893">
        <v>28.6</v>
      </c>
      <c r="U893">
        <v>4.3</v>
      </c>
      <c r="V893">
        <v>7.1</v>
      </c>
    </row>
    <row r="894" spans="1:22" x14ac:dyDescent="0.25">
      <c r="A894" t="s">
        <v>2188</v>
      </c>
      <c r="B894" t="s">
        <v>812</v>
      </c>
      <c r="C894">
        <v>37</v>
      </c>
      <c r="D894" t="s">
        <v>79</v>
      </c>
      <c r="E894" t="s">
        <v>140</v>
      </c>
      <c r="F894" t="s">
        <v>96</v>
      </c>
      <c r="G894">
        <v>0.14000000000000001</v>
      </c>
      <c r="H894" t="s">
        <v>51</v>
      </c>
      <c r="I894">
        <v>-1</v>
      </c>
      <c r="J894" t="str">
        <f>HYPERLINK("https://www.eliteprospects.com/player/755216/tristan-langlois")</f>
        <v>https://www.eliteprospects.com/player/755216/tristan-langlois</v>
      </c>
      <c r="K894" t="s">
        <v>27</v>
      </c>
      <c r="L894" t="s">
        <v>804</v>
      </c>
      <c r="M894" t="s">
        <v>1296</v>
      </c>
      <c r="N894">
        <v>2</v>
      </c>
      <c r="O894" t="s">
        <v>825</v>
      </c>
      <c r="P894">
        <v>0.02</v>
      </c>
      <c r="Q894" t="s">
        <v>245</v>
      </c>
      <c r="R894">
        <v>28.6</v>
      </c>
      <c r="S894">
        <v>31.4</v>
      </c>
      <c r="T894">
        <v>28.6</v>
      </c>
      <c r="U894">
        <v>4.3</v>
      </c>
      <c r="V894">
        <v>7.1</v>
      </c>
    </row>
    <row r="895" spans="1:22" x14ac:dyDescent="0.25">
      <c r="A895" t="s">
        <v>2189</v>
      </c>
      <c r="B895" t="s">
        <v>856</v>
      </c>
      <c r="C895">
        <v>11</v>
      </c>
      <c r="D895" t="s">
        <v>260</v>
      </c>
      <c r="E895" t="s">
        <v>66</v>
      </c>
      <c r="F895" t="s">
        <v>96</v>
      </c>
      <c r="G895">
        <v>0.45</v>
      </c>
      <c r="H895" t="s">
        <v>57</v>
      </c>
      <c r="I895">
        <v>-4</v>
      </c>
      <c r="J895" t="str">
        <f>HYPERLINK("https://www.eliteprospects.com/player/646847/olivier-theberge")</f>
        <v>https://www.eliteprospects.com/player/646847/olivier-theberge</v>
      </c>
      <c r="K895" t="s">
        <v>27</v>
      </c>
      <c r="L895" t="s">
        <v>804</v>
      </c>
      <c r="M895" t="s">
        <v>1296</v>
      </c>
      <c r="N895">
        <v>6</v>
      </c>
      <c r="O895" t="s">
        <v>968</v>
      </c>
      <c r="P895">
        <v>0.05</v>
      </c>
      <c r="Q895" t="s">
        <v>1325</v>
      </c>
      <c r="R895">
        <v>26.3</v>
      </c>
      <c r="S895">
        <v>23.7</v>
      </c>
      <c r="T895">
        <v>28.9</v>
      </c>
      <c r="U895">
        <v>5.3</v>
      </c>
      <c r="V895">
        <v>15.8</v>
      </c>
    </row>
    <row r="896" spans="1:22" x14ac:dyDescent="0.25">
      <c r="A896" t="s">
        <v>2190</v>
      </c>
      <c r="B896" t="s">
        <v>507</v>
      </c>
      <c r="C896">
        <v>26</v>
      </c>
      <c r="D896" t="s">
        <v>260</v>
      </c>
      <c r="E896" t="s">
        <v>66</v>
      </c>
      <c r="F896" t="s">
        <v>96</v>
      </c>
      <c r="G896">
        <v>0.19</v>
      </c>
      <c r="H896" t="s">
        <v>125</v>
      </c>
      <c r="I896">
        <v>10</v>
      </c>
      <c r="J896" t="str">
        <f>HYPERLINK("https://www.eliteprospects.com/player/654405/mathieu-taillefer")</f>
        <v>https://www.eliteprospects.com/player/654405/mathieu-taillefer</v>
      </c>
      <c r="K896" t="s">
        <v>27</v>
      </c>
      <c r="L896" t="s">
        <v>804</v>
      </c>
      <c r="M896" t="s">
        <v>1296</v>
      </c>
      <c r="N896">
        <v>2</v>
      </c>
      <c r="O896" t="s">
        <v>825</v>
      </c>
      <c r="P896">
        <v>0.02</v>
      </c>
      <c r="Q896" t="s">
        <v>245</v>
      </c>
      <c r="R896">
        <v>28.6</v>
      </c>
      <c r="S896">
        <v>31.4</v>
      </c>
      <c r="T896">
        <v>28.6</v>
      </c>
      <c r="U896">
        <v>4.3</v>
      </c>
      <c r="V896">
        <v>7.1</v>
      </c>
    </row>
    <row r="897" spans="1:22" x14ac:dyDescent="0.25">
      <c r="A897" t="s">
        <v>2191</v>
      </c>
      <c r="B897" t="s">
        <v>821</v>
      </c>
      <c r="C897">
        <v>38</v>
      </c>
      <c r="D897" t="s">
        <v>260</v>
      </c>
      <c r="E897" t="s">
        <v>66</v>
      </c>
      <c r="F897" t="s">
        <v>96</v>
      </c>
      <c r="G897">
        <v>0.13</v>
      </c>
      <c r="H897" t="s">
        <v>55</v>
      </c>
      <c r="I897">
        <v>-2</v>
      </c>
      <c r="J897" t="str">
        <f>HYPERLINK("https://www.eliteprospects.com/player/689984/nikita-voyaga")</f>
        <v>https://www.eliteprospects.com/player/689984/nikita-voyaga</v>
      </c>
      <c r="K897" t="s">
        <v>27</v>
      </c>
      <c r="L897" t="s">
        <v>804</v>
      </c>
      <c r="M897" t="s">
        <v>1296</v>
      </c>
      <c r="N897">
        <v>2</v>
      </c>
      <c r="O897" t="s">
        <v>825</v>
      </c>
      <c r="P897">
        <v>0.01</v>
      </c>
      <c r="Q897" t="s">
        <v>245</v>
      </c>
      <c r="R897">
        <v>28.6</v>
      </c>
      <c r="S897">
        <v>31.4</v>
      </c>
      <c r="T897">
        <v>28.6</v>
      </c>
      <c r="U897">
        <v>4.3</v>
      </c>
      <c r="V897">
        <v>7.1</v>
      </c>
    </row>
    <row r="898" spans="1:22" x14ac:dyDescent="0.25">
      <c r="A898" t="s">
        <v>2192</v>
      </c>
      <c r="B898" t="s">
        <v>848</v>
      </c>
      <c r="C898">
        <v>38</v>
      </c>
      <c r="D898" t="s">
        <v>260</v>
      </c>
      <c r="E898" t="s">
        <v>66</v>
      </c>
      <c r="F898" t="s">
        <v>96</v>
      </c>
      <c r="G898">
        <v>0.13</v>
      </c>
      <c r="H898" t="s">
        <v>2164</v>
      </c>
      <c r="I898">
        <v>-11</v>
      </c>
      <c r="J898" t="str">
        <f>HYPERLINK("https://www.eliteprospects.com/player/888967/michel-myloserdnyy")</f>
        <v>https://www.eliteprospects.com/player/888967/michel-myloserdnyy</v>
      </c>
      <c r="K898" t="s">
        <v>27</v>
      </c>
      <c r="L898" t="s">
        <v>804</v>
      </c>
      <c r="M898" t="s">
        <v>1296</v>
      </c>
      <c r="N898">
        <v>2</v>
      </c>
      <c r="O898" t="s">
        <v>825</v>
      </c>
      <c r="P898">
        <v>0.01</v>
      </c>
      <c r="Q898" t="s">
        <v>245</v>
      </c>
      <c r="R898">
        <v>28.6</v>
      </c>
      <c r="S898">
        <v>31.4</v>
      </c>
      <c r="T898">
        <v>28.6</v>
      </c>
      <c r="U898">
        <v>4.3</v>
      </c>
      <c r="V898">
        <v>7.1</v>
      </c>
    </row>
    <row r="899" spans="1:22" x14ac:dyDescent="0.25">
      <c r="A899" t="s">
        <v>2193</v>
      </c>
      <c r="B899" t="s">
        <v>865</v>
      </c>
      <c r="C899">
        <v>40</v>
      </c>
      <c r="D899" t="s">
        <v>260</v>
      </c>
      <c r="E899" t="s">
        <v>66</v>
      </c>
      <c r="F899" t="s">
        <v>96</v>
      </c>
      <c r="G899">
        <v>0.13</v>
      </c>
      <c r="H899" t="s">
        <v>187</v>
      </c>
      <c r="I899">
        <v>-29</v>
      </c>
      <c r="J899" t="str">
        <f>HYPERLINK("https://www.eliteprospects.com/player/727701/samuel-brunet")</f>
        <v>https://www.eliteprospects.com/player/727701/samuel-brunet</v>
      </c>
      <c r="K899" t="s">
        <v>27</v>
      </c>
      <c r="L899" t="s">
        <v>804</v>
      </c>
      <c r="M899" t="s">
        <v>1296</v>
      </c>
      <c r="N899">
        <v>2</v>
      </c>
      <c r="O899" t="s">
        <v>825</v>
      </c>
      <c r="P899">
        <v>0.01</v>
      </c>
      <c r="Q899" t="s">
        <v>245</v>
      </c>
      <c r="R899">
        <v>28.6</v>
      </c>
      <c r="S899">
        <v>31.4</v>
      </c>
      <c r="T899">
        <v>28.6</v>
      </c>
      <c r="U899">
        <v>4.3</v>
      </c>
      <c r="V899">
        <v>7.1</v>
      </c>
    </row>
    <row r="900" spans="1:22" x14ac:dyDescent="0.25">
      <c r="A900" t="s">
        <v>2194</v>
      </c>
      <c r="B900" t="s">
        <v>865</v>
      </c>
      <c r="C900">
        <v>19</v>
      </c>
      <c r="D900" t="s">
        <v>132</v>
      </c>
      <c r="E900" t="s">
        <v>96</v>
      </c>
      <c r="F900" t="s">
        <v>96</v>
      </c>
      <c r="G900">
        <v>0.26</v>
      </c>
      <c r="H900" t="s">
        <v>66</v>
      </c>
      <c r="I900">
        <v>-8</v>
      </c>
      <c r="J900" t="str">
        <f>HYPERLINK("https://www.eliteprospects.com/player/884545/toby-almstedt")</f>
        <v>https://www.eliteprospects.com/player/884545/toby-almstedt</v>
      </c>
      <c r="K900" t="s">
        <v>27</v>
      </c>
      <c r="L900" t="s">
        <v>804</v>
      </c>
      <c r="M900" t="s">
        <v>1296</v>
      </c>
      <c r="N900">
        <v>1</v>
      </c>
      <c r="O900" t="s">
        <v>816</v>
      </c>
      <c r="P900">
        <v>0.03</v>
      </c>
      <c r="Q900" t="s">
        <v>245</v>
      </c>
      <c r="R900">
        <v>28.6</v>
      </c>
      <c r="S900">
        <v>31.4</v>
      </c>
      <c r="T900">
        <v>28.6</v>
      </c>
      <c r="U900">
        <v>4.3</v>
      </c>
      <c r="V900">
        <v>7.1</v>
      </c>
    </row>
    <row r="901" spans="1:22" x14ac:dyDescent="0.25">
      <c r="A901" t="s">
        <v>2195</v>
      </c>
      <c r="B901" t="s">
        <v>821</v>
      </c>
      <c r="C901">
        <v>38</v>
      </c>
      <c r="D901" t="s">
        <v>132</v>
      </c>
      <c r="E901" t="s">
        <v>96</v>
      </c>
      <c r="F901" t="s">
        <v>96</v>
      </c>
      <c r="G901">
        <v>0.13</v>
      </c>
      <c r="H901" t="s">
        <v>46</v>
      </c>
      <c r="I901">
        <v>5</v>
      </c>
      <c r="J901" t="str">
        <f>HYPERLINK("https://www.eliteprospects.com/player/872399/emile-alexandro-lemieux-goupil")</f>
        <v>https://www.eliteprospects.com/player/872399/emile-alexandro-lemieux-goupil</v>
      </c>
      <c r="K901" t="s">
        <v>27</v>
      </c>
      <c r="L901" t="s">
        <v>804</v>
      </c>
      <c r="M901" t="s">
        <v>1296</v>
      </c>
      <c r="N901">
        <v>2</v>
      </c>
      <c r="O901" t="s">
        <v>825</v>
      </c>
      <c r="P901">
        <v>0.01</v>
      </c>
      <c r="Q901" t="s">
        <v>245</v>
      </c>
      <c r="R901">
        <v>28.6</v>
      </c>
      <c r="S901">
        <v>31.4</v>
      </c>
      <c r="T901">
        <v>28.6</v>
      </c>
      <c r="U901">
        <v>4.3</v>
      </c>
      <c r="V901">
        <v>7.1</v>
      </c>
    </row>
    <row r="902" spans="1:22" x14ac:dyDescent="0.25">
      <c r="A902" t="s">
        <v>2196</v>
      </c>
      <c r="B902" t="s">
        <v>806</v>
      </c>
      <c r="C902">
        <v>22</v>
      </c>
      <c r="D902" t="s">
        <v>260</v>
      </c>
      <c r="E902" t="s">
        <v>140</v>
      </c>
      <c r="F902" t="s">
        <v>66</v>
      </c>
      <c r="G902">
        <v>0.18</v>
      </c>
      <c r="H902" t="s">
        <v>32</v>
      </c>
      <c r="I902">
        <v>-1</v>
      </c>
      <c r="J902" t="str">
        <f>HYPERLINK("https://www.eliteprospects.com/player/887242/benjamin-girard")</f>
        <v>https://www.eliteprospects.com/player/887242/benjamin-girard</v>
      </c>
      <c r="K902" t="s">
        <v>27</v>
      </c>
      <c r="L902" t="s">
        <v>804</v>
      </c>
      <c r="M902" t="s">
        <v>1296</v>
      </c>
      <c r="N902">
        <v>1</v>
      </c>
      <c r="O902" t="s">
        <v>816</v>
      </c>
      <c r="P902">
        <v>0.02</v>
      </c>
      <c r="Q902" t="s">
        <v>245</v>
      </c>
      <c r="R902">
        <v>28.6</v>
      </c>
      <c r="S902">
        <v>31.4</v>
      </c>
      <c r="T902">
        <v>28.6</v>
      </c>
      <c r="U902">
        <v>4.3</v>
      </c>
      <c r="V902">
        <v>7.1</v>
      </c>
    </row>
    <row r="903" spans="1:22" x14ac:dyDescent="0.25">
      <c r="A903" t="s">
        <v>2197</v>
      </c>
      <c r="B903" t="s">
        <v>828</v>
      </c>
      <c r="C903">
        <v>27</v>
      </c>
      <c r="D903" t="s">
        <v>260</v>
      </c>
      <c r="E903" t="s">
        <v>140</v>
      </c>
      <c r="F903" t="s">
        <v>66</v>
      </c>
      <c r="G903">
        <v>0.15</v>
      </c>
      <c r="H903" t="s">
        <v>24</v>
      </c>
      <c r="I903">
        <v>0</v>
      </c>
      <c r="J903" t="str">
        <f>HYPERLINK("https://www.eliteprospects.com/player/851969/vincent-croteau")</f>
        <v>https://www.eliteprospects.com/player/851969/vincent-croteau</v>
      </c>
      <c r="K903" t="s">
        <v>27</v>
      </c>
      <c r="L903" t="s">
        <v>804</v>
      </c>
      <c r="M903" t="s">
        <v>1296</v>
      </c>
      <c r="N903">
        <v>1</v>
      </c>
      <c r="O903" t="s">
        <v>816</v>
      </c>
      <c r="P903">
        <v>0.02</v>
      </c>
      <c r="Q903" t="s">
        <v>245</v>
      </c>
      <c r="R903">
        <v>28.6</v>
      </c>
      <c r="S903">
        <v>31.4</v>
      </c>
      <c r="T903">
        <v>28.6</v>
      </c>
      <c r="U903">
        <v>4.3</v>
      </c>
      <c r="V903">
        <v>7.1</v>
      </c>
    </row>
    <row r="904" spans="1:22" x14ac:dyDescent="0.25">
      <c r="A904" t="s">
        <v>2198</v>
      </c>
      <c r="B904" t="s">
        <v>811</v>
      </c>
      <c r="C904">
        <v>29</v>
      </c>
      <c r="D904" t="s">
        <v>260</v>
      </c>
      <c r="E904" t="s">
        <v>140</v>
      </c>
      <c r="F904" t="s">
        <v>66</v>
      </c>
      <c r="G904">
        <v>0.14000000000000001</v>
      </c>
      <c r="H904" t="s">
        <v>39</v>
      </c>
      <c r="I904">
        <v>8</v>
      </c>
      <c r="J904" t="str">
        <f>HYPERLINK("https://www.eliteprospects.com/player/760919/mickael-chapdelaine")</f>
        <v>https://www.eliteprospects.com/player/760919/mickael-chapdelaine</v>
      </c>
      <c r="K904" t="s">
        <v>27</v>
      </c>
      <c r="L904" t="s">
        <v>804</v>
      </c>
      <c r="M904" t="s">
        <v>1296</v>
      </c>
      <c r="N904">
        <v>3</v>
      </c>
      <c r="O904" t="s">
        <v>805</v>
      </c>
      <c r="P904">
        <v>0.02</v>
      </c>
      <c r="Q904" t="s">
        <v>245</v>
      </c>
      <c r="R904">
        <v>28.6</v>
      </c>
      <c r="S904">
        <v>31.4</v>
      </c>
      <c r="T904">
        <v>28.6</v>
      </c>
      <c r="U904">
        <v>4.3</v>
      </c>
      <c r="V904">
        <v>7.1</v>
      </c>
    </row>
    <row r="905" spans="1:22" x14ac:dyDescent="0.25">
      <c r="A905" t="s">
        <v>2199</v>
      </c>
      <c r="B905" t="s">
        <v>856</v>
      </c>
      <c r="C905">
        <v>37</v>
      </c>
      <c r="D905" t="s">
        <v>260</v>
      </c>
      <c r="E905" t="s">
        <v>140</v>
      </c>
      <c r="F905" t="s">
        <v>66</v>
      </c>
      <c r="G905">
        <v>0.11</v>
      </c>
      <c r="H905" t="s">
        <v>32</v>
      </c>
      <c r="I905">
        <v>-13</v>
      </c>
      <c r="J905" t="str">
        <f>HYPERLINK("https://www.eliteprospects.com/player/890925/justin-beaulieu")</f>
        <v>https://www.eliteprospects.com/player/890925/justin-beaulieu</v>
      </c>
      <c r="K905" t="s">
        <v>27</v>
      </c>
      <c r="L905" t="s">
        <v>804</v>
      </c>
      <c r="M905" t="s">
        <v>1296</v>
      </c>
      <c r="N905">
        <v>1</v>
      </c>
      <c r="O905" t="s">
        <v>816</v>
      </c>
      <c r="P905">
        <v>0.01</v>
      </c>
      <c r="Q905" t="s">
        <v>245</v>
      </c>
      <c r="R905">
        <v>28.6</v>
      </c>
      <c r="S905">
        <v>31.4</v>
      </c>
      <c r="T905">
        <v>28.6</v>
      </c>
      <c r="U905">
        <v>4.3</v>
      </c>
      <c r="V905">
        <v>7.1</v>
      </c>
    </row>
    <row r="906" spans="1:22" x14ac:dyDescent="0.25">
      <c r="A906" t="s">
        <v>2200</v>
      </c>
      <c r="B906" t="s">
        <v>848</v>
      </c>
      <c r="C906">
        <v>35</v>
      </c>
      <c r="D906" t="s">
        <v>132</v>
      </c>
      <c r="E906" t="s">
        <v>66</v>
      </c>
      <c r="F906" t="s">
        <v>66</v>
      </c>
      <c r="G906">
        <v>0.11</v>
      </c>
      <c r="H906" t="s">
        <v>39</v>
      </c>
      <c r="I906">
        <v>1</v>
      </c>
      <c r="J906" t="str">
        <f>HYPERLINK("https://www.eliteprospects.com/player/897610/drew-mclennan")</f>
        <v>https://www.eliteprospects.com/player/897610/drew-mclennan</v>
      </c>
      <c r="K906" t="s">
        <v>27</v>
      </c>
      <c r="L906" t="s">
        <v>804</v>
      </c>
      <c r="M906" t="s">
        <v>1296</v>
      </c>
      <c r="N906">
        <v>1</v>
      </c>
      <c r="O906" t="s">
        <v>816</v>
      </c>
      <c r="P906">
        <v>0.01</v>
      </c>
      <c r="Q906" t="s">
        <v>245</v>
      </c>
      <c r="R906">
        <v>28.6</v>
      </c>
      <c r="S906">
        <v>31.4</v>
      </c>
      <c r="T906">
        <v>28.6</v>
      </c>
      <c r="U906">
        <v>4.3</v>
      </c>
      <c r="V906">
        <v>7.1</v>
      </c>
    </row>
    <row r="907" spans="1:22" x14ac:dyDescent="0.25">
      <c r="A907" t="s">
        <v>2201</v>
      </c>
      <c r="B907" t="s">
        <v>803</v>
      </c>
      <c r="C907">
        <v>35</v>
      </c>
      <c r="D907" t="s">
        <v>132</v>
      </c>
      <c r="E907" t="s">
        <v>66</v>
      </c>
      <c r="F907" t="s">
        <v>66</v>
      </c>
      <c r="G907">
        <v>0.11</v>
      </c>
      <c r="H907" t="s">
        <v>40</v>
      </c>
      <c r="I907">
        <v>-5</v>
      </c>
      <c r="J907" t="str">
        <f>HYPERLINK("https://www.eliteprospects.com/player/908486/eduard-bondar")</f>
        <v>https://www.eliteprospects.com/player/908486/eduard-bondar</v>
      </c>
      <c r="K907" t="s">
        <v>27</v>
      </c>
      <c r="L907" t="s">
        <v>804</v>
      </c>
      <c r="M907" t="s">
        <v>1296</v>
      </c>
      <c r="N907">
        <v>2</v>
      </c>
      <c r="O907" t="s">
        <v>825</v>
      </c>
      <c r="P907">
        <v>0.01</v>
      </c>
      <c r="Q907" t="s">
        <v>245</v>
      </c>
      <c r="R907">
        <v>28.6</v>
      </c>
      <c r="S907">
        <v>31.4</v>
      </c>
      <c r="T907">
        <v>28.6</v>
      </c>
      <c r="U907">
        <v>4.3</v>
      </c>
      <c r="V907">
        <v>7.1</v>
      </c>
    </row>
    <row r="908" spans="1:22" x14ac:dyDescent="0.25">
      <c r="A908" t="s">
        <v>2202</v>
      </c>
      <c r="B908" t="s">
        <v>815</v>
      </c>
      <c r="C908">
        <v>39</v>
      </c>
      <c r="D908" t="s">
        <v>132</v>
      </c>
      <c r="E908" t="s">
        <v>66</v>
      </c>
      <c r="F908" t="s">
        <v>66</v>
      </c>
      <c r="G908">
        <v>0.1</v>
      </c>
      <c r="H908" t="s">
        <v>512</v>
      </c>
      <c r="I908">
        <v>-11</v>
      </c>
      <c r="J908" t="str">
        <f>HYPERLINK("https://www.eliteprospects.com/player/760894/arno-delisle")</f>
        <v>https://www.eliteprospects.com/player/760894/arno-delisle</v>
      </c>
      <c r="K908" t="s">
        <v>27</v>
      </c>
      <c r="L908" t="s">
        <v>804</v>
      </c>
      <c r="M908" t="s">
        <v>1296</v>
      </c>
      <c r="N908">
        <v>2</v>
      </c>
      <c r="O908" t="s">
        <v>825</v>
      </c>
      <c r="P908">
        <v>0.01</v>
      </c>
      <c r="Q908" t="s">
        <v>245</v>
      </c>
      <c r="R908">
        <v>28.6</v>
      </c>
      <c r="S908">
        <v>31.4</v>
      </c>
      <c r="T908">
        <v>28.6</v>
      </c>
      <c r="U908">
        <v>4.3</v>
      </c>
      <c r="V908">
        <v>7.1</v>
      </c>
    </row>
    <row r="909" spans="1:22" x14ac:dyDescent="0.25">
      <c r="A909" t="s">
        <v>2203</v>
      </c>
      <c r="B909" t="s">
        <v>507</v>
      </c>
      <c r="C909">
        <v>25</v>
      </c>
      <c r="D909" t="s">
        <v>79</v>
      </c>
      <c r="E909" t="s">
        <v>260</v>
      </c>
      <c r="F909" t="s">
        <v>140</v>
      </c>
      <c r="G909">
        <v>0.12</v>
      </c>
      <c r="H909" t="s">
        <v>66</v>
      </c>
      <c r="I909">
        <v>-3</v>
      </c>
      <c r="J909" t="str">
        <f>HYPERLINK("https://www.eliteprospects.com/player/743554/james-roberts")</f>
        <v>https://www.eliteprospects.com/player/743554/james-roberts</v>
      </c>
      <c r="K909" t="s">
        <v>27</v>
      </c>
      <c r="L909" t="s">
        <v>804</v>
      </c>
      <c r="M909" t="s">
        <v>1296</v>
      </c>
      <c r="N909">
        <v>3</v>
      </c>
      <c r="O909" t="s">
        <v>805</v>
      </c>
      <c r="P909">
        <v>0.01</v>
      </c>
      <c r="Q909" t="s">
        <v>245</v>
      </c>
      <c r="R909">
        <v>28.6</v>
      </c>
      <c r="S909">
        <v>31.4</v>
      </c>
      <c r="T909">
        <v>28.6</v>
      </c>
      <c r="U909">
        <v>4.3</v>
      </c>
      <c r="V909">
        <v>7.1</v>
      </c>
    </row>
    <row r="910" spans="1:22" x14ac:dyDescent="0.25">
      <c r="A910" t="s">
        <v>2204</v>
      </c>
      <c r="B910" t="s">
        <v>824</v>
      </c>
      <c r="C910">
        <v>12</v>
      </c>
      <c r="D910" t="s">
        <v>260</v>
      </c>
      <c r="E910" t="s">
        <v>79</v>
      </c>
      <c r="F910" t="s">
        <v>140</v>
      </c>
      <c r="G910">
        <v>0.25</v>
      </c>
      <c r="H910" t="s">
        <v>57</v>
      </c>
      <c r="I910">
        <v>-5</v>
      </c>
      <c r="J910" t="str">
        <f>HYPERLINK("https://www.eliteprospects.com/player/679263/lincoln-waugh")</f>
        <v>https://www.eliteprospects.com/player/679263/lincoln-waugh</v>
      </c>
      <c r="K910" t="s">
        <v>27</v>
      </c>
      <c r="L910" t="s">
        <v>804</v>
      </c>
      <c r="M910" t="s">
        <v>1296</v>
      </c>
      <c r="N910">
        <v>4</v>
      </c>
      <c r="O910" t="s">
        <v>809</v>
      </c>
      <c r="P910">
        <v>0.03</v>
      </c>
      <c r="Q910" t="s">
        <v>245</v>
      </c>
      <c r="R910">
        <v>28.6</v>
      </c>
      <c r="S910">
        <v>31.4</v>
      </c>
      <c r="T910">
        <v>28.6</v>
      </c>
      <c r="U910">
        <v>4.3</v>
      </c>
      <c r="V910">
        <v>7.1</v>
      </c>
    </row>
    <row r="911" spans="1:22" x14ac:dyDescent="0.25">
      <c r="A911" t="s">
        <v>2205</v>
      </c>
      <c r="B911" t="s">
        <v>811</v>
      </c>
      <c r="C911">
        <v>17</v>
      </c>
      <c r="D911" t="s">
        <v>132</v>
      </c>
      <c r="E911" t="s">
        <v>140</v>
      </c>
      <c r="F911" t="s">
        <v>140</v>
      </c>
      <c r="G911">
        <v>0.18</v>
      </c>
      <c r="H911" t="s">
        <v>39</v>
      </c>
      <c r="I911">
        <v>4</v>
      </c>
      <c r="J911" t="str">
        <f>HYPERLINK("https://www.eliteprospects.com/player/871214/louis-felix-gagnon")</f>
        <v>https://www.eliteprospects.com/player/871214/louis-felix-gagnon</v>
      </c>
      <c r="K911" t="s">
        <v>27</v>
      </c>
      <c r="L911" t="s">
        <v>804</v>
      </c>
      <c r="M911" t="s">
        <v>1296</v>
      </c>
      <c r="N911">
        <v>2</v>
      </c>
      <c r="O911" t="s">
        <v>825</v>
      </c>
      <c r="P911">
        <v>0.02</v>
      </c>
      <c r="Q911" t="s">
        <v>245</v>
      </c>
      <c r="R911">
        <v>28.6</v>
      </c>
      <c r="S911">
        <v>31.4</v>
      </c>
      <c r="T911">
        <v>28.6</v>
      </c>
      <c r="U911">
        <v>4.3</v>
      </c>
      <c r="V911">
        <v>7.1</v>
      </c>
    </row>
    <row r="912" spans="1:22" x14ac:dyDescent="0.25">
      <c r="A912" t="s">
        <v>2206</v>
      </c>
      <c r="B912" t="s">
        <v>820</v>
      </c>
      <c r="C912">
        <v>21</v>
      </c>
      <c r="D912" t="s">
        <v>132</v>
      </c>
      <c r="E912" t="s">
        <v>140</v>
      </c>
      <c r="F912" t="s">
        <v>140</v>
      </c>
      <c r="G912">
        <v>0.14000000000000001</v>
      </c>
      <c r="H912" t="s">
        <v>57</v>
      </c>
      <c r="I912">
        <v>-1</v>
      </c>
      <c r="J912" t="str">
        <f>HYPERLINK("https://www.eliteprospects.com/player/806427/jackson-batchilder")</f>
        <v>https://www.eliteprospects.com/player/806427/jackson-batchilder</v>
      </c>
      <c r="K912" t="s">
        <v>27</v>
      </c>
      <c r="L912" t="s">
        <v>804</v>
      </c>
      <c r="M912" t="s">
        <v>1296</v>
      </c>
      <c r="N912">
        <v>2</v>
      </c>
      <c r="O912" t="s">
        <v>825</v>
      </c>
      <c r="P912">
        <v>0.02</v>
      </c>
      <c r="Q912" t="s">
        <v>245</v>
      </c>
      <c r="R912">
        <v>28.6</v>
      </c>
      <c r="S912">
        <v>31.4</v>
      </c>
      <c r="T912">
        <v>28.6</v>
      </c>
      <c r="U912">
        <v>4.3</v>
      </c>
      <c r="V912">
        <v>7.1</v>
      </c>
    </row>
    <row r="913" spans="1:22" x14ac:dyDescent="0.25">
      <c r="A913" t="s">
        <v>2207</v>
      </c>
      <c r="B913" t="s">
        <v>806</v>
      </c>
      <c r="C913">
        <v>24</v>
      </c>
      <c r="D913" t="s">
        <v>132</v>
      </c>
      <c r="E913" t="s">
        <v>140</v>
      </c>
      <c r="F913" t="s">
        <v>140</v>
      </c>
      <c r="G913">
        <v>0.13</v>
      </c>
      <c r="H913" t="s">
        <v>23</v>
      </c>
      <c r="I913">
        <v>-8</v>
      </c>
      <c r="J913" t="str">
        <f>HYPERLINK("https://www.eliteprospects.com/player/760887/jayden-lazare")</f>
        <v>https://www.eliteprospects.com/player/760887/jayden-lazare</v>
      </c>
      <c r="K913" t="s">
        <v>27</v>
      </c>
      <c r="L913" t="s">
        <v>804</v>
      </c>
      <c r="M913" t="s">
        <v>1296</v>
      </c>
      <c r="N913">
        <v>2</v>
      </c>
      <c r="O913" t="s">
        <v>825</v>
      </c>
      <c r="P913">
        <v>0.01</v>
      </c>
      <c r="Q913" t="s">
        <v>245</v>
      </c>
      <c r="R913">
        <v>28.6</v>
      </c>
      <c r="S913">
        <v>31.4</v>
      </c>
      <c r="T913">
        <v>28.6</v>
      </c>
      <c r="U913">
        <v>4.3</v>
      </c>
      <c r="V913">
        <v>7.1</v>
      </c>
    </row>
    <row r="914" spans="1:22" x14ac:dyDescent="0.25">
      <c r="A914" t="s">
        <v>2208</v>
      </c>
      <c r="B914" t="s">
        <v>856</v>
      </c>
      <c r="C914">
        <v>25</v>
      </c>
      <c r="D914" t="s">
        <v>132</v>
      </c>
      <c r="E914" t="s">
        <v>140</v>
      </c>
      <c r="F914" t="s">
        <v>140</v>
      </c>
      <c r="G914">
        <v>0.12</v>
      </c>
      <c r="H914" t="s">
        <v>57</v>
      </c>
      <c r="I914">
        <v>0</v>
      </c>
      <c r="J914" t="str">
        <f>HYPERLINK("https://www.eliteprospects.com/player/806152/benjamin-benoit-rioux")</f>
        <v>https://www.eliteprospects.com/player/806152/benjamin-benoit-rioux</v>
      </c>
      <c r="K914" t="s">
        <v>27</v>
      </c>
      <c r="L914" t="s">
        <v>804</v>
      </c>
      <c r="M914" t="s">
        <v>1296</v>
      </c>
      <c r="N914">
        <v>3</v>
      </c>
      <c r="O914" t="s">
        <v>805</v>
      </c>
      <c r="P914">
        <v>0.01</v>
      </c>
      <c r="Q914" t="s">
        <v>245</v>
      </c>
      <c r="R914">
        <v>28.6</v>
      </c>
      <c r="S914">
        <v>31.4</v>
      </c>
      <c r="T914">
        <v>28.6</v>
      </c>
      <c r="U914">
        <v>4.3</v>
      </c>
      <c r="V914">
        <v>7.1</v>
      </c>
    </row>
    <row r="915" spans="1:22" x14ac:dyDescent="0.25">
      <c r="A915" t="s">
        <v>2209</v>
      </c>
      <c r="B915" t="s">
        <v>832</v>
      </c>
      <c r="C915">
        <v>32</v>
      </c>
      <c r="D915" t="s">
        <v>132</v>
      </c>
      <c r="E915" t="s">
        <v>140</v>
      </c>
      <c r="F915" t="s">
        <v>140</v>
      </c>
      <c r="G915">
        <v>0.09</v>
      </c>
      <c r="H915" t="s">
        <v>57</v>
      </c>
      <c r="I915">
        <v>-2</v>
      </c>
      <c r="J915" t="str">
        <f>HYPERLINK("https://www.eliteprospects.com/player/828932/zachary-gagnon")</f>
        <v>https://www.eliteprospects.com/player/828932/zachary-gagnon</v>
      </c>
      <c r="K915" t="s">
        <v>27</v>
      </c>
      <c r="L915" t="s">
        <v>804</v>
      </c>
      <c r="M915" t="s">
        <v>1296</v>
      </c>
      <c r="N915">
        <v>2</v>
      </c>
      <c r="O915" t="s">
        <v>825</v>
      </c>
      <c r="P915">
        <v>0.01</v>
      </c>
      <c r="Q915" t="s">
        <v>245</v>
      </c>
      <c r="R915">
        <v>28.6</v>
      </c>
      <c r="S915">
        <v>31.4</v>
      </c>
      <c r="T915">
        <v>28.6</v>
      </c>
      <c r="U915">
        <v>4.3</v>
      </c>
      <c r="V915">
        <v>7.1</v>
      </c>
    </row>
    <row r="916" spans="1:22" x14ac:dyDescent="0.25">
      <c r="A916" t="s">
        <v>2210</v>
      </c>
      <c r="B916" t="s">
        <v>507</v>
      </c>
      <c r="C916">
        <v>16</v>
      </c>
      <c r="D916" t="s">
        <v>260</v>
      </c>
      <c r="E916" t="s">
        <v>260</v>
      </c>
      <c r="F916" t="s">
        <v>79</v>
      </c>
      <c r="G916">
        <v>0.13</v>
      </c>
      <c r="H916" t="s">
        <v>26</v>
      </c>
      <c r="I916">
        <v>-2</v>
      </c>
      <c r="J916" t="str">
        <f>HYPERLINK("https://www.eliteprospects.com/player/772964/nathan-wright")</f>
        <v>https://www.eliteprospects.com/player/772964/nathan-wright</v>
      </c>
      <c r="K916" t="s">
        <v>27</v>
      </c>
      <c r="L916" t="s">
        <v>804</v>
      </c>
      <c r="M916" t="s">
        <v>1296</v>
      </c>
      <c r="N916">
        <v>3</v>
      </c>
      <c r="O916" t="s">
        <v>805</v>
      </c>
      <c r="P916">
        <v>0.01</v>
      </c>
      <c r="Q916" t="s">
        <v>245</v>
      </c>
      <c r="R916">
        <v>28.6</v>
      </c>
      <c r="S916">
        <v>31.4</v>
      </c>
      <c r="T916">
        <v>28.6</v>
      </c>
      <c r="U916">
        <v>4.3</v>
      </c>
      <c r="V916">
        <v>7.1</v>
      </c>
    </row>
    <row r="917" spans="1:22" x14ac:dyDescent="0.25">
      <c r="A917" t="s">
        <v>2211</v>
      </c>
      <c r="B917" t="s">
        <v>848</v>
      </c>
      <c r="C917">
        <v>18</v>
      </c>
      <c r="D917" t="s">
        <v>260</v>
      </c>
      <c r="E917" t="s">
        <v>260</v>
      </c>
      <c r="F917" t="s">
        <v>79</v>
      </c>
      <c r="G917">
        <v>0.11</v>
      </c>
      <c r="H917" t="s">
        <v>66</v>
      </c>
      <c r="I917">
        <v>-4</v>
      </c>
      <c r="J917" t="str">
        <f>HYPERLINK("https://www.eliteprospects.com/player/886989/wassim-rabbath")</f>
        <v>https://www.eliteprospects.com/player/886989/wassim-rabbath</v>
      </c>
      <c r="K917" t="s">
        <v>27</v>
      </c>
      <c r="L917" t="s">
        <v>804</v>
      </c>
      <c r="M917" t="s">
        <v>1296</v>
      </c>
      <c r="N917">
        <v>2</v>
      </c>
      <c r="O917" t="s">
        <v>825</v>
      </c>
      <c r="P917">
        <v>0.01</v>
      </c>
      <c r="Q917" t="s">
        <v>245</v>
      </c>
      <c r="R917">
        <v>28.6</v>
      </c>
      <c r="S917">
        <v>31.4</v>
      </c>
      <c r="T917">
        <v>28.6</v>
      </c>
      <c r="U917">
        <v>4.3</v>
      </c>
      <c r="V917">
        <v>7.1</v>
      </c>
    </row>
    <row r="918" spans="1:22" x14ac:dyDescent="0.25">
      <c r="A918" t="s">
        <v>2212</v>
      </c>
      <c r="B918" t="s">
        <v>507</v>
      </c>
      <c r="C918">
        <v>28</v>
      </c>
      <c r="D918" t="s">
        <v>260</v>
      </c>
      <c r="E918" t="s">
        <v>260</v>
      </c>
      <c r="F918" t="s">
        <v>79</v>
      </c>
      <c r="G918">
        <v>7.0000000000000007E-2</v>
      </c>
      <c r="H918" t="s">
        <v>53</v>
      </c>
      <c r="I918">
        <v>7</v>
      </c>
      <c r="J918" t="str">
        <f>HYPERLINK("https://www.eliteprospects.com/player/716371/nathan-nadeau")</f>
        <v>https://www.eliteprospects.com/player/716371/nathan-nadeau</v>
      </c>
      <c r="K918" t="s">
        <v>27</v>
      </c>
      <c r="L918" t="s">
        <v>804</v>
      </c>
      <c r="M918" t="s">
        <v>1296</v>
      </c>
      <c r="N918">
        <v>1</v>
      </c>
      <c r="O918" t="s">
        <v>816</v>
      </c>
      <c r="P918">
        <v>0.01</v>
      </c>
      <c r="Q918" t="s">
        <v>245</v>
      </c>
      <c r="R918">
        <v>28.6</v>
      </c>
      <c r="S918">
        <v>31.4</v>
      </c>
      <c r="T918">
        <v>28.6</v>
      </c>
      <c r="U918">
        <v>4.3</v>
      </c>
      <c r="V918">
        <v>7.1</v>
      </c>
    </row>
    <row r="919" spans="1:22" x14ac:dyDescent="0.25">
      <c r="A919" t="s">
        <v>2213</v>
      </c>
      <c r="B919" t="s">
        <v>815</v>
      </c>
      <c r="C919">
        <v>33</v>
      </c>
      <c r="D919" t="s">
        <v>260</v>
      </c>
      <c r="E919" t="s">
        <v>260</v>
      </c>
      <c r="F919" t="s">
        <v>79</v>
      </c>
      <c r="G919">
        <v>0.06</v>
      </c>
      <c r="H919" t="s">
        <v>53</v>
      </c>
      <c r="I919">
        <v>-11</v>
      </c>
      <c r="J919" t="str">
        <f>HYPERLINK("https://www.eliteprospects.com/player/885499/cohen-paquet")</f>
        <v>https://www.eliteprospects.com/player/885499/cohen-paquet</v>
      </c>
      <c r="K919" t="s">
        <v>27</v>
      </c>
      <c r="L919" t="s">
        <v>804</v>
      </c>
      <c r="M919" t="s">
        <v>1296</v>
      </c>
      <c r="N919">
        <v>2</v>
      </c>
      <c r="O919" t="s">
        <v>825</v>
      </c>
      <c r="P919">
        <v>0.01</v>
      </c>
      <c r="Q919" t="s">
        <v>245</v>
      </c>
      <c r="R919">
        <v>28.6</v>
      </c>
      <c r="S919">
        <v>31.4</v>
      </c>
      <c r="T919">
        <v>28.6</v>
      </c>
      <c r="U919">
        <v>4.3</v>
      </c>
      <c r="V919">
        <v>7.1</v>
      </c>
    </row>
    <row r="920" spans="1:22" x14ac:dyDescent="0.25">
      <c r="A920" t="s">
        <v>2214</v>
      </c>
      <c r="B920" t="s">
        <v>815</v>
      </c>
      <c r="C920">
        <v>37</v>
      </c>
      <c r="D920" t="s">
        <v>260</v>
      </c>
      <c r="E920" t="s">
        <v>260</v>
      </c>
      <c r="F920" t="s">
        <v>79</v>
      </c>
      <c r="G920">
        <v>0.05</v>
      </c>
      <c r="H920" t="s">
        <v>38</v>
      </c>
      <c r="I920">
        <v>-12</v>
      </c>
      <c r="J920" t="str">
        <f>HYPERLINK("https://www.eliteprospects.com/player/714904/maxime-dodier")</f>
        <v>https://www.eliteprospects.com/player/714904/maxime-dodier</v>
      </c>
      <c r="K920" t="s">
        <v>27</v>
      </c>
      <c r="L920" t="s">
        <v>804</v>
      </c>
      <c r="M920" t="s">
        <v>1296</v>
      </c>
      <c r="N920">
        <v>1</v>
      </c>
      <c r="O920" t="s">
        <v>816</v>
      </c>
      <c r="P920">
        <v>0.01</v>
      </c>
      <c r="Q920" t="s">
        <v>245</v>
      </c>
      <c r="R920">
        <v>28.6</v>
      </c>
      <c r="S920">
        <v>31.4</v>
      </c>
      <c r="T920">
        <v>28.6</v>
      </c>
      <c r="U920">
        <v>4.3</v>
      </c>
      <c r="V920">
        <v>7.1</v>
      </c>
    </row>
    <row r="921" spans="1:22" x14ac:dyDescent="0.25">
      <c r="A921" t="s">
        <v>2215</v>
      </c>
      <c r="B921" t="s">
        <v>856</v>
      </c>
      <c r="C921">
        <v>15</v>
      </c>
      <c r="D921" t="s">
        <v>132</v>
      </c>
      <c r="E921" t="s">
        <v>79</v>
      </c>
      <c r="F921" t="s">
        <v>79</v>
      </c>
      <c r="G921">
        <v>0.13</v>
      </c>
      <c r="H921" t="s">
        <v>57</v>
      </c>
      <c r="I921">
        <v>-7</v>
      </c>
      <c r="J921" t="str">
        <f>HYPERLINK("https://www.eliteprospects.com/player/903355/luka-romaniak")</f>
        <v>https://www.eliteprospects.com/player/903355/luka-romaniak</v>
      </c>
      <c r="K921" t="s">
        <v>27</v>
      </c>
      <c r="L921" t="s">
        <v>804</v>
      </c>
      <c r="M921" t="s">
        <v>1296</v>
      </c>
      <c r="N921">
        <v>1</v>
      </c>
      <c r="O921" t="s">
        <v>816</v>
      </c>
      <c r="P921">
        <v>0.01</v>
      </c>
      <c r="Q921" t="s">
        <v>245</v>
      </c>
      <c r="R921">
        <v>28.6</v>
      </c>
      <c r="S921">
        <v>31.4</v>
      </c>
      <c r="T921">
        <v>28.6</v>
      </c>
      <c r="U921">
        <v>4.3</v>
      </c>
      <c r="V921">
        <v>7.1</v>
      </c>
    </row>
    <row r="922" spans="1:22" x14ac:dyDescent="0.25">
      <c r="A922" t="s">
        <v>2216</v>
      </c>
      <c r="B922" t="s">
        <v>821</v>
      </c>
      <c r="C922">
        <v>15</v>
      </c>
      <c r="D922" t="s">
        <v>132</v>
      </c>
      <c r="E922" t="s">
        <v>79</v>
      </c>
      <c r="F922" t="s">
        <v>79</v>
      </c>
      <c r="G922">
        <v>0.13</v>
      </c>
      <c r="H922" t="s">
        <v>65</v>
      </c>
      <c r="I922">
        <v>-4</v>
      </c>
      <c r="J922" t="str">
        <f>HYPERLINK("https://www.eliteprospects.com/player/692289/maxwell-jardine")</f>
        <v>https://www.eliteprospects.com/player/692289/maxwell-jardine</v>
      </c>
      <c r="K922" t="s">
        <v>27</v>
      </c>
      <c r="L922" t="s">
        <v>804</v>
      </c>
      <c r="M922" t="s">
        <v>1296</v>
      </c>
      <c r="N922">
        <v>3</v>
      </c>
      <c r="O922" t="s">
        <v>805</v>
      </c>
      <c r="P922">
        <v>0.01</v>
      </c>
      <c r="Q922" t="s">
        <v>245</v>
      </c>
      <c r="R922">
        <v>28.6</v>
      </c>
      <c r="S922">
        <v>31.4</v>
      </c>
      <c r="T922">
        <v>28.6</v>
      </c>
      <c r="U922">
        <v>4.3</v>
      </c>
      <c r="V922">
        <v>7.1</v>
      </c>
    </row>
    <row r="923" spans="1:22" x14ac:dyDescent="0.25">
      <c r="A923" t="s">
        <v>2217</v>
      </c>
      <c r="B923" t="s">
        <v>856</v>
      </c>
      <c r="C923">
        <v>18</v>
      </c>
      <c r="D923" t="s">
        <v>132</v>
      </c>
      <c r="E923" t="s">
        <v>79</v>
      </c>
      <c r="F923" t="s">
        <v>79</v>
      </c>
      <c r="G923">
        <v>0.11</v>
      </c>
      <c r="H923" t="s">
        <v>66</v>
      </c>
      <c r="I923">
        <v>-5</v>
      </c>
      <c r="J923" t="str">
        <f>HYPERLINK("https://www.eliteprospects.com/player/871540/guillaume-gleason")</f>
        <v>https://www.eliteprospects.com/player/871540/guillaume-gleason</v>
      </c>
      <c r="K923" t="s">
        <v>27</v>
      </c>
      <c r="L923" t="s">
        <v>804</v>
      </c>
      <c r="M923" t="s">
        <v>1296</v>
      </c>
      <c r="N923">
        <v>1</v>
      </c>
      <c r="O923" t="s">
        <v>816</v>
      </c>
      <c r="P923">
        <v>0.01</v>
      </c>
      <c r="Q923" t="s">
        <v>245</v>
      </c>
      <c r="R923">
        <v>28.6</v>
      </c>
      <c r="S923">
        <v>31.4</v>
      </c>
      <c r="T923">
        <v>28.6</v>
      </c>
      <c r="U923">
        <v>4.3</v>
      </c>
      <c r="V923">
        <v>7.1</v>
      </c>
    </row>
    <row r="924" spans="1:22" x14ac:dyDescent="0.25">
      <c r="A924" t="s">
        <v>2218</v>
      </c>
      <c r="B924" t="s">
        <v>832</v>
      </c>
      <c r="C924">
        <v>23</v>
      </c>
      <c r="D924" t="s">
        <v>132</v>
      </c>
      <c r="E924" t="s">
        <v>79</v>
      </c>
      <c r="F924" t="s">
        <v>79</v>
      </c>
      <c r="G924">
        <v>0.09</v>
      </c>
      <c r="H924" t="s">
        <v>66</v>
      </c>
      <c r="I924">
        <v>1</v>
      </c>
      <c r="J924" t="str">
        <f>HYPERLINK("https://www.eliteprospects.com/player/877004/reinis-auzins")</f>
        <v>https://www.eliteprospects.com/player/877004/reinis-auzins</v>
      </c>
      <c r="K924" t="s">
        <v>27</v>
      </c>
      <c r="L924" t="s">
        <v>804</v>
      </c>
      <c r="M924" t="s">
        <v>1296</v>
      </c>
      <c r="N924">
        <v>1</v>
      </c>
      <c r="O924" t="s">
        <v>816</v>
      </c>
      <c r="P924">
        <v>0.01</v>
      </c>
      <c r="Q924" t="s">
        <v>245</v>
      </c>
      <c r="R924">
        <v>28.6</v>
      </c>
      <c r="S924">
        <v>31.4</v>
      </c>
      <c r="T924">
        <v>28.6</v>
      </c>
      <c r="U924">
        <v>4.3</v>
      </c>
      <c r="V924">
        <v>7.1</v>
      </c>
    </row>
    <row r="925" spans="1:22" x14ac:dyDescent="0.25">
      <c r="A925" t="s">
        <v>2219</v>
      </c>
      <c r="B925" t="s">
        <v>856</v>
      </c>
      <c r="C925">
        <v>26</v>
      </c>
      <c r="D925" t="s">
        <v>132</v>
      </c>
      <c r="E925" t="s">
        <v>79</v>
      </c>
      <c r="F925" t="s">
        <v>79</v>
      </c>
      <c r="G925">
        <v>0.08</v>
      </c>
      <c r="H925" t="s">
        <v>269</v>
      </c>
      <c r="I925">
        <v>-5</v>
      </c>
      <c r="J925" t="str">
        <f>HYPERLINK("https://www.eliteprospects.com/player/811028/connor-sturgeon")</f>
        <v>https://www.eliteprospects.com/player/811028/connor-sturgeon</v>
      </c>
      <c r="K925" t="s">
        <v>27</v>
      </c>
      <c r="L925" t="s">
        <v>804</v>
      </c>
      <c r="M925" t="s">
        <v>1296</v>
      </c>
      <c r="N925">
        <v>3</v>
      </c>
      <c r="O925" t="s">
        <v>805</v>
      </c>
      <c r="P925">
        <v>0.01</v>
      </c>
      <c r="Q925" t="s">
        <v>245</v>
      </c>
      <c r="R925">
        <v>28.6</v>
      </c>
      <c r="S925">
        <v>31.4</v>
      </c>
      <c r="T925">
        <v>28.6</v>
      </c>
      <c r="U925">
        <v>4.3</v>
      </c>
      <c r="V925">
        <v>7.1</v>
      </c>
    </row>
    <row r="926" spans="1:22" x14ac:dyDescent="0.25">
      <c r="A926" t="s">
        <v>2220</v>
      </c>
      <c r="B926" t="s">
        <v>822</v>
      </c>
      <c r="C926">
        <v>35</v>
      </c>
      <c r="D926" t="s">
        <v>132</v>
      </c>
      <c r="E926" t="s">
        <v>79</v>
      </c>
      <c r="F926" t="s">
        <v>79</v>
      </c>
      <c r="G926">
        <v>0.06</v>
      </c>
      <c r="H926" t="s">
        <v>47</v>
      </c>
      <c r="I926">
        <v>-11</v>
      </c>
      <c r="J926" t="str">
        <f>HYPERLINK("https://www.eliteprospects.com/player/835407/samuel-kupec")</f>
        <v>https://www.eliteprospects.com/player/835407/samuel-kupec</v>
      </c>
      <c r="K926" t="s">
        <v>27</v>
      </c>
      <c r="L926" t="s">
        <v>804</v>
      </c>
      <c r="M926" t="s">
        <v>1296</v>
      </c>
      <c r="N926">
        <v>2</v>
      </c>
      <c r="O926" t="s">
        <v>825</v>
      </c>
      <c r="P926">
        <v>0.01</v>
      </c>
      <c r="Q926" t="s">
        <v>245</v>
      </c>
      <c r="R926">
        <v>28.6</v>
      </c>
      <c r="S926">
        <v>31.4</v>
      </c>
      <c r="T926">
        <v>28.6</v>
      </c>
      <c r="U926">
        <v>4.3</v>
      </c>
      <c r="V926">
        <v>7.1</v>
      </c>
    </row>
    <row r="927" spans="1:22" x14ac:dyDescent="0.25">
      <c r="A927" t="s">
        <v>2221</v>
      </c>
      <c r="B927" t="s">
        <v>812</v>
      </c>
      <c r="C927">
        <v>27</v>
      </c>
      <c r="D927" t="s">
        <v>260</v>
      </c>
      <c r="E927" t="s">
        <v>132</v>
      </c>
      <c r="F927" t="s">
        <v>260</v>
      </c>
      <c r="G927">
        <v>0.04</v>
      </c>
      <c r="H927" t="s">
        <v>66</v>
      </c>
      <c r="I927">
        <v>-6</v>
      </c>
      <c r="J927" t="str">
        <f>HYPERLINK("https://www.eliteprospects.com/player/710451/jacob-hamel")</f>
        <v>https://www.eliteprospects.com/player/710451/jacob-hamel</v>
      </c>
      <c r="K927" t="s">
        <v>27</v>
      </c>
      <c r="L927" t="s">
        <v>804</v>
      </c>
      <c r="M927" t="s">
        <v>1296</v>
      </c>
      <c r="N927">
        <v>2</v>
      </c>
      <c r="O927" t="s">
        <v>825</v>
      </c>
      <c r="P927">
        <v>0</v>
      </c>
      <c r="Q927" t="s">
        <v>245</v>
      </c>
      <c r="R927">
        <v>28.6</v>
      </c>
      <c r="S927">
        <v>31.4</v>
      </c>
      <c r="T927">
        <v>28.6</v>
      </c>
      <c r="U927">
        <v>4.3</v>
      </c>
      <c r="V927">
        <v>7.1</v>
      </c>
    </row>
    <row r="928" spans="1:22" x14ac:dyDescent="0.25">
      <c r="A928" t="s">
        <v>2222</v>
      </c>
      <c r="B928" t="s">
        <v>821</v>
      </c>
      <c r="C928">
        <v>10</v>
      </c>
      <c r="D928" t="s">
        <v>132</v>
      </c>
      <c r="E928" t="s">
        <v>260</v>
      </c>
      <c r="F928" t="s">
        <v>260</v>
      </c>
      <c r="G928">
        <v>0.1</v>
      </c>
      <c r="H928" t="s">
        <v>57</v>
      </c>
      <c r="I928">
        <v>-2</v>
      </c>
      <c r="J928" t="str">
        <f>HYPERLINK("https://www.eliteprospects.com/player/814141/daniel-chen")</f>
        <v>https://www.eliteprospects.com/player/814141/daniel-chen</v>
      </c>
      <c r="K928" t="s">
        <v>27</v>
      </c>
      <c r="L928" t="s">
        <v>804</v>
      </c>
      <c r="M928" t="s">
        <v>1296</v>
      </c>
      <c r="N928">
        <v>3</v>
      </c>
      <c r="O928" t="s">
        <v>894</v>
      </c>
      <c r="P928">
        <v>0.01</v>
      </c>
      <c r="Q928" t="s">
        <v>245</v>
      </c>
      <c r="R928">
        <v>28.6</v>
      </c>
      <c r="S928">
        <v>31.4</v>
      </c>
      <c r="T928">
        <v>28.6</v>
      </c>
      <c r="U928">
        <v>4.3</v>
      </c>
      <c r="V928">
        <v>7.1</v>
      </c>
    </row>
    <row r="929" spans="1:22" x14ac:dyDescent="0.25">
      <c r="A929" t="s">
        <v>2223</v>
      </c>
      <c r="B929" t="s">
        <v>815</v>
      </c>
      <c r="C929">
        <v>15</v>
      </c>
      <c r="D929" t="s">
        <v>132</v>
      </c>
      <c r="E929" t="s">
        <v>260</v>
      </c>
      <c r="F929" t="s">
        <v>260</v>
      </c>
      <c r="G929">
        <v>7.0000000000000007E-2</v>
      </c>
      <c r="H929" t="s">
        <v>78</v>
      </c>
      <c r="I929">
        <v>-4</v>
      </c>
      <c r="J929" t="str">
        <f>HYPERLINK("https://www.eliteprospects.com/player/871538/alain-bourdeau")</f>
        <v>https://www.eliteprospects.com/player/871538/alain-bourdeau</v>
      </c>
      <c r="K929" t="s">
        <v>27</v>
      </c>
      <c r="L929" t="s">
        <v>804</v>
      </c>
      <c r="M929" t="s">
        <v>1296</v>
      </c>
      <c r="N929">
        <v>1</v>
      </c>
      <c r="O929" t="s">
        <v>816</v>
      </c>
      <c r="P929">
        <v>0.01</v>
      </c>
      <c r="Q929" t="s">
        <v>245</v>
      </c>
      <c r="R929">
        <v>28.6</v>
      </c>
      <c r="S929">
        <v>31.4</v>
      </c>
      <c r="T929">
        <v>28.6</v>
      </c>
      <c r="U929">
        <v>4.3</v>
      </c>
      <c r="V929">
        <v>7.1</v>
      </c>
    </row>
    <row r="930" spans="1:22" x14ac:dyDescent="0.25">
      <c r="A930" t="s">
        <v>2224</v>
      </c>
      <c r="B930" t="s">
        <v>848</v>
      </c>
      <c r="C930">
        <v>17</v>
      </c>
      <c r="D930" t="s">
        <v>132</v>
      </c>
      <c r="E930" t="s">
        <v>260</v>
      </c>
      <c r="F930" t="s">
        <v>260</v>
      </c>
      <c r="G930">
        <v>0.06</v>
      </c>
      <c r="H930" t="s">
        <v>26</v>
      </c>
      <c r="I930">
        <v>-3</v>
      </c>
      <c r="J930" t="str">
        <f>HYPERLINK("https://www.eliteprospects.com/player/762987/justin-blais")</f>
        <v>https://www.eliteprospects.com/player/762987/justin-blais</v>
      </c>
      <c r="K930" t="s">
        <v>27</v>
      </c>
      <c r="L930" t="s">
        <v>804</v>
      </c>
      <c r="M930" t="s">
        <v>1296</v>
      </c>
      <c r="N930">
        <v>3</v>
      </c>
      <c r="O930" t="s">
        <v>805</v>
      </c>
      <c r="P930">
        <v>0.01</v>
      </c>
      <c r="Q930" t="s">
        <v>245</v>
      </c>
      <c r="R930">
        <v>28.6</v>
      </c>
      <c r="S930">
        <v>31.4</v>
      </c>
      <c r="T930">
        <v>28.6</v>
      </c>
      <c r="U930">
        <v>4.3</v>
      </c>
      <c r="V930">
        <v>7.1</v>
      </c>
    </row>
    <row r="931" spans="1:22" x14ac:dyDescent="0.25">
      <c r="A931" t="s">
        <v>2225</v>
      </c>
      <c r="B931" t="s">
        <v>812</v>
      </c>
      <c r="C931">
        <v>17</v>
      </c>
      <c r="D931" t="s">
        <v>132</v>
      </c>
      <c r="E931" t="s">
        <v>260</v>
      </c>
      <c r="F931" t="s">
        <v>260</v>
      </c>
      <c r="G931">
        <v>0.06</v>
      </c>
      <c r="H931" t="s">
        <v>47</v>
      </c>
      <c r="I931">
        <v>4</v>
      </c>
      <c r="J931" t="str">
        <f>HYPERLINK("https://www.eliteprospects.com/player/904776/brayden-kaldenbach")</f>
        <v>https://www.eliteprospects.com/player/904776/brayden-kaldenbach</v>
      </c>
      <c r="K931" t="s">
        <v>27</v>
      </c>
      <c r="L931" t="s">
        <v>804</v>
      </c>
      <c r="M931" t="s">
        <v>1296</v>
      </c>
      <c r="N931">
        <v>1</v>
      </c>
      <c r="O931" t="s">
        <v>816</v>
      </c>
      <c r="P931">
        <v>0.01</v>
      </c>
      <c r="Q931" t="s">
        <v>245</v>
      </c>
      <c r="R931">
        <v>28.6</v>
      </c>
      <c r="S931">
        <v>31.4</v>
      </c>
      <c r="T931">
        <v>28.6</v>
      </c>
      <c r="U931">
        <v>4.3</v>
      </c>
      <c r="V931">
        <v>7.1</v>
      </c>
    </row>
    <row r="932" spans="1:22" x14ac:dyDescent="0.25">
      <c r="A932" t="s">
        <v>2226</v>
      </c>
      <c r="B932" t="s">
        <v>865</v>
      </c>
      <c r="C932">
        <v>18</v>
      </c>
      <c r="D932" t="s">
        <v>132</v>
      </c>
      <c r="E932" t="s">
        <v>260</v>
      </c>
      <c r="F932" t="s">
        <v>260</v>
      </c>
      <c r="G932">
        <v>0.06</v>
      </c>
      <c r="H932" t="s">
        <v>57</v>
      </c>
      <c r="I932">
        <v>-8</v>
      </c>
      <c r="J932" t="str">
        <f>HYPERLINK("https://www.eliteprospects.com/player/843363/aaron-murphy")</f>
        <v>https://www.eliteprospects.com/player/843363/aaron-murphy</v>
      </c>
      <c r="K932" t="s">
        <v>27</v>
      </c>
      <c r="L932" t="s">
        <v>804</v>
      </c>
      <c r="M932" t="s">
        <v>1296</v>
      </c>
      <c r="N932">
        <v>2</v>
      </c>
      <c r="O932" t="s">
        <v>825</v>
      </c>
      <c r="P932">
        <v>0.01</v>
      </c>
      <c r="Q932" t="s">
        <v>245</v>
      </c>
      <c r="R932">
        <v>28.6</v>
      </c>
      <c r="S932">
        <v>31.4</v>
      </c>
      <c r="T932">
        <v>28.6</v>
      </c>
      <c r="U932">
        <v>4.3</v>
      </c>
      <c r="V932">
        <v>7.1</v>
      </c>
    </row>
    <row r="933" spans="1:22" x14ac:dyDescent="0.25">
      <c r="A933" t="s">
        <v>2227</v>
      </c>
      <c r="B933" t="s">
        <v>865</v>
      </c>
      <c r="C933">
        <v>21</v>
      </c>
      <c r="D933" t="s">
        <v>132</v>
      </c>
      <c r="E933" t="s">
        <v>260</v>
      </c>
      <c r="F933" t="s">
        <v>260</v>
      </c>
      <c r="G933">
        <v>0.05</v>
      </c>
      <c r="H933" t="s">
        <v>41</v>
      </c>
      <c r="I933">
        <v>-5</v>
      </c>
      <c r="J933" t="str">
        <f>HYPERLINK("https://www.eliteprospects.com/player/882725/maxime-lapointe")</f>
        <v>https://www.eliteprospects.com/player/882725/maxime-lapointe</v>
      </c>
      <c r="K933" t="s">
        <v>27</v>
      </c>
      <c r="L933" t="s">
        <v>804</v>
      </c>
      <c r="M933" t="s">
        <v>1296</v>
      </c>
      <c r="N933">
        <v>2</v>
      </c>
      <c r="O933" t="s">
        <v>825</v>
      </c>
      <c r="P933">
        <v>0.01</v>
      </c>
      <c r="Q933" t="s">
        <v>245</v>
      </c>
      <c r="R933">
        <v>28.6</v>
      </c>
      <c r="S933">
        <v>31.4</v>
      </c>
      <c r="T933">
        <v>28.6</v>
      </c>
      <c r="U933">
        <v>4.3</v>
      </c>
      <c r="V933">
        <v>7.1</v>
      </c>
    </row>
    <row r="934" spans="1:22" x14ac:dyDescent="0.25">
      <c r="A934" t="s">
        <v>2228</v>
      </c>
      <c r="B934" t="s">
        <v>856</v>
      </c>
      <c r="C934">
        <v>10</v>
      </c>
      <c r="D934" t="s">
        <v>132</v>
      </c>
      <c r="E934" t="s">
        <v>132</v>
      </c>
      <c r="F934" t="s">
        <v>132</v>
      </c>
      <c r="G934">
        <v>0</v>
      </c>
      <c r="H934" t="s">
        <v>132</v>
      </c>
      <c r="I934">
        <v>-5</v>
      </c>
      <c r="J934" t="str">
        <f>HYPERLINK("https://www.eliteprospects.com/player/806426/nate-ostridge")</f>
        <v>https://www.eliteprospects.com/player/806426/nate-ostridge</v>
      </c>
      <c r="K934" t="s">
        <v>27</v>
      </c>
      <c r="L934" t="s">
        <v>804</v>
      </c>
      <c r="M934" t="s">
        <v>1296</v>
      </c>
      <c r="N934">
        <v>1</v>
      </c>
      <c r="O934" t="s">
        <v>816</v>
      </c>
      <c r="P934">
        <v>0</v>
      </c>
      <c r="Q934" t="s">
        <v>245</v>
      </c>
      <c r="R934">
        <v>28.6</v>
      </c>
      <c r="S934">
        <v>31.4</v>
      </c>
      <c r="T934">
        <v>28.6</v>
      </c>
      <c r="U934">
        <v>4.3</v>
      </c>
      <c r="V934">
        <v>7.1</v>
      </c>
    </row>
    <row r="935" spans="1:22" x14ac:dyDescent="0.25">
      <c r="A935" t="s">
        <v>2229</v>
      </c>
      <c r="B935" t="s">
        <v>507</v>
      </c>
      <c r="C935">
        <v>13</v>
      </c>
      <c r="D935" t="s">
        <v>132</v>
      </c>
      <c r="E935" t="s">
        <v>132</v>
      </c>
      <c r="F935" t="s">
        <v>132</v>
      </c>
      <c r="G935">
        <v>0</v>
      </c>
      <c r="H935" t="s">
        <v>66</v>
      </c>
      <c r="I935">
        <v>-4</v>
      </c>
      <c r="J935" t="str">
        <f>HYPERLINK("https://www.eliteprospects.com/player/888430/dominik-necak")</f>
        <v>https://www.eliteprospects.com/player/888430/dominik-necak</v>
      </c>
      <c r="K935" t="s">
        <v>27</v>
      </c>
      <c r="L935" t="s">
        <v>804</v>
      </c>
      <c r="M935" t="s">
        <v>1296</v>
      </c>
      <c r="N935">
        <v>1</v>
      </c>
      <c r="O935" t="s">
        <v>816</v>
      </c>
      <c r="P935">
        <v>0</v>
      </c>
      <c r="Q935" t="s">
        <v>245</v>
      </c>
      <c r="R935">
        <v>28.6</v>
      </c>
      <c r="S935">
        <v>31.4</v>
      </c>
      <c r="T935">
        <v>28.6</v>
      </c>
      <c r="U935">
        <v>4.3</v>
      </c>
      <c r="V935">
        <v>7.1</v>
      </c>
    </row>
    <row r="936" spans="1:22" x14ac:dyDescent="0.25">
      <c r="A936" t="s">
        <v>2230</v>
      </c>
      <c r="B936" t="s">
        <v>808</v>
      </c>
      <c r="C936">
        <v>16</v>
      </c>
      <c r="D936" t="s">
        <v>132</v>
      </c>
      <c r="E936" t="s">
        <v>132</v>
      </c>
      <c r="F936" t="s">
        <v>132</v>
      </c>
      <c r="G936">
        <v>0</v>
      </c>
      <c r="H936" t="s">
        <v>45</v>
      </c>
      <c r="I936">
        <v>-3</v>
      </c>
      <c r="J936" t="str">
        <f>HYPERLINK("https://www.eliteprospects.com/player/729644/colby-train")</f>
        <v>https://www.eliteprospects.com/player/729644/colby-train</v>
      </c>
      <c r="K936" t="s">
        <v>27</v>
      </c>
      <c r="L936" t="s">
        <v>804</v>
      </c>
      <c r="M936" t="s">
        <v>1296</v>
      </c>
      <c r="N936">
        <v>3</v>
      </c>
      <c r="O936" t="s">
        <v>805</v>
      </c>
      <c r="P936">
        <v>0</v>
      </c>
      <c r="Q936" t="s">
        <v>245</v>
      </c>
      <c r="R936">
        <v>28.6</v>
      </c>
      <c r="S936">
        <v>31.4</v>
      </c>
      <c r="T936">
        <v>28.6</v>
      </c>
      <c r="U936">
        <v>4.3</v>
      </c>
      <c r="V936">
        <v>7.1</v>
      </c>
    </row>
    <row r="937" spans="1:22" x14ac:dyDescent="0.25">
      <c r="A937" t="s">
        <v>2231</v>
      </c>
      <c r="B937" t="s">
        <v>821</v>
      </c>
      <c r="C937">
        <v>17</v>
      </c>
      <c r="D937" t="s">
        <v>132</v>
      </c>
      <c r="E937" t="s">
        <v>132</v>
      </c>
      <c r="F937" t="s">
        <v>132</v>
      </c>
      <c r="G937">
        <v>0</v>
      </c>
      <c r="H937" t="s">
        <v>66</v>
      </c>
      <c r="I937">
        <v>-1</v>
      </c>
      <c r="J937" t="str">
        <f>HYPERLINK("https://www.eliteprospects.com/player/576990/aiden-macisaac")</f>
        <v>https://www.eliteprospects.com/player/576990/aiden-macisaac</v>
      </c>
      <c r="K937" t="s">
        <v>27</v>
      </c>
      <c r="L937" t="s">
        <v>804</v>
      </c>
      <c r="M937" t="s">
        <v>1296</v>
      </c>
      <c r="N937">
        <v>1</v>
      </c>
      <c r="O937" t="s">
        <v>816</v>
      </c>
      <c r="P937">
        <v>0</v>
      </c>
      <c r="Q937" t="s">
        <v>245</v>
      </c>
      <c r="R937">
        <v>28.6</v>
      </c>
      <c r="S937">
        <v>31.4</v>
      </c>
      <c r="T937">
        <v>28.6</v>
      </c>
      <c r="U937">
        <v>4.3</v>
      </c>
      <c r="V937">
        <v>7.1</v>
      </c>
    </row>
    <row r="938" spans="1:22" x14ac:dyDescent="0.25">
      <c r="A938" t="s">
        <v>2232</v>
      </c>
      <c r="B938" t="s">
        <v>824</v>
      </c>
      <c r="C938">
        <v>23</v>
      </c>
      <c r="D938" t="s">
        <v>132</v>
      </c>
      <c r="E938" t="s">
        <v>132</v>
      </c>
      <c r="F938" t="s">
        <v>132</v>
      </c>
      <c r="G938">
        <v>0</v>
      </c>
      <c r="H938" t="s">
        <v>66</v>
      </c>
      <c r="I938">
        <v>-12</v>
      </c>
      <c r="J938" t="str">
        <f>HYPERLINK("https://www.eliteprospects.com/player/923272/justin-chiras")</f>
        <v>https://www.eliteprospects.com/player/923272/justin-chiras</v>
      </c>
      <c r="K938" t="s">
        <v>27</v>
      </c>
      <c r="L938" t="s">
        <v>804</v>
      </c>
      <c r="M938" t="s">
        <v>1296</v>
      </c>
      <c r="N938">
        <v>2</v>
      </c>
      <c r="O938" t="s">
        <v>825</v>
      </c>
      <c r="P938">
        <v>0</v>
      </c>
      <c r="Q938" t="s">
        <v>245</v>
      </c>
      <c r="R938">
        <v>28.6</v>
      </c>
      <c r="S938">
        <v>31.4</v>
      </c>
      <c r="T938">
        <v>28.6</v>
      </c>
      <c r="U938">
        <v>4.3</v>
      </c>
      <c r="V938">
        <v>7.1</v>
      </c>
    </row>
    <row r="939" spans="1:22" x14ac:dyDescent="0.25">
      <c r="A939" t="s">
        <v>2233</v>
      </c>
      <c r="B939" t="s">
        <v>926</v>
      </c>
      <c r="C939">
        <v>20</v>
      </c>
      <c r="D939" t="s">
        <v>45</v>
      </c>
      <c r="E939" t="s">
        <v>65</v>
      </c>
      <c r="F939" t="s">
        <v>47</v>
      </c>
      <c r="G939">
        <v>1.1000000000000001</v>
      </c>
      <c r="H939" t="s">
        <v>55</v>
      </c>
      <c r="I939">
        <v>27</v>
      </c>
      <c r="J939" t="str">
        <f>HYPERLINK("https://www.eliteprospects.com/player/325973/jake-lee")</f>
        <v>https://www.eliteprospects.com/player/325973/jake-lee</v>
      </c>
      <c r="K939" t="s">
        <v>27</v>
      </c>
      <c r="L939" t="s">
        <v>918</v>
      </c>
      <c r="M939" t="s">
        <v>1296</v>
      </c>
      <c r="N939">
        <v>6</v>
      </c>
      <c r="O939" t="s">
        <v>927</v>
      </c>
      <c r="P939">
        <v>0.14000000000000001</v>
      </c>
      <c r="Q939" t="s">
        <v>1300</v>
      </c>
      <c r="R939">
        <v>30.8</v>
      </c>
      <c r="S939">
        <v>20.5</v>
      </c>
      <c r="T939">
        <v>10.3</v>
      </c>
      <c r="U939">
        <v>10.3</v>
      </c>
      <c r="V939">
        <v>28.2</v>
      </c>
    </row>
    <row r="940" spans="1:22" x14ac:dyDescent="0.25">
      <c r="A940" t="s">
        <v>2234</v>
      </c>
      <c r="B940" t="s">
        <v>1015</v>
      </c>
      <c r="C940">
        <v>18</v>
      </c>
      <c r="D940" t="s">
        <v>79</v>
      </c>
      <c r="E940" t="s">
        <v>24</v>
      </c>
      <c r="F940" t="s">
        <v>47</v>
      </c>
      <c r="G940">
        <v>1.22</v>
      </c>
      <c r="H940" t="s">
        <v>39</v>
      </c>
      <c r="I940">
        <v>-11</v>
      </c>
      <c r="J940" t="str">
        <f>HYPERLINK("https://www.eliteprospects.com/player/200735/dawson-davidson")</f>
        <v>https://www.eliteprospects.com/player/200735/dawson-davidson</v>
      </c>
      <c r="K940" t="s">
        <v>27</v>
      </c>
      <c r="L940" t="s">
        <v>918</v>
      </c>
      <c r="M940" t="s">
        <v>1296</v>
      </c>
      <c r="N940">
        <v>4</v>
      </c>
      <c r="O940" t="s">
        <v>940</v>
      </c>
      <c r="P940">
        <v>0.15</v>
      </c>
      <c r="Q940" t="s">
        <v>1300</v>
      </c>
      <c r="R940">
        <v>30.8</v>
      </c>
      <c r="S940">
        <v>20.5</v>
      </c>
      <c r="T940">
        <v>10.3</v>
      </c>
      <c r="U940">
        <v>10.3</v>
      </c>
      <c r="V940">
        <v>28.2</v>
      </c>
    </row>
    <row r="941" spans="1:22" x14ac:dyDescent="0.25">
      <c r="A941" t="s">
        <v>2235</v>
      </c>
      <c r="B941" t="s">
        <v>939</v>
      </c>
      <c r="C941">
        <v>18</v>
      </c>
      <c r="D941" t="s">
        <v>140</v>
      </c>
      <c r="E941" t="s">
        <v>60</v>
      </c>
      <c r="F941" t="s">
        <v>24</v>
      </c>
      <c r="G941">
        <v>1.1100000000000001</v>
      </c>
      <c r="H941" t="s">
        <v>39</v>
      </c>
      <c r="I941">
        <v>11</v>
      </c>
      <c r="J941" t="str">
        <f>HYPERLINK("https://www.eliteprospects.com/player/403796/landon-kosior")</f>
        <v>https://www.eliteprospects.com/player/403796/landon-kosior</v>
      </c>
      <c r="K941" t="s">
        <v>27</v>
      </c>
      <c r="L941" t="s">
        <v>918</v>
      </c>
      <c r="M941" t="s">
        <v>1296</v>
      </c>
      <c r="N941">
        <v>6</v>
      </c>
      <c r="O941" t="s">
        <v>924</v>
      </c>
      <c r="P941">
        <v>0.14000000000000001</v>
      </c>
      <c r="Q941" t="s">
        <v>1300</v>
      </c>
      <c r="R941">
        <v>30.8</v>
      </c>
      <c r="S941">
        <v>20.5</v>
      </c>
      <c r="T941">
        <v>10.3</v>
      </c>
      <c r="U941">
        <v>10.3</v>
      </c>
      <c r="V941">
        <v>28.2</v>
      </c>
    </row>
    <row r="942" spans="1:22" x14ac:dyDescent="0.25">
      <c r="A942" t="s">
        <v>2236</v>
      </c>
      <c r="B942" t="s">
        <v>1038</v>
      </c>
      <c r="C942">
        <v>18</v>
      </c>
      <c r="D942" t="s">
        <v>140</v>
      </c>
      <c r="E942" t="s">
        <v>60</v>
      </c>
      <c r="F942" t="s">
        <v>24</v>
      </c>
      <c r="G942">
        <v>1.1100000000000001</v>
      </c>
      <c r="H942" t="s">
        <v>38</v>
      </c>
      <c r="I942">
        <v>0</v>
      </c>
      <c r="J942" t="str">
        <f>HYPERLINK("https://www.eliteprospects.com/player/418374/mark-cooper")</f>
        <v>https://www.eliteprospects.com/player/418374/mark-cooper</v>
      </c>
      <c r="K942" t="s">
        <v>27</v>
      </c>
      <c r="L942" t="s">
        <v>918</v>
      </c>
      <c r="M942" t="s">
        <v>1296</v>
      </c>
      <c r="N942">
        <v>3</v>
      </c>
      <c r="O942" t="s">
        <v>1039</v>
      </c>
      <c r="P942">
        <v>0.14000000000000001</v>
      </c>
      <c r="Q942" t="s">
        <v>1300</v>
      </c>
      <c r="R942">
        <v>30.8</v>
      </c>
      <c r="S942">
        <v>20.5</v>
      </c>
      <c r="T942">
        <v>10.3</v>
      </c>
      <c r="U942">
        <v>10.3</v>
      </c>
      <c r="V942">
        <v>28.2</v>
      </c>
    </row>
    <row r="943" spans="1:22" x14ac:dyDescent="0.25">
      <c r="A943" t="s">
        <v>2237</v>
      </c>
      <c r="B943" t="s">
        <v>1011</v>
      </c>
      <c r="C943">
        <v>20</v>
      </c>
      <c r="D943" t="s">
        <v>57</v>
      </c>
      <c r="E943" t="s">
        <v>65</v>
      </c>
      <c r="F943" t="s">
        <v>51</v>
      </c>
      <c r="G943">
        <v>0.95</v>
      </c>
      <c r="H943" t="s">
        <v>81</v>
      </c>
      <c r="I943">
        <v>1</v>
      </c>
      <c r="J943" t="str">
        <f>HYPERLINK("https://www.eliteprospects.com/player/504241/charlie-callaghan")</f>
        <v>https://www.eliteprospects.com/player/504241/charlie-callaghan</v>
      </c>
      <c r="K943" t="s">
        <v>27</v>
      </c>
      <c r="L943" t="s">
        <v>918</v>
      </c>
      <c r="M943" t="s">
        <v>1296</v>
      </c>
      <c r="N943">
        <v>7</v>
      </c>
      <c r="O943" t="s">
        <v>919</v>
      </c>
      <c r="P943">
        <v>0.12</v>
      </c>
      <c r="Q943" t="s">
        <v>1300</v>
      </c>
      <c r="R943">
        <v>30.8</v>
      </c>
      <c r="S943">
        <v>20.5</v>
      </c>
      <c r="T943">
        <v>10.3</v>
      </c>
      <c r="U943">
        <v>10.3</v>
      </c>
      <c r="V943">
        <v>28.2</v>
      </c>
    </row>
    <row r="944" spans="1:22" x14ac:dyDescent="0.25">
      <c r="A944" t="s">
        <v>2238</v>
      </c>
      <c r="B944" t="s">
        <v>923</v>
      </c>
      <c r="C944">
        <v>20</v>
      </c>
      <c r="D944" t="s">
        <v>66</v>
      </c>
      <c r="E944" t="s">
        <v>41</v>
      </c>
      <c r="F944" t="s">
        <v>51</v>
      </c>
      <c r="G944">
        <v>0.95</v>
      </c>
      <c r="H944" t="s">
        <v>57</v>
      </c>
      <c r="I944">
        <v>18</v>
      </c>
      <c r="J944" t="str">
        <f>HYPERLINK("https://www.eliteprospects.com/player/350248/sean-strange")</f>
        <v>https://www.eliteprospects.com/player/350248/sean-strange</v>
      </c>
      <c r="K944" t="s">
        <v>27</v>
      </c>
      <c r="L944" t="s">
        <v>918</v>
      </c>
      <c r="M944" t="s">
        <v>1296</v>
      </c>
      <c r="N944">
        <v>6</v>
      </c>
      <c r="O944" t="s">
        <v>932</v>
      </c>
      <c r="P944">
        <v>0.12</v>
      </c>
      <c r="Q944" t="s">
        <v>1300</v>
      </c>
      <c r="R944">
        <v>30.8</v>
      </c>
      <c r="S944">
        <v>20.5</v>
      </c>
      <c r="T944">
        <v>10.3</v>
      </c>
      <c r="U944">
        <v>10.3</v>
      </c>
      <c r="V944">
        <v>28.2</v>
      </c>
    </row>
    <row r="945" spans="1:22" x14ac:dyDescent="0.25">
      <c r="A945" t="s">
        <v>2239</v>
      </c>
      <c r="B945" t="s">
        <v>926</v>
      </c>
      <c r="C945">
        <v>20</v>
      </c>
      <c r="D945" t="s">
        <v>79</v>
      </c>
      <c r="E945" t="s">
        <v>60</v>
      </c>
      <c r="F945" t="s">
        <v>51</v>
      </c>
      <c r="G945">
        <v>0.95</v>
      </c>
      <c r="H945" t="s">
        <v>57</v>
      </c>
      <c r="I945">
        <v>15</v>
      </c>
      <c r="J945" t="str">
        <f>HYPERLINK("https://www.eliteprospects.com/player/691857/jace-weir")</f>
        <v>https://www.eliteprospects.com/player/691857/jace-weir</v>
      </c>
      <c r="K945" t="s">
        <v>27</v>
      </c>
      <c r="L945" t="s">
        <v>918</v>
      </c>
      <c r="M945" t="s">
        <v>1296</v>
      </c>
      <c r="N945">
        <v>6</v>
      </c>
      <c r="O945" t="s">
        <v>950</v>
      </c>
      <c r="P945">
        <v>0.12</v>
      </c>
      <c r="Q945" t="s">
        <v>1300</v>
      </c>
      <c r="R945">
        <v>30.8</v>
      </c>
      <c r="S945">
        <v>20.5</v>
      </c>
      <c r="T945">
        <v>10.3</v>
      </c>
      <c r="U945">
        <v>10.3</v>
      </c>
      <c r="V945">
        <v>28.2</v>
      </c>
    </row>
    <row r="946" spans="1:22" x14ac:dyDescent="0.25">
      <c r="A946" t="s">
        <v>2240</v>
      </c>
      <c r="B946" t="s">
        <v>947</v>
      </c>
      <c r="C946">
        <v>18</v>
      </c>
      <c r="D946" t="s">
        <v>78</v>
      </c>
      <c r="E946" t="s">
        <v>69</v>
      </c>
      <c r="F946" t="s">
        <v>55</v>
      </c>
      <c r="G946">
        <v>1</v>
      </c>
      <c r="H946" t="s">
        <v>26</v>
      </c>
      <c r="I946">
        <v>0</v>
      </c>
      <c r="J946" t="str">
        <f>HYPERLINK("https://www.eliteprospects.com/player/415731/nathan-allensen")</f>
        <v>https://www.eliteprospects.com/player/415731/nathan-allensen</v>
      </c>
      <c r="K946" t="s">
        <v>27</v>
      </c>
      <c r="L946" t="s">
        <v>918</v>
      </c>
      <c r="M946" t="s">
        <v>1296</v>
      </c>
      <c r="N946">
        <v>5</v>
      </c>
      <c r="O946" t="s">
        <v>935</v>
      </c>
      <c r="P946">
        <v>0.12</v>
      </c>
      <c r="Q946" t="s">
        <v>1300</v>
      </c>
      <c r="R946">
        <v>30.8</v>
      </c>
      <c r="S946">
        <v>20.5</v>
      </c>
      <c r="T946">
        <v>10.3</v>
      </c>
      <c r="U946">
        <v>10.3</v>
      </c>
      <c r="V946">
        <v>28.2</v>
      </c>
    </row>
    <row r="947" spans="1:22" x14ac:dyDescent="0.25">
      <c r="A947" t="s">
        <v>2241</v>
      </c>
      <c r="B947" t="s">
        <v>961</v>
      </c>
      <c r="C947">
        <v>17</v>
      </c>
      <c r="D947" t="s">
        <v>96</v>
      </c>
      <c r="E947" t="s">
        <v>65</v>
      </c>
      <c r="F947" t="s">
        <v>55</v>
      </c>
      <c r="G947">
        <v>1.06</v>
      </c>
      <c r="H947" t="s">
        <v>512</v>
      </c>
      <c r="I947">
        <v>0</v>
      </c>
      <c r="J947" t="str">
        <f>HYPERLINK("https://www.eliteprospects.com/player/351170/eric-van-impe")</f>
        <v>https://www.eliteprospects.com/player/351170/eric-van-impe</v>
      </c>
      <c r="K947" t="s">
        <v>27</v>
      </c>
      <c r="L947" t="s">
        <v>918</v>
      </c>
      <c r="M947" t="s">
        <v>1296</v>
      </c>
      <c r="N947">
        <v>6</v>
      </c>
      <c r="O947" t="s">
        <v>927</v>
      </c>
      <c r="P947">
        <v>0.13</v>
      </c>
      <c r="Q947" t="s">
        <v>1300</v>
      </c>
      <c r="R947">
        <v>30.8</v>
      </c>
      <c r="S947">
        <v>20.5</v>
      </c>
      <c r="T947">
        <v>10.3</v>
      </c>
      <c r="U947">
        <v>10.3</v>
      </c>
      <c r="V947">
        <v>28.2</v>
      </c>
    </row>
    <row r="948" spans="1:22" x14ac:dyDescent="0.25">
      <c r="A948" t="s">
        <v>2242</v>
      </c>
      <c r="B948" t="s">
        <v>942</v>
      </c>
      <c r="C948">
        <v>17</v>
      </c>
      <c r="D948" t="s">
        <v>96</v>
      </c>
      <c r="E948" t="s">
        <v>23</v>
      </c>
      <c r="F948" t="s">
        <v>60</v>
      </c>
      <c r="G948">
        <v>1</v>
      </c>
      <c r="H948" t="s">
        <v>66</v>
      </c>
      <c r="I948">
        <v>0</v>
      </c>
      <c r="J948" t="str">
        <f>HYPERLINK("https://www.eliteprospects.com/player/689712/giuseppe-ianniello")</f>
        <v>https://www.eliteprospects.com/player/689712/giuseppe-ianniello</v>
      </c>
      <c r="K948" t="s">
        <v>27</v>
      </c>
      <c r="L948" t="s">
        <v>918</v>
      </c>
      <c r="M948" t="s">
        <v>1296</v>
      </c>
      <c r="N948">
        <v>3</v>
      </c>
      <c r="O948" t="s">
        <v>1002</v>
      </c>
      <c r="P948">
        <v>0.12</v>
      </c>
      <c r="Q948" t="s">
        <v>1300</v>
      </c>
      <c r="R948">
        <v>30.8</v>
      </c>
      <c r="S948">
        <v>20.5</v>
      </c>
      <c r="T948">
        <v>10.3</v>
      </c>
      <c r="U948">
        <v>10.3</v>
      </c>
      <c r="V948">
        <v>28.2</v>
      </c>
    </row>
    <row r="949" spans="1:22" x14ac:dyDescent="0.25">
      <c r="A949" t="s">
        <v>2243</v>
      </c>
      <c r="B949" t="s">
        <v>954</v>
      </c>
      <c r="C949">
        <v>18</v>
      </c>
      <c r="D949" t="s">
        <v>66</v>
      </c>
      <c r="E949" t="s">
        <v>65</v>
      </c>
      <c r="F949" t="s">
        <v>60</v>
      </c>
      <c r="G949">
        <v>0.94</v>
      </c>
      <c r="H949" t="s">
        <v>280</v>
      </c>
      <c r="I949">
        <v>0</v>
      </c>
      <c r="J949" t="str">
        <f>HYPERLINK("https://www.eliteprospects.com/player/649085/alexis-daviault")</f>
        <v>https://www.eliteprospects.com/player/649085/alexis-daviault</v>
      </c>
      <c r="K949" t="s">
        <v>27</v>
      </c>
      <c r="L949" t="s">
        <v>918</v>
      </c>
      <c r="M949" t="s">
        <v>1296</v>
      </c>
      <c r="N949">
        <v>5</v>
      </c>
      <c r="O949" t="s">
        <v>1008</v>
      </c>
      <c r="P949">
        <v>0.12</v>
      </c>
      <c r="Q949" t="s">
        <v>1300</v>
      </c>
      <c r="R949">
        <v>30.8</v>
      </c>
      <c r="S949">
        <v>20.5</v>
      </c>
      <c r="T949">
        <v>10.3</v>
      </c>
      <c r="U949">
        <v>10.3</v>
      </c>
      <c r="V949">
        <v>28.2</v>
      </c>
    </row>
    <row r="950" spans="1:22" x14ac:dyDescent="0.25">
      <c r="A950" t="s">
        <v>2244</v>
      </c>
      <c r="B950" t="s">
        <v>966</v>
      </c>
      <c r="C950">
        <v>18</v>
      </c>
      <c r="D950" t="s">
        <v>140</v>
      </c>
      <c r="E950" t="s">
        <v>39</v>
      </c>
      <c r="F950" t="s">
        <v>60</v>
      </c>
      <c r="G950">
        <v>0.94</v>
      </c>
      <c r="H950" t="s">
        <v>24</v>
      </c>
      <c r="I950">
        <v>12</v>
      </c>
      <c r="J950" t="str">
        <f>HYPERLINK("https://www.eliteprospects.com/player/503166/tyler-deline")</f>
        <v>https://www.eliteprospects.com/player/503166/tyler-deline</v>
      </c>
      <c r="K950" t="s">
        <v>27</v>
      </c>
      <c r="L950" t="s">
        <v>918</v>
      </c>
      <c r="M950" t="s">
        <v>1296</v>
      </c>
      <c r="N950">
        <v>6</v>
      </c>
      <c r="O950" t="s">
        <v>995</v>
      </c>
      <c r="P950">
        <v>0.12</v>
      </c>
      <c r="Q950" t="s">
        <v>1300</v>
      </c>
      <c r="R950">
        <v>30.8</v>
      </c>
      <c r="S950">
        <v>20.5</v>
      </c>
      <c r="T950">
        <v>10.3</v>
      </c>
      <c r="U950">
        <v>10.3</v>
      </c>
      <c r="V950">
        <v>28.2</v>
      </c>
    </row>
    <row r="951" spans="1:22" x14ac:dyDescent="0.25">
      <c r="A951" t="s">
        <v>2245</v>
      </c>
      <c r="B951" t="s">
        <v>939</v>
      </c>
      <c r="C951">
        <v>17</v>
      </c>
      <c r="D951" t="s">
        <v>140</v>
      </c>
      <c r="E951" t="s">
        <v>65</v>
      </c>
      <c r="F951" t="s">
        <v>38</v>
      </c>
      <c r="G951">
        <v>0.94</v>
      </c>
      <c r="H951" t="s">
        <v>26</v>
      </c>
      <c r="I951">
        <v>6</v>
      </c>
      <c r="J951" t="str">
        <f>HYPERLINK("https://www.eliteprospects.com/player/326546/rhett-rhinehart")</f>
        <v>https://www.eliteprospects.com/player/326546/rhett-rhinehart</v>
      </c>
      <c r="K951" t="s">
        <v>27</v>
      </c>
      <c r="L951" t="s">
        <v>918</v>
      </c>
      <c r="M951" t="s">
        <v>1417</v>
      </c>
      <c r="N951">
        <v>6</v>
      </c>
      <c r="O951" t="s">
        <v>927</v>
      </c>
      <c r="P951">
        <v>0.12</v>
      </c>
      <c r="Q951" t="s">
        <v>1300</v>
      </c>
      <c r="R951">
        <v>30.8</v>
      </c>
      <c r="S951">
        <v>20.5</v>
      </c>
      <c r="T951">
        <v>10.3</v>
      </c>
      <c r="U951">
        <v>10.3</v>
      </c>
      <c r="V951">
        <v>28.2</v>
      </c>
    </row>
    <row r="952" spans="1:22" x14ac:dyDescent="0.25">
      <c r="A952" t="s">
        <v>2246</v>
      </c>
      <c r="B952" t="s">
        <v>934</v>
      </c>
      <c r="C952">
        <v>19</v>
      </c>
      <c r="D952" t="s">
        <v>79</v>
      </c>
      <c r="E952" t="s">
        <v>39</v>
      </c>
      <c r="F952" t="s">
        <v>38</v>
      </c>
      <c r="G952">
        <v>0.84</v>
      </c>
      <c r="H952" t="s">
        <v>55</v>
      </c>
      <c r="I952">
        <v>17</v>
      </c>
      <c r="J952" t="str">
        <f>HYPERLINK("https://www.eliteprospects.com/player/710467/luca-d-amato")</f>
        <v>https://www.eliteprospects.com/player/710467/luca-d-amato</v>
      </c>
      <c r="K952" t="s">
        <v>27</v>
      </c>
      <c r="L952" t="s">
        <v>918</v>
      </c>
      <c r="M952" t="s">
        <v>1296</v>
      </c>
      <c r="N952">
        <v>5</v>
      </c>
      <c r="O952" t="s">
        <v>1008</v>
      </c>
      <c r="P952">
        <v>0.1</v>
      </c>
      <c r="Q952" t="s">
        <v>1325</v>
      </c>
      <c r="R952">
        <v>27.3</v>
      </c>
      <c r="S952">
        <v>22.7</v>
      </c>
      <c r="T952">
        <v>27.3</v>
      </c>
      <c r="U952">
        <v>4.5</v>
      </c>
      <c r="V952">
        <v>18.2</v>
      </c>
    </row>
    <row r="953" spans="1:22" x14ac:dyDescent="0.25">
      <c r="A953" t="s">
        <v>2247</v>
      </c>
      <c r="B953" t="s">
        <v>977</v>
      </c>
      <c r="C953">
        <v>17</v>
      </c>
      <c r="D953" t="s">
        <v>26</v>
      </c>
      <c r="E953" t="s">
        <v>78</v>
      </c>
      <c r="F953" t="s">
        <v>41</v>
      </c>
      <c r="G953">
        <v>0.88</v>
      </c>
      <c r="H953" t="s">
        <v>55</v>
      </c>
      <c r="I953">
        <v>0</v>
      </c>
      <c r="J953" t="str">
        <f>HYPERLINK("https://www.eliteprospects.com/player/418495/dylan-schives")</f>
        <v>https://www.eliteprospects.com/player/418495/dylan-schives</v>
      </c>
      <c r="K953" t="s">
        <v>27</v>
      </c>
      <c r="L953" t="s">
        <v>918</v>
      </c>
      <c r="M953" t="s">
        <v>1296</v>
      </c>
      <c r="N953">
        <v>4</v>
      </c>
      <c r="O953" t="s">
        <v>1192</v>
      </c>
      <c r="P953">
        <v>0.11</v>
      </c>
      <c r="Q953" t="s">
        <v>1325</v>
      </c>
      <c r="R953">
        <v>27.3</v>
      </c>
      <c r="S953">
        <v>22.7</v>
      </c>
      <c r="T953">
        <v>27.3</v>
      </c>
      <c r="U953">
        <v>4.5</v>
      </c>
      <c r="V953">
        <v>18.2</v>
      </c>
    </row>
    <row r="954" spans="1:22" x14ac:dyDescent="0.25">
      <c r="A954" t="s">
        <v>2248</v>
      </c>
      <c r="B954" t="s">
        <v>966</v>
      </c>
      <c r="C954">
        <v>20</v>
      </c>
      <c r="D954" t="s">
        <v>57</v>
      </c>
      <c r="E954" t="s">
        <v>45</v>
      </c>
      <c r="F954" t="s">
        <v>41</v>
      </c>
      <c r="G954">
        <v>0.75</v>
      </c>
      <c r="H954" t="s">
        <v>32</v>
      </c>
      <c r="I954">
        <v>0</v>
      </c>
      <c r="J954" t="str">
        <f>HYPERLINK("https://www.eliteprospects.com/player/563050/brayden-schmitt")</f>
        <v>https://www.eliteprospects.com/player/563050/brayden-schmitt</v>
      </c>
      <c r="K954" t="s">
        <v>27</v>
      </c>
      <c r="L954" t="s">
        <v>918</v>
      </c>
      <c r="M954" t="s">
        <v>1296</v>
      </c>
      <c r="N954">
        <v>6</v>
      </c>
      <c r="O954" t="s">
        <v>968</v>
      </c>
      <c r="P954">
        <v>0.09</v>
      </c>
      <c r="Q954" t="s">
        <v>1325</v>
      </c>
      <c r="R954">
        <v>27.3</v>
      </c>
      <c r="S954">
        <v>22.7</v>
      </c>
      <c r="T954">
        <v>27.3</v>
      </c>
      <c r="U954">
        <v>4.5</v>
      </c>
      <c r="V954">
        <v>18.2</v>
      </c>
    </row>
    <row r="955" spans="1:22" x14ac:dyDescent="0.25">
      <c r="A955" t="s">
        <v>2249</v>
      </c>
      <c r="B955" t="s">
        <v>997</v>
      </c>
      <c r="C955">
        <v>15</v>
      </c>
      <c r="D955" t="s">
        <v>96</v>
      </c>
      <c r="E955" t="s">
        <v>45</v>
      </c>
      <c r="F955" t="s">
        <v>39</v>
      </c>
      <c r="G955">
        <v>0.93</v>
      </c>
      <c r="H955" t="s">
        <v>32</v>
      </c>
      <c r="I955">
        <v>0</v>
      </c>
      <c r="J955" t="str">
        <f>HYPERLINK("https://www.eliteprospects.com/player/290166/simon-lavigne")</f>
        <v>https://www.eliteprospects.com/player/290166/simon-lavigne</v>
      </c>
      <c r="K955" t="s">
        <v>27</v>
      </c>
      <c r="L955" t="s">
        <v>918</v>
      </c>
      <c r="M955" t="s">
        <v>1296</v>
      </c>
      <c r="N955">
        <v>6</v>
      </c>
      <c r="O955" t="s">
        <v>937</v>
      </c>
      <c r="P955">
        <v>0.12</v>
      </c>
      <c r="Q955" t="s">
        <v>1300</v>
      </c>
      <c r="R955">
        <v>30.8</v>
      </c>
      <c r="S955">
        <v>20.5</v>
      </c>
      <c r="T955">
        <v>10.3</v>
      </c>
      <c r="U955">
        <v>10.3</v>
      </c>
      <c r="V955">
        <v>28.2</v>
      </c>
    </row>
    <row r="956" spans="1:22" x14ac:dyDescent="0.25">
      <c r="A956" t="s">
        <v>2250</v>
      </c>
      <c r="B956" t="s">
        <v>931</v>
      </c>
      <c r="C956">
        <v>20</v>
      </c>
      <c r="D956" t="s">
        <v>96</v>
      </c>
      <c r="E956" t="s">
        <v>45</v>
      </c>
      <c r="F956" t="s">
        <v>39</v>
      </c>
      <c r="G956">
        <v>0.7</v>
      </c>
      <c r="H956" t="s">
        <v>66</v>
      </c>
      <c r="I956">
        <v>10</v>
      </c>
      <c r="J956" t="str">
        <f>HYPERLINK("https://www.eliteprospects.com/player/476551/remy-aquilon")</f>
        <v>https://www.eliteprospects.com/player/476551/remy-aquilon</v>
      </c>
      <c r="K956" t="s">
        <v>27</v>
      </c>
      <c r="L956" t="s">
        <v>918</v>
      </c>
      <c r="M956" t="s">
        <v>1296</v>
      </c>
      <c r="N956">
        <v>6</v>
      </c>
      <c r="O956" t="s">
        <v>927</v>
      </c>
      <c r="P956">
        <v>0.09</v>
      </c>
      <c r="Q956" t="s">
        <v>1325</v>
      </c>
      <c r="R956">
        <v>27.3</v>
      </c>
      <c r="S956">
        <v>22.7</v>
      </c>
      <c r="T956">
        <v>27.3</v>
      </c>
      <c r="U956">
        <v>4.5</v>
      </c>
      <c r="V956">
        <v>18.2</v>
      </c>
    </row>
    <row r="957" spans="1:22" x14ac:dyDescent="0.25">
      <c r="A957" t="s">
        <v>2251</v>
      </c>
      <c r="B957" t="s">
        <v>997</v>
      </c>
      <c r="C957">
        <v>18</v>
      </c>
      <c r="D957" t="s">
        <v>66</v>
      </c>
      <c r="E957" t="s">
        <v>32</v>
      </c>
      <c r="F957" t="s">
        <v>39</v>
      </c>
      <c r="G957">
        <v>0.78</v>
      </c>
      <c r="H957" t="s">
        <v>55</v>
      </c>
      <c r="I957">
        <v>0</v>
      </c>
      <c r="J957" t="str">
        <f>HYPERLINK("https://www.eliteprospects.com/player/295659/sean-larochelle")</f>
        <v>https://www.eliteprospects.com/player/295659/sean-larochelle</v>
      </c>
      <c r="K957" t="s">
        <v>27</v>
      </c>
      <c r="L957" t="s">
        <v>918</v>
      </c>
      <c r="M957" t="s">
        <v>1296</v>
      </c>
      <c r="N957">
        <v>6</v>
      </c>
      <c r="O957" t="s">
        <v>937</v>
      </c>
      <c r="P957">
        <v>0.1</v>
      </c>
      <c r="Q957" t="s">
        <v>1325</v>
      </c>
      <c r="R957">
        <v>27.3</v>
      </c>
      <c r="S957">
        <v>22.7</v>
      </c>
      <c r="T957">
        <v>27.3</v>
      </c>
      <c r="U957">
        <v>4.5</v>
      </c>
      <c r="V957">
        <v>18.2</v>
      </c>
    </row>
    <row r="958" spans="1:22" x14ac:dyDescent="0.25">
      <c r="A958" t="s">
        <v>2252</v>
      </c>
      <c r="B958" t="s">
        <v>959</v>
      </c>
      <c r="C958">
        <v>18</v>
      </c>
      <c r="D958" t="s">
        <v>66</v>
      </c>
      <c r="E958" t="s">
        <v>45</v>
      </c>
      <c r="F958" t="s">
        <v>65</v>
      </c>
      <c r="G958">
        <v>0.72</v>
      </c>
      <c r="H958" t="s">
        <v>32</v>
      </c>
      <c r="I958">
        <v>0</v>
      </c>
      <c r="J958" t="str">
        <f>HYPERLINK("https://www.eliteprospects.com/player/425651/thomas-belzile")</f>
        <v>https://www.eliteprospects.com/player/425651/thomas-belzile</v>
      </c>
      <c r="K958" t="s">
        <v>27</v>
      </c>
      <c r="L958" t="s">
        <v>918</v>
      </c>
      <c r="M958" t="s">
        <v>1296</v>
      </c>
      <c r="N958">
        <v>6</v>
      </c>
      <c r="O958" t="s">
        <v>921</v>
      </c>
      <c r="P958">
        <v>0.09</v>
      </c>
      <c r="Q958" t="s">
        <v>1325</v>
      </c>
      <c r="R958">
        <v>27.3</v>
      </c>
      <c r="S958">
        <v>22.7</v>
      </c>
      <c r="T958">
        <v>27.3</v>
      </c>
      <c r="U958">
        <v>4.5</v>
      </c>
      <c r="V958">
        <v>18.2</v>
      </c>
    </row>
    <row r="959" spans="1:22" x14ac:dyDescent="0.25">
      <c r="A959" t="s">
        <v>2253</v>
      </c>
      <c r="B959" t="s">
        <v>957</v>
      </c>
      <c r="C959">
        <v>19</v>
      </c>
      <c r="D959" t="s">
        <v>66</v>
      </c>
      <c r="E959" t="s">
        <v>45</v>
      </c>
      <c r="F959" t="s">
        <v>65</v>
      </c>
      <c r="G959">
        <v>0.68</v>
      </c>
      <c r="H959" t="s">
        <v>499</v>
      </c>
      <c r="I959">
        <v>-1</v>
      </c>
      <c r="J959" t="str">
        <f>HYPERLINK("https://www.eliteprospects.com/player/413102/logan-dowhaniuk")</f>
        <v>https://www.eliteprospects.com/player/413102/logan-dowhaniuk</v>
      </c>
      <c r="K959" t="s">
        <v>27</v>
      </c>
      <c r="L959" t="s">
        <v>918</v>
      </c>
      <c r="M959" t="s">
        <v>1296</v>
      </c>
      <c r="N959">
        <v>6</v>
      </c>
      <c r="O959" t="s">
        <v>924</v>
      </c>
      <c r="P959">
        <v>0.08</v>
      </c>
      <c r="Q959" t="s">
        <v>1325</v>
      </c>
      <c r="R959">
        <v>30</v>
      </c>
      <c r="S959">
        <v>25</v>
      </c>
      <c r="T959">
        <v>32.5</v>
      </c>
      <c r="U959">
        <v>5</v>
      </c>
      <c r="V959">
        <v>7.5</v>
      </c>
    </row>
    <row r="960" spans="1:22" x14ac:dyDescent="0.25">
      <c r="A960" t="s">
        <v>2254</v>
      </c>
      <c r="B960" t="s">
        <v>917</v>
      </c>
      <c r="C960">
        <v>20</v>
      </c>
      <c r="D960" t="s">
        <v>140</v>
      </c>
      <c r="E960" t="s">
        <v>32</v>
      </c>
      <c r="F960" t="s">
        <v>65</v>
      </c>
      <c r="G960">
        <v>0.65</v>
      </c>
      <c r="H960" t="s">
        <v>53</v>
      </c>
      <c r="I960">
        <v>-15</v>
      </c>
      <c r="J960" t="str">
        <f>HYPERLINK("https://www.eliteprospects.com/player/503983/ethan-ritchie")</f>
        <v>https://www.eliteprospects.com/player/503983/ethan-ritchie</v>
      </c>
      <c r="K960" t="s">
        <v>27</v>
      </c>
      <c r="L960" t="s">
        <v>918</v>
      </c>
      <c r="M960" t="s">
        <v>1296</v>
      </c>
      <c r="N960">
        <v>6</v>
      </c>
      <c r="O960" t="s">
        <v>970</v>
      </c>
      <c r="P960">
        <v>0.08</v>
      </c>
      <c r="Q960" t="s">
        <v>1325</v>
      </c>
      <c r="R960">
        <v>30</v>
      </c>
      <c r="S960">
        <v>25</v>
      </c>
      <c r="T960">
        <v>32.5</v>
      </c>
      <c r="U960">
        <v>5</v>
      </c>
      <c r="V960">
        <v>7.5</v>
      </c>
    </row>
    <row r="961" spans="1:22" x14ac:dyDescent="0.25">
      <c r="A961" t="s">
        <v>2255</v>
      </c>
      <c r="B961" t="s">
        <v>1118</v>
      </c>
      <c r="C961">
        <v>18</v>
      </c>
      <c r="D961" t="s">
        <v>260</v>
      </c>
      <c r="E961" t="s">
        <v>23</v>
      </c>
      <c r="F961" t="s">
        <v>65</v>
      </c>
      <c r="G961">
        <v>0.72</v>
      </c>
      <c r="H961" t="s">
        <v>55</v>
      </c>
      <c r="I961">
        <v>-13</v>
      </c>
      <c r="J961" t="str">
        <f>HYPERLINK("https://www.eliteprospects.com/player/201836/blake-heward")</f>
        <v>https://www.eliteprospects.com/player/201836/blake-heward</v>
      </c>
      <c r="K961" t="s">
        <v>27</v>
      </c>
      <c r="L961" t="s">
        <v>918</v>
      </c>
      <c r="M961" t="s">
        <v>1296</v>
      </c>
      <c r="N961">
        <v>4</v>
      </c>
      <c r="O961" t="s">
        <v>978</v>
      </c>
      <c r="P961">
        <v>0.09</v>
      </c>
      <c r="Q961" t="s">
        <v>1325</v>
      </c>
      <c r="R961">
        <v>27.3</v>
      </c>
      <c r="S961">
        <v>22.7</v>
      </c>
      <c r="T961">
        <v>27.3</v>
      </c>
      <c r="U961">
        <v>4.5</v>
      </c>
      <c r="V961">
        <v>18.2</v>
      </c>
    </row>
    <row r="962" spans="1:22" x14ac:dyDescent="0.25">
      <c r="A962" t="s">
        <v>2256</v>
      </c>
      <c r="B962" t="s">
        <v>934</v>
      </c>
      <c r="C962">
        <v>20</v>
      </c>
      <c r="D962" t="s">
        <v>260</v>
      </c>
      <c r="E962" t="s">
        <v>23</v>
      </c>
      <c r="F962" t="s">
        <v>65</v>
      </c>
      <c r="G962">
        <v>0.65</v>
      </c>
      <c r="H962" t="s">
        <v>66</v>
      </c>
      <c r="I962">
        <v>12</v>
      </c>
      <c r="J962" t="str">
        <f>HYPERLINK("https://www.eliteprospects.com/player/530053/justin-nolet")</f>
        <v>https://www.eliteprospects.com/player/530053/justin-nolet</v>
      </c>
      <c r="K962" t="s">
        <v>27</v>
      </c>
      <c r="L962" t="s">
        <v>918</v>
      </c>
      <c r="M962" t="s">
        <v>1296</v>
      </c>
      <c r="N962">
        <v>7</v>
      </c>
      <c r="O962" t="s">
        <v>2257</v>
      </c>
      <c r="P962">
        <v>0.08</v>
      </c>
      <c r="Q962" t="s">
        <v>1325</v>
      </c>
      <c r="R962">
        <v>30</v>
      </c>
      <c r="S962">
        <v>25</v>
      </c>
      <c r="T962">
        <v>32.5</v>
      </c>
      <c r="U962">
        <v>5</v>
      </c>
      <c r="V962">
        <v>7.5</v>
      </c>
    </row>
    <row r="963" spans="1:22" x14ac:dyDescent="0.25">
      <c r="A963" t="s">
        <v>2258</v>
      </c>
      <c r="B963" t="s">
        <v>942</v>
      </c>
      <c r="C963">
        <v>18</v>
      </c>
      <c r="D963" t="s">
        <v>132</v>
      </c>
      <c r="E963" t="s">
        <v>65</v>
      </c>
      <c r="F963" t="s">
        <v>65</v>
      </c>
      <c r="G963">
        <v>0.72</v>
      </c>
      <c r="H963" t="s">
        <v>79</v>
      </c>
      <c r="I963">
        <v>0</v>
      </c>
      <c r="J963" t="str">
        <f>HYPERLINK("https://www.eliteprospects.com/player/351631/hunter-donohoe")</f>
        <v>https://www.eliteprospects.com/player/351631/hunter-donohoe</v>
      </c>
      <c r="K963" t="s">
        <v>27</v>
      </c>
      <c r="L963" t="s">
        <v>918</v>
      </c>
      <c r="M963" t="s">
        <v>1296</v>
      </c>
      <c r="N963">
        <v>5</v>
      </c>
      <c r="O963" t="s">
        <v>988</v>
      </c>
      <c r="P963">
        <v>0.09</v>
      </c>
      <c r="Q963" t="s">
        <v>1325</v>
      </c>
      <c r="R963">
        <v>27.3</v>
      </c>
      <c r="S963">
        <v>22.7</v>
      </c>
      <c r="T963">
        <v>27.3</v>
      </c>
      <c r="U963">
        <v>4.5</v>
      </c>
      <c r="V963">
        <v>18.2</v>
      </c>
    </row>
    <row r="964" spans="1:22" x14ac:dyDescent="0.25">
      <c r="A964" t="s">
        <v>2259</v>
      </c>
      <c r="B964" t="s">
        <v>923</v>
      </c>
      <c r="C964">
        <v>14</v>
      </c>
      <c r="D964" t="s">
        <v>57</v>
      </c>
      <c r="E964" t="s">
        <v>57</v>
      </c>
      <c r="F964" t="s">
        <v>23</v>
      </c>
      <c r="G964">
        <v>0.86</v>
      </c>
      <c r="H964" t="s">
        <v>57</v>
      </c>
      <c r="I964">
        <v>12</v>
      </c>
      <c r="J964" t="str">
        <f>HYPERLINK("https://www.eliteprospects.com/player/407565/connor-horning")</f>
        <v>https://www.eliteprospects.com/player/407565/connor-horning</v>
      </c>
      <c r="K964" t="s">
        <v>27</v>
      </c>
      <c r="L964" t="s">
        <v>918</v>
      </c>
      <c r="M964" t="s">
        <v>1296</v>
      </c>
      <c r="N964">
        <v>6</v>
      </c>
      <c r="O964" t="s">
        <v>927</v>
      </c>
      <c r="P964">
        <v>0.11</v>
      </c>
      <c r="Q964" t="s">
        <v>1325</v>
      </c>
      <c r="R964">
        <v>27.3</v>
      </c>
      <c r="S964">
        <v>22.7</v>
      </c>
      <c r="T964">
        <v>27.3</v>
      </c>
      <c r="U964">
        <v>4.5</v>
      </c>
      <c r="V964">
        <v>18.2</v>
      </c>
    </row>
    <row r="965" spans="1:22" x14ac:dyDescent="0.25">
      <c r="A965" t="s">
        <v>2260</v>
      </c>
      <c r="B965" t="s">
        <v>998</v>
      </c>
      <c r="C965">
        <v>18</v>
      </c>
      <c r="D965" t="s">
        <v>96</v>
      </c>
      <c r="E965" t="s">
        <v>78</v>
      </c>
      <c r="F965" t="s">
        <v>23</v>
      </c>
      <c r="G965">
        <v>0.67</v>
      </c>
      <c r="H965" t="s">
        <v>66</v>
      </c>
      <c r="I965">
        <v>0</v>
      </c>
      <c r="J965" t="str">
        <f>HYPERLINK("https://www.eliteprospects.com/player/504236/michael-renwick")</f>
        <v>https://www.eliteprospects.com/player/504236/michael-renwick</v>
      </c>
      <c r="K965" t="s">
        <v>27</v>
      </c>
      <c r="L965" t="s">
        <v>918</v>
      </c>
      <c r="M965" t="s">
        <v>1296</v>
      </c>
      <c r="N965">
        <v>7</v>
      </c>
      <c r="O965" t="s">
        <v>919</v>
      </c>
      <c r="P965">
        <v>0.08</v>
      </c>
      <c r="Q965" t="s">
        <v>1325</v>
      </c>
      <c r="R965">
        <v>30</v>
      </c>
      <c r="S965">
        <v>25</v>
      </c>
      <c r="T965">
        <v>32.5</v>
      </c>
      <c r="U965">
        <v>5</v>
      </c>
      <c r="V965">
        <v>7.5</v>
      </c>
    </row>
    <row r="966" spans="1:22" x14ac:dyDescent="0.25">
      <c r="A966" t="s">
        <v>2261</v>
      </c>
      <c r="B966" t="s">
        <v>977</v>
      </c>
      <c r="C966">
        <v>17</v>
      </c>
      <c r="D966" t="s">
        <v>140</v>
      </c>
      <c r="E966" t="s">
        <v>45</v>
      </c>
      <c r="F966" t="s">
        <v>23</v>
      </c>
      <c r="G966">
        <v>0.71</v>
      </c>
      <c r="H966" t="s">
        <v>79</v>
      </c>
      <c r="I966">
        <v>0</v>
      </c>
      <c r="J966" t="str">
        <f>HYPERLINK("https://www.eliteprospects.com/player/334047/matt-mcnamara")</f>
        <v>https://www.eliteprospects.com/player/334047/matt-mcnamara</v>
      </c>
      <c r="K966" t="s">
        <v>27</v>
      </c>
      <c r="L966" t="s">
        <v>918</v>
      </c>
      <c r="M966" t="s">
        <v>1296</v>
      </c>
      <c r="N966">
        <v>5</v>
      </c>
      <c r="O966" t="s">
        <v>955</v>
      </c>
      <c r="P966">
        <v>0.09</v>
      </c>
      <c r="Q966" t="s">
        <v>1325</v>
      </c>
      <c r="R966">
        <v>27.3</v>
      </c>
      <c r="S966">
        <v>22.7</v>
      </c>
      <c r="T966">
        <v>27.3</v>
      </c>
      <c r="U966">
        <v>4.5</v>
      </c>
      <c r="V966">
        <v>18.2</v>
      </c>
    </row>
    <row r="967" spans="1:22" x14ac:dyDescent="0.25">
      <c r="A967" t="s">
        <v>2262</v>
      </c>
      <c r="B967" t="s">
        <v>1049</v>
      </c>
      <c r="C967">
        <v>18</v>
      </c>
      <c r="D967" t="s">
        <v>140</v>
      </c>
      <c r="E967" t="s">
        <v>45</v>
      </c>
      <c r="F967" t="s">
        <v>23</v>
      </c>
      <c r="G967">
        <v>0.67</v>
      </c>
      <c r="H967" t="s">
        <v>23</v>
      </c>
      <c r="I967">
        <v>-7</v>
      </c>
      <c r="J967" t="str">
        <f>HYPERLINK("https://www.eliteprospects.com/player/483394/lucas-brenton")</f>
        <v>https://www.eliteprospects.com/player/483394/lucas-brenton</v>
      </c>
      <c r="K967" t="s">
        <v>27</v>
      </c>
      <c r="L967" t="s">
        <v>918</v>
      </c>
      <c r="M967" t="s">
        <v>1296</v>
      </c>
      <c r="N967">
        <v>7</v>
      </c>
      <c r="O967" t="s">
        <v>2263</v>
      </c>
      <c r="P967">
        <v>0.08</v>
      </c>
      <c r="Q967" t="s">
        <v>1325</v>
      </c>
      <c r="R967">
        <v>30</v>
      </c>
      <c r="S967">
        <v>25</v>
      </c>
      <c r="T967">
        <v>32.5</v>
      </c>
      <c r="U967">
        <v>5</v>
      </c>
      <c r="V967">
        <v>7.5</v>
      </c>
    </row>
    <row r="968" spans="1:22" x14ac:dyDescent="0.25">
      <c r="A968" t="s">
        <v>2264</v>
      </c>
      <c r="B968" t="s">
        <v>926</v>
      </c>
      <c r="C968">
        <v>19</v>
      </c>
      <c r="D968" t="s">
        <v>140</v>
      </c>
      <c r="E968" t="s">
        <v>45</v>
      </c>
      <c r="F968" t="s">
        <v>23</v>
      </c>
      <c r="G968">
        <v>0.63</v>
      </c>
      <c r="H968" t="s">
        <v>26</v>
      </c>
      <c r="I968">
        <v>14</v>
      </c>
      <c r="J968" t="str">
        <f>HYPERLINK("https://www.eliteprospects.com/player/560054/kayden-sadhra-kang")</f>
        <v>https://www.eliteprospects.com/player/560054/kayden-sadhra-kang</v>
      </c>
      <c r="K968" t="s">
        <v>27</v>
      </c>
      <c r="L968" t="s">
        <v>918</v>
      </c>
      <c r="M968" t="s">
        <v>1296</v>
      </c>
      <c r="N968">
        <v>5</v>
      </c>
      <c r="O968" t="s">
        <v>979</v>
      </c>
      <c r="P968">
        <v>0.08</v>
      </c>
      <c r="Q968" t="s">
        <v>1325</v>
      </c>
      <c r="R968">
        <v>30</v>
      </c>
      <c r="S968">
        <v>25</v>
      </c>
      <c r="T968">
        <v>32.5</v>
      </c>
      <c r="U968">
        <v>5</v>
      </c>
      <c r="V968">
        <v>7.5</v>
      </c>
    </row>
    <row r="969" spans="1:22" x14ac:dyDescent="0.25">
      <c r="A969" t="s">
        <v>2265</v>
      </c>
      <c r="B969" t="s">
        <v>917</v>
      </c>
      <c r="C969">
        <v>18</v>
      </c>
      <c r="D969" t="s">
        <v>79</v>
      </c>
      <c r="E969" t="s">
        <v>32</v>
      </c>
      <c r="F969" t="s">
        <v>23</v>
      </c>
      <c r="G969">
        <v>0.67</v>
      </c>
      <c r="H969" t="s">
        <v>79</v>
      </c>
      <c r="I969">
        <v>8</v>
      </c>
      <c r="J969" t="str">
        <f>HYPERLINK("https://www.eliteprospects.com/player/485870/connor-olson")</f>
        <v>https://www.eliteprospects.com/player/485870/connor-olson</v>
      </c>
      <c r="K969" t="s">
        <v>27</v>
      </c>
      <c r="L969" t="s">
        <v>918</v>
      </c>
      <c r="M969" t="s">
        <v>1296</v>
      </c>
      <c r="N969">
        <v>5</v>
      </c>
      <c r="O969" t="s">
        <v>973</v>
      </c>
      <c r="P969">
        <v>0.08</v>
      </c>
      <c r="Q969" t="s">
        <v>1325</v>
      </c>
      <c r="R969">
        <v>30</v>
      </c>
      <c r="S969">
        <v>25</v>
      </c>
      <c r="T969">
        <v>32.5</v>
      </c>
      <c r="U969">
        <v>5</v>
      </c>
      <c r="V969">
        <v>7.5</v>
      </c>
    </row>
    <row r="970" spans="1:22" x14ac:dyDescent="0.25">
      <c r="A970" t="s">
        <v>2266</v>
      </c>
      <c r="B970" t="s">
        <v>917</v>
      </c>
      <c r="C970">
        <v>20</v>
      </c>
      <c r="D970" t="s">
        <v>79</v>
      </c>
      <c r="E970" t="s">
        <v>32</v>
      </c>
      <c r="F970" t="s">
        <v>23</v>
      </c>
      <c r="G970">
        <v>0.6</v>
      </c>
      <c r="H970" t="s">
        <v>26</v>
      </c>
      <c r="I970">
        <v>3</v>
      </c>
      <c r="J970" t="str">
        <f>HYPERLINK("https://www.eliteprospects.com/player/618658/jacob-holmes")</f>
        <v>https://www.eliteprospects.com/player/618658/jacob-holmes</v>
      </c>
      <c r="K970" t="s">
        <v>27</v>
      </c>
      <c r="L970" t="s">
        <v>918</v>
      </c>
      <c r="M970" t="s">
        <v>1296</v>
      </c>
      <c r="N970">
        <v>7</v>
      </c>
      <c r="O970" t="s">
        <v>948</v>
      </c>
      <c r="P970">
        <v>0.08</v>
      </c>
      <c r="Q970" t="s">
        <v>1325</v>
      </c>
      <c r="R970">
        <v>30</v>
      </c>
      <c r="S970">
        <v>25</v>
      </c>
      <c r="T970">
        <v>32.5</v>
      </c>
      <c r="U970">
        <v>5</v>
      </c>
      <c r="V970">
        <v>7.5</v>
      </c>
    </row>
    <row r="971" spans="1:22" x14ac:dyDescent="0.25">
      <c r="A971" t="s">
        <v>2267</v>
      </c>
      <c r="B971" t="s">
        <v>957</v>
      </c>
      <c r="C971">
        <v>20</v>
      </c>
      <c r="D971" t="s">
        <v>79</v>
      </c>
      <c r="E971" t="s">
        <v>32</v>
      </c>
      <c r="F971" t="s">
        <v>23</v>
      </c>
      <c r="G971">
        <v>0.6</v>
      </c>
      <c r="H971" t="s">
        <v>25</v>
      </c>
      <c r="I971">
        <v>8</v>
      </c>
      <c r="J971" t="str">
        <f>HYPERLINK("https://www.eliteprospects.com/player/559019/keaton-dowhaniuk")</f>
        <v>https://www.eliteprospects.com/player/559019/keaton-dowhaniuk</v>
      </c>
      <c r="K971" t="s">
        <v>27</v>
      </c>
      <c r="L971" t="s">
        <v>918</v>
      </c>
      <c r="M971" t="s">
        <v>1296</v>
      </c>
      <c r="N971">
        <v>7</v>
      </c>
      <c r="O971" t="s">
        <v>2263</v>
      </c>
      <c r="P971">
        <v>0.08</v>
      </c>
      <c r="Q971" t="s">
        <v>1325</v>
      </c>
      <c r="R971">
        <v>30</v>
      </c>
      <c r="S971">
        <v>25</v>
      </c>
      <c r="T971">
        <v>32.5</v>
      </c>
      <c r="U971">
        <v>5</v>
      </c>
      <c r="V971">
        <v>7.5</v>
      </c>
    </row>
    <row r="972" spans="1:22" x14ac:dyDescent="0.25">
      <c r="A972" t="s">
        <v>2268</v>
      </c>
      <c r="B972" t="s">
        <v>1020</v>
      </c>
      <c r="C972">
        <v>20</v>
      </c>
      <c r="D972" t="s">
        <v>96</v>
      </c>
      <c r="E972" t="s">
        <v>57</v>
      </c>
      <c r="F972" t="s">
        <v>69</v>
      </c>
      <c r="G972">
        <v>0.55000000000000004</v>
      </c>
      <c r="H972" t="s">
        <v>39</v>
      </c>
      <c r="I972">
        <v>-18</v>
      </c>
      <c r="J972" t="str">
        <f>HYPERLINK("https://www.eliteprospects.com/player/476574/jonathan-krahn")</f>
        <v>https://www.eliteprospects.com/player/476574/jonathan-krahn</v>
      </c>
      <c r="K972" t="s">
        <v>27</v>
      </c>
      <c r="L972" t="s">
        <v>918</v>
      </c>
      <c r="M972" t="s">
        <v>1546</v>
      </c>
      <c r="N972">
        <v>3</v>
      </c>
      <c r="O972" t="s">
        <v>962</v>
      </c>
      <c r="P972">
        <v>7.0000000000000007E-2</v>
      </c>
      <c r="Q972" t="s">
        <v>1325</v>
      </c>
      <c r="R972">
        <v>30</v>
      </c>
      <c r="S972">
        <v>25</v>
      </c>
      <c r="T972">
        <v>32.5</v>
      </c>
      <c r="U972">
        <v>5</v>
      </c>
      <c r="V972">
        <v>7.5</v>
      </c>
    </row>
    <row r="973" spans="1:22" x14ac:dyDescent="0.25">
      <c r="A973" t="s">
        <v>2269</v>
      </c>
      <c r="B973" t="s">
        <v>1001</v>
      </c>
      <c r="C973">
        <v>14</v>
      </c>
      <c r="D973" t="s">
        <v>140</v>
      </c>
      <c r="E973" t="s">
        <v>26</v>
      </c>
      <c r="F973" t="s">
        <v>69</v>
      </c>
      <c r="G973">
        <v>0.79</v>
      </c>
      <c r="H973" t="s">
        <v>66</v>
      </c>
      <c r="I973">
        <v>-13</v>
      </c>
      <c r="J973" t="str">
        <f>HYPERLINK("https://www.eliteprospects.com/player/504038/jack-harper")</f>
        <v>https://www.eliteprospects.com/player/504038/jack-harper</v>
      </c>
      <c r="K973" t="s">
        <v>27</v>
      </c>
      <c r="L973" t="s">
        <v>918</v>
      </c>
      <c r="M973" t="s">
        <v>1296</v>
      </c>
      <c r="N973">
        <v>7</v>
      </c>
      <c r="O973" t="s">
        <v>919</v>
      </c>
      <c r="P973">
        <v>0.1</v>
      </c>
      <c r="Q973" t="s">
        <v>1325</v>
      </c>
      <c r="R973">
        <v>27.3</v>
      </c>
      <c r="S973">
        <v>22.7</v>
      </c>
      <c r="T973">
        <v>27.3</v>
      </c>
      <c r="U973">
        <v>4.5</v>
      </c>
      <c r="V973">
        <v>18.2</v>
      </c>
    </row>
    <row r="974" spans="1:22" x14ac:dyDescent="0.25">
      <c r="A974" t="s">
        <v>2270</v>
      </c>
      <c r="B974" t="s">
        <v>1036</v>
      </c>
      <c r="C974">
        <v>19</v>
      </c>
      <c r="D974" t="s">
        <v>140</v>
      </c>
      <c r="E974" t="s">
        <v>26</v>
      </c>
      <c r="F974" t="s">
        <v>69</v>
      </c>
      <c r="G974">
        <v>0.57999999999999996</v>
      </c>
      <c r="H974" t="s">
        <v>32</v>
      </c>
      <c r="I974">
        <v>0</v>
      </c>
      <c r="J974" t="str">
        <f>HYPERLINK("https://www.eliteprospects.com/player/273728/stephen-calisti")</f>
        <v>https://www.eliteprospects.com/player/273728/stephen-calisti</v>
      </c>
      <c r="K974" t="s">
        <v>27</v>
      </c>
      <c r="L974" t="s">
        <v>918</v>
      </c>
      <c r="M974" t="s">
        <v>1296</v>
      </c>
      <c r="N974">
        <v>5</v>
      </c>
      <c r="O974" t="s">
        <v>1237</v>
      </c>
      <c r="P974">
        <v>7.0000000000000007E-2</v>
      </c>
      <c r="Q974" t="s">
        <v>1325</v>
      </c>
      <c r="R974">
        <v>30</v>
      </c>
      <c r="S974">
        <v>25</v>
      </c>
      <c r="T974">
        <v>32.5</v>
      </c>
      <c r="U974">
        <v>5</v>
      </c>
      <c r="V974">
        <v>7.5</v>
      </c>
    </row>
    <row r="975" spans="1:22" x14ac:dyDescent="0.25">
      <c r="A975" t="s">
        <v>2271</v>
      </c>
      <c r="B975" t="s">
        <v>931</v>
      </c>
      <c r="C975">
        <v>10</v>
      </c>
      <c r="D975" t="s">
        <v>79</v>
      </c>
      <c r="E975" t="s">
        <v>45</v>
      </c>
      <c r="F975" t="s">
        <v>69</v>
      </c>
      <c r="G975">
        <v>1.1000000000000001</v>
      </c>
      <c r="H975" t="s">
        <v>66</v>
      </c>
      <c r="I975">
        <v>5</v>
      </c>
      <c r="J975" t="str">
        <f>HYPERLINK("https://www.eliteprospects.com/player/476695/clay-hanus")</f>
        <v>https://www.eliteprospects.com/player/476695/clay-hanus</v>
      </c>
      <c r="K975" t="s">
        <v>27</v>
      </c>
      <c r="L975" t="s">
        <v>918</v>
      </c>
      <c r="M975" t="s">
        <v>1296</v>
      </c>
      <c r="N975">
        <v>6</v>
      </c>
      <c r="O975" t="s">
        <v>927</v>
      </c>
      <c r="P975">
        <v>0.14000000000000001</v>
      </c>
      <c r="Q975" t="s">
        <v>1300</v>
      </c>
      <c r="R975">
        <v>30.8</v>
      </c>
      <c r="S975">
        <v>20.5</v>
      </c>
      <c r="T975">
        <v>10.3</v>
      </c>
      <c r="U975">
        <v>10.3</v>
      </c>
      <c r="V975">
        <v>28.2</v>
      </c>
    </row>
    <row r="976" spans="1:22" x14ac:dyDescent="0.25">
      <c r="A976" t="s">
        <v>2272</v>
      </c>
      <c r="B976" t="s">
        <v>954</v>
      </c>
      <c r="C976">
        <v>17</v>
      </c>
      <c r="D976" t="s">
        <v>260</v>
      </c>
      <c r="E976" t="s">
        <v>32</v>
      </c>
      <c r="F976" t="s">
        <v>69</v>
      </c>
      <c r="G976">
        <v>0.65</v>
      </c>
      <c r="H976" t="s">
        <v>132</v>
      </c>
      <c r="I976">
        <v>0</v>
      </c>
      <c r="J976" t="str">
        <f>HYPERLINK("https://www.eliteprospects.com/player/648080/nicolas-bilodeau")</f>
        <v>https://www.eliteprospects.com/player/648080/nicolas-bilodeau</v>
      </c>
      <c r="K976" t="s">
        <v>27</v>
      </c>
      <c r="L976" t="s">
        <v>918</v>
      </c>
      <c r="M976" t="s">
        <v>1296</v>
      </c>
      <c r="N976">
        <v>4</v>
      </c>
      <c r="O976" t="s">
        <v>1051</v>
      </c>
      <c r="P976">
        <v>0.08</v>
      </c>
      <c r="Q976" t="s">
        <v>1325</v>
      </c>
      <c r="R976">
        <v>30</v>
      </c>
      <c r="S976">
        <v>25</v>
      </c>
      <c r="T976">
        <v>32.5</v>
      </c>
      <c r="U976">
        <v>5</v>
      </c>
      <c r="V976">
        <v>7.5</v>
      </c>
    </row>
    <row r="977" spans="1:22" x14ac:dyDescent="0.25">
      <c r="A977" t="s">
        <v>2273</v>
      </c>
      <c r="B977" t="s">
        <v>931</v>
      </c>
      <c r="C977">
        <v>20</v>
      </c>
      <c r="D977" t="s">
        <v>260</v>
      </c>
      <c r="E977" t="s">
        <v>32</v>
      </c>
      <c r="F977" t="s">
        <v>69</v>
      </c>
      <c r="G977">
        <v>0.55000000000000004</v>
      </c>
      <c r="H977" t="s">
        <v>24</v>
      </c>
      <c r="I977">
        <v>20</v>
      </c>
      <c r="J977" t="str">
        <f>HYPERLINK("https://www.eliteprospects.com/player/281933/kyle-walker")</f>
        <v>https://www.eliteprospects.com/player/281933/kyle-walker</v>
      </c>
      <c r="K977" t="s">
        <v>27</v>
      </c>
      <c r="L977" t="s">
        <v>918</v>
      </c>
      <c r="M977" t="s">
        <v>1296</v>
      </c>
      <c r="N977">
        <v>6</v>
      </c>
      <c r="O977" t="s">
        <v>932</v>
      </c>
      <c r="P977">
        <v>7.0000000000000007E-2</v>
      </c>
      <c r="Q977" t="s">
        <v>1325</v>
      </c>
      <c r="R977">
        <v>30</v>
      </c>
      <c r="S977">
        <v>25</v>
      </c>
      <c r="T977">
        <v>32.5</v>
      </c>
      <c r="U977">
        <v>5</v>
      </c>
      <c r="V977">
        <v>7.5</v>
      </c>
    </row>
    <row r="978" spans="1:22" x14ac:dyDescent="0.25">
      <c r="A978" t="s">
        <v>2274</v>
      </c>
      <c r="B978" t="s">
        <v>1003</v>
      </c>
      <c r="C978">
        <v>14</v>
      </c>
      <c r="D978" t="s">
        <v>132</v>
      </c>
      <c r="E978" t="s">
        <v>69</v>
      </c>
      <c r="F978" t="s">
        <v>69</v>
      </c>
      <c r="G978">
        <v>0.79</v>
      </c>
      <c r="H978" t="s">
        <v>23</v>
      </c>
      <c r="I978">
        <v>0</v>
      </c>
      <c r="J978" t="str">
        <f>HYPERLINK("https://www.eliteprospects.com/player/295303/antoine-desrochers")</f>
        <v>https://www.eliteprospects.com/player/295303/antoine-desrochers</v>
      </c>
      <c r="K978" t="s">
        <v>27</v>
      </c>
      <c r="L978" t="s">
        <v>918</v>
      </c>
      <c r="M978" t="s">
        <v>1296</v>
      </c>
      <c r="N978">
        <v>6</v>
      </c>
      <c r="O978" t="s">
        <v>921</v>
      </c>
      <c r="P978">
        <v>0.1</v>
      </c>
      <c r="Q978" t="s">
        <v>1325</v>
      </c>
      <c r="R978">
        <v>27.3</v>
      </c>
      <c r="S978">
        <v>22.7</v>
      </c>
      <c r="T978">
        <v>27.3</v>
      </c>
      <c r="U978">
        <v>4.5</v>
      </c>
      <c r="V978">
        <v>18.2</v>
      </c>
    </row>
    <row r="979" spans="1:22" x14ac:dyDescent="0.25">
      <c r="A979" t="s">
        <v>2275</v>
      </c>
      <c r="B979" t="s">
        <v>944</v>
      </c>
      <c r="C979">
        <v>20</v>
      </c>
      <c r="D979" t="s">
        <v>140</v>
      </c>
      <c r="E979" t="s">
        <v>78</v>
      </c>
      <c r="F979" t="s">
        <v>32</v>
      </c>
      <c r="G979">
        <v>0.5</v>
      </c>
      <c r="H979" t="s">
        <v>81</v>
      </c>
      <c r="I979">
        <v>6</v>
      </c>
      <c r="J979" t="str">
        <f>HYPERLINK("https://www.eliteprospects.com/player/272854/denis-toner")</f>
        <v>https://www.eliteprospects.com/player/272854/denis-toner</v>
      </c>
      <c r="K979" t="s">
        <v>27</v>
      </c>
      <c r="L979" t="s">
        <v>918</v>
      </c>
      <c r="M979" t="s">
        <v>1296</v>
      </c>
      <c r="N979">
        <v>5</v>
      </c>
      <c r="O979" t="s">
        <v>945</v>
      </c>
      <c r="P979">
        <v>0.06</v>
      </c>
      <c r="Q979" t="s">
        <v>1325</v>
      </c>
      <c r="R979">
        <v>26.3</v>
      </c>
      <c r="S979">
        <v>23.7</v>
      </c>
      <c r="T979">
        <v>28.9</v>
      </c>
      <c r="U979">
        <v>5.3</v>
      </c>
      <c r="V979">
        <v>15.8</v>
      </c>
    </row>
    <row r="980" spans="1:22" x14ac:dyDescent="0.25">
      <c r="A980" t="s">
        <v>2276</v>
      </c>
      <c r="B980" t="s">
        <v>1053</v>
      </c>
      <c r="C980">
        <v>17</v>
      </c>
      <c r="D980" t="s">
        <v>79</v>
      </c>
      <c r="E980" t="s">
        <v>26</v>
      </c>
      <c r="F980" t="s">
        <v>32</v>
      </c>
      <c r="G980">
        <v>0.59</v>
      </c>
      <c r="H980" t="s">
        <v>23</v>
      </c>
      <c r="I980">
        <v>0</v>
      </c>
      <c r="J980" t="str">
        <f>HYPERLINK("https://www.eliteprospects.com/player/416979/brandon-mccartney")</f>
        <v>https://www.eliteprospects.com/player/416979/brandon-mccartney</v>
      </c>
      <c r="K980" t="s">
        <v>27</v>
      </c>
      <c r="L980" t="s">
        <v>918</v>
      </c>
      <c r="M980" t="s">
        <v>1296</v>
      </c>
      <c r="N980">
        <v>2</v>
      </c>
      <c r="O980" t="s">
        <v>1021</v>
      </c>
      <c r="P980">
        <v>7.0000000000000007E-2</v>
      </c>
      <c r="Q980" t="s">
        <v>1325</v>
      </c>
      <c r="R980">
        <v>30</v>
      </c>
      <c r="S980">
        <v>25</v>
      </c>
      <c r="T980">
        <v>32.5</v>
      </c>
      <c r="U980">
        <v>5</v>
      </c>
      <c r="V980">
        <v>7.5</v>
      </c>
    </row>
    <row r="981" spans="1:22" x14ac:dyDescent="0.25">
      <c r="A981" t="s">
        <v>2277</v>
      </c>
      <c r="B981" t="s">
        <v>1001</v>
      </c>
      <c r="C981">
        <v>19</v>
      </c>
      <c r="D981" t="s">
        <v>79</v>
      </c>
      <c r="E981" t="s">
        <v>26</v>
      </c>
      <c r="F981" t="s">
        <v>32</v>
      </c>
      <c r="G981">
        <v>0.53</v>
      </c>
      <c r="H981" t="s">
        <v>518</v>
      </c>
      <c r="I981">
        <v>-27</v>
      </c>
      <c r="J981" t="str">
        <f>HYPERLINK("https://www.eliteprospects.com/player/337757/ethan-martini")</f>
        <v>https://www.eliteprospects.com/player/337757/ethan-martini</v>
      </c>
      <c r="K981" t="s">
        <v>27</v>
      </c>
      <c r="L981" t="s">
        <v>918</v>
      </c>
      <c r="M981" t="s">
        <v>1296</v>
      </c>
      <c r="N981">
        <v>4</v>
      </c>
      <c r="O981" t="s">
        <v>2278</v>
      </c>
      <c r="P981">
        <v>7.0000000000000007E-2</v>
      </c>
      <c r="Q981" t="s">
        <v>1325</v>
      </c>
      <c r="R981">
        <v>30</v>
      </c>
      <c r="S981">
        <v>25</v>
      </c>
      <c r="T981">
        <v>32.5</v>
      </c>
      <c r="U981">
        <v>5</v>
      </c>
      <c r="V981">
        <v>7.5</v>
      </c>
    </row>
    <row r="982" spans="1:22" x14ac:dyDescent="0.25">
      <c r="A982" t="s">
        <v>2279</v>
      </c>
      <c r="B982" t="s">
        <v>1032</v>
      </c>
      <c r="C982">
        <v>12</v>
      </c>
      <c r="D982" t="s">
        <v>132</v>
      </c>
      <c r="E982" t="s">
        <v>32</v>
      </c>
      <c r="F982" t="s">
        <v>32</v>
      </c>
      <c r="G982">
        <v>0.83</v>
      </c>
      <c r="H982" t="s">
        <v>39</v>
      </c>
      <c r="I982">
        <v>0</v>
      </c>
      <c r="J982" t="str">
        <f>HYPERLINK("https://www.eliteprospects.com/player/417813/sam-mckinney")</f>
        <v>https://www.eliteprospects.com/player/417813/sam-mckinney</v>
      </c>
      <c r="K982" t="s">
        <v>27</v>
      </c>
      <c r="L982" t="s">
        <v>918</v>
      </c>
      <c r="M982" t="s">
        <v>1296</v>
      </c>
      <c r="N982">
        <v>5</v>
      </c>
      <c r="O982" t="s">
        <v>1094</v>
      </c>
      <c r="P982">
        <v>0.1</v>
      </c>
      <c r="Q982" t="s">
        <v>1325</v>
      </c>
      <c r="R982">
        <v>27.3</v>
      </c>
      <c r="S982">
        <v>22.7</v>
      </c>
      <c r="T982">
        <v>27.3</v>
      </c>
      <c r="U982">
        <v>4.5</v>
      </c>
      <c r="V982">
        <v>18.2</v>
      </c>
    </row>
    <row r="983" spans="1:22" x14ac:dyDescent="0.25">
      <c r="A983" t="s">
        <v>2280</v>
      </c>
      <c r="B983" t="s">
        <v>997</v>
      </c>
      <c r="C983">
        <v>18</v>
      </c>
      <c r="D983" t="s">
        <v>66</v>
      </c>
      <c r="E983" t="s">
        <v>96</v>
      </c>
      <c r="F983" t="s">
        <v>45</v>
      </c>
      <c r="G983">
        <v>0.5</v>
      </c>
      <c r="H983" t="s">
        <v>66</v>
      </c>
      <c r="I983">
        <v>0</v>
      </c>
      <c r="J983" t="str">
        <f>HYPERLINK("https://www.eliteprospects.com/player/499905/xavier-laurent")</f>
        <v>https://www.eliteprospects.com/player/499905/xavier-laurent</v>
      </c>
      <c r="K983" t="s">
        <v>27</v>
      </c>
      <c r="L983" t="s">
        <v>918</v>
      </c>
      <c r="M983" t="s">
        <v>1296</v>
      </c>
      <c r="N983">
        <v>1</v>
      </c>
      <c r="O983" t="s">
        <v>984</v>
      </c>
      <c r="P983">
        <v>0.06</v>
      </c>
      <c r="Q983" t="s">
        <v>1325</v>
      </c>
      <c r="R983">
        <v>26.3</v>
      </c>
      <c r="S983">
        <v>23.7</v>
      </c>
      <c r="T983">
        <v>28.9</v>
      </c>
      <c r="U983">
        <v>5.3</v>
      </c>
      <c r="V983">
        <v>15.8</v>
      </c>
    </row>
    <row r="984" spans="1:22" x14ac:dyDescent="0.25">
      <c r="A984" t="s">
        <v>2281</v>
      </c>
      <c r="B984" t="s">
        <v>917</v>
      </c>
      <c r="C984">
        <v>14</v>
      </c>
      <c r="D984" t="s">
        <v>140</v>
      </c>
      <c r="E984" t="s">
        <v>57</v>
      </c>
      <c r="F984" t="s">
        <v>45</v>
      </c>
      <c r="G984">
        <v>0.64</v>
      </c>
      <c r="H984" t="s">
        <v>66</v>
      </c>
      <c r="I984">
        <v>5</v>
      </c>
      <c r="J984" t="str">
        <f>HYPERLINK("https://www.eliteprospects.com/player/563418/ryan-hopkins")</f>
        <v>https://www.eliteprospects.com/player/563418/ryan-hopkins</v>
      </c>
      <c r="K984" t="s">
        <v>27</v>
      </c>
      <c r="L984" t="s">
        <v>918</v>
      </c>
      <c r="M984" t="s">
        <v>1296</v>
      </c>
      <c r="N984">
        <v>2</v>
      </c>
      <c r="O984" t="s">
        <v>1076</v>
      </c>
      <c r="P984">
        <v>0.08</v>
      </c>
      <c r="Q984" t="s">
        <v>1325</v>
      </c>
      <c r="R984">
        <v>30</v>
      </c>
      <c r="S984">
        <v>25</v>
      </c>
      <c r="T984">
        <v>32.5</v>
      </c>
      <c r="U984">
        <v>5</v>
      </c>
      <c r="V984">
        <v>7.5</v>
      </c>
    </row>
    <row r="985" spans="1:22" x14ac:dyDescent="0.25">
      <c r="A985" t="s">
        <v>2282</v>
      </c>
      <c r="B985" t="s">
        <v>1015</v>
      </c>
      <c r="C985">
        <v>14</v>
      </c>
      <c r="D985" t="s">
        <v>140</v>
      </c>
      <c r="E985" t="s">
        <v>57</v>
      </c>
      <c r="F985" t="s">
        <v>45</v>
      </c>
      <c r="G985">
        <v>0.64</v>
      </c>
      <c r="H985" t="s">
        <v>24</v>
      </c>
      <c r="I985">
        <v>5</v>
      </c>
      <c r="J985" t="str">
        <f>HYPERLINK("https://www.eliteprospects.com/player/422105/mason-ward")</f>
        <v>https://www.eliteprospects.com/player/422105/mason-ward</v>
      </c>
      <c r="K985" t="s">
        <v>27</v>
      </c>
      <c r="L985" t="s">
        <v>918</v>
      </c>
      <c r="M985" t="s">
        <v>1296</v>
      </c>
      <c r="N985">
        <v>6</v>
      </c>
      <c r="O985" t="s">
        <v>924</v>
      </c>
      <c r="P985">
        <v>0.08</v>
      </c>
      <c r="Q985" t="s">
        <v>1325</v>
      </c>
      <c r="R985">
        <v>30</v>
      </c>
      <c r="S985">
        <v>25</v>
      </c>
      <c r="T985">
        <v>32.5</v>
      </c>
      <c r="U985">
        <v>5</v>
      </c>
      <c r="V985">
        <v>7.5</v>
      </c>
    </row>
    <row r="986" spans="1:22" x14ac:dyDescent="0.25">
      <c r="A986" t="s">
        <v>2283</v>
      </c>
      <c r="B986" t="s">
        <v>944</v>
      </c>
      <c r="C986">
        <v>20</v>
      </c>
      <c r="D986" t="s">
        <v>140</v>
      </c>
      <c r="E986" t="s">
        <v>57</v>
      </c>
      <c r="F986" t="s">
        <v>45</v>
      </c>
      <c r="G986">
        <v>0.45</v>
      </c>
      <c r="H986" t="s">
        <v>32</v>
      </c>
      <c r="I986">
        <v>10</v>
      </c>
      <c r="J986" t="str">
        <f>HYPERLINK("https://www.eliteprospects.com/player/410533/thomas-pelletier")</f>
        <v>https://www.eliteprospects.com/player/410533/thomas-pelletier</v>
      </c>
      <c r="K986" t="s">
        <v>27</v>
      </c>
      <c r="L986" t="s">
        <v>918</v>
      </c>
      <c r="M986" t="s">
        <v>1296</v>
      </c>
      <c r="N986">
        <v>6</v>
      </c>
      <c r="O986" t="s">
        <v>937</v>
      </c>
      <c r="P986">
        <v>0.06</v>
      </c>
      <c r="Q986" t="s">
        <v>1325</v>
      </c>
      <c r="R986">
        <v>26.3</v>
      </c>
      <c r="S986">
        <v>23.7</v>
      </c>
      <c r="T986">
        <v>28.9</v>
      </c>
      <c r="U986">
        <v>5.3</v>
      </c>
      <c r="V986">
        <v>15.8</v>
      </c>
    </row>
    <row r="987" spans="1:22" x14ac:dyDescent="0.25">
      <c r="A987" t="s">
        <v>2284</v>
      </c>
      <c r="B987" t="s">
        <v>972</v>
      </c>
      <c r="C987">
        <v>18</v>
      </c>
      <c r="D987" t="s">
        <v>79</v>
      </c>
      <c r="E987" t="s">
        <v>78</v>
      </c>
      <c r="F987" t="s">
        <v>45</v>
      </c>
      <c r="G987">
        <v>0.5</v>
      </c>
      <c r="H987" t="s">
        <v>178</v>
      </c>
      <c r="I987">
        <v>0</v>
      </c>
      <c r="J987" t="str">
        <f>HYPERLINK("https://www.eliteprospects.com/player/723099/naaman-hofer")</f>
        <v>https://www.eliteprospects.com/player/723099/naaman-hofer</v>
      </c>
      <c r="K987" t="s">
        <v>27</v>
      </c>
      <c r="L987" t="s">
        <v>918</v>
      </c>
      <c r="M987" t="s">
        <v>1296</v>
      </c>
      <c r="N987">
        <v>1</v>
      </c>
      <c r="O987" t="s">
        <v>984</v>
      </c>
      <c r="P987">
        <v>0.06</v>
      </c>
      <c r="Q987" t="s">
        <v>1325</v>
      </c>
      <c r="R987">
        <v>26.3</v>
      </c>
      <c r="S987">
        <v>23.7</v>
      </c>
      <c r="T987">
        <v>28.9</v>
      </c>
      <c r="U987">
        <v>5.3</v>
      </c>
      <c r="V987">
        <v>15.8</v>
      </c>
    </row>
    <row r="988" spans="1:22" x14ac:dyDescent="0.25">
      <c r="A988" t="s">
        <v>2285</v>
      </c>
      <c r="B988" t="s">
        <v>1011</v>
      </c>
      <c r="C988">
        <v>20</v>
      </c>
      <c r="D988" t="s">
        <v>79</v>
      </c>
      <c r="E988" t="s">
        <v>78</v>
      </c>
      <c r="F988" t="s">
        <v>45</v>
      </c>
      <c r="G988">
        <v>0.45</v>
      </c>
      <c r="H988" t="s">
        <v>23</v>
      </c>
      <c r="I988">
        <v>-6</v>
      </c>
      <c r="J988" t="str">
        <f>HYPERLINK("https://www.eliteprospects.com/player/413065/raegan-wiles")</f>
        <v>https://www.eliteprospects.com/player/413065/raegan-wiles</v>
      </c>
      <c r="K988" t="s">
        <v>27</v>
      </c>
      <c r="L988" t="s">
        <v>918</v>
      </c>
      <c r="M988" t="s">
        <v>1296</v>
      </c>
      <c r="N988">
        <v>6</v>
      </c>
      <c r="O988" t="s">
        <v>924</v>
      </c>
      <c r="P988">
        <v>0.06</v>
      </c>
      <c r="Q988" t="s">
        <v>1325</v>
      </c>
      <c r="R988">
        <v>26.3</v>
      </c>
      <c r="S988">
        <v>23.7</v>
      </c>
      <c r="T988">
        <v>28.9</v>
      </c>
      <c r="U988">
        <v>5.3</v>
      </c>
      <c r="V988">
        <v>15.8</v>
      </c>
    </row>
    <row r="989" spans="1:22" x14ac:dyDescent="0.25">
      <c r="A989" t="s">
        <v>2286</v>
      </c>
      <c r="B989" t="s">
        <v>926</v>
      </c>
      <c r="C989">
        <v>20</v>
      </c>
      <c r="D989" t="s">
        <v>79</v>
      </c>
      <c r="E989" t="s">
        <v>78</v>
      </c>
      <c r="F989" t="s">
        <v>45</v>
      </c>
      <c r="G989">
        <v>0.45</v>
      </c>
      <c r="H989" t="s">
        <v>39</v>
      </c>
      <c r="I989">
        <v>6</v>
      </c>
      <c r="J989" t="str">
        <f>HYPERLINK("https://www.eliteprospects.com/player/477388/alex-serraglio")</f>
        <v>https://www.eliteprospects.com/player/477388/alex-serraglio</v>
      </c>
      <c r="K989" t="s">
        <v>27</v>
      </c>
      <c r="L989" t="s">
        <v>918</v>
      </c>
      <c r="M989" t="s">
        <v>1296</v>
      </c>
      <c r="N989">
        <v>5</v>
      </c>
      <c r="O989" t="s">
        <v>979</v>
      </c>
      <c r="P989">
        <v>0.06</v>
      </c>
      <c r="Q989" t="s">
        <v>1325</v>
      </c>
      <c r="R989">
        <v>26.3</v>
      </c>
      <c r="S989">
        <v>23.7</v>
      </c>
      <c r="T989">
        <v>28.9</v>
      </c>
      <c r="U989">
        <v>5.3</v>
      </c>
      <c r="V989">
        <v>15.8</v>
      </c>
    </row>
    <row r="990" spans="1:22" x14ac:dyDescent="0.25">
      <c r="A990" t="s">
        <v>2287</v>
      </c>
      <c r="B990" t="s">
        <v>991</v>
      </c>
      <c r="C990">
        <v>18</v>
      </c>
      <c r="D990" t="s">
        <v>260</v>
      </c>
      <c r="E990" t="s">
        <v>26</v>
      </c>
      <c r="F990" t="s">
        <v>45</v>
      </c>
      <c r="G990">
        <v>0.5</v>
      </c>
      <c r="H990" t="s">
        <v>26</v>
      </c>
      <c r="I990">
        <v>0</v>
      </c>
      <c r="J990" t="str">
        <f>HYPERLINK("https://www.eliteprospects.com/player/657570/alexis-beaulac")</f>
        <v>https://www.eliteprospects.com/player/657570/alexis-beaulac</v>
      </c>
      <c r="K990" t="s">
        <v>27</v>
      </c>
      <c r="L990" t="s">
        <v>918</v>
      </c>
      <c r="M990" t="s">
        <v>1296</v>
      </c>
      <c r="N990">
        <v>3</v>
      </c>
      <c r="O990" t="s">
        <v>1002</v>
      </c>
      <c r="P990">
        <v>0.06</v>
      </c>
      <c r="Q990" t="s">
        <v>1325</v>
      </c>
      <c r="R990">
        <v>26.3</v>
      </c>
      <c r="S990">
        <v>23.7</v>
      </c>
      <c r="T990">
        <v>28.9</v>
      </c>
      <c r="U990">
        <v>5.3</v>
      </c>
      <c r="V990">
        <v>15.8</v>
      </c>
    </row>
    <row r="991" spans="1:22" x14ac:dyDescent="0.25">
      <c r="A991" t="s">
        <v>2288</v>
      </c>
      <c r="B991" t="s">
        <v>966</v>
      </c>
      <c r="C991">
        <v>18</v>
      </c>
      <c r="D991" t="s">
        <v>132</v>
      </c>
      <c r="E991" t="s">
        <v>45</v>
      </c>
      <c r="F991" t="s">
        <v>45</v>
      </c>
      <c r="G991">
        <v>0.5</v>
      </c>
      <c r="H991" t="s">
        <v>47</v>
      </c>
      <c r="I991">
        <v>8</v>
      </c>
      <c r="J991" t="str">
        <f>HYPERLINK("https://www.eliteprospects.com/player/390207/cameron-whynot")</f>
        <v>https://www.eliteprospects.com/player/390207/cameron-whynot</v>
      </c>
      <c r="K991" t="s">
        <v>27</v>
      </c>
      <c r="L991" t="s">
        <v>918</v>
      </c>
      <c r="M991" t="s">
        <v>1296</v>
      </c>
      <c r="N991">
        <v>6</v>
      </c>
      <c r="O991" t="s">
        <v>921</v>
      </c>
      <c r="P991">
        <v>0.06</v>
      </c>
      <c r="Q991" t="s">
        <v>1325</v>
      </c>
      <c r="R991">
        <v>26.3</v>
      </c>
      <c r="S991">
        <v>23.7</v>
      </c>
      <c r="T991">
        <v>28.9</v>
      </c>
      <c r="U991">
        <v>5.3</v>
      </c>
      <c r="V991">
        <v>15.8</v>
      </c>
    </row>
    <row r="992" spans="1:22" x14ac:dyDescent="0.25">
      <c r="A992" t="s">
        <v>2289</v>
      </c>
      <c r="B992" t="s">
        <v>966</v>
      </c>
      <c r="C992">
        <v>18</v>
      </c>
      <c r="D992" t="s">
        <v>140</v>
      </c>
      <c r="E992" t="s">
        <v>96</v>
      </c>
      <c r="F992" t="s">
        <v>26</v>
      </c>
      <c r="G992">
        <v>0.44</v>
      </c>
      <c r="H992" t="s">
        <v>111</v>
      </c>
      <c r="I992">
        <v>-1</v>
      </c>
      <c r="J992" t="str">
        <f>HYPERLINK("https://www.eliteprospects.com/player/424303/brendan-tomilson")</f>
        <v>https://www.eliteprospects.com/player/424303/brendan-tomilson</v>
      </c>
      <c r="K992" t="s">
        <v>27</v>
      </c>
      <c r="L992" t="s">
        <v>918</v>
      </c>
      <c r="M992" t="s">
        <v>1296</v>
      </c>
      <c r="N992">
        <v>5</v>
      </c>
      <c r="O992" t="s">
        <v>973</v>
      </c>
      <c r="P992">
        <v>0.06</v>
      </c>
      <c r="Q992" t="s">
        <v>1325</v>
      </c>
      <c r="R992">
        <v>26.3</v>
      </c>
      <c r="S992">
        <v>23.7</v>
      </c>
      <c r="T992">
        <v>28.9</v>
      </c>
      <c r="U992">
        <v>5.3</v>
      </c>
      <c r="V992">
        <v>15.8</v>
      </c>
    </row>
    <row r="993" spans="1:22" x14ac:dyDescent="0.25">
      <c r="A993" t="s">
        <v>2290</v>
      </c>
      <c r="B993" t="s">
        <v>1015</v>
      </c>
      <c r="C993">
        <v>18</v>
      </c>
      <c r="D993" t="s">
        <v>79</v>
      </c>
      <c r="E993" t="s">
        <v>57</v>
      </c>
      <c r="F993" t="s">
        <v>26</v>
      </c>
      <c r="G993">
        <v>0.44</v>
      </c>
      <c r="H993" t="s">
        <v>79</v>
      </c>
      <c r="I993">
        <v>2</v>
      </c>
      <c r="J993" t="str">
        <f>HYPERLINK("https://www.eliteprospects.com/player/475614/blake-gustafson")</f>
        <v>https://www.eliteprospects.com/player/475614/blake-gustafson</v>
      </c>
      <c r="K993" t="s">
        <v>27</v>
      </c>
      <c r="L993" t="s">
        <v>918</v>
      </c>
      <c r="M993" t="s">
        <v>1296</v>
      </c>
      <c r="N993">
        <v>6</v>
      </c>
      <c r="O993" t="s">
        <v>924</v>
      </c>
      <c r="P993">
        <v>0.06</v>
      </c>
      <c r="Q993" t="s">
        <v>1325</v>
      </c>
      <c r="R993">
        <v>26.3</v>
      </c>
      <c r="S993">
        <v>23.7</v>
      </c>
      <c r="T993">
        <v>28.9</v>
      </c>
      <c r="U993">
        <v>5.3</v>
      </c>
      <c r="V993">
        <v>15.8</v>
      </c>
    </row>
    <row r="994" spans="1:22" x14ac:dyDescent="0.25">
      <c r="A994" t="s">
        <v>2291</v>
      </c>
      <c r="B994" t="s">
        <v>1038</v>
      </c>
      <c r="C994">
        <v>18</v>
      </c>
      <c r="D994" t="s">
        <v>79</v>
      </c>
      <c r="E994" t="s">
        <v>57</v>
      </c>
      <c r="F994" t="s">
        <v>26</v>
      </c>
      <c r="G994">
        <v>0.44</v>
      </c>
      <c r="H994" t="s">
        <v>40</v>
      </c>
      <c r="I994">
        <v>0</v>
      </c>
      <c r="J994" t="str">
        <f>HYPERLINK("https://www.eliteprospects.com/player/408223/aiden-reeves")</f>
        <v>https://www.eliteprospects.com/player/408223/aiden-reeves</v>
      </c>
      <c r="K994" t="s">
        <v>27</v>
      </c>
      <c r="L994" t="s">
        <v>918</v>
      </c>
      <c r="M994" t="s">
        <v>1296</v>
      </c>
      <c r="N994">
        <v>5</v>
      </c>
      <c r="O994" t="s">
        <v>2292</v>
      </c>
      <c r="P994">
        <v>0.06</v>
      </c>
      <c r="Q994" t="s">
        <v>1325</v>
      </c>
      <c r="R994">
        <v>26.3</v>
      </c>
      <c r="S994">
        <v>23.7</v>
      </c>
      <c r="T994">
        <v>28.9</v>
      </c>
      <c r="U994">
        <v>5.3</v>
      </c>
      <c r="V994">
        <v>15.8</v>
      </c>
    </row>
    <row r="995" spans="1:22" x14ac:dyDescent="0.25">
      <c r="A995" t="s">
        <v>2293</v>
      </c>
      <c r="B995" t="s">
        <v>934</v>
      </c>
      <c r="C995">
        <v>18</v>
      </c>
      <c r="D995" t="s">
        <v>79</v>
      </c>
      <c r="E995" t="s">
        <v>57</v>
      </c>
      <c r="F995" t="s">
        <v>26</v>
      </c>
      <c r="G995">
        <v>0.44</v>
      </c>
      <c r="H995" t="s">
        <v>277</v>
      </c>
      <c r="I995">
        <v>1</v>
      </c>
      <c r="J995" t="str">
        <f>HYPERLINK("https://www.eliteprospects.com/player/416856/colton-kamerrer")</f>
        <v>https://www.eliteprospects.com/player/416856/colton-kamerrer</v>
      </c>
      <c r="K995" t="s">
        <v>27</v>
      </c>
      <c r="L995" t="s">
        <v>918</v>
      </c>
      <c r="M995" t="s">
        <v>1296</v>
      </c>
      <c r="N995">
        <v>5</v>
      </c>
      <c r="O995" t="s">
        <v>935</v>
      </c>
      <c r="P995">
        <v>0.06</v>
      </c>
      <c r="Q995" t="s">
        <v>1325</v>
      </c>
      <c r="R995">
        <v>26.3</v>
      </c>
      <c r="S995">
        <v>23.7</v>
      </c>
      <c r="T995">
        <v>28.9</v>
      </c>
      <c r="U995">
        <v>5.3</v>
      </c>
      <c r="V995">
        <v>15.8</v>
      </c>
    </row>
    <row r="996" spans="1:22" x14ac:dyDescent="0.25">
      <c r="A996" t="s">
        <v>2294</v>
      </c>
      <c r="B996" t="s">
        <v>986</v>
      </c>
      <c r="C996">
        <v>18</v>
      </c>
      <c r="D996" t="s">
        <v>132</v>
      </c>
      <c r="E996" t="s">
        <v>26</v>
      </c>
      <c r="F996" t="s">
        <v>26</v>
      </c>
      <c r="G996">
        <v>0.44</v>
      </c>
      <c r="H996" t="s">
        <v>32</v>
      </c>
      <c r="I996">
        <v>0</v>
      </c>
      <c r="J996" t="str">
        <f>HYPERLINK("https://www.eliteprospects.com/player/648960/kai-stothers")</f>
        <v>https://www.eliteprospects.com/player/648960/kai-stothers</v>
      </c>
      <c r="K996" t="s">
        <v>27</v>
      </c>
      <c r="L996" t="s">
        <v>918</v>
      </c>
      <c r="M996" t="s">
        <v>1296</v>
      </c>
      <c r="N996">
        <v>1</v>
      </c>
      <c r="O996" t="s">
        <v>984</v>
      </c>
      <c r="P996">
        <v>0.06</v>
      </c>
      <c r="Q996" t="s">
        <v>1325</v>
      </c>
      <c r="R996">
        <v>26.3</v>
      </c>
      <c r="S996">
        <v>23.7</v>
      </c>
      <c r="T996">
        <v>28.9</v>
      </c>
      <c r="U996">
        <v>5.3</v>
      </c>
      <c r="V996">
        <v>15.8</v>
      </c>
    </row>
    <row r="997" spans="1:22" x14ac:dyDescent="0.25">
      <c r="A997" t="s">
        <v>2295</v>
      </c>
      <c r="B997" t="s">
        <v>923</v>
      </c>
      <c r="C997">
        <v>18</v>
      </c>
      <c r="D997" t="s">
        <v>132</v>
      </c>
      <c r="E997" t="s">
        <v>26</v>
      </c>
      <c r="F997" t="s">
        <v>26</v>
      </c>
      <c r="G997">
        <v>0.44</v>
      </c>
      <c r="H997" t="s">
        <v>55</v>
      </c>
      <c r="I997">
        <v>13</v>
      </c>
      <c r="J997" t="str">
        <f>HYPERLINK("https://www.eliteprospects.com/player/477347/dylan-anderson")</f>
        <v>https://www.eliteprospects.com/player/477347/dylan-anderson</v>
      </c>
      <c r="K997" t="s">
        <v>27</v>
      </c>
      <c r="L997" t="s">
        <v>918</v>
      </c>
      <c r="M997" t="s">
        <v>1296</v>
      </c>
      <c r="N997">
        <v>6</v>
      </c>
      <c r="O997" t="s">
        <v>924</v>
      </c>
      <c r="P997">
        <v>0.06</v>
      </c>
      <c r="Q997" t="s">
        <v>1325</v>
      </c>
      <c r="R997">
        <v>26.3</v>
      </c>
      <c r="S997">
        <v>23.7</v>
      </c>
      <c r="T997">
        <v>28.9</v>
      </c>
      <c r="U997">
        <v>5.3</v>
      </c>
      <c r="V997">
        <v>15.8</v>
      </c>
    </row>
    <row r="998" spans="1:22" x14ac:dyDescent="0.25">
      <c r="A998" t="s">
        <v>2296</v>
      </c>
      <c r="B998" t="s">
        <v>959</v>
      </c>
      <c r="C998">
        <v>18</v>
      </c>
      <c r="D998" t="s">
        <v>140</v>
      </c>
      <c r="E998" t="s">
        <v>66</v>
      </c>
      <c r="F998" t="s">
        <v>78</v>
      </c>
      <c r="G998">
        <v>0.39</v>
      </c>
      <c r="H998" t="s">
        <v>57</v>
      </c>
      <c r="I998">
        <v>0</v>
      </c>
      <c r="J998" t="str">
        <f>HYPERLINK("https://www.eliteprospects.com/player/503997/alex-blanchard")</f>
        <v>https://www.eliteprospects.com/player/503997/alex-blanchard</v>
      </c>
      <c r="K998" t="s">
        <v>27</v>
      </c>
      <c r="L998" t="s">
        <v>918</v>
      </c>
      <c r="M998" t="s">
        <v>1296</v>
      </c>
      <c r="N998">
        <v>5</v>
      </c>
      <c r="O998" t="s">
        <v>973</v>
      </c>
      <c r="P998">
        <v>0.05</v>
      </c>
      <c r="Q998" t="s">
        <v>1325</v>
      </c>
      <c r="R998">
        <v>26.3</v>
      </c>
      <c r="S998">
        <v>23.7</v>
      </c>
      <c r="T998">
        <v>28.9</v>
      </c>
      <c r="U998">
        <v>5.3</v>
      </c>
      <c r="V998">
        <v>15.8</v>
      </c>
    </row>
    <row r="999" spans="1:22" x14ac:dyDescent="0.25">
      <c r="A999" t="s">
        <v>2297</v>
      </c>
      <c r="B999" t="s">
        <v>957</v>
      </c>
      <c r="C999">
        <v>11</v>
      </c>
      <c r="D999" t="s">
        <v>79</v>
      </c>
      <c r="E999" t="s">
        <v>96</v>
      </c>
      <c r="F999" t="s">
        <v>78</v>
      </c>
      <c r="G999">
        <v>0.64</v>
      </c>
      <c r="H999" t="s">
        <v>57</v>
      </c>
      <c r="I999">
        <v>8</v>
      </c>
      <c r="J999" t="str">
        <f>HYPERLINK("https://www.eliteprospects.com/player/505704/brody-tallman")</f>
        <v>https://www.eliteprospects.com/player/505704/brody-tallman</v>
      </c>
      <c r="K999" t="s">
        <v>27</v>
      </c>
      <c r="L999" t="s">
        <v>918</v>
      </c>
      <c r="M999" t="s">
        <v>1296</v>
      </c>
      <c r="N999">
        <v>3</v>
      </c>
      <c r="O999" t="s">
        <v>2298</v>
      </c>
      <c r="P999">
        <v>0.08</v>
      </c>
      <c r="Q999" t="s">
        <v>1325</v>
      </c>
      <c r="R999">
        <v>30</v>
      </c>
      <c r="S999">
        <v>25</v>
      </c>
      <c r="T999">
        <v>32.5</v>
      </c>
      <c r="U999">
        <v>5</v>
      </c>
      <c r="V999">
        <v>7.5</v>
      </c>
    </row>
    <row r="1000" spans="1:22" x14ac:dyDescent="0.25">
      <c r="A1000" t="s">
        <v>2299</v>
      </c>
      <c r="B1000" t="s">
        <v>1036</v>
      </c>
      <c r="C1000">
        <v>13</v>
      </c>
      <c r="D1000" t="s">
        <v>79</v>
      </c>
      <c r="E1000" t="s">
        <v>96</v>
      </c>
      <c r="F1000" t="s">
        <v>78</v>
      </c>
      <c r="G1000">
        <v>0.54</v>
      </c>
      <c r="H1000" t="s">
        <v>23</v>
      </c>
      <c r="I1000">
        <v>0</v>
      </c>
      <c r="J1000" t="str">
        <f>HYPERLINK("https://www.eliteprospects.com/player/351181/rylan-thiessen")</f>
        <v>https://www.eliteprospects.com/player/351181/rylan-thiessen</v>
      </c>
      <c r="K1000" t="s">
        <v>27</v>
      </c>
      <c r="L1000" t="s">
        <v>918</v>
      </c>
      <c r="M1000" t="s">
        <v>1296</v>
      </c>
      <c r="N1000">
        <v>6</v>
      </c>
      <c r="O1000" t="s">
        <v>927</v>
      </c>
      <c r="P1000">
        <v>7.0000000000000007E-2</v>
      </c>
      <c r="Q1000" t="s">
        <v>1325</v>
      </c>
      <c r="R1000">
        <v>30</v>
      </c>
      <c r="S1000">
        <v>25</v>
      </c>
      <c r="T1000">
        <v>32.5</v>
      </c>
      <c r="U1000">
        <v>5</v>
      </c>
      <c r="V1000">
        <v>7.5</v>
      </c>
    </row>
    <row r="1001" spans="1:22" x14ac:dyDescent="0.25">
      <c r="A1001" t="s">
        <v>2300</v>
      </c>
      <c r="B1001" t="s">
        <v>929</v>
      </c>
      <c r="C1001">
        <v>14</v>
      </c>
      <c r="D1001" t="s">
        <v>79</v>
      </c>
      <c r="E1001" t="s">
        <v>96</v>
      </c>
      <c r="F1001" t="s">
        <v>78</v>
      </c>
      <c r="G1001">
        <v>0.5</v>
      </c>
      <c r="H1001" t="s">
        <v>60</v>
      </c>
      <c r="I1001">
        <v>14</v>
      </c>
      <c r="J1001" t="str">
        <f>HYPERLINK("https://www.eliteprospects.com/player/505195/derek-pys")</f>
        <v>https://www.eliteprospects.com/player/505195/derek-pys</v>
      </c>
      <c r="K1001" t="s">
        <v>27</v>
      </c>
      <c r="L1001" t="s">
        <v>918</v>
      </c>
      <c r="M1001" t="s">
        <v>1296</v>
      </c>
      <c r="N1001">
        <v>2</v>
      </c>
      <c r="O1001" t="s">
        <v>1076</v>
      </c>
      <c r="P1001">
        <v>0.06</v>
      </c>
      <c r="Q1001" t="s">
        <v>1325</v>
      </c>
      <c r="R1001">
        <v>26.3</v>
      </c>
      <c r="S1001">
        <v>23.7</v>
      </c>
      <c r="T1001">
        <v>28.9</v>
      </c>
      <c r="U1001">
        <v>5.3</v>
      </c>
      <c r="V1001">
        <v>15.8</v>
      </c>
    </row>
    <row r="1002" spans="1:22" x14ac:dyDescent="0.25">
      <c r="A1002" t="s">
        <v>2301</v>
      </c>
      <c r="B1002" t="s">
        <v>972</v>
      </c>
      <c r="C1002">
        <v>16</v>
      </c>
      <c r="D1002" t="s">
        <v>79</v>
      </c>
      <c r="E1002" t="s">
        <v>96</v>
      </c>
      <c r="F1002" t="s">
        <v>78</v>
      </c>
      <c r="G1002">
        <v>0.44</v>
      </c>
      <c r="H1002" t="s">
        <v>66</v>
      </c>
      <c r="I1002">
        <v>0</v>
      </c>
      <c r="J1002" t="str">
        <f>HYPERLINK("https://www.eliteprospects.com/player/564866/jack-cook")</f>
        <v>https://www.eliteprospects.com/player/564866/jack-cook</v>
      </c>
      <c r="K1002" t="s">
        <v>27</v>
      </c>
      <c r="L1002" t="s">
        <v>918</v>
      </c>
      <c r="M1002" t="s">
        <v>1296</v>
      </c>
      <c r="N1002">
        <v>1</v>
      </c>
      <c r="O1002" t="s">
        <v>984</v>
      </c>
      <c r="P1002">
        <v>0.06</v>
      </c>
      <c r="Q1002" t="s">
        <v>1325</v>
      </c>
      <c r="R1002">
        <v>26.3</v>
      </c>
      <c r="S1002">
        <v>23.7</v>
      </c>
      <c r="T1002">
        <v>28.9</v>
      </c>
      <c r="U1002">
        <v>5.3</v>
      </c>
      <c r="V1002">
        <v>15.8</v>
      </c>
    </row>
    <row r="1003" spans="1:22" x14ac:dyDescent="0.25">
      <c r="A1003" t="s">
        <v>2302</v>
      </c>
      <c r="B1003" t="s">
        <v>1038</v>
      </c>
      <c r="C1003">
        <v>17</v>
      </c>
      <c r="D1003" t="s">
        <v>79</v>
      </c>
      <c r="E1003" t="s">
        <v>96</v>
      </c>
      <c r="F1003" t="s">
        <v>78</v>
      </c>
      <c r="G1003">
        <v>0.41</v>
      </c>
      <c r="H1003" t="s">
        <v>26</v>
      </c>
      <c r="I1003">
        <v>0</v>
      </c>
      <c r="J1003" t="str">
        <f>HYPERLINK("https://www.eliteprospects.com/player/505279/thomas-gangl")</f>
        <v>https://www.eliteprospects.com/player/505279/thomas-gangl</v>
      </c>
      <c r="K1003" t="s">
        <v>27</v>
      </c>
      <c r="L1003" t="s">
        <v>918</v>
      </c>
      <c r="M1003" t="s">
        <v>1296</v>
      </c>
      <c r="N1003">
        <v>3</v>
      </c>
      <c r="O1003" t="s">
        <v>1039</v>
      </c>
      <c r="P1003">
        <v>0.05</v>
      </c>
      <c r="Q1003" t="s">
        <v>1325</v>
      </c>
      <c r="R1003">
        <v>26.3</v>
      </c>
      <c r="S1003">
        <v>23.7</v>
      </c>
      <c r="T1003">
        <v>28.9</v>
      </c>
      <c r="U1003">
        <v>5.3</v>
      </c>
      <c r="V1003">
        <v>15.8</v>
      </c>
    </row>
    <row r="1004" spans="1:22" x14ac:dyDescent="0.25">
      <c r="A1004" t="s">
        <v>2303</v>
      </c>
      <c r="B1004" t="s">
        <v>972</v>
      </c>
      <c r="C1004">
        <v>18</v>
      </c>
      <c r="D1004" t="s">
        <v>79</v>
      </c>
      <c r="E1004" t="s">
        <v>96</v>
      </c>
      <c r="F1004" t="s">
        <v>78</v>
      </c>
      <c r="G1004">
        <v>0.39</v>
      </c>
      <c r="H1004" t="s">
        <v>132</v>
      </c>
      <c r="I1004">
        <v>0</v>
      </c>
      <c r="J1004" t="str">
        <f>HYPERLINK("https://www.eliteprospects.com/player/582483/wil-murphy")</f>
        <v>https://www.eliteprospects.com/player/582483/wil-murphy</v>
      </c>
      <c r="K1004" t="s">
        <v>27</v>
      </c>
      <c r="L1004" t="s">
        <v>918</v>
      </c>
      <c r="M1004" t="s">
        <v>1296</v>
      </c>
      <c r="N1004">
        <v>1</v>
      </c>
      <c r="O1004" t="s">
        <v>984</v>
      </c>
      <c r="P1004">
        <v>0.05</v>
      </c>
      <c r="Q1004" t="s">
        <v>1325</v>
      </c>
      <c r="R1004">
        <v>26.3</v>
      </c>
      <c r="S1004">
        <v>23.7</v>
      </c>
      <c r="T1004">
        <v>28.9</v>
      </c>
      <c r="U1004">
        <v>5.3</v>
      </c>
      <c r="V1004">
        <v>15.8</v>
      </c>
    </row>
    <row r="1005" spans="1:22" x14ac:dyDescent="0.25">
      <c r="A1005" t="s">
        <v>2304</v>
      </c>
      <c r="B1005" t="s">
        <v>929</v>
      </c>
      <c r="C1005">
        <v>20</v>
      </c>
      <c r="D1005" t="s">
        <v>79</v>
      </c>
      <c r="E1005" t="s">
        <v>96</v>
      </c>
      <c r="F1005" t="s">
        <v>78</v>
      </c>
      <c r="G1005">
        <v>0.35</v>
      </c>
      <c r="H1005" t="s">
        <v>26</v>
      </c>
      <c r="I1005">
        <v>9</v>
      </c>
      <c r="J1005" t="str">
        <f>HYPERLINK("https://www.eliteprospects.com/player/405927/cole-larkin")</f>
        <v>https://www.eliteprospects.com/player/405927/cole-larkin</v>
      </c>
      <c r="K1005" t="s">
        <v>27</v>
      </c>
      <c r="L1005" t="s">
        <v>918</v>
      </c>
      <c r="M1005" t="s">
        <v>1296</v>
      </c>
      <c r="N1005">
        <v>6</v>
      </c>
      <c r="O1005" t="s">
        <v>921</v>
      </c>
      <c r="P1005">
        <v>0.04</v>
      </c>
      <c r="Q1005" t="s">
        <v>245</v>
      </c>
      <c r="R1005">
        <v>28.6</v>
      </c>
      <c r="S1005">
        <v>31.4</v>
      </c>
      <c r="T1005">
        <v>28.6</v>
      </c>
      <c r="U1005">
        <v>4.3</v>
      </c>
      <c r="V1005">
        <v>7.1</v>
      </c>
    </row>
    <row r="1006" spans="1:22" x14ac:dyDescent="0.25">
      <c r="A1006" t="s">
        <v>2305</v>
      </c>
      <c r="B1006" t="s">
        <v>957</v>
      </c>
      <c r="C1006">
        <v>20</v>
      </c>
      <c r="D1006" t="s">
        <v>79</v>
      </c>
      <c r="E1006" t="s">
        <v>96</v>
      </c>
      <c r="F1006" t="s">
        <v>78</v>
      </c>
      <c r="G1006">
        <v>0.35</v>
      </c>
      <c r="H1006" t="s">
        <v>23</v>
      </c>
      <c r="I1006">
        <v>-7</v>
      </c>
      <c r="J1006" t="str">
        <f>HYPERLINK("https://www.eliteprospects.com/player/413478/brett-bamber")</f>
        <v>https://www.eliteprospects.com/player/413478/brett-bamber</v>
      </c>
      <c r="K1006" t="s">
        <v>27</v>
      </c>
      <c r="L1006" t="s">
        <v>918</v>
      </c>
      <c r="M1006" t="s">
        <v>1296</v>
      </c>
      <c r="N1006">
        <v>4</v>
      </c>
      <c r="O1006" t="s">
        <v>1150</v>
      </c>
      <c r="P1006">
        <v>0.04</v>
      </c>
      <c r="Q1006" t="s">
        <v>245</v>
      </c>
      <c r="R1006">
        <v>28.6</v>
      </c>
      <c r="S1006">
        <v>31.4</v>
      </c>
      <c r="T1006">
        <v>28.6</v>
      </c>
      <c r="U1006">
        <v>4.3</v>
      </c>
      <c r="V1006">
        <v>7.1</v>
      </c>
    </row>
    <row r="1007" spans="1:22" x14ac:dyDescent="0.25">
      <c r="A1007" t="s">
        <v>2306</v>
      </c>
      <c r="B1007" t="s">
        <v>966</v>
      </c>
      <c r="C1007">
        <v>20</v>
      </c>
      <c r="D1007" t="s">
        <v>79</v>
      </c>
      <c r="E1007" t="s">
        <v>96</v>
      </c>
      <c r="F1007" t="s">
        <v>78</v>
      </c>
      <c r="G1007">
        <v>0.35</v>
      </c>
      <c r="H1007" t="s">
        <v>24</v>
      </c>
      <c r="I1007">
        <v>-3</v>
      </c>
      <c r="J1007" t="str">
        <f>HYPERLINK("https://www.eliteprospects.com/player/492236/conor-shortall")</f>
        <v>https://www.eliteprospects.com/player/492236/conor-shortall</v>
      </c>
      <c r="K1007" t="s">
        <v>27</v>
      </c>
      <c r="L1007" t="s">
        <v>918</v>
      </c>
      <c r="M1007" t="s">
        <v>1296</v>
      </c>
      <c r="N1007">
        <v>5</v>
      </c>
      <c r="O1007" t="s">
        <v>930</v>
      </c>
      <c r="P1007">
        <v>0.04</v>
      </c>
      <c r="Q1007" t="s">
        <v>245</v>
      </c>
      <c r="R1007">
        <v>28.6</v>
      </c>
      <c r="S1007">
        <v>31.4</v>
      </c>
      <c r="T1007">
        <v>28.6</v>
      </c>
      <c r="U1007">
        <v>4.3</v>
      </c>
      <c r="V1007">
        <v>7.1</v>
      </c>
    </row>
    <row r="1008" spans="1:22" x14ac:dyDescent="0.25">
      <c r="A1008" t="s">
        <v>2307</v>
      </c>
      <c r="B1008" t="s">
        <v>961</v>
      </c>
      <c r="C1008">
        <v>12</v>
      </c>
      <c r="D1008" t="s">
        <v>260</v>
      </c>
      <c r="E1008" t="s">
        <v>57</v>
      </c>
      <c r="F1008" t="s">
        <v>78</v>
      </c>
      <c r="G1008">
        <v>0.57999999999999996</v>
      </c>
      <c r="H1008" t="s">
        <v>125</v>
      </c>
      <c r="I1008">
        <v>0</v>
      </c>
      <c r="J1008" t="str">
        <f>HYPERLINK("https://www.eliteprospects.com/player/620344/shawn-ramsey")</f>
        <v>https://www.eliteprospects.com/player/620344/shawn-ramsey</v>
      </c>
      <c r="K1008" t="s">
        <v>27</v>
      </c>
      <c r="L1008" t="s">
        <v>918</v>
      </c>
      <c r="M1008" t="s">
        <v>1296</v>
      </c>
      <c r="N1008">
        <v>2</v>
      </c>
      <c r="O1008" t="s">
        <v>1076</v>
      </c>
      <c r="P1008">
        <v>7.0000000000000007E-2</v>
      </c>
      <c r="Q1008" t="s">
        <v>1325</v>
      </c>
      <c r="R1008">
        <v>30</v>
      </c>
      <c r="S1008">
        <v>25</v>
      </c>
      <c r="T1008">
        <v>32.5</v>
      </c>
      <c r="U1008">
        <v>5</v>
      </c>
      <c r="V1008">
        <v>7.5</v>
      </c>
    </row>
    <row r="1009" spans="1:22" x14ac:dyDescent="0.25">
      <c r="A1009" t="s">
        <v>2308</v>
      </c>
      <c r="B1009" t="s">
        <v>954</v>
      </c>
      <c r="C1009">
        <v>13</v>
      </c>
      <c r="D1009" t="s">
        <v>260</v>
      </c>
      <c r="E1009" t="s">
        <v>57</v>
      </c>
      <c r="F1009" t="s">
        <v>78</v>
      </c>
      <c r="G1009">
        <v>0.54</v>
      </c>
      <c r="H1009" t="s">
        <v>23</v>
      </c>
      <c r="I1009">
        <v>0</v>
      </c>
      <c r="J1009" t="str">
        <f>HYPERLINK("https://www.eliteprospects.com/player/355487/peter-stratis")</f>
        <v>https://www.eliteprospects.com/player/355487/peter-stratis</v>
      </c>
      <c r="K1009" t="s">
        <v>27</v>
      </c>
      <c r="L1009" t="s">
        <v>918</v>
      </c>
      <c r="M1009" t="s">
        <v>1296</v>
      </c>
      <c r="N1009">
        <v>5</v>
      </c>
      <c r="O1009" t="s">
        <v>955</v>
      </c>
      <c r="P1009">
        <v>7.0000000000000007E-2</v>
      </c>
      <c r="Q1009" t="s">
        <v>1325</v>
      </c>
      <c r="R1009">
        <v>30</v>
      </c>
      <c r="S1009">
        <v>25</v>
      </c>
      <c r="T1009">
        <v>32.5</v>
      </c>
      <c r="U1009">
        <v>5</v>
      </c>
      <c r="V1009">
        <v>7.5</v>
      </c>
    </row>
    <row r="1010" spans="1:22" x14ac:dyDescent="0.25">
      <c r="A1010" t="s">
        <v>2309</v>
      </c>
      <c r="B1010" t="s">
        <v>1032</v>
      </c>
      <c r="C1010">
        <v>15</v>
      </c>
      <c r="D1010" t="s">
        <v>260</v>
      </c>
      <c r="E1010" t="s">
        <v>57</v>
      </c>
      <c r="F1010" t="s">
        <v>78</v>
      </c>
      <c r="G1010">
        <v>0.47</v>
      </c>
      <c r="H1010" t="s">
        <v>57</v>
      </c>
      <c r="I1010">
        <v>0</v>
      </c>
      <c r="J1010" t="str">
        <f>HYPERLINK("https://www.eliteprospects.com/player/342195/brendan-bays")</f>
        <v>https://www.eliteprospects.com/player/342195/brendan-bays</v>
      </c>
      <c r="K1010" t="s">
        <v>27</v>
      </c>
      <c r="L1010" t="s">
        <v>918</v>
      </c>
      <c r="M1010" t="s">
        <v>1296</v>
      </c>
      <c r="N1010">
        <v>4</v>
      </c>
      <c r="O1010" t="s">
        <v>1192</v>
      </c>
      <c r="P1010">
        <v>0.06</v>
      </c>
      <c r="Q1010" t="s">
        <v>1325</v>
      </c>
      <c r="R1010">
        <v>26.3</v>
      </c>
      <c r="S1010">
        <v>23.7</v>
      </c>
      <c r="T1010">
        <v>28.9</v>
      </c>
      <c r="U1010">
        <v>5.3</v>
      </c>
      <c r="V1010">
        <v>15.8</v>
      </c>
    </row>
    <row r="1011" spans="1:22" x14ac:dyDescent="0.25">
      <c r="A1011" t="s">
        <v>2310</v>
      </c>
      <c r="B1011" t="s">
        <v>939</v>
      </c>
      <c r="C1011">
        <v>16</v>
      </c>
      <c r="D1011" t="s">
        <v>260</v>
      </c>
      <c r="E1011" t="s">
        <v>57</v>
      </c>
      <c r="F1011" t="s">
        <v>78</v>
      </c>
      <c r="G1011">
        <v>0.44</v>
      </c>
      <c r="H1011" t="s">
        <v>79</v>
      </c>
      <c r="I1011">
        <v>12</v>
      </c>
      <c r="J1011" t="str">
        <f>HYPERLINK("https://www.eliteprospects.com/player/486494/logan-bairos")</f>
        <v>https://www.eliteprospects.com/player/486494/logan-bairos</v>
      </c>
      <c r="K1011" t="s">
        <v>27</v>
      </c>
      <c r="L1011" t="s">
        <v>918</v>
      </c>
      <c r="M1011" t="s">
        <v>1296</v>
      </c>
      <c r="N1011">
        <v>6</v>
      </c>
      <c r="O1011" t="s">
        <v>950</v>
      </c>
      <c r="P1011">
        <v>0.06</v>
      </c>
      <c r="Q1011" t="s">
        <v>1325</v>
      </c>
      <c r="R1011">
        <v>26.3</v>
      </c>
      <c r="S1011">
        <v>23.7</v>
      </c>
      <c r="T1011">
        <v>28.9</v>
      </c>
      <c r="U1011">
        <v>5.3</v>
      </c>
      <c r="V1011">
        <v>15.8</v>
      </c>
    </row>
    <row r="1012" spans="1:22" x14ac:dyDescent="0.25">
      <c r="A1012" t="s">
        <v>2311</v>
      </c>
      <c r="B1012" t="s">
        <v>944</v>
      </c>
      <c r="C1012">
        <v>18</v>
      </c>
      <c r="D1012" t="s">
        <v>260</v>
      </c>
      <c r="E1012" t="s">
        <v>57</v>
      </c>
      <c r="F1012" t="s">
        <v>78</v>
      </c>
      <c r="G1012">
        <v>0.39</v>
      </c>
      <c r="H1012" t="s">
        <v>55</v>
      </c>
      <c r="I1012">
        <v>4</v>
      </c>
      <c r="J1012" t="str">
        <f>HYPERLINK("https://www.eliteprospects.com/player/559042/simon-maltais")</f>
        <v>https://www.eliteprospects.com/player/559042/simon-maltais</v>
      </c>
      <c r="K1012" t="s">
        <v>27</v>
      </c>
      <c r="L1012" t="s">
        <v>918</v>
      </c>
      <c r="M1012" t="s">
        <v>1296</v>
      </c>
      <c r="N1012">
        <v>5</v>
      </c>
      <c r="O1012" t="s">
        <v>930</v>
      </c>
      <c r="P1012">
        <v>0.05</v>
      </c>
      <c r="Q1012" t="s">
        <v>1325</v>
      </c>
      <c r="R1012">
        <v>26.3</v>
      </c>
      <c r="S1012">
        <v>23.7</v>
      </c>
      <c r="T1012">
        <v>28.9</v>
      </c>
      <c r="U1012">
        <v>5.3</v>
      </c>
      <c r="V1012">
        <v>15.8</v>
      </c>
    </row>
    <row r="1013" spans="1:22" x14ac:dyDescent="0.25">
      <c r="A1013" t="s">
        <v>2312</v>
      </c>
      <c r="B1013" t="s">
        <v>1003</v>
      </c>
      <c r="C1013">
        <v>18</v>
      </c>
      <c r="D1013" t="s">
        <v>260</v>
      </c>
      <c r="E1013" t="s">
        <v>57</v>
      </c>
      <c r="F1013" t="s">
        <v>78</v>
      </c>
      <c r="G1013">
        <v>0.39</v>
      </c>
      <c r="H1013" t="s">
        <v>178</v>
      </c>
      <c r="I1013">
        <v>0</v>
      </c>
      <c r="J1013" t="str">
        <f>HYPERLINK("https://www.eliteprospects.com/player/295309/jeremy-michaud")</f>
        <v>https://www.eliteprospects.com/player/295309/jeremy-michaud</v>
      </c>
      <c r="K1013" t="s">
        <v>27</v>
      </c>
      <c r="L1013" t="s">
        <v>918</v>
      </c>
      <c r="M1013" t="s">
        <v>1296</v>
      </c>
      <c r="N1013">
        <v>6</v>
      </c>
      <c r="O1013" t="s">
        <v>937</v>
      </c>
      <c r="P1013">
        <v>0.05</v>
      </c>
      <c r="Q1013" t="s">
        <v>1325</v>
      </c>
      <c r="R1013">
        <v>26.3</v>
      </c>
      <c r="S1013">
        <v>23.7</v>
      </c>
      <c r="T1013">
        <v>28.9</v>
      </c>
      <c r="U1013">
        <v>5.3</v>
      </c>
      <c r="V1013">
        <v>15.8</v>
      </c>
    </row>
    <row r="1014" spans="1:22" x14ac:dyDescent="0.25">
      <c r="A1014" t="s">
        <v>2313</v>
      </c>
      <c r="B1014" t="s">
        <v>990</v>
      </c>
      <c r="C1014">
        <v>19</v>
      </c>
      <c r="D1014" t="s">
        <v>260</v>
      </c>
      <c r="E1014" t="s">
        <v>57</v>
      </c>
      <c r="F1014" t="s">
        <v>78</v>
      </c>
      <c r="G1014">
        <v>0.37</v>
      </c>
      <c r="H1014" t="s">
        <v>125</v>
      </c>
      <c r="I1014">
        <v>0</v>
      </c>
      <c r="J1014" t="str">
        <f>HYPERLINK("https://www.eliteprospects.com/player/413014/loris-rafanomezantsoa")</f>
        <v>https://www.eliteprospects.com/player/413014/loris-rafanomezantsoa</v>
      </c>
      <c r="K1014" t="s">
        <v>27</v>
      </c>
      <c r="L1014" t="s">
        <v>918</v>
      </c>
      <c r="M1014" t="s">
        <v>1296</v>
      </c>
      <c r="N1014">
        <v>6</v>
      </c>
      <c r="O1014" t="s">
        <v>921</v>
      </c>
      <c r="P1014">
        <v>0.05</v>
      </c>
      <c r="Q1014" t="s">
        <v>1325</v>
      </c>
      <c r="R1014">
        <v>26.3</v>
      </c>
      <c r="S1014">
        <v>23.7</v>
      </c>
      <c r="T1014">
        <v>28.9</v>
      </c>
      <c r="U1014">
        <v>5.3</v>
      </c>
      <c r="V1014">
        <v>15.8</v>
      </c>
    </row>
    <row r="1015" spans="1:22" x14ac:dyDescent="0.25">
      <c r="A1015" t="s">
        <v>2314</v>
      </c>
      <c r="B1015" t="s">
        <v>1020</v>
      </c>
      <c r="C1015">
        <v>20</v>
      </c>
      <c r="D1015" t="s">
        <v>260</v>
      </c>
      <c r="E1015" t="s">
        <v>57</v>
      </c>
      <c r="F1015" t="s">
        <v>78</v>
      </c>
      <c r="G1015">
        <v>0.35</v>
      </c>
      <c r="H1015" t="s">
        <v>32</v>
      </c>
      <c r="I1015">
        <v>-21</v>
      </c>
      <c r="J1015" t="str">
        <f>HYPERLINK("https://www.eliteprospects.com/player/580567/zack-whittaker")</f>
        <v>https://www.eliteprospects.com/player/580567/zack-whittaker</v>
      </c>
      <c r="K1015" t="s">
        <v>27</v>
      </c>
      <c r="L1015" t="s">
        <v>918</v>
      </c>
      <c r="M1015" t="s">
        <v>1296</v>
      </c>
      <c r="N1015">
        <v>1</v>
      </c>
      <c r="O1015" t="s">
        <v>984</v>
      </c>
      <c r="P1015">
        <v>0.04</v>
      </c>
      <c r="Q1015" t="s">
        <v>245</v>
      </c>
      <c r="R1015">
        <v>28.6</v>
      </c>
      <c r="S1015">
        <v>31.4</v>
      </c>
      <c r="T1015">
        <v>28.6</v>
      </c>
      <c r="U1015">
        <v>4.3</v>
      </c>
      <c r="V1015">
        <v>7.1</v>
      </c>
    </row>
    <row r="1016" spans="1:22" x14ac:dyDescent="0.25">
      <c r="A1016" t="s">
        <v>2315</v>
      </c>
      <c r="B1016" t="s">
        <v>939</v>
      </c>
      <c r="C1016">
        <v>12</v>
      </c>
      <c r="D1016" t="s">
        <v>132</v>
      </c>
      <c r="E1016" t="s">
        <v>78</v>
      </c>
      <c r="F1016" t="s">
        <v>78</v>
      </c>
      <c r="G1016">
        <v>0.57999999999999996</v>
      </c>
      <c r="H1016" t="s">
        <v>23</v>
      </c>
      <c r="I1016">
        <v>16</v>
      </c>
      <c r="J1016" t="str">
        <f>HYPERLINK("https://www.eliteprospects.com/player/571045/ben-saunderson")</f>
        <v>https://www.eliteprospects.com/player/571045/ben-saunderson</v>
      </c>
      <c r="K1016" t="s">
        <v>27</v>
      </c>
      <c r="L1016" t="s">
        <v>918</v>
      </c>
      <c r="M1016" t="s">
        <v>1296</v>
      </c>
      <c r="N1016">
        <v>6</v>
      </c>
      <c r="O1016" t="s">
        <v>950</v>
      </c>
      <c r="P1016">
        <v>7.0000000000000007E-2</v>
      </c>
      <c r="Q1016" t="s">
        <v>1325</v>
      </c>
      <c r="R1016">
        <v>30</v>
      </c>
      <c r="S1016">
        <v>25</v>
      </c>
      <c r="T1016">
        <v>32.5</v>
      </c>
      <c r="U1016">
        <v>5</v>
      </c>
      <c r="V1016">
        <v>7.5</v>
      </c>
    </row>
    <row r="1017" spans="1:22" x14ac:dyDescent="0.25">
      <c r="A1017" t="s">
        <v>2316</v>
      </c>
      <c r="B1017" t="s">
        <v>947</v>
      </c>
      <c r="C1017">
        <v>16</v>
      </c>
      <c r="D1017" t="s">
        <v>132</v>
      </c>
      <c r="E1017" t="s">
        <v>78</v>
      </c>
      <c r="F1017" t="s">
        <v>78</v>
      </c>
      <c r="G1017">
        <v>0.44</v>
      </c>
      <c r="H1017" t="s">
        <v>38</v>
      </c>
      <c r="I1017">
        <v>0</v>
      </c>
      <c r="J1017" t="str">
        <f>HYPERLINK("https://www.eliteprospects.com/player/418525/duncan-penman")</f>
        <v>https://www.eliteprospects.com/player/418525/duncan-penman</v>
      </c>
      <c r="K1017" t="s">
        <v>27</v>
      </c>
      <c r="L1017" t="s">
        <v>918</v>
      </c>
      <c r="M1017" t="s">
        <v>1296</v>
      </c>
      <c r="N1017">
        <v>5</v>
      </c>
      <c r="O1017" t="s">
        <v>955</v>
      </c>
      <c r="P1017">
        <v>0.06</v>
      </c>
      <c r="Q1017" t="s">
        <v>1325</v>
      </c>
      <c r="R1017">
        <v>26.3</v>
      </c>
      <c r="S1017">
        <v>23.7</v>
      </c>
      <c r="T1017">
        <v>28.9</v>
      </c>
      <c r="U1017">
        <v>5.3</v>
      </c>
      <c r="V1017">
        <v>15.8</v>
      </c>
    </row>
    <row r="1018" spans="1:22" x14ac:dyDescent="0.25">
      <c r="A1018" t="s">
        <v>2317</v>
      </c>
      <c r="B1018" t="s">
        <v>986</v>
      </c>
      <c r="C1018">
        <v>18</v>
      </c>
      <c r="D1018" t="s">
        <v>132</v>
      </c>
      <c r="E1018" t="s">
        <v>78</v>
      </c>
      <c r="F1018" t="s">
        <v>78</v>
      </c>
      <c r="G1018">
        <v>0.39</v>
      </c>
      <c r="H1018" t="s">
        <v>79</v>
      </c>
      <c r="I1018">
        <v>0</v>
      </c>
      <c r="J1018" t="str">
        <f>HYPERLINK("https://www.eliteprospects.com/player/475244/josh-kavanagh")</f>
        <v>https://www.eliteprospects.com/player/475244/josh-kavanagh</v>
      </c>
      <c r="K1018" t="s">
        <v>27</v>
      </c>
      <c r="L1018" t="s">
        <v>918</v>
      </c>
      <c r="M1018" t="s">
        <v>1296</v>
      </c>
      <c r="N1018">
        <v>5</v>
      </c>
      <c r="O1018" t="s">
        <v>1008</v>
      </c>
      <c r="P1018">
        <v>0.05</v>
      </c>
      <c r="Q1018" t="s">
        <v>1325</v>
      </c>
      <c r="R1018">
        <v>26.3</v>
      </c>
      <c r="S1018">
        <v>23.7</v>
      </c>
      <c r="T1018">
        <v>28.9</v>
      </c>
      <c r="U1018">
        <v>5.3</v>
      </c>
      <c r="V1018">
        <v>15.8</v>
      </c>
    </row>
    <row r="1019" spans="1:22" x14ac:dyDescent="0.25">
      <c r="A1019" t="s">
        <v>2318</v>
      </c>
      <c r="B1019" t="s">
        <v>1084</v>
      </c>
      <c r="C1019">
        <v>19</v>
      </c>
      <c r="D1019" t="s">
        <v>132</v>
      </c>
      <c r="E1019" t="s">
        <v>78</v>
      </c>
      <c r="F1019" t="s">
        <v>78</v>
      </c>
      <c r="G1019">
        <v>0.37</v>
      </c>
      <c r="H1019" t="s">
        <v>66</v>
      </c>
      <c r="I1019">
        <v>0</v>
      </c>
      <c r="J1019" t="str">
        <f>HYPERLINK("https://www.eliteprospects.com/player/201793/dell-welton")</f>
        <v>https://www.eliteprospects.com/player/201793/dell-welton</v>
      </c>
      <c r="K1019" t="s">
        <v>27</v>
      </c>
      <c r="L1019" t="s">
        <v>918</v>
      </c>
      <c r="M1019" t="s">
        <v>1296</v>
      </c>
      <c r="N1019">
        <v>3</v>
      </c>
      <c r="O1019" t="s">
        <v>1160</v>
      </c>
      <c r="P1019">
        <v>0.05</v>
      </c>
      <c r="Q1019" t="s">
        <v>1325</v>
      </c>
      <c r="R1019">
        <v>26.3</v>
      </c>
      <c r="S1019">
        <v>23.7</v>
      </c>
      <c r="T1019">
        <v>28.9</v>
      </c>
      <c r="U1019">
        <v>5.3</v>
      </c>
      <c r="V1019">
        <v>15.8</v>
      </c>
    </row>
    <row r="1020" spans="1:22" x14ac:dyDescent="0.25">
      <c r="A1020" t="s">
        <v>2319</v>
      </c>
      <c r="B1020" t="s">
        <v>990</v>
      </c>
      <c r="C1020">
        <v>19</v>
      </c>
      <c r="D1020" t="s">
        <v>132</v>
      </c>
      <c r="E1020" t="s">
        <v>78</v>
      </c>
      <c r="F1020" t="s">
        <v>78</v>
      </c>
      <c r="G1020">
        <v>0.37</v>
      </c>
      <c r="H1020" t="s">
        <v>57</v>
      </c>
      <c r="I1020">
        <v>0</v>
      </c>
      <c r="J1020" t="str">
        <f>HYPERLINK("https://www.eliteprospects.com/player/677987/christophe-rondeau")</f>
        <v>https://www.eliteprospects.com/player/677987/christophe-rondeau</v>
      </c>
      <c r="K1020" t="s">
        <v>27</v>
      </c>
      <c r="L1020" t="s">
        <v>918</v>
      </c>
      <c r="M1020" t="s">
        <v>1296</v>
      </c>
      <c r="N1020">
        <v>5</v>
      </c>
      <c r="O1020" t="s">
        <v>930</v>
      </c>
      <c r="P1020">
        <v>0.05</v>
      </c>
      <c r="Q1020" t="s">
        <v>1325</v>
      </c>
      <c r="R1020">
        <v>26.3</v>
      </c>
      <c r="S1020">
        <v>23.7</v>
      </c>
      <c r="T1020">
        <v>28.9</v>
      </c>
      <c r="U1020">
        <v>5.3</v>
      </c>
      <c r="V1020">
        <v>15.8</v>
      </c>
    </row>
    <row r="1021" spans="1:22" x14ac:dyDescent="0.25">
      <c r="A1021" t="s">
        <v>2320</v>
      </c>
      <c r="B1021" t="s">
        <v>1005</v>
      </c>
      <c r="C1021">
        <v>18</v>
      </c>
      <c r="D1021" t="s">
        <v>66</v>
      </c>
      <c r="E1021" t="s">
        <v>79</v>
      </c>
      <c r="F1021" t="s">
        <v>57</v>
      </c>
      <c r="G1021">
        <v>0.33</v>
      </c>
      <c r="H1021" t="s">
        <v>40</v>
      </c>
      <c r="I1021">
        <v>0</v>
      </c>
      <c r="J1021" t="str">
        <f>HYPERLINK("https://www.eliteprospects.com/player/294744/braeden-virtue")</f>
        <v>https://www.eliteprospects.com/player/294744/braeden-virtue</v>
      </c>
      <c r="K1021" t="s">
        <v>27</v>
      </c>
      <c r="L1021" t="s">
        <v>918</v>
      </c>
      <c r="M1021" t="s">
        <v>1296</v>
      </c>
      <c r="N1021">
        <v>5</v>
      </c>
      <c r="O1021" t="s">
        <v>973</v>
      </c>
      <c r="P1021">
        <v>0.04</v>
      </c>
      <c r="Q1021" t="s">
        <v>245</v>
      </c>
      <c r="R1021">
        <v>28.6</v>
      </c>
      <c r="S1021">
        <v>31.4</v>
      </c>
      <c r="T1021">
        <v>28.6</v>
      </c>
      <c r="U1021">
        <v>4.3</v>
      </c>
      <c r="V1021">
        <v>7.1</v>
      </c>
    </row>
    <row r="1022" spans="1:22" x14ac:dyDescent="0.25">
      <c r="A1022" t="s">
        <v>2321</v>
      </c>
      <c r="B1022" t="s">
        <v>966</v>
      </c>
      <c r="C1022">
        <v>18</v>
      </c>
      <c r="D1022" t="s">
        <v>140</v>
      </c>
      <c r="E1022" t="s">
        <v>140</v>
      </c>
      <c r="F1022" t="s">
        <v>57</v>
      </c>
      <c r="G1022">
        <v>0.33</v>
      </c>
      <c r="H1022" t="s">
        <v>53</v>
      </c>
      <c r="I1022">
        <v>3</v>
      </c>
      <c r="J1022" t="str">
        <f>HYPERLINK("https://www.eliteprospects.com/player/475175/keagan-slaney")</f>
        <v>https://www.eliteprospects.com/player/475175/keagan-slaney</v>
      </c>
      <c r="K1022" t="s">
        <v>27</v>
      </c>
      <c r="L1022" t="s">
        <v>918</v>
      </c>
      <c r="M1022" t="s">
        <v>1296</v>
      </c>
      <c r="N1022">
        <v>6</v>
      </c>
      <c r="O1022" t="s">
        <v>950</v>
      </c>
      <c r="P1022">
        <v>0.04</v>
      </c>
      <c r="Q1022" t="s">
        <v>245</v>
      </c>
      <c r="R1022">
        <v>28.6</v>
      </c>
      <c r="S1022">
        <v>31.4</v>
      </c>
      <c r="T1022">
        <v>28.6</v>
      </c>
      <c r="U1022">
        <v>4.3</v>
      </c>
      <c r="V1022">
        <v>7.1</v>
      </c>
    </row>
    <row r="1023" spans="1:22" x14ac:dyDescent="0.25">
      <c r="A1023" t="s">
        <v>2322</v>
      </c>
      <c r="B1023" t="s">
        <v>931</v>
      </c>
      <c r="C1023">
        <v>14</v>
      </c>
      <c r="D1023" t="s">
        <v>79</v>
      </c>
      <c r="E1023" t="s">
        <v>66</v>
      </c>
      <c r="F1023" t="s">
        <v>57</v>
      </c>
      <c r="G1023">
        <v>0.43</v>
      </c>
      <c r="H1023" t="s">
        <v>32</v>
      </c>
      <c r="I1023">
        <v>11</v>
      </c>
      <c r="J1023" t="str">
        <f>HYPERLINK("https://www.eliteprospects.com/player/581035/layton-feist")</f>
        <v>https://www.eliteprospects.com/player/581035/layton-feist</v>
      </c>
      <c r="K1023" t="s">
        <v>27</v>
      </c>
      <c r="L1023" t="s">
        <v>918</v>
      </c>
      <c r="M1023" t="s">
        <v>1296</v>
      </c>
      <c r="N1023">
        <v>7</v>
      </c>
      <c r="O1023" t="s">
        <v>2263</v>
      </c>
      <c r="P1023">
        <v>0.05</v>
      </c>
      <c r="Q1023" t="s">
        <v>1325</v>
      </c>
      <c r="R1023">
        <v>26.3</v>
      </c>
      <c r="S1023">
        <v>23.7</v>
      </c>
      <c r="T1023">
        <v>28.9</v>
      </c>
      <c r="U1023">
        <v>5.3</v>
      </c>
      <c r="V1023">
        <v>15.8</v>
      </c>
    </row>
    <row r="1024" spans="1:22" x14ac:dyDescent="0.25">
      <c r="A1024" t="s">
        <v>2323</v>
      </c>
      <c r="B1024" t="s">
        <v>998</v>
      </c>
      <c r="C1024">
        <v>18</v>
      </c>
      <c r="D1024" t="s">
        <v>79</v>
      </c>
      <c r="E1024" t="s">
        <v>66</v>
      </c>
      <c r="F1024" t="s">
        <v>57</v>
      </c>
      <c r="G1024">
        <v>0.33</v>
      </c>
      <c r="H1024" t="s">
        <v>23</v>
      </c>
      <c r="I1024">
        <v>0</v>
      </c>
      <c r="J1024" t="str">
        <f>HYPERLINK("https://www.eliteprospects.com/player/418686/lucas-peric")</f>
        <v>https://www.eliteprospects.com/player/418686/lucas-peric</v>
      </c>
      <c r="K1024" t="s">
        <v>27</v>
      </c>
      <c r="L1024" t="s">
        <v>918</v>
      </c>
      <c r="M1024" t="s">
        <v>1296</v>
      </c>
      <c r="N1024">
        <v>5</v>
      </c>
      <c r="O1024" t="s">
        <v>935</v>
      </c>
      <c r="P1024">
        <v>0.04</v>
      </c>
      <c r="Q1024" t="s">
        <v>245</v>
      </c>
      <c r="R1024">
        <v>28.6</v>
      </c>
      <c r="S1024">
        <v>31.4</v>
      </c>
      <c r="T1024">
        <v>28.6</v>
      </c>
      <c r="U1024">
        <v>4.3</v>
      </c>
      <c r="V1024">
        <v>7.1</v>
      </c>
    </row>
    <row r="1025" spans="1:22" x14ac:dyDescent="0.25">
      <c r="A1025" t="s">
        <v>2324</v>
      </c>
      <c r="B1025" t="s">
        <v>977</v>
      </c>
      <c r="C1025">
        <v>17</v>
      </c>
      <c r="D1025" t="s">
        <v>260</v>
      </c>
      <c r="E1025" t="s">
        <v>96</v>
      </c>
      <c r="F1025" t="s">
        <v>57</v>
      </c>
      <c r="G1025">
        <v>0.35</v>
      </c>
      <c r="H1025" t="s">
        <v>39</v>
      </c>
      <c r="I1025">
        <v>0</v>
      </c>
      <c r="J1025" t="str">
        <f>HYPERLINK("https://www.eliteprospects.com/player/702140/noah-szabo")</f>
        <v>https://www.eliteprospects.com/player/702140/noah-szabo</v>
      </c>
      <c r="K1025" t="s">
        <v>27</v>
      </c>
      <c r="L1025" t="s">
        <v>918</v>
      </c>
      <c r="M1025" t="s">
        <v>1296</v>
      </c>
      <c r="N1025">
        <v>1</v>
      </c>
      <c r="O1025" t="s">
        <v>984</v>
      </c>
      <c r="P1025">
        <v>0.04</v>
      </c>
      <c r="Q1025" t="s">
        <v>245</v>
      </c>
      <c r="R1025">
        <v>28.6</v>
      </c>
      <c r="S1025">
        <v>31.4</v>
      </c>
      <c r="T1025">
        <v>28.6</v>
      </c>
      <c r="U1025">
        <v>4.3</v>
      </c>
      <c r="V1025">
        <v>7.1</v>
      </c>
    </row>
    <row r="1026" spans="1:22" x14ac:dyDescent="0.25">
      <c r="A1026" t="s">
        <v>2325</v>
      </c>
      <c r="B1026" t="s">
        <v>1003</v>
      </c>
      <c r="C1026">
        <v>18</v>
      </c>
      <c r="D1026" t="s">
        <v>260</v>
      </c>
      <c r="E1026" t="s">
        <v>96</v>
      </c>
      <c r="F1026" t="s">
        <v>57</v>
      </c>
      <c r="G1026">
        <v>0.33</v>
      </c>
      <c r="H1026" t="s">
        <v>79</v>
      </c>
      <c r="I1026">
        <v>0</v>
      </c>
      <c r="J1026" t="str">
        <f>HYPERLINK("https://www.eliteprospects.com/player/201790/ben-roode")</f>
        <v>https://www.eliteprospects.com/player/201790/ben-roode</v>
      </c>
      <c r="K1026" t="s">
        <v>27</v>
      </c>
      <c r="L1026" t="s">
        <v>918</v>
      </c>
      <c r="M1026" t="s">
        <v>1296</v>
      </c>
      <c r="N1026">
        <v>4</v>
      </c>
      <c r="O1026" t="s">
        <v>1192</v>
      </c>
      <c r="P1026">
        <v>0.04</v>
      </c>
      <c r="Q1026" t="s">
        <v>245</v>
      </c>
      <c r="R1026">
        <v>28.6</v>
      </c>
      <c r="S1026">
        <v>31.4</v>
      </c>
      <c r="T1026">
        <v>28.6</v>
      </c>
      <c r="U1026">
        <v>4.3</v>
      </c>
      <c r="V1026">
        <v>7.1</v>
      </c>
    </row>
    <row r="1027" spans="1:22" x14ac:dyDescent="0.25">
      <c r="A1027" t="s">
        <v>2326</v>
      </c>
      <c r="B1027" t="s">
        <v>931</v>
      </c>
      <c r="C1027">
        <v>18</v>
      </c>
      <c r="D1027" t="s">
        <v>260</v>
      </c>
      <c r="E1027" t="s">
        <v>96</v>
      </c>
      <c r="F1027" t="s">
        <v>57</v>
      </c>
      <c r="G1027">
        <v>0.33</v>
      </c>
      <c r="H1027" t="s">
        <v>66</v>
      </c>
      <c r="I1027">
        <v>11</v>
      </c>
      <c r="J1027" t="str">
        <f>HYPERLINK("https://www.eliteprospects.com/player/561395/tanner-komzak")</f>
        <v>https://www.eliteprospects.com/player/561395/tanner-komzak</v>
      </c>
      <c r="K1027" t="s">
        <v>27</v>
      </c>
      <c r="L1027" t="s">
        <v>918</v>
      </c>
      <c r="M1027" t="s">
        <v>1296</v>
      </c>
      <c r="N1027">
        <v>3</v>
      </c>
      <c r="O1027" t="s">
        <v>1039</v>
      </c>
      <c r="P1027">
        <v>0.04</v>
      </c>
      <c r="Q1027" t="s">
        <v>245</v>
      </c>
      <c r="R1027">
        <v>28.6</v>
      </c>
      <c r="S1027">
        <v>31.4</v>
      </c>
      <c r="T1027">
        <v>28.6</v>
      </c>
      <c r="U1027">
        <v>4.3</v>
      </c>
      <c r="V1027">
        <v>7.1</v>
      </c>
    </row>
    <row r="1028" spans="1:22" x14ac:dyDescent="0.25">
      <c r="A1028" t="s">
        <v>2327</v>
      </c>
      <c r="B1028" t="s">
        <v>954</v>
      </c>
      <c r="C1028">
        <v>15</v>
      </c>
      <c r="D1028" t="s">
        <v>132</v>
      </c>
      <c r="E1028" t="s">
        <v>57</v>
      </c>
      <c r="F1028" t="s">
        <v>57</v>
      </c>
      <c r="G1028">
        <v>0.4</v>
      </c>
      <c r="H1028" t="s">
        <v>39</v>
      </c>
      <c r="I1028">
        <v>0</v>
      </c>
      <c r="J1028" t="str">
        <f>HYPERLINK("https://www.eliteprospects.com/player/485318/vincent-maisonneuve")</f>
        <v>https://www.eliteprospects.com/player/485318/vincent-maisonneuve</v>
      </c>
      <c r="K1028" t="s">
        <v>27</v>
      </c>
      <c r="L1028" t="s">
        <v>918</v>
      </c>
      <c r="M1028" t="s">
        <v>1296</v>
      </c>
      <c r="N1028">
        <v>5</v>
      </c>
      <c r="O1028" t="s">
        <v>1094</v>
      </c>
      <c r="P1028">
        <v>0.05</v>
      </c>
      <c r="Q1028" t="s">
        <v>1325</v>
      </c>
      <c r="R1028">
        <v>26.3</v>
      </c>
      <c r="S1028">
        <v>23.7</v>
      </c>
      <c r="T1028">
        <v>28.9</v>
      </c>
      <c r="U1028">
        <v>5.3</v>
      </c>
      <c r="V1028">
        <v>15.8</v>
      </c>
    </row>
    <row r="1029" spans="1:22" x14ac:dyDescent="0.25">
      <c r="A1029" t="s">
        <v>2328</v>
      </c>
      <c r="B1029" t="s">
        <v>998</v>
      </c>
      <c r="C1029">
        <v>16</v>
      </c>
      <c r="D1029" t="s">
        <v>132</v>
      </c>
      <c r="E1029" t="s">
        <v>57</v>
      </c>
      <c r="F1029" t="s">
        <v>57</v>
      </c>
      <c r="G1029">
        <v>0.38</v>
      </c>
      <c r="H1029" t="s">
        <v>132</v>
      </c>
      <c r="I1029">
        <v>0</v>
      </c>
      <c r="J1029" t="str">
        <f>HYPERLINK("https://www.eliteprospects.com/player/503291/ian-lemieux")</f>
        <v>https://www.eliteprospects.com/player/503291/ian-lemieux</v>
      </c>
      <c r="K1029" t="s">
        <v>27</v>
      </c>
      <c r="L1029" t="s">
        <v>918</v>
      </c>
      <c r="M1029" t="s">
        <v>1296</v>
      </c>
      <c r="N1029">
        <v>6</v>
      </c>
      <c r="O1029" t="s">
        <v>995</v>
      </c>
      <c r="P1029">
        <v>0.05</v>
      </c>
      <c r="Q1029" t="s">
        <v>1325</v>
      </c>
      <c r="R1029">
        <v>26.3</v>
      </c>
      <c r="S1029">
        <v>23.7</v>
      </c>
      <c r="T1029">
        <v>28.9</v>
      </c>
      <c r="U1029">
        <v>5.3</v>
      </c>
      <c r="V1029">
        <v>15.8</v>
      </c>
    </row>
    <row r="1030" spans="1:22" x14ac:dyDescent="0.25">
      <c r="A1030" t="s">
        <v>2329</v>
      </c>
      <c r="B1030" t="s">
        <v>1036</v>
      </c>
      <c r="C1030">
        <v>16</v>
      </c>
      <c r="D1030" t="s">
        <v>132</v>
      </c>
      <c r="E1030" t="s">
        <v>57</v>
      </c>
      <c r="F1030" t="s">
        <v>57</v>
      </c>
      <c r="G1030">
        <v>0.38</v>
      </c>
      <c r="H1030" t="s">
        <v>57</v>
      </c>
      <c r="I1030">
        <v>0</v>
      </c>
      <c r="J1030" t="str">
        <f>HYPERLINK("https://www.eliteprospects.com/player/573654/nathan-drapeau")</f>
        <v>https://www.eliteprospects.com/player/573654/nathan-drapeau</v>
      </c>
      <c r="K1030" t="s">
        <v>27</v>
      </c>
      <c r="L1030" t="s">
        <v>918</v>
      </c>
      <c r="M1030" t="s">
        <v>1296</v>
      </c>
      <c r="N1030">
        <v>6</v>
      </c>
      <c r="O1030" t="s">
        <v>968</v>
      </c>
      <c r="P1030">
        <v>0.05</v>
      </c>
      <c r="Q1030" t="s">
        <v>1325</v>
      </c>
      <c r="R1030">
        <v>26.3</v>
      </c>
      <c r="S1030">
        <v>23.7</v>
      </c>
      <c r="T1030">
        <v>28.9</v>
      </c>
      <c r="U1030">
        <v>5.3</v>
      </c>
      <c r="V1030">
        <v>15.8</v>
      </c>
    </row>
    <row r="1031" spans="1:22" x14ac:dyDescent="0.25">
      <c r="A1031" t="s">
        <v>2330</v>
      </c>
      <c r="B1031" t="s">
        <v>986</v>
      </c>
      <c r="C1031">
        <v>18</v>
      </c>
      <c r="D1031" t="s">
        <v>132</v>
      </c>
      <c r="E1031" t="s">
        <v>57</v>
      </c>
      <c r="F1031" t="s">
        <v>57</v>
      </c>
      <c r="G1031">
        <v>0.33</v>
      </c>
      <c r="H1031" t="s">
        <v>32</v>
      </c>
      <c r="I1031">
        <v>0</v>
      </c>
      <c r="J1031" t="str">
        <f>HYPERLINK("https://www.eliteprospects.com/player/651851/callum-chisholm")</f>
        <v>https://www.eliteprospects.com/player/651851/callum-chisholm</v>
      </c>
      <c r="K1031" t="s">
        <v>27</v>
      </c>
      <c r="L1031" t="s">
        <v>918</v>
      </c>
      <c r="M1031" t="s">
        <v>1417</v>
      </c>
      <c r="N1031">
        <v>4</v>
      </c>
      <c r="O1031" t="s">
        <v>1257</v>
      </c>
      <c r="P1031">
        <v>0.04</v>
      </c>
      <c r="Q1031" t="s">
        <v>245</v>
      </c>
      <c r="R1031">
        <v>28.6</v>
      </c>
      <c r="S1031">
        <v>31.4</v>
      </c>
      <c r="T1031">
        <v>28.6</v>
      </c>
      <c r="U1031">
        <v>4.3</v>
      </c>
      <c r="V1031">
        <v>7.1</v>
      </c>
    </row>
    <row r="1032" spans="1:22" x14ac:dyDescent="0.25">
      <c r="A1032" t="s">
        <v>2331</v>
      </c>
      <c r="B1032" t="s">
        <v>1032</v>
      </c>
      <c r="C1032">
        <v>18</v>
      </c>
      <c r="D1032" t="s">
        <v>132</v>
      </c>
      <c r="E1032" t="s">
        <v>57</v>
      </c>
      <c r="F1032" t="s">
        <v>57</v>
      </c>
      <c r="G1032">
        <v>0.33</v>
      </c>
      <c r="H1032" t="s">
        <v>53</v>
      </c>
      <c r="I1032">
        <v>0</v>
      </c>
      <c r="J1032" t="str">
        <f>HYPERLINK("https://www.eliteprospects.com/player/614365/owen-wilson")</f>
        <v>https://www.eliteprospects.com/player/614365/owen-wilson</v>
      </c>
      <c r="K1032" t="s">
        <v>27</v>
      </c>
      <c r="L1032" t="s">
        <v>918</v>
      </c>
      <c r="M1032" t="s">
        <v>1296</v>
      </c>
      <c r="N1032">
        <v>1</v>
      </c>
      <c r="O1032" t="s">
        <v>984</v>
      </c>
      <c r="P1032">
        <v>0.04</v>
      </c>
      <c r="Q1032" t="s">
        <v>245</v>
      </c>
      <c r="R1032">
        <v>28.6</v>
      </c>
      <c r="S1032">
        <v>31.4</v>
      </c>
      <c r="T1032">
        <v>28.6</v>
      </c>
      <c r="U1032">
        <v>4.3</v>
      </c>
      <c r="V1032">
        <v>7.1</v>
      </c>
    </row>
    <row r="1033" spans="1:22" x14ac:dyDescent="0.25">
      <c r="A1033" t="s">
        <v>2332</v>
      </c>
      <c r="B1033" t="s">
        <v>990</v>
      </c>
      <c r="C1033">
        <v>19</v>
      </c>
      <c r="D1033" t="s">
        <v>132</v>
      </c>
      <c r="E1033" t="s">
        <v>57</v>
      </c>
      <c r="F1033" t="s">
        <v>57</v>
      </c>
      <c r="G1033">
        <v>0.32</v>
      </c>
      <c r="H1033" t="s">
        <v>38</v>
      </c>
      <c r="I1033">
        <v>0</v>
      </c>
      <c r="J1033" t="str">
        <f>HYPERLINK("https://www.eliteprospects.com/player/625751/kaylen-gauthier")</f>
        <v>https://www.eliteprospects.com/player/625751/kaylen-gauthier</v>
      </c>
      <c r="K1033" t="s">
        <v>27</v>
      </c>
      <c r="L1033" t="s">
        <v>918</v>
      </c>
      <c r="M1033" t="s">
        <v>1296</v>
      </c>
      <c r="N1033">
        <v>6</v>
      </c>
      <c r="O1033" t="s">
        <v>921</v>
      </c>
      <c r="P1033">
        <v>0.04</v>
      </c>
      <c r="Q1033" t="s">
        <v>245</v>
      </c>
      <c r="R1033">
        <v>28.6</v>
      </c>
      <c r="S1033">
        <v>31.4</v>
      </c>
      <c r="T1033">
        <v>28.6</v>
      </c>
      <c r="U1033">
        <v>4.3</v>
      </c>
      <c r="V1033">
        <v>7.1</v>
      </c>
    </row>
    <row r="1034" spans="1:22" x14ac:dyDescent="0.25">
      <c r="A1034" t="s">
        <v>2333</v>
      </c>
      <c r="B1034" t="s">
        <v>1036</v>
      </c>
      <c r="C1034">
        <v>19</v>
      </c>
      <c r="D1034" t="s">
        <v>132</v>
      </c>
      <c r="E1034" t="s">
        <v>57</v>
      </c>
      <c r="F1034" t="s">
        <v>57</v>
      </c>
      <c r="G1034">
        <v>0.32</v>
      </c>
      <c r="H1034" t="s">
        <v>125</v>
      </c>
      <c r="I1034">
        <v>0</v>
      </c>
      <c r="J1034" t="str">
        <f>HYPERLINK("https://www.eliteprospects.com/player/503507/a.j.-cook")</f>
        <v>https://www.eliteprospects.com/player/503507/a.j.-cook</v>
      </c>
      <c r="K1034" t="s">
        <v>27</v>
      </c>
      <c r="L1034" t="s">
        <v>918</v>
      </c>
      <c r="M1034" t="s">
        <v>1296</v>
      </c>
      <c r="N1034">
        <v>7</v>
      </c>
      <c r="O1034" t="s">
        <v>2257</v>
      </c>
      <c r="P1034">
        <v>0.04</v>
      </c>
      <c r="Q1034" t="s">
        <v>245</v>
      </c>
      <c r="R1034">
        <v>28.6</v>
      </c>
      <c r="S1034">
        <v>31.4</v>
      </c>
      <c r="T1034">
        <v>28.6</v>
      </c>
      <c r="U1034">
        <v>4.3</v>
      </c>
      <c r="V1034">
        <v>7.1</v>
      </c>
    </row>
    <row r="1035" spans="1:22" x14ac:dyDescent="0.25">
      <c r="A1035" t="s">
        <v>2334</v>
      </c>
      <c r="B1035" t="s">
        <v>934</v>
      </c>
      <c r="C1035">
        <v>20</v>
      </c>
      <c r="D1035" t="s">
        <v>132</v>
      </c>
      <c r="E1035" t="s">
        <v>57</v>
      </c>
      <c r="F1035" t="s">
        <v>57</v>
      </c>
      <c r="G1035">
        <v>0.3</v>
      </c>
      <c r="H1035" t="s">
        <v>125</v>
      </c>
      <c r="I1035">
        <v>13</v>
      </c>
      <c r="J1035" t="str">
        <f>HYPERLINK("https://www.eliteprospects.com/player/417751/nicolas-savoie")</f>
        <v>https://www.eliteprospects.com/player/417751/nicolas-savoie</v>
      </c>
      <c r="K1035" t="s">
        <v>27</v>
      </c>
      <c r="L1035" t="s">
        <v>918</v>
      </c>
      <c r="M1035" t="s">
        <v>1296</v>
      </c>
      <c r="N1035">
        <v>6</v>
      </c>
      <c r="O1035" t="s">
        <v>921</v>
      </c>
      <c r="P1035">
        <v>0.04</v>
      </c>
      <c r="Q1035" t="s">
        <v>245</v>
      </c>
      <c r="R1035">
        <v>28.6</v>
      </c>
      <c r="S1035">
        <v>31.4</v>
      </c>
      <c r="T1035">
        <v>28.6</v>
      </c>
      <c r="U1035">
        <v>4.3</v>
      </c>
      <c r="V1035">
        <v>7.1</v>
      </c>
    </row>
    <row r="1036" spans="1:22" x14ac:dyDescent="0.25">
      <c r="A1036" t="s">
        <v>2335</v>
      </c>
      <c r="B1036" t="s">
        <v>942</v>
      </c>
      <c r="C1036">
        <v>18</v>
      </c>
      <c r="D1036" t="s">
        <v>140</v>
      </c>
      <c r="E1036" t="s">
        <v>79</v>
      </c>
      <c r="F1036" t="s">
        <v>96</v>
      </c>
      <c r="G1036">
        <v>0.28000000000000003</v>
      </c>
      <c r="H1036" t="s">
        <v>125</v>
      </c>
      <c r="I1036">
        <v>0</v>
      </c>
      <c r="J1036" t="str">
        <f>HYPERLINK("https://www.eliteprospects.com/player/512192/spencer-shugrue")</f>
        <v>https://www.eliteprospects.com/player/512192/spencer-shugrue</v>
      </c>
      <c r="K1036" t="s">
        <v>27</v>
      </c>
      <c r="L1036" t="s">
        <v>918</v>
      </c>
      <c r="M1036" t="s">
        <v>1296</v>
      </c>
      <c r="N1036">
        <v>6</v>
      </c>
      <c r="O1036" t="s">
        <v>950</v>
      </c>
      <c r="P1036">
        <v>0.04</v>
      </c>
      <c r="Q1036" t="s">
        <v>245</v>
      </c>
      <c r="R1036">
        <v>28.6</v>
      </c>
      <c r="S1036">
        <v>31.4</v>
      </c>
      <c r="T1036">
        <v>28.6</v>
      </c>
      <c r="U1036">
        <v>4.3</v>
      </c>
      <c r="V1036">
        <v>7.1</v>
      </c>
    </row>
    <row r="1037" spans="1:22" x14ac:dyDescent="0.25">
      <c r="A1037" t="s">
        <v>2336</v>
      </c>
      <c r="B1037" t="s">
        <v>961</v>
      </c>
      <c r="C1037">
        <v>14</v>
      </c>
      <c r="D1037" t="s">
        <v>79</v>
      </c>
      <c r="E1037" t="s">
        <v>140</v>
      </c>
      <c r="F1037" t="s">
        <v>96</v>
      </c>
      <c r="G1037">
        <v>0.36</v>
      </c>
      <c r="H1037" t="s">
        <v>66</v>
      </c>
      <c r="I1037">
        <v>0</v>
      </c>
      <c r="J1037" t="str">
        <f>HYPERLINK("https://www.eliteprospects.com/player/580209/jacob-dietz")</f>
        <v>https://www.eliteprospects.com/player/580209/jacob-dietz</v>
      </c>
      <c r="K1037" t="s">
        <v>27</v>
      </c>
      <c r="L1037" t="s">
        <v>918</v>
      </c>
      <c r="M1037" t="s">
        <v>1296</v>
      </c>
      <c r="N1037">
        <v>2</v>
      </c>
      <c r="O1037" t="s">
        <v>1021</v>
      </c>
      <c r="P1037">
        <v>0.04</v>
      </c>
      <c r="Q1037" t="s">
        <v>245</v>
      </c>
      <c r="R1037">
        <v>28.6</v>
      </c>
      <c r="S1037">
        <v>31.4</v>
      </c>
      <c r="T1037">
        <v>28.6</v>
      </c>
      <c r="U1037">
        <v>4.3</v>
      </c>
      <c r="V1037">
        <v>7.1</v>
      </c>
    </row>
    <row r="1038" spans="1:22" x14ac:dyDescent="0.25">
      <c r="A1038" t="s">
        <v>2337</v>
      </c>
      <c r="B1038" t="s">
        <v>947</v>
      </c>
      <c r="C1038">
        <v>16</v>
      </c>
      <c r="D1038" t="s">
        <v>79</v>
      </c>
      <c r="E1038" t="s">
        <v>140</v>
      </c>
      <c r="F1038" t="s">
        <v>96</v>
      </c>
      <c r="G1038">
        <v>0.31</v>
      </c>
      <c r="H1038" t="s">
        <v>79</v>
      </c>
      <c r="I1038">
        <v>0</v>
      </c>
      <c r="J1038" t="str">
        <f>HYPERLINK("https://www.eliteprospects.com/player/695071/dillon-stiles")</f>
        <v>https://www.eliteprospects.com/player/695071/dillon-stiles</v>
      </c>
      <c r="K1038" t="s">
        <v>27</v>
      </c>
      <c r="L1038" t="s">
        <v>918</v>
      </c>
      <c r="M1038" t="s">
        <v>1296</v>
      </c>
      <c r="N1038">
        <v>1</v>
      </c>
      <c r="O1038" t="s">
        <v>984</v>
      </c>
      <c r="P1038">
        <v>0.04</v>
      </c>
      <c r="Q1038" t="s">
        <v>245</v>
      </c>
      <c r="R1038">
        <v>28.6</v>
      </c>
      <c r="S1038">
        <v>31.4</v>
      </c>
      <c r="T1038">
        <v>28.6</v>
      </c>
      <c r="U1038">
        <v>4.3</v>
      </c>
      <c r="V1038">
        <v>7.1</v>
      </c>
    </row>
    <row r="1039" spans="1:22" x14ac:dyDescent="0.25">
      <c r="A1039" t="s">
        <v>2338</v>
      </c>
      <c r="B1039" t="s">
        <v>972</v>
      </c>
      <c r="C1039">
        <v>16</v>
      </c>
      <c r="D1039" t="s">
        <v>79</v>
      </c>
      <c r="E1039" t="s">
        <v>140</v>
      </c>
      <c r="F1039" t="s">
        <v>96</v>
      </c>
      <c r="G1039">
        <v>0.31</v>
      </c>
      <c r="H1039" t="s">
        <v>24</v>
      </c>
      <c r="I1039">
        <v>0</v>
      </c>
      <c r="J1039" t="str">
        <f>HYPERLINK("https://www.eliteprospects.com/player/503018/liam-whittaker")</f>
        <v>https://www.eliteprospects.com/player/503018/liam-whittaker</v>
      </c>
      <c r="K1039" t="s">
        <v>27</v>
      </c>
      <c r="L1039" t="s">
        <v>918</v>
      </c>
      <c r="M1039" t="s">
        <v>1296</v>
      </c>
      <c r="N1039">
        <v>5</v>
      </c>
      <c r="O1039" t="s">
        <v>935</v>
      </c>
      <c r="P1039">
        <v>0.04</v>
      </c>
      <c r="Q1039" t="s">
        <v>245</v>
      </c>
      <c r="R1039">
        <v>28.6</v>
      </c>
      <c r="S1039">
        <v>31.4</v>
      </c>
      <c r="T1039">
        <v>28.6</v>
      </c>
      <c r="U1039">
        <v>4.3</v>
      </c>
      <c r="V1039">
        <v>7.1</v>
      </c>
    </row>
    <row r="1040" spans="1:22" x14ac:dyDescent="0.25">
      <c r="A1040" t="s">
        <v>2339</v>
      </c>
      <c r="B1040" t="s">
        <v>1011</v>
      </c>
      <c r="C1040">
        <v>18</v>
      </c>
      <c r="D1040" t="s">
        <v>79</v>
      </c>
      <c r="E1040" t="s">
        <v>140</v>
      </c>
      <c r="F1040" t="s">
        <v>96</v>
      </c>
      <c r="G1040">
        <v>0.28000000000000003</v>
      </c>
      <c r="H1040" t="s">
        <v>66</v>
      </c>
      <c r="I1040">
        <v>-2</v>
      </c>
      <c r="J1040" t="str">
        <f>HYPERLINK("https://www.eliteprospects.com/player/620342/aaron-brown")</f>
        <v>https://www.eliteprospects.com/player/620342/aaron-brown</v>
      </c>
      <c r="K1040" t="s">
        <v>27</v>
      </c>
      <c r="L1040" t="s">
        <v>918</v>
      </c>
      <c r="M1040" t="s">
        <v>1296</v>
      </c>
      <c r="N1040">
        <v>1</v>
      </c>
      <c r="O1040" t="s">
        <v>984</v>
      </c>
      <c r="P1040">
        <v>0.04</v>
      </c>
      <c r="Q1040" t="s">
        <v>245</v>
      </c>
      <c r="R1040">
        <v>28.6</v>
      </c>
      <c r="S1040">
        <v>31.4</v>
      </c>
      <c r="T1040">
        <v>28.6</v>
      </c>
      <c r="U1040">
        <v>4.3</v>
      </c>
      <c r="V1040">
        <v>7.1</v>
      </c>
    </row>
    <row r="1041" spans="1:22" x14ac:dyDescent="0.25">
      <c r="A1041" t="s">
        <v>2340</v>
      </c>
      <c r="B1041" t="s">
        <v>990</v>
      </c>
      <c r="C1041">
        <v>18</v>
      </c>
      <c r="D1041" t="s">
        <v>79</v>
      </c>
      <c r="E1041" t="s">
        <v>140</v>
      </c>
      <c r="F1041" t="s">
        <v>96</v>
      </c>
      <c r="G1041">
        <v>0.28000000000000003</v>
      </c>
      <c r="H1041" t="s">
        <v>57</v>
      </c>
      <c r="I1041">
        <v>0</v>
      </c>
      <c r="J1041" t="str">
        <f>HYPERLINK("https://www.eliteprospects.com/player/341625/olivier-boutin")</f>
        <v>https://www.eliteprospects.com/player/341625/olivier-boutin</v>
      </c>
      <c r="K1041" t="s">
        <v>27</v>
      </c>
      <c r="L1041" t="s">
        <v>918</v>
      </c>
      <c r="M1041" t="s">
        <v>1296</v>
      </c>
      <c r="N1041">
        <v>6</v>
      </c>
      <c r="O1041" t="s">
        <v>968</v>
      </c>
      <c r="P1041">
        <v>0.04</v>
      </c>
      <c r="Q1041" t="s">
        <v>245</v>
      </c>
      <c r="R1041">
        <v>28.6</v>
      </c>
      <c r="S1041">
        <v>31.4</v>
      </c>
      <c r="T1041">
        <v>28.6</v>
      </c>
      <c r="U1041">
        <v>4.3</v>
      </c>
      <c r="V1041">
        <v>7.1</v>
      </c>
    </row>
    <row r="1042" spans="1:22" x14ac:dyDescent="0.25">
      <c r="A1042" t="s">
        <v>2341</v>
      </c>
      <c r="B1042" t="s">
        <v>923</v>
      </c>
      <c r="C1042">
        <v>20</v>
      </c>
      <c r="D1042" t="s">
        <v>79</v>
      </c>
      <c r="E1042" t="s">
        <v>140</v>
      </c>
      <c r="F1042" t="s">
        <v>96</v>
      </c>
      <c r="G1042">
        <v>0.25</v>
      </c>
      <c r="H1042" t="s">
        <v>55</v>
      </c>
      <c r="I1042">
        <v>4</v>
      </c>
      <c r="J1042" t="str">
        <f>HYPERLINK("https://www.eliteprospects.com/player/481984/logen-hammett")</f>
        <v>https://www.eliteprospects.com/player/481984/logen-hammett</v>
      </c>
      <c r="K1042" t="s">
        <v>27</v>
      </c>
      <c r="L1042" t="s">
        <v>918</v>
      </c>
      <c r="M1042" t="s">
        <v>1296</v>
      </c>
      <c r="N1042">
        <v>4</v>
      </c>
      <c r="O1042" t="s">
        <v>978</v>
      </c>
      <c r="P1042">
        <v>0.03</v>
      </c>
      <c r="Q1042" t="s">
        <v>245</v>
      </c>
      <c r="R1042">
        <v>28.6</v>
      </c>
      <c r="S1042">
        <v>31.4</v>
      </c>
      <c r="T1042">
        <v>28.6</v>
      </c>
      <c r="U1042">
        <v>4.3</v>
      </c>
      <c r="V1042">
        <v>7.1</v>
      </c>
    </row>
    <row r="1043" spans="1:22" x14ac:dyDescent="0.25">
      <c r="A1043" t="s">
        <v>2342</v>
      </c>
      <c r="B1043" t="s">
        <v>944</v>
      </c>
      <c r="C1043">
        <v>20</v>
      </c>
      <c r="D1043" t="s">
        <v>79</v>
      </c>
      <c r="E1043" t="s">
        <v>140</v>
      </c>
      <c r="F1043" t="s">
        <v>96</v>
      </c>
      <c r="G1043">
        <v>0.25</v>
      </c>
      <c r="H1043" t="s">
        <v>491</v>
      </c>
      <c r="I1043">
        <v>1</v>
      </c>
      <c r="J1043" t="str">
        <f>HYPERLINK("https://www.eliteprospects.com/player/573857/jonathan-desrosiers")</f>
        <v>https://www.eliteprospects.com/player/573857/jonathan-desrosiers</v>
      </c>
      <c r="K1043" t="s">
        <v>27</v>
      </c>
      <c r="L1043" t="s">
        <v>918</v>
      </c>
      <c r="M1043" t="s">
        <v>1296</v>
      </c>
      <c r="N1043">
        <v>5</v>
      </c>
      <c r="O1043" t="s">
        <v>930</v>
      </c>
      <c r="P1043">
        <v>0.03</v>
      </c>
      <c r="Q1043" t="s">
        <v>245</v>
      </c>
      <c r="R1043">
        <v>28.6</v>
      </c>
      <c r="S1043">
        <v>31.4</v>
      </c>
      <c r="T1043">
        <v>28.6</v>
      </c>
      <c r="U1043">
        <v>4.3</v>
      </c>
      <c r="V1043">
        <v>7.1</v>
      </c>
    </row>
    <row r="1044" spans="1:22" x14ac:dyDescent="0.25">
      <c r="A1044" t="s">
        <v>2343</v>
      </c>
      <c r="B1044" t="s">
        <v>931</v>
      </c>
      <c r="C1044">
        <v>11</v>
      </c>
      <c r="D1044" t="s">
        <v>260</v>
      </c>
      <c r="E1044" t="s">
        <v>66</v>
      </c>
      <c r="F1044" t="s">
        <v>96</v>
      </c>
      <c r="G1044">
        <v>0.45</v>
      </c>
      <c r="H1044" t="s">
        <v>79</v>
      </c>
      <c r="I1044">
        <v>7</v>
      </c>
      <c r="J1044" t="str">
        <f>HYPERLINK("https://www.eliteprospects.com/player/505630/alex-izyk")</f>
        <v>https://www.eliteprospects.com/player/505630/alex-izyk</v>
      </c>
      <c r="K1044" t="s">
        <v>27</v>
      </c>
      <c r="L1044" t="s">
        <v>918</v>
      </c>
      <c r="M1044" t="s">
        <v>1296</v>
      </c>
      <c r="N1044">
        <v>1</v>
      </c>
      <c r="O1044" t="s">
        <v>984</v>
      </c>
      <c r="P1044">
        <v>0.06</v>
      </c>
      <c r="Q1044" t="s">
        <v>1325</v>
      </c>
      <c r="R1044">
        <v>26.3</v>
      </c>
      <c r="S1044">
        <v>23.7</v>
      </c>
      <c r="T1044">
        <v>28.9</v>
      </c>
      <c r="U1044">
        <v>5.3</v>
      </c>
      <c r="V1044">
        <v>15.8</v>
      </c>
    </row>
    <row r="1045" spans="1:22" x14ac:dyDescent="0.25">
      <c r="A1045" t="s">
        <v>2344</v>
      </c>
      <c r="B1045" t="s">
        <v>961</v>
      </c>
      <c r="C1045">
        <v>15</v>
      </c>
      <c r="D1045" t="s">
        <v>260</v>
      </c>
      <c r="E1045" t="s">
        <v>66</v>
      </c>
      <c r="F1045" t="s">
        <v>96</v>
      </c>
      <c r="G1045">
        <v>0.33</v>
      </c>
      <c r="H1045" t="s">
        <v>66</v>
      </c>
      <c r="I1045">
        <v>0</v>
      </c>
      <c r="J1045" t="str">
        <f>HYPERLINK("https://www.eliteprospects.com/player/441330/drew-wawrow")</f>
        <v>https://www.eliteprospects.com/player/441330/drew-wawrow</v>
      </c>
      <c r="K1045" t="s">
        <v>27</v>
      </c>
      <c r="L1045" t="s">
        <v>918</v>
      </c>
      <c r="M1045" t="s">
        <v>1296</v>
      </c>
      <c r="N1045">
        <v>5</v>
      </c>
      <c r="O1045" t="s">
        <v>955</v>
      </c>
      <c r="P1045">
        <v>0.04</v>
      </c>
      <c r="Q1045" t="s">
        <v>245</v>
      </c>
      <c r="R1045">
        <v>28.6</v>
      </c>
      <c r="S1045">
        <v>31.4</v>
      </c>
      <c r="T1045">
        <v>28.6</v>
      </c>
      <c r="U1045">
        <v>4.3</v>
      </c>
      <c r="V1045">
        <v>7.1</v>
      </c>
    </row>
    <row r="1046" spans="1:22" x14ac:dyDescent="0.25">
      <c r="A1046" t="s">
        <v>2345</v>
      </c>
      <c r="B1046" t="s">
        <v>959</v>
      </c>
      <c r="C1046">
        <v>16</v>
      </c>
      <c r="D1046" t="s">
        <v>260</v>
      </c>
      <c r="E1046" t="s">
        <v>66</v>
      </c>
      <c r="F1046" t="s">
        <v>96</v>
      </c>
      <c r="G1046">
        <v>0.31</v>
      </c>
      <c r="H1046" t="s">
        <v>23</v>
      </c>
      <c r="I1046">
        <v>0</v>
      </c>
      <c r="J1046" t="str">
        <f>HYPERLINK("https://www.eliteprospects.com/player/620242/alexandre-pellerin")</f>
        <v>https://www.eliteprospects.com/player/620242/alexandre-pellerin</v>
      </c>
      <c r="K1046" t="s">
        <v>27</v>
      </c>
      <c r="L1046" t="s">
        <v>918</v>
      </c>
      <c r="M1046" t="s">
        <v>1296</v>
      </c>
      <c r="N1046">
        <v>1</v>
      </c>
      <c r="O1046" t="s">
        <v>984</v>
      </c>
      <c r="P1046">
        <v>0.04</v>
      </c>
      <c r="Q1046" t="s">
        <v>245</v>
      </c>
      <c r="R1046">
        <v>28.6</v>
      </c>
      <c r="S1046">
        <v>31.4</v>
      </c>
      <c r="T1046">
        <v>28.6</v>
      </c>
      <c r="U1046">
        <v>4.3</v>
      </c>
      <c r="V1046">
        <v>7.1</v>
      </c>
    </row>
    <row r="1047" spans="1:22" x14ac:dyDescent="0.25">
      <c r="A1047" t="s">
        <v>2346</v>
      </c>
      <c r="B1047" t="s">
        <v>1049</v>
      </c>
      <c r="C1047">
        <v>17</v>
      </c>
      <c r="D1047" t="s">
        <v>260</v>
      </c>
      <c r="E1047" t="s">
        <v>66</v>
      </c>
      <c r="F1047" t="s">
        <v>96</v>
      </c>
      <c r="G1047">
        <v>0.28999999999999998</v>
      </c>
      <c r="H1047" t="s">
        <v>125</v>
      </c>
      <c r="I1047">
        <v>-15</v>
      </c>
      <c r="J1047" t="str">
        <f>HYPERLINK("https://www.eliteprospects.com/player/573362/ben-bonni")</f>
        <v>https://www.eliteprospects.com/player/573362/ben-bonni</v>
      </c>
      <c r="K1047" t="s">
        <v>27</v>
      </c>
      <c r="L1047" t="s">
        <v>918</v>
      </c>
      <c r="M1047" t="s">
        <v>1417</v>
      </c>
      <c r="N1047">
        <v>4</v>
      </c>
      <c r="O1047" t="s">
        <v>978</v>
      </c>
      <c r="P1047">
        <v>0.04</v>
      </c>
      <c r="Q1047" t="s">
        <v>245</v>
      </c>
      <c r="R1047">
        <v>28.6</v>
      </c>
      <c r="S1047">
        <v>31.4</v>
      </c>
      <c r="T1047">
        <v>28.6</v>
      </c>
      <c r="U1047">
        <v>4.3</v>
      </c>
      <c r="V1047">
        <v>7.1</v>
      </c>
    </row>
    <row r="1048" spans="1:22" x14ac:dyDescent="0.25">
      <c r="A1048" t="s">
        <v>2347</v>
      </c>
      <c r="B1048" t="s">
        <v>1011</v>
      </c>
      <c r="C1048">
        <v>18</v>
      </c>
      <c r="D1048" t="s">
        <v>260</v>
      </c>
      <c r="E1048" t="s">
        <v>66</v>
      </c>
      <c r="F1048" t="s">
        <v>96</v>
      </c>
      <c r="G1048">
        <v>0.28000000000000003</v>
      </c>
      <c r="H1048" t="s">
        <v>39</v>
      </c>
      <c r="I1048">
        <v>-1</v>
      </c>
      <c r="J1048" t="str">
        <f>HYPERLINK("https://www.eliteprospects.com/player/563444/drew-maddigan")</f>
        <v>https://www.eliteprospects.com/player/563444/drew-maddigan</v>
      </c>
      <c r="K1048" t="s">
        <v>27</v>
      </c>
      <c r="L1048" t="s">
        <v>918</v>
      </c>
      <c r="M1048" t="s">
        <v>1296</v>
      </c>
      <c r="N1048">
        <v>5</v>
      </c>
      <c r="O1048" t="s">
        <v>930</v>
      </c>
      <c r="P1048">
        <v>0.04</v>
      </c>
      <c r="Q1048" t="s">
        <v>245</v>
      </c>
      <c r="R1048">
        <v>28.6</v>
      </c>
      <c r="S1048">
        <v>31.4</v>
      </c>
      <c r="T1048">
        <v>28.6</v>
      </c>
      <c r="U1048">
        <v>4.3</v>
      </c>
      <c r="V1048">
        <v>7.1</v>
      </c>
    </row>
    <row r="1049" spans="1:22" x14ac:dyDescent="0.25">
      <c r="A1049" t="s">
        <v>2348</v>
      </c>
      <c r="B1049" t="s">
        <v>959</v>
      </c>
      <c r="C1049">
        <v>18</v>
      </c>
      <c r="D1049" t="s">
        <v>260</v>
      </c>
      <c r="E1049" t="s">
        <v>66</v>
      </c>
      <c r="F1049" t="s">
        <v>96</v>
      </c>
      <c r="G1049">
        <v>0.28000000000000003</v>
      </c>
      <c r="H1049" t="s">
        <v>178</v>
      </c>
      <c r="I1049">
        <v>0</v>
      </c>
      <c r="J1049" t="str">
        <f>HYPERLINK("https://www.eliteprospects.com/player/418937/igor-mburanumwe")</f>
        <v>https://www.eliteprospects.com/player/418937/igor-mburanumwe</v>
      </c>
      <c r="K1049" t="s">
        <v>27</v>
      </c>
      <c r="L1049" t="s">
        <v>918</v>
      </c>
      <c r="M1049" t="s">
        <v>1296</v>
      </c>
      <c r="N1049">
        <v>5</v>
      </c>
      <c r="O1049" t="s">
        <v>930</v>
      </c>
      <c r="P1049">
        <v>0.04</v>
      </c>
      <c r="Q1049" t="s">
        <v>245</v>
      </c>
      <c r="R1049">
        <v>28.6</v>
      </c>
      <c r="S1049">
        <v>31.4</v>
      </c>
      <c r="T1049">
        <v>28.6</v>
      </c>
      <c r="U1049">
        <v>4.3</v>
      </c>
      <c r="V1049">
        <v>7.1</v>
      </c>
    </row>
    <row r="1050" spans="1:22" x14ac:dyDescent="0.25">
      <c r="A1050" t="s">
        <v>2349</v>
      </c>
      <c r="B1050" t="s">
        <v>977</v>
      </c>
      <c r="C1050">
        <v>15</v>
      </c>
      <c r="D1050" t="s">
        <v>132</v>
      </c>
      <c r="E1050" t="s">
        <v>96</v>
      </c>
      <c r="F1050" t="s">
        <v>96</v>
      </c>
      <c r="G1050">
        <v>0.33</v>
      </c>
      <c r="H1050" t="s">
        <v>51</v>
      </c>
      <c r="I1050">
        <v>0</v>
      </c>
      <c r="J1050" t="str">
        <f>HYPERLINK("https://www.eliteprospects.com/player/418396/stefan-dobrich")</f>
        <v>https://www.eliteprospects.com/player/418396/stefan-dobrich</v>
      </c>
      <c r="K1050" t="s">
        <v>27</v>
      </c>
      <c r="L1050" t="s">
        <v>918</v>
      </c>
      <c r="M1050" t="s">
        <v>1296</v>
      </c>
      <c r="N1050">
        <v>3</v>
      </c>
      <c r="O1050" t="s">
        <v>962</v>
      </c>
      <c r="P1050">
        <v>0.04</v>
      </c>
      <c r="Q1050" t="s">
        <v>245</v>
      </c>
      <c r="R1050">
        <v>28.6</v>
      </c>
      <c r="S1050">
        <v>31.4</v>
      </c>
      <c r="T1050">
        <v>28.6</v>
      </c>
      <c r="U1050">
        <v>4.3</v>
      </c>
      <c r="V1050">
        <v>7.1</v>
      </c>
    </row>
    <row r="1051" spans="1:22" x14ac:dyDescent="0.25">
      <c r="A1051" t="s">
        <v>2350</v>
      </c>
      <c r="B1051" t="s">
        <v>1038</v>
      </c>
      <c r="C1051">
        <v>16</v>
      </c>
      <c r="D1051" t="s">
        <v>132</v>
      </c>
      <c r="E1051" t="s">
        <v>96</v>
      </c>
      <c r="F1051" t="s">
        <v>96</v>
      </c>
      <c r="G1051">
        <v>0.31</v>
      </c>
      <c r="H1051" t="s">
        <v>66</v>
      </c>
      <c r="I1051">
        <v>0</v>
      </c>
      <c r="J1051" t="str">
        <f>HYPERLINK("https://www.eliteprospects.com/player/503979/owen-luik")</f>
        <v>https://www.eliteprospects.com/player/503979/owen-luik</v>
      </c>
      <c r="K1051" t="s">
        <v>27</v>
      </c>
      <c r="L1051" t="s">
        <v>918</v>
      </c>
      <c r="M1051" t="s">
        <v>1296</v>
      </c>
      <c r="N1051">
        <v>2</v>
      </c>
      <c r="O1051" t="s">
        <v>1021</v>
      </c>
      <c r="P1051">
        <v>0.04</v>
      </c>
      <c r="Q1051" t="s">
        <v>245</v>
      </c>
      <c r="R1051">
        <v>28.6</v>
      </c>
      <c r="S1051">
        <v>31.4</v>
      </c>
      <c r="T1051">
        <v>28.6</v>
      </c>
      <c r="U1051">
        <v>4.3</v>
      </c>
      <c r="V1051">
        <v>7.1</v>
      </c>
    </row>
    <row r="1052" spans="1:22" x14ac:dyDescent="0.25">
      <c r="A1052" t="s">
        <v>2351</v>
      </c>
      <c r="B1052" t="s">
        <v>947</v>
      </c>
      <c r="C1052">
        <v>17</v>
      </c>
      <c r="D1052" t="s">
        <v>132</v>
      </c>
      <c r="E1052" t="s">
        <v>96</v>
      </c>
      <c r="F1052" t="s">
        <v>96</v>
      </c>
      <c r="G1052">
        <v>0.28999999999999998</v>
      </c>
      <c r="H1052" t="s">
        <v>39</v>
      </c>
      <c r="I1052">
        <v>0</v>
      </c>
      <c r="J1052" t="str">
        <f>HYPERLINK("https://www.eliteprospects.com/player/712050/ryan-o-dell")</f>
        <v>https://www.eliteprospects.com/player/712050/ryan-o-dell</v>
      </c>
      <c r="K1052" t="s">
        <v>27</v>
      </c>
      <c r="L1052" t="s">
        <v>918</v>
      </c>
      <c r="M1052" t="s">
        <v>1296</v>
      </c>
      <c r="N1052">
        <v>4</v>
      </c>
      <c r="O1052" t="s">
        <v>1025</v>
      </c>
      <c r="P1052">
        <v>0.04</v>
      </c>
      <c r="Q1052" t="s">
        <v>245</v>
      </c>
      <c r="R1052">
        <v>28.6</v>
      </c>
      <c r="S1052">
        <v>31.4</v>
      </c>
      <c r="T1052">
        <v>28.6</v>
      </c>
      <c r="U1052">
        <v>4.3</v>
      </c>
      <c r="V1052">
        <v>7.1</v>
      </c>
    </row>
    <row r="1053" spans="1:22" x14ac:dyDescent="0.25">
      <c r="A1053" t="s">
        <v>2352</v>
      </c>
      <c r="B1053" t="s">
        <v>934</v>
      </c>
      <c r="C1053">
        <v>18</v>
      </c>
      <c r="D1053" t="s">
        <v>132</v>
      </c>
      <c r="E1053" t="s">
        <v>96</v>
      </c>
      <c r="F1053" t="s">
        <v>96</v>
      </c>
      <c r="G1053">
        <v>0.28000000000000003</v>
      </c>
      <c r="H1053" t="s">
        <v>24</v>
      </c>
      <c r="I1053">
        <v>6</v>
      </c>
      <c r="J1053" t="str">
        <f>HYPERLINK("https://www.eliteprospects.com/player/492134/eli-barnett")</f>
        <v>https://www.eliteprospects.com/player/492134/eli-barnett</v>
      </c>
      <c r="K1053" t="s">
        <v>27</v>
      </c>
      <c r="L1053" t="s">
        <v>918</v>
      </c>
      <c r="M1053" t="s">
        <v>1296</v>
      </c>
      <c r="N1053">
        <v>3</v>
      </c>
      <c r="O1053" t="s">
        <v>1039</v>
      </c>
      <c r="P1053">
        <v>0.04</v>
      </c>
      <c r="Q1053" t="s">
        <v>245</v>
      </c>
      <c r="R1053">
        <v>28.6</v>
      </c>
      <c r="S1053">
        <v>31.4</v>
      </c>
      <c r="T1053">
        <v>28.6</v>
      </c>
      <c r="U1053">
        <v>4.3</v>
      </c>
      <c r="V1053">
        <v>7.1</v>
      </c>
    </row>
    <row r="1054" spans="1:22" x14ac:dyDescent="0.25">
      <c r="A1054" t="s">
        <v>2353</v>
      </c>
      <c r="B1054" t="s">
        <v>990</v>
      </c>
      <c r="C1054">
        <v>19</v>
      </c>
      <c r="D1054" t="s">
        <v>132</v>
      </c>
      <c r="E1054" t="s">
        <v>96</v>
      </c>
      <c r="F1054" t="s">
        <v>96</v>
      </c>
      <c r="G1054">
        <v>0.26</v>
      </c>
      <c r="H1054" t="s">
        <v>269</v>
      </c>
      <c r="I1054">
        <v>0</v>
      </c>
      <c r="J1054" t="str">
        <f>HYPERLINK("https://www.eliteprospects.com/player/625756/edouard-cournoyer")</f>
        <v>https://www.eliteprospects.com/player/625756/edouard-cournoyer</v>
      </c>
      <c r="K1054" t="s">
        <v>27</v>
      </c>
      <c r="L1054" t="s">
        <v>918</v>
      </c>
      <c r="M1054" t="s">
        <v>1296</v>
      </c>
      <c r="N1054">
        <v>6</v>
      </c>
      <c r="O1054" t="s">
        <v>921</v>
      </c>
      <c r="P1054">
        <v>0.03</v>
      </c>
      <c r="Q1054" t="s">
        <v>245</v>
      </c>
      <c r="R1054">
        <v>28.6</v>
      </c>
      <c r="S1054">
        <v>31.4</v>
      </c>
      <c r="T1054">
        <v>28.6</v>
      </c>
      <c r="U1054">
        <v>4.3</v>
      </c>
      <c r="V1054">
        <v>7.1</v>
      </c>
    </row>
    <row r="1055" spans="1:22" x14ac:dyDescent="0.25">
      <c r="A1055" t="s">
        <v>2354</v>
      </c>
      <c r="B1055" t="s">
        <v>929</v>
      </c>
      <c r="C1055">
        <v>20</v>
      </c>
      <c r="D1055" t="s">
        <v>132</v>
      </c>
      <c r="E1055" t="s">
        <v>96</v>
      </c>
      <c r="F1055" t="s">
        <v>96</v>
      </c>
      <c r="G1055">
        <v>0.25</v>
      </c>
      <c r="H1055" t="s">
        <v>57</v>
      </c>
      <c r="I1055">
        <v>-7</v>
      </c>
      <c r="J1055" t="str">
        <f>HYPERLINK("https://www.eliteprospects.com/player/575916/isaac-vos")</f>
        <v>https://www.eliteprospects.com/player/575916/isaac-vos</v>
      </c>
      <c r="K1055" t="s">
        <v>27</v>
      </c>
      <c r="L1055" t="s">
        <v>918</v>
      </c>
      <c r="M1055" t="s">
        <v>1296</v>
      </c>
      <c r="N1055">
        <v>3</v>
      </c>
      <c r="O1055" t="s">
        <v>1002</v>
      </c>
      <c r="P1055">
        <v>0.03</v>
      </c>
      <c r="Q1055" t="s">
        <v>245</v>
      </c>
      <c r="R1055">
        <v>28.6</v>
      </c>
      <c r="S1055">
        <v>31.4</v>
      </c>
      <c r="T1055">
        <v>28.6</v>
      </c>
      <c r="U1055">
        <v>4.3</v>
      </c>
      <c r="V1055">
        <v>7.1</v>
      </c>
    </row>
    <row r="1056" spans="1:22" x14ac:dyDescent="0.25">
      <c r="A1056" t="s">
        <v>2355</v>
      </c>
      <c r="B1056" t="s">
        <v>917</v>
      </c>
      <c r="C1056">
        <v>12</v>
      </c>
      <c r="D1056" t="s">
        <v>79</v>
      </c>
      <c r="E1056" t="s">
        <v>79</v>
      </c>
      <c r="F1056" t="s">
        <v>66</v>
      </c>
      <c r="G1056">
        <v>0.33</v>
      </c>
      <c r="H1056" t="s">
        <v>26</v>
      </c>
      <c r="I1056">
        <v>-7</v>
      </c>
      <c r="J1056" t="str">
        <f>HYPERLINK("https://www.eliteprospects.com/player/617883/landon-cato")</f>
        <v>https://www.eliteprospects.com/player/617883/landon-cato</v>
      </c>
      <c r="K1056" t="s">
        <v>27</v>
      </c>
      <c r="L1056" t="s">
        <v>918</v>
      </c>
      <c r="M1056" t="s">
        <v>1296</v>
      </c>
      <c r="N1056">
        <v>6</v>
      </c>
      <c r="O1056" t="s">
        <v>970</v>
      </c>
      <c r="P1056">
        <v>0.04</v>
      </c>
      <c r="Q1056" t="s">
        <v>245</v>
      </c>
      <c r="R1056">
        <v>28.6</v>
      </c>
      <c r="S1056">
        <v>31.4</v>
      </c>
      <c r="T1056">
        <v>28.6</v>
      </c>
      <c r="U1056">
        <v>4.3</v>
      </c>
      <c r="V1056">
        <v>7.1</v>
      </c>
    </row>
    <row r="1057" spans="1:22" x14ac:dyDescent="0.25">
      <c r="A1057" t="s">
        <v>2356</v>
      </c>
      <c r="B1057" t="s">
        <v>1049</v>
      </c>
      <c r="C1057">
        <v>14</v>
      </c>
      <c r="D1057" t="s">
        <v>79</v>
      </c>
      <c r="E1057" t="s">
        <v>79</v>
      </c>
      <c r="F1057" t="s">
        <v>66</v>
      </c>
      <c r="G1057">
        <v>0.28999999999999998</v>
      </c>
      <c r="H1057" t="s">
        <v>84</v>
      </c>
      <c r="I1057">
        <v>-2</v>
      </c>
      <c r="J1057" t="str">
        <f>HYPERLINK("https://www.eliteprospects.com/player/645887/kaycee-coyle")</f>
        <v>https://www.eliteprospects.com/player/645887/kaycee-coyle</v>
      </c>
      <c r="K1057" t="s">
        <v>27</v>
      </c>
      <c r="L1057" t="s">
        <v>918</v>
      </c>
      <c r="M1057" t="s">
        <v>1296</v>
      </c>
      <c r="N1057">
        <v>1</v>
      </c>
      <c r="O1057" t="s">
        <v>984</v>
      </c>
      <c r="P1057">
        <v>0.04</v>
      </c>
      <c r="Q1057" t="s">
        <v>245</v>
      </c>
      <c r="R1057">
        <v>28.6</v>
      </c>
      <c r="S1057">
        <v>31.4</v>
      </c>
      <c r="T1057">
        <v>28.6</v>
      </c>
      <c r="U1057">
        <v>4.3</v>
      </c>
      <c r="V1057">
        <v>7.1</v>
      </c>
    </row>
    <row r="1058" spans="1:22" x14ac:dyDescent="0.25">
      <c r="A1058" t="s">
        <v>2357</v>
      </c>
      <c r="B1058" t="s">
        <v>1118</v>
      </c>
      <c r="C1058">
        <v>17</v>
      </c>
      <c r="D1058" t="s">
        <v>79</v>
      </c>
      <c r="E1058" t="s">
        <v>79</v>
      </c>
      <c r="F1058" t="s">
        <v>66</v>
      </c>
      <c r="G1058">
        <v>0.24</v>
      </c>
      <c r="H1058" t="s">
        <v>38</v>
      </c>
      <c r="I1058">
        <v>-14</v>
      </c>
      <c r="J1058" t="str">
        <f>HYPERLINK("https://www.eliteprospects.com/player/403768/ayden-third")</f>
        <v>https://www.eliteprospects.com/player/403768/ayden-third</v>
      </c>
      <c r="K1058" t="s">
        <v>27</v>
      </c>
      <c r="L1058" t="s">
        <v>918</v>
      </c>
      <c r="M1058" t="s">
        <v>1296</v>
      </c>
      <c r="N1058">
        <v>2</v>
      </c>
      <c r="O1058" t="s">
        <v>1021</v>
      </c>
      <c r="P1058">
        <v>0.03</v>
      </c>
      <c r="Q1058" t="s">
        <v>245</v>
      </c>
      <c r="R1058">
        <v>28.6</v>
      </c>
      <c r="S1058">
        <v>31.4</v>
      </c>
      <c r="T1058">
        <v>28.6</v>
      </c>
      <c r="U1058">
        <v>4.3</v>
      </c>
      <c r="V1058">
        <v>7.1</v>
      </c>
    </row>
    <row r="1059" spans="1:22" x14ac:dyDescent="0.25">
      <c r="A1059" t="s">
        <v>2358</v>
      </c>
      <c r="B1059" t="s">
        <v>986</v>
      </c>
      <c r="C1059">
        <v>18</v>
      </c>
      <c r="D1059" t="s">
        <v>79</v>
      </c>
      <c r="E1059" t="s">
        <v>79</v>
      </c>
      <c r="F1059" t="s">
        <v>66</v>
      </c>
      <c r="G1059">
        <v>0.22</v>
      </c>
      <c r="H1059" t="s">
        <v>32</v>
      </c>
      <c r="I1059">
        <v>0</v>
      </c>
      <c r="J1059" t="str">
        <f>HYPERLINK("https://www.eliteprospects.com/player/566499/alec-mcdonald")</f>
        <v>https://www.eliteprospects.com/player/566499/alec-mcdonald</v>
      </c>
      <c r="K1059" t="s">
        <v>27</v>
      </c>
      <c r="L1059" t="s">
        <v>918</v>
      </c>
      <c r="M1059" t="s">
        <v>1296</v>
      </c>
      <c r="N1059">
        <v>1</v>
      </c>
      <c r="O1059" t="s">
        <v>984</v>
      </c>
      <c r="P1059">
        <v>0.03</v>
      </c>
      <c r="Q1059" t="s">
        <v>245</v>
      </c>
      <c r="R1059">
        <v>28.6</v>
      </c>
      <c r="S1059">
        <v>31.4</v>
      </c>
      <c r="T1059">
        <v>28.6</v>
      </c>
      <c r="U1059">
        <v>4.3</v>
      </c>
      <c r="V1059">
        <v>7.1</v>
      </c>
    </row>
    <row r="1060" spans="1:22" x14ac:dyDescent="0.25">
      <c r="A1060" t="s">
        <v>2359</v>
      </c>
      <c r="B1060" t="s">
        <v>944</v>
      </c>
      <c r="C1060">
        <v>20</v>
      </c>
      <c r="D1060" t="s">
        <v>79</v>
      </c>
      <c r="E1060" t="s">
        <v>79</v>
      </c>
      <c r="F1060" t="s">
        <v>66</v>
      </c>
      <c r="G1060">
        <v>0.2</v>
      </c>
      <c r="H1060" t="s">
        <v>39</v>
      </c>
      <c r="I1060">
        <v>12</v>
      </c>
      <c r="J1060" t="str">
        <f>HYPERLINK("https://www.eliteprospects.com/player/384420/yann-felix-lapointe")</f>
        <v>https://www.eliteprospects.com/player/384420/yann-felix-lapointe</v>
      </c>
      <c r="K1060" t="s">
        <v>27</v>
      </c>
      <c r="L1060" t="s">
        <v>918</v>
      </c>
      <c r="M1060" t="s">
        <v>1296</v>
      </c>
      <c r="N1060">
        <v>5</v>
      </c>
      <c r="O1060" t="s">
        <v>945</v>
      </c>
      <c r="P1060">
        <v>0.02</v>
      </c>
      <c r="Q1060" t="s">
        <v>245</v>
      </c>
      <c r="R1060">
        <v>28.6</v>
      </c>
      <c r="S1060">
        <v>31.4</v>
      </c>
      <c r="T1060">
        <v>28.6</v>
      </c>
      <c r="U1060">
        <v>4.3</v>
      </c>
      <c r="V1060">
        <v>7.1</v>
      </c>
    </row>
    <row r="1061" spans="1:22" x14ac:dyDescent="0.25">
      <c r="A1061" t="s">
        <v>2360</v>
      </c>
      <c r="B1061" t="s">
        <v>923</v>
      </c>
      <c r="C1061">
        <v>11</v>
      </c>
      <c r="D1061" t="s">
        <v>260</v>
      </c>
      <c r="E1061" t="s">
        <v>140</v>
      </c>
      <c r="F1061" t="s">
        <v>66</v>
      </c>
      <c r="G1061">
        <v>0.36</v>
      </c>
      <c r="H1061" t="s">
        <v>26</v>
      </c>
      <c r="I1061">
        <v>-3</v>
      </c>
      <c r="J1061" t="str">
        <f>HYPERLINK("https://www.eliteprospects.com/player/571919/pavel-bocharov")</f>
        <v>https://www.eliteprospects.com/player/571919/pavel-bocharov</v>
      </c>
      <c r="K1061" t="s">
        <v>27</v>
      </c>
      <c r="L1061" t="s">
        <v>918</v>
      </c>
      <c r="M1061" t="s">
        <v>1296</v>
      </c>
      <c r="N1061">
        <v>5</v>
      </c>
      <c r="O1061" t="s">
        <v>979</v>
      </c>
      <c r="P1061">
        <v>0.04</v>
      </c>
      <c r="Q1061" t="s">
        <v>245</v>
      </c>
      <c r="R1061">
        <v>28.6</v>
      </c>
      <c r="S1061">
        <v>31.4</v>
      </c>
      <c r="T1061">
        <v>28.6</v>
      </c>
      <c r="U1061">
        <v>4.3</v>
      </c>
      <c r="V1061">
        <v>7.1</v>
      </c>
    </row>
    <row r="1062" spans="1:22" x14ac:dyDescent="0.25">
      <c r="A1062" t="s">
        <v>2361</v>
      </c>
      <c r="B1062" t="s">
        <v>929</v>
      </c>
      <c r="C1062">
        <v>12</v>
      </c>
      <c r="D1062" t="s">
        <v>260</v>
      </c>
      <c r="E1062" t="s">
        <v>140</v>
      </c>
      <c r="F1062" t="s">
        <v>66</v>
      </c>
      <c r="G1062">
        <v>0.33</v>
      </c>
      <c r="H1062" t="s">
        <v>26</v>
      </c>
      <c r="I1062">
        <v>-8</v>
      </c>
      <c r="J1062" t="str">
        <f>HYPERLINK("https://www.eliteprospects.com/player/491928/zach-biggar")</f>
        <v>https://www.eliteprospects.com/player/491928/zach-biggar</v>
      </c>
      <c r="K1062" t="s">
        <v>27</v>
      </c>
      <c r="L1062" t="s">
        <v>918</v>
      </c>
      <c r="M1062" t="s">
        <v>1296</v>
      </c>
      <c r="N1062">
        <v>6</v>
      </c>
      <c r="O1062" t="s">
        <v>968</v>
      </c>
      <c r="P1062">
        <v>0.04</v>
      </c>
      <c r="Q1062" t="s">
        <v>245</v>
      </c>
      <c r="R1062">
        <v>28.6</v>
      </c>
      <c r="S1062">
        <v>31.4</v>
      </c>
      <c r="T1062">
        <v>28.6</v>
      </c>
      <c r="U1062">
        <v>4.3</v>
      </c>
      <c r="V1062">
        <v>7.1</v>
      </c>
    </row>
    <row r="1063" spans="1:22" x14ac:dyDescent="0.25">
      <c r="A1063" t="s">
        <v>2362</v>
      </c>
      <c r="B1063" t="s">
        <v>934</v>
      </c>
      <c r="C1063">
        <v>15</v>
      </c>
      <c r="D1063" t="s">
        <v>260</v>
      </c>
      <c r="E1063" t="s">
        <v>140</v>
      </c>
      <c r="F1063" t="s">
        <v>66</v>
      </c>
      <c r="G1063">
        <v>0.27</v>
      </c>
      <c r="H1063" t="s">
        <v>40</v>
      </c>
      <c r="I1063">
        <v>2</v>
      </c>
      <c r="J1063" t="str">
        <f>HYPERLINK("https://www.eliteprospects.com/player/599320/marc-olivier-beaudry")</f>
        <v>https://www.eliteprospects.com/player/599320/marc-olivier-beaudry</v>
      </c>
      <c r="K1063" t="s">
        <v>27</v>
      </c>
      <c r="L1063" t="s">
        <v>918</v>
      </c>
      <c r="M1063" t="s">
        <v>1296</v>
      </c>
      <c r="N1063">
        <v>6</v>
      </c>
      <c r="O1063" t="s">
        <v>968</v>
      </c>
      <c r="P1063">
        <v>0.03</v>
      </c>
      <c r="Q1063" t="s">
        <v>245</v>
      </c>
      <c r="R1063">
        <v>28.6</v>
      </c>
      <c r="S1063">
        <v>31.4</v>
      </c>
      <c r="T1063">
        <v>28.6</v>
      </c>
      <c r="U1063">
        <v>4.3</v>
      </c>
      <c r="V1063">
        <v>7.1</v>
      </c>
    </row>
    <row r="1064" spans="1:22" x14ac:dyDescent="0.25">
      <c r="A1064" t="s">
        <v>2363</v>
      </c>
      <c r="B1064" t="s">
        <v>966</v>
      </c>
      <c r="C1064">
        <v>18</v>
      </c>
      <c r="D1064" t="s">
        <v>260</v>
      </c>
      <c r="E1064" t="s">
        <v>140</v>
      </c>
      <c r="F1064" t="s">
        <v>66</v>
      </c>
      <c r="G1064">
        <v>0.22</v>
      </c>
      <c r="H1064" t="s">
        <v>79</v>
      </c>
      <c r="I1064">
        <v>13</v>
      </c>
      <c r="J1064" t="str">
        <f>HYPERLINK("https://www.eliteprospects.com/player/201783/charlie-desroches")</f>
        <v>https://www.eliteprospects.com/player/201783/charlie-desroches</v>
      </c>
      <c r="K1064" t="s">
        <v>27</v>
      </c>
      <c r="L1064" t="s">
        <v>918</v>
      </c>
      <c r="M1064" t="s">
        <v>1296</v>
      </c>
      <c r="N1064">
        <v>6</v>
      </c>
      <c r="O1064" t="s">
        <v>921</v>
      </c>
      <c r="P1064">
        <v>0.03</v>
      </c>
      <c r="Q1064" t="s">
        <v>245</v>
      </c>
      <c r="R1064">
        <v>28.6</v>
      </c>
      <c r="S1064">
        <v>31.4</v>
      </c>
      <c r="T1064">
        <v>28.6</v>
      </c>
      <c r="U1064">
        <v>4.3</v>
      </c>
      <c r="V1064">
        <v>7.1</v>
      </c>
    </row>
    <row r="1065" spans="1:22" x14ac:dyDescent="0.25">
      <c r="A1065" t="s">
        <v>2364</v>
      </c>
      <c r="B1065" t="s">
        <v>997</v>
      </c>
      <c r="C1065">
        <v>18</v>
      </c>
      <c r="D1065" t="s">
        <v>260</v>
      </c>
      <c r="E1065" t="s">
        <v>140</v>
      </c>
      <c r="F1065" t="s">
        <v>66</v>
      </c>
      <c r="G1065">
        <v>0.22</v>
      </c>
      <c r="H1065" t="s">
        <v>57</v>
      </c>
      <c r="I1065">
        <v>0</v>
      </c>
      <c r="J1065" t="str">
        <f>HYPERLINK("https://www.eliteprospects.com/player/625757/vincent-fredette")</f>
        <v>https://www.eliteprospects.com/player/625757/vincent-fredette</v>
      </c>
      <c r="K1065" t="s">
        <v>27</v>
      </c>
      <c r="L1065" t="s">
        <v>918</v>
      </c>
      <c r="M1065" t="s">
        <v>1296</v>
      </c>
      <c r="N1065">
        <v>5</v>
      </c>
      <c r="O1065" t="s">
        <v>1094</v>
      </c>
      <c r="P1065">
        <v>0.03</v>
      </c>
      <c r="Q1065" t="s">
        <v>245</v>
      </c>
      <c r="R1065">
        <v>28.6</v>
      </c>
      <c r="S1065">
        <v>31.4</v>
      </c>
      <c r="T1065">
        <v>28.6</v>
      </c>
      <c r="U1065">
        <v>4.3</v>
      </c>
      <c r="V1065">
        <v>7.1</v>
      </c>
    </row>
    <row r="1066" spans="1:22" x14ac:dyDescent="0.25">
      <c r="A1066" t="s">
        <v>2365</v>
      </c>
      <c r="B1066" t="s">
        <v>1049</v>
      </c>
      <c r="C1066">
        <v>18</v>
      </c>
      <c r="D1066" t="s">
        <v>260</v>
      </c>
      <c r="E1066" t="s">
        <v>140</v>
      </c>
      <c r="F1066" t="s">
        <v>66</v>
      </c>
      <c r="G1066">
        <v>0.22</v>
      </c>
      <c r="H1066" t="s">
        <v>55</v>
      </c>
      <c r="I1066">
        <v>-8</v>
      </c>
      <c r="J1066" t="str">
        <f>HYPERLINK("https://www.eliteprospects.com/player/647235/samuel-borschowa")</f>
        <v>https://www.eliteprospects.com/player/647235/samuel-borschowa</v>
      </c>
      <c r="K1066" t="s">
        <v>27</v>
      </c>
      <c r="L1066" t="s">
        <v>918</v>
      </c>
      <c r="M1066" t="s">
        <v>1296</v>
      </c>
      <c r="N1066">
        <v>4</v>
      </c>
      <c r="O1066" t="s">
        <v>978</v>
      </c>
      <c r="P1066">
        <v>0.03</v>
      </c>
      <c r="Q1066" t="s">
        <v>245</v>
      </c>
      <c r="R1066">
        <v>28.6</v>
      </c>
      <c r="S1066">
        <v>31.4</v>
      </c>
      <c r="T1066">
        <v>28.6</v>
      </c>
      <c r="U1066">
        <v>4.3</v>
      </c>
      <c r="V1066">
        <v>7.1</v>
      </c>
    </row>
    <row r="1067" spans="1:22" x14ac:dyDescent="0.25">
      <c r="A1067" t="s">
        <v>2366</v>
      </c>
      <c r="B1067" t="s">
        <v>991</v>
      </c>
      <c r="C1067">
        <v>18</v>
      </c>
      <c r="D1067" t="s">
        <v>260</v>
      </c>
      <c r="E1067" t="s">
        <v>140</v>
      </c>
      <c r="F1067" t="s">
        <v>66</v>
      </c>
      <c r="G1067">
        <v>0.22</v>
      </c>
      <c r="H1067" t="s">
        <v>24</v>
      </c>
      <c r="I1067">
        <v>0</v>
      </c>
      <c r="J1067" t="str">
        <f>HYPERLINK("https://www.eliteprospects.com/player/403779/chase-lacombe")</f>
        <v>https://www.eliteprospects.com/player/403779/chase-lacombe</v>
      </c>
      <c r="K1067" t="s">
        <v>27</v>
      </c>
      <c r="L1067" t="s">
        <v>918</v>
      </c>
      <c r="M1067" t="s">
        <v>1296</v>
      </c>
      <c r="N1067">
        <v>5</v>
      </c>
      <c r="O1067" t="s">
        <v>2292</v>
      </c>
      <c r="P1067">
        <v>0.03</v>
      </c>
      <c r="Q1067" t="s">
        <v>245</v>
      </c>
      <c r="R1067">
        <v>28.6</v>
      </c>
      <c r="S1067">
        <v>31.4</v>
      </c>
      <c r="T1067">
        <v>28.6</v>
      </c>
      <c r="U1067">
        <v>4.3</v>
      </c>
      <c r="V1067">
        <v>7.1</v>
      </c>
    </row>
    <row r="1068" spans="1:22" x14ac:dyDescent="0.25">
      <c r="A1068" t="s">
        <v>2367</v>
      </c>
      <c r="B1068" t="s">
        <v>944</v>
      </c>
      <c r="C1068">
        <v>19</v>
      </c>
      <c r="D1068" t="s">
        <v>260</v>
      </c>
      <c r="E1068" t="s">
        <v>140</v>
      </c>
      <c r="F1068" t="s">
        <v>66</v>
      </c>
      <c r="G1068">
        <v>0.21</v>
      </c>
      <c r="H1068" t="s">
        <v>589</v>
      </c>
      <c r="I1068">
        <v>5</v>
      </c>
      <c r="J1068" t="str">
        <f>HYPERLINK("https://www.eliteprospects.com/player/382864/alexis-arsenault")</f>
        <v>https://www.eliteprospects.com/player/382864/alexis-arsenault</v>
      </c>
      <c r="K1068" t="s">
        <v>27</v>
      </c>
      <c r="L1068" t="s">
        <v>918</v>
      </c>
      <c r="M1068" t="s">
        <v>1296</v>
      </c>
      <c r="N1068">
        <v>6</v>
      </c>
      <c r="O1068" t="s">
        <v>1057</v>
      </c>
      <c r="P1068">
        <v>0.03</v>
      </c>
      <c r="Q1068" t="s">
        <v>245</v>
      </c>
      <c r="R1068">
        <v>28.6</v>
      </c>
      <c r="S1068">
        <v>31.4</v>
      </c>
      <c r="T1068">
        <v>28.6</v>
      </c>
      <c r="U1068">
        <v>4.3</v>
      </c>
      <c r="V1068">
        <v>7.1</v>
      </c>
    </row>
    <row r="1069" spans="1:22" x14ac:dyDescent="0.25">
      <c r="A1069" t="s">
        <v>2368</v>
      </c>
      <c r="B1069" t="s">
        <v>931</v>
      </c>
      <c r="C1069">
        <v>11</v>
      </c>
      <c r="D1069" t="s">
        <v>132</v>
      </c>
      <c r="E1069" t="s">
        <v>66</v>
      </c>
      <c r="F1069" t="s">
        <v>66</v>
      </c>
      <c r="G1069">
        <v>0.36</v>
      </c>
      <c r="H1069" t="s">
        <v>57</v>
      </c>
      <c r="I1069">
        <v>-3</v>
      </c>
      <c r="J1069" t="str">
        <f>HYPERLINK("https://www.eliteprospects.com/player/523482/leith-olafson")</f>
        <v>https://www.eliteprospects.com/player/523482/leith-olafson</v>
      </c>
      <c r="K1069" t="s">
        <v>27</v>
      </c>
      <c r="L1069" t="s">
        <v>918</v>
      </c>
      <c r="M1069" t="s">
        <v>1296</v>
      </c>
      <c r="N1069">
        <v>1</v>
      </c>
      <c r="O1069" t="s">
        <v>984</v>
      </c>
      <c r="P1069">
        <v>0.04</v>
      </c>
      <c r="Q1069" t="s">
        <v>245</v>
      </c>
      <c r="R1069">
        <v>28.6</v>
      </c>
      <c r="S1069">
        <v>31.4</v>
      </c>
      <c r="T1069">
        <v>28.6</v>
      </c>
      <c r="U1069">
        <v>4.3</v>
      </c>
      <c r="V1069">
        <v>7.1</v>
      </c>
    </row>
    <row r="1070" spans="1:22" x14ac:dyDescent="0.25">
      <c r="A1070" t="s">
        <v>2369</v>
      </c>
      <c r="B1070" t="s">
        <v>939</v>
      </c>
      <c r="C1070">
        <v>12</v>
      </c>
      <c r="D1070" t="s">
        <v>132</v>
      </c>
      <c r="E1070" t="s">
        <v>66</v>
      </c>
      <c r="F1070" t="s">
        <v>66</v>
      </c>
      <c r="G1070">
        <v>0.33</v>
      </c>
      <c r="H1070" t="s">
        <v>26</v>
      </c>
      <c r="I1070">
        <v>0</v>
      </c>
      <c r="J1070" t="str">
        <f>HYPERLINK("https://www.eliteprospects.com/player/279032/ty-prefontaine")</f>
        <v>https://www.eliteprospects.com/player/279032/ty-prefontaine</v>
      </c>
      <c r="K1070" t="s">
        <v>27</v>
      </c>
      <c r="L1070" t="s">
        <v>918</v>
      </c>
      <c r="M1070" t="s">
        <v>1296</v>
      </c>
      <c r="N1070">
        <v>6</v>
      </c>
      <c r="O1070" t="s">
        <v>975</v>
      </c>
      <c r="P1070">
        <v>0.04</v>
      </c>
      <c r="Q1070" t="s">
        <v>245</v>
      </c>
      <c r="R1070">
        <v>28.6</v>
      </c>
      <c r="S1070">
        <v>31.4</v>
      </c>
      <c r="T1070">
        <v>28.6</v>
      </c>
      <c r="U1070">
        <v>4.3</v>
      </c>
      <c r="V1070">
        <v>7.1</v>
      </c>
    </row>
    <row r="1071" spans="1:22" x14ac:dyDescent="0.25">
      <c r="A1071" t="s">
        <v>2370</v>
      </c>
      <c r="B1071" t="s">
        <v>966</v>
      </c>
      <c r="C1071">
        <v>12</v>
      </c>
      <c r="D1071" t="s">
        <v>132</v>
      </c>
      <c r="E1071" t="s">
        <v>66</v>
      </c>
      <c r="F1071" t="s">
        <v>66</v>
      </c>
      <c r="G1071">
        <v>0.33</v>
      </c>
      <c r="H1071" t="s">
        <v>269</v>
      </c>
      <c r="I1071">
        <v>6</v>
      </c>
      <c r="J1071" t="str">
        <f>HYPERLINK("https://www.eliteprospects.com/player/337731/luke-zazula")</f>
        <v>https://www.eliteprospects.com/player/337731/luke-zazula</v>
      </c>
      <c r="K1071" t="s">
        <v>27</v>
      </c>
      <c r="L1071" t="s">
        <v>918</v>
      </c>
      <c r="M1071" t="s">
        <v>1296</v>
      </c>
      <c r="N1071">
        <v>6</v>
      </c>
      <c r="O1071" t="s">
        <v>932</v>
      </c>
      <c r="P1071">
        <v>0.04</v>
      </c>
      <c r="Q1071" t="s">
        <v>245</v>
      </c>
      <c r="R1071">
        <v>28.6</v>
      </c>
      <c r="S1071">
        <v>31.4</v>
      </c>
      <c r="T1071">
        <v>28.6</v>
      </c>
      <c r="U1071">
        <v>4.3</v>
      </c>
      <c r="V1071">
        <v>7.1</v>
      </c>
    </row>
    <row r="1072" spans="1:22" x14ac:dyDescent="0.25">
      <c r="A1072" t="s">
        <v>2371</v>
      </c>
      <c r="B1072" t="s">
        <v>942</v>
      </c>
      <c r="C1072">
        <v>14</v>
      </c>
      <c r="D1072" t="s">
        <v>132</v>
      </c>
      <c r="E1072" t="s">
        <v>66</v>
      </c>
      <c r="F1072" t="s">
        <v>66</v>
      </c>
      <c r="G1072">
        <v>0.28999999999999998</v>
      </c>
      <c r="H1072" t="s">
        <v>81</v>
      </c>
      <c r="I1072">
        <v>0</v>
      </c>
      <c r="J1072" t="str">
        <f>HYPERLINK("https://www.eliteprospects.com/player/582757/jaden-raad")</f>
        <v>https://www.eliteprospects.com/player/582757/jaden-raad</v>
      </c>
      <c r="K1072" t="s">
        <v>27</v>
      </c>
      <c r="L1072" t="s">
        <v>918</v>
      </c>
      <c r="M1072" t="s">
        <v>1296</v>
      </c>
      <c r="N1072">
        <v>2</v>
      </c>
      <c r="O1072" t="s">
        <v>1021</v>
      </c>
      <c r="P1072">
        <v>0.04</v>
      </c>
      <c r="Q1072" t="s">
        <v>245</v>
      </c>
      <c r="R1072">
        <v>28.6</v>
      </c>
      <c r="S1072">
        <v>31.4</v>
      </c>
      <c r="T1072">
        <v>28.6</v>
      </c>
      <c r="U1072">
        <v>4.3</v>
      </c>
      <c r="V1072">
        <v>7.1</v>
      </c>
    </row>
    <row r="1073" spans="1:22" x14ac:dyDescent="0.25">
      <c r="A1073" t="s">
        <v>2372</v>
      </c>
      <c r="B1073" t="s">
        <v>1005</v>
      </c>
      <c r="C1073">
        <v>15</v>
      </c>
      <c r="D1073" t="s">
        <v>132</v>
      </c>
      <c r="E1073" t="s">
        <v>66</v>
      </c>
      <c r="F1073" t="s">
        <v>66</v>
      </c>
      <c r="G1073">
        <v>0.27</v>
      </c>
      <c r="H1073" t="s">
        <v>132</v>
      </c>
      <c r="I1073">
        <v>0</v>
      </c>
      <c r="J1073" t="str">
        <f>HYPERLINK("https://www.eliteprospects.com/player/413829/james-mayotte")</f>
        <v>https://www.eliteprospects.com/player/413829/james-mayotte</v>
      </c>
      <c r="K1073" t="s">
        <v>27</v>
      </c>
      <c r="L1073" t="s">
        <v>918</v>
      </c>
      <c r="M1073" t="s">
        <v>1296</v>
      </c>
      <c r="N1073">
        <v>5</v>
      </c>
      <c r="O1073" t="s">
        <v>935</v>
      </c>
      <c r="P1073">
        <v>0.03</v>
      </c>
      <c r="Q1073" t="s">
        <v>245</v>
      </c>
      <c r="R1073">
        <v>28.6</v>
      </c>
      <c r="S1073">
        <v>31.4</v>
      </c>
      <c r="T1073">
        <v>28.6</v>
      </c>
      <c r="U1073">
        <v>4.3</v>
      </c>
      <c r="V1073">
        <v>7.1</v>
      </c>
    </row>
    <row r="1074" spans="1:22" x14ac:dyDescent="0.25">
      <c r="A1074" t="s">
        <v>2373</v>
      </c>
      <c r="B1074" t="s">
        <v>1001</v>
      </c>
      <c r="C1074">
        <v>15</v>
      </c>
      <c r="D1074" t="s">
        <v>132</v>
      </c>
      <c r="E1074" t="s">
        <v>66</v>
      </c>
      <c r="F1074" t="s">
        <v>66</v>
      </c>
      <c r="G1074">
        <v>0.27</v>
      </c>
      <c r="H1074" t="s">
        <v>32</v>
      </c>
      <c r="I1074">
        <v>-11</v>
      </c>
      <c r="J1074" t="str">
        <f>HYPERLINK("https://www.eliteprospects.com/player/524809/jared-cosman")</f>
        <v>https://www.eliteprospects.com/player/524809/jared-cosman</v>
      </c>
      <c r="K1074" t="s">
        <v>27</v>
      </c>
      <c r="L1074" t="s">
        <v>918</v>
      </c>
      <c r="M1074" t="s">
        <v>1296</v>
      </c>
      <c r="N1074">
        <v>5</v>
      </c>
      <c r="O1074" t="s">
        <v>930</v>
      </c>
      <c r="P1074">
        <v>0.03</v>
      </c>
      <c r="Q1074" t="s">
        <v>245</v>
      </c>
      <c r="R1074">
        <v>28.6</v>
      </c>
      <c r="S1074">
        <v>31.4</v>
      </c>
      <c r="T1074">
        <v>28.6</v>
      </c>
      <c r="U1074">
        <v>4.3</v>
      </c>
      <c r="V1074">
        <v>7.1</v>
      </c>
    </row>
    <row r="1075" spans="1:22" x14ac:dyDescent="0.25">
      <c r="A1075" t="s">
        <v>2374</v>
      </c>
      <c r="B1075" t="s">
        <v>1015</v>
      </c>
      <c r="C1075">
        <v>16</v>
      </c>
      <c r="D1075" t="s">
        <v>132</v>
      </c>
      <c r="E1075" t="s">
        <v>66</v>
      </c>
      <c r="F1075" t="s">
        <v>66</v>
      </c>
      <c r="G1075">
        <v>0.25</v>
      </c>
      <c r="H1075" t="s">
        <v>79</v>
      </c>
      <c r="I1075">
        <v>-13</v>
      </c>
      <c r="J1075" t="str">
        <f>HYPERLINK("https://www.eliteprospects.com/player/282381/aiden-yakimchuk")</f>
        <v>https://www.eliteprospects.com/player/282381/aiden-yakimchuk</v>
      </c>
      <c r="K1075" t="s">
        <v>27</v>
      </c>
      <c r="L1075" t="s">
        <v>918</v>
      </c>
      <c r="M1075" t="s">
        <v>1296</v>
      </c>
      <c r="N1075">
        <v>4</v>
      </c>
      <c r="O1075" t="s">
        <v>1150</v>
      </c>
      <c r="P1075">
        <v>0.03</v>
      </c>
      <c r="Q1075" t="s">
        <v>245</v>
      </c>
      <c r="R1075">
        <v>28.6</v>
      </c>
      <c r="S1075">
        <v>31.4</v>
      </c>
      <c r="T1075">
        <v>28.6</v>
      </c>
      <c r="U1075">
        <v>4.3</v>
      </c>
      <c r="V1075">
        <v>7.1</v>
      </c>
    </row>
    <row r="1076" spans="1:22" x14ac:dyDescent="0.25">
      <c r="A1076" t="s">
        <v>2375</v>
      </c>
      <c r="B1076" t="s">
        <v>1003</v>
      </c>
      <c r="C1076">
        <v>16</v>
      </c>
      <c r="D1076" t="s">
        <v>132</v>
      </c>
      <c r="E1076" t="s">
        <v>66</v>
      </c>
      <c r="F1076" t="s">
        <v>66</v>
      </c>
      <c r="G1076">
        <v>0.25</v>
      </c>
      <c r="H1076" t="s">
        <v>26</v>
      </c>
      <c r="I1076">
        <v>0</v>
      </c>
      <c r="J1076" t="str">
        <f>HYPERLINK("https://www.eliteprospects.com/player/482067/nolan-ford")</f>
        <v>https://www.eliteprospects.com/player/482067/nolan-ford</v>
      </c>
      <c r="K1076" t="s">
        <v>27</v>
      </c>
      <c r="L1076" t="s">
        <v>918</v>
      </c>
      <c r="M1076" t="s">
        <v>1296</v>
      </c>
      <c r="N1076">
        <v>4</v>
      </c>
      <c r="O1076" t="s">
        <v>940</v>
      </c>
      <c r="P1076">
        <v>0.03</v>
      </c>
      <c r="Q1076" t="s">
        <v>245</v>
      </c>
      <c r="R1076">
        <v>28.6</v>
      </c>
      <c r="S1076">
        <v>31.4</v>
      </c>
      <c r="T1076">
        <v>28.6</v>
      </c>
      <c r="U1076">
        <v>4.3</v>
      </c>
      <c r="V1076">
        <v>7.1</v>
      </c>
    </row>
    <row r="1077" spans="1:22" x14ac:dyDescent="0.25">
      <c r="A1077" t="s">
        <v>2376</v>
      </c>
      <c r="B1077" t="s">
        <v>1032</v>
      </c>
      <c r="C1077">
        <v>17</v>
      </c>
      <c r="D1077" t="s">
        <v>132</v>
      </c>
      <c r="E1077" t="s">
        <v>66</v>
      </c>
      <c r="F1077" t="s">
        <v>66</v>
      </c>
      <c r="G1077">
        <v>0.24</v>
      </c>
      <c r="H1077" t="s">
        <v>512</v>
      </c>
      <c r="I1077">
        <v>0</v>
      </c>
      <c r="J1077" t="str">
        <f>HYPERLINK("https://www.eliteprospects.com/player/711670/blair-scott")</f>
        <v>https://www.eliteprospects.com/player/711670/blair-scott</v>
      </c>
      <c r="K1077" t="s">
        <v>27</v>
      </c>
      <c r="L1077" t="s">
        <v>918</v>
      </c>
      <c r="M1077" t="s">
        <v>1296</v>
      </c>
      <c r="N1077">
        <v>4</v>
      </c>
      <c r="O1077" t="s">
        <v>1025</v>
      </c>
      <c r="P1077">
        <v>0.03</v>
      </c>
      <c r="Q1077" t="s">
        <v>245</v>
      </c>
      <c r="R1077">
        <v>28.6</v>
      </c>
      <c r="S1077">
        <v>31.4</v>
      </c>
      <c r="T1077">
        <v>28.6</v>
      </c>
      <c r="U1077">
        <v>4.3</v>
      </c>
      <c r="V1077">
        <v>7.1</v>
      </c>
    </row>
    <row r="1078" spans="1:22" x14ac:dyDescent="0.25">
      <c r="A1078" t="s">
        <v>2377</v>
      </c>
      <c r="B1078" t="s">
        <v>972</v>
      </c>
      <c r="C1078">
        <v>18</v>
      </c>
      <c r="D1078" t="s">
        <v>132</v>
      </c>
      <c r="E1078" t="s">
        <v>66</v>
      </c>
      <c r="F1078" t="s">
        <v>66</v>
      </c>
      <c r="G1078">
        <v>0.22</v>
      </c>
      <c r="H1078" t="s">
        <v>32</v>
      </c>
      <c r="I1078">
        <v>0</v>
      </c>
      <c r="J1078" t="str">
        <f>HYPERLINK("https://www.eliteprospects.com/player/526230/marko-stojkov")</f>
        <v>https://www.eliteprospects.com/player/526230/marko-stojkov</v>
      </c>
      <c r="K1078" t="s">
        <v>27</v>
      </c>
      <c r="L1078" t="s">
        <v>918</v>
      </c>
      <c r="M1078" t="s">
        <v>1296</v>
      </c>
      <c r="N1078">
        <v>3</v>
      </c>
      <c r="O1078" t="s">
        <v>1211</v>
      </c>
      <c r="P1078">
        <v>0.03</v>
      </c>
      <c r="Q1078" t="s">
        <v>245</v>
      </c>
      <c r="R1078">
        <v>28.6</v>
      </c>
      <c r="S1078">
        <v>31.4</v>
      </c>
      <c r="T1078">
        <v>28.6</v>
      </c>
      <c r="U1078">
        <v>4.3</v>
      </c>
      <c r="V1078">
        <v>7.1</v>
      </c>
    </row>
    <row r="1079" spans="1:22" x14ac:dyDescent="0.25">
      <c r="A1079" t="s">
        <v>2378</v>
      </c>
      <c r="B1079" t="s">
        <v>1032</v>
      </c>
      <c r="C1079">
        <v>18</v>
      </c>
      <c r="D1079" t="s">
        <v>132</v>
      </c>
      <c r="E1079" t="s">
        <v>66</v>
      </c>
      <c r="F1079" t="s">
        <v>66</v>
      </c>
      <c r="G1079">
        <v>0.22</v>
      </c>
      <c r="H1079" t="s">
        <v>23</v>
      </c>
      <c r="I1079">
        <v>0</v>
      </c>
      <c r="J1079" t="str">
        <f>HYPERLINK("https://www.eliteprospects.com/player/521752/jordan-hendry")</f>
        <v>https://www.eliteprospects.com/player/521752/jordan-hendry</v>
      </c>
      <c r="K1079" t="s">
        <v>27</v>
      </c>
      <c r="L1079" t="s">
        <v>918</v>
      </c>
      <c r="M1079" t="s">
        <v>1296</v>
      </c>
      <c r="N1079">
        <v>2</v>
      </c>
      <c r="O1079" t="s">
        <v>1021</v>
      </c>
      <c r="P1079">
        <v>0.03</v>
      </c>
      <c r="Q1079" t="s">
        <v>245</v>
      </c>
      <c r="R1079">
        <v>28.6</v>
      </c>
      <c r="S1079">
        <v>31.4</v>
      </c>
      <c r="T1079">
        <v>28.6</v>
      </c>
      <c r="U1079">
        <v>4.3</v>
      </c>
      <c r="V1079">
        <v>7.1</v>
      </c>
    </row>
    <row r="1080" spans="1:22" x14ac:dyDescent="0.25">
      <c r="A1080" t="s">
        <v>2379</v>
      </c>
      <c r="B1080" t="s">
        <v>929</v>
      </c>
      <c r="C1080">
        <v>18</v>
      </c>
      <c r="D1080" t="s">
        <v>132</v>
      </c>
      <c r="E1080" t="s">
        <v>66</v>
      </c>
      <c r="F1080" t="s">
        <v>66</v>
      </c>
      <c r="G1080">
        <v>0.22</v>
      </c>
      <c r="H1080" t="s">
        <v>55</v>
      </c>
      <c r="I1080">
        <v>7</v>
      </c>
      <c r="J1080" t="str">
        <f>HYPERLINK("https://www.eliteprospects.com/player/449203/alexandre-de-gagne")</f>
        <v>https://www.eliteprospects.com/player/449203/alexandre-de-gagne</v>
      </c>
      <c r="K1080" t="s">
        <v>27</v>
      </c>
      <c r="L1080" t="s">
        <v>918</v>
      </c>
      <c r="M1080" t="s">
        <v>1296</v>
      </c>
      <c r="N1080">
        <v>6</v>
      </c>
      <c r="O1080" t="s">
        <v>1057</v>
      </c>
      <c r="P1080">
        <v>0.03</v>
      </c>
      <c r="Q1080" t="s">
        <v>245</v>
      </c>
      <c r="R1080">
        <v>28.6</v>
      </c>
      <c r="S1080">
        <v>31.4</v>
      </c>
      <c r="T1080">
        <v>28.6</v>
      </c>
      <c r="U1080">
        <v>4.3</v>
      </c>
      <c r="V1080">
        <v>7.1</v>
      </c>
    </row>
    <row r="1081" spans="1:22" x14ac:dyDescent="0.25">
      <c r="A1081" t="s">
        <v>2380</v>
      </c>
      <c r="B1081" t="s">
        <v>1084</v>
      </c>
      <c r="C1081">
        <v>18</v>
      </c>
      <c r="D1081" t="s">
        <v>132</v>
      </c>
      <c r="E1081" t="s">
        <v>66</v>
      </c>
      <c r="F1081" t="s">
        <v>66</v>
      </c>
      <c r="G1081">
        <v>0.22</v>
      </c>
      <c r="H1081" t="s">
        <v>40</v>
      </c>
      <c r="I1081">
        <v>0</v>
      </c>
      <c r="J1081" t="str">
        <f>HYPERLINK("https://www.eliteprospects.com/player/749299/james-mcdowall")</f>
        <v>https://www.eliteprospects.com/player/749299/james-mcdowall</v>
      </c>
      <c r="K1081" t="s">
        <v>27</v>
      </c>
      <c r="L1081" t="s">
        <v>918</v>
      </c>
      <c r="M1081" t="s">
        <v>1296</v>
      </c>
      <c r="N1081">
        <v>1</v>
      </c>
      <c r="O1081" t="s">
        <v>984</v>
      </c>
      <c r="P1081">
        <v>0.03</v>
      </c>
      <c r="Q1081" t="s">
        <v>245</v>
      </c>
      <c r="R1081">
        <v>28.6</v>
      </c>
      <c r="S1081">
        <v>31.4</v>
      </c>
      <c r="T1081">
        <v>28.6</v>
      </c>
      <c r="U1081">
        <v>4.3</v>
      </c>
      <c r="V1081">
        <v>7.1</v>
      </c>
    </row>
    <row r="1082" spans="1:22" x14ac:dyDescent="0.25">
      <c r="A1082" t="s">
        <v>2381</v>
      </c>
      <c r="B1082" t="s">
        <v>1053</v>
      </c>
      <c r="C1082">
        <v>18</v>
      </c>
      <c r="D1082" t="s">
        <v>132</v>
      </c>
      <c r="E1082" t="s">
        <v>66</v>
      </c>
      <c r="F1082" t="s">
        <v>66</v>
      </c>
      <c r="G1082">
        <v>0.22</v>
      </c>
      <c r="H1082" t="s">
        <v>280</v>
      </c>
      <c r="I1082">
        <v>0</v>
      </c>
      <c r="J1082" t="str">
        <f>HYPERLINK("https://www.eliteprospects.com/player/479568/david-mabey")</f>
        <v>https://www.eliteprospects.com/player/479568/david-mabey</v>
      </c>
      <c r="K1082" t="s">
        <v>27</v>
      </c>
      <c r="L1082" t="s">
        <v>918</v>
      </c>
      <c r="M1082" t="s">
        <v>1296</v>
      </c>
      <c r="N1082">
        <v>3</v>
      </c>
      <c r="O1082" t="s">
        <v>962</v>
      </c>
      <c r="P1082">
        <v>0.03</v>
      </c>
      <c r="Q1082" t="s">
        <v>245</v>
      </c>
      <c r="R1082">
        <v>28.6</v>
      </c>
      <c r="S1082">
        <v>31.4</v>
      </c>
      <c r="T1082">
        <v>28.6</v>
      </c>
      <c r="U1082">
        <v>4.3</v>
      </c>
      <c r="V1082">
        <v>7.1</v>
      </c>
    </row>
    <row r="1083" spans="1:22" x14ac:dyDescent="0.25">
      <c r="A1083" t="s">
        <v>2382</v>
      </c>
      <c r="B1083" t="s">
        <v>923</v>
      </c>
      <c r="C1083">
        <v>12</v>
      </c>
      <c r="D1083" t="s">
        <v>79</v>
      </c>
      <c r="E1083" t="s">
        <v>260</v>
      </c>
      <c r="F1083" t="s">
        <v>140</v>
      </c>
      <c r="G1083">
        <v>0.25</v>
      </c>
      <c r="H1083" t="s">
        <v>26</v>
      </c>
      <c r="I1083">
        <v>2</v>
      </c>
      <c r="J1083" t="str">
        <f>HYPERLINK("https://www.eliteprospects.com/player/575014/kaiden-bugera")</f>
        <v>https://www.eliteprospects.com/player/575014/kaiden-bugera</v>
      </c>
      <c r="K1083" t="s">
        <v>27</v>
      </c>
      <c r="L1083" t="s">
        <v>918</v>
      </c>
      <c r="M1083" t="s">
        <v>1296</v>
      </c>
      <c r="N1083">
        <v>1</v>
      </c>
      <c r="O1083" t="s">
        <v>984</v>
      </c>
      <c r="P1083">
        <v>0.03</v>
      </c>
      <c r="Q1083" t="s">
        <v>245</v>
      </c>
      <c r="R1083">
        <v>28.6</v>
      </c>
      <c r="S1083">
        <v>31.4</v>
      </c>
      <c r="T1083">
        <v>28.6</v>
      </c>
      <c r="U1083">
        <v>4.3</v>
      </c>
      <c r="V1083">
        <v>7.1</v>
      </c>
    </row>
    <row r="1084" spans="1:22" x14ac:dyDescent="0.25">
      <c r="A1084" t="s">
        <v>2383</v>
      </c>
      <c r="B1084" t="s">
        <v>923</v>
      </c>
      <c r="C1084">
        <v>13</v>
      </c>
      <c r="D1084" t="s">
        <v>79</v>
      </c>
      <c r="E1084" t="s">
        <v>260</v>
      </c>
      <c r="F1084" t="s">
        <v>140</v>
      </c>
      <c r="G1084">
        <v>0.23</v>
      </c>
      <c r="H1084" t="s">
        <v>66</v>
      </c>
      <c r="I1084">
        <v>3</v>
      </c>
      <c r="J1084" t="str">
        <f>HYPERLINK("https://www.eliteprospects.com/player/569263/tre-fouquette")</f>
        <v>https://www.eliteprospects.com/player/569263/tre-fouquette</v>
      </c>
      <c r="K1084" t="s">
        <v>27</v>
      </c>
      <c r="L1084" t="s">
        <v>918</v>
      </c>
      <c r="M1084" t="s">
        <v>1296</v>
      </c>
      <c r="N1084">
        <v>5</v>
      </c>
      <c r="O1084" t="s">
        <v>979</v>
      </c>
      <c r="P1084">
        <v>0.03</v>
      </c>
      <c r="Q1084" t="s">
        <v>245</v>
      </c>
      <c r="R1084">
        <v>28.6</v>
      </c>
      <c r="S1084">
        <v>31.4</v>
      </c>
      <c r="T1084">
        <v>28.6</v>
      </c>
      <c r="U1084">
        <v>4.3</v>
      </c>
      <c r="V1084">
        <v>7.1</v>
      </c>
    </row>
    <row r="1085" spans="1:22" x14ac:dyDescent="0.25">
      <c r="A1085" t="s">
        <v>2384</v>
      </c>
      <c r="B1085" t="s">
        <v>1005</v>
      </c>
      <c r="C1085">
        <v>19</v>
      </c>
      <c r="D1085" t="s">
        <v>79</v>
      </c>
      <c r="E1085" t="s">
        <v>260</v>
      </c>
      <c r="F1085" t="s">
        <v>140</v>
      </c>
      <c r="G1085">
        <v>0.16</v>
      </c>
      <c r="H1085" t="s">
        <v>52</v>
      </c>
      <c r="I1085">
        <v>0</v>
      </c>
      <c r="J1085" t="str">
        <f>HYPERLINK("https://www.eliteprospects.com/player/412431/majid-kaddoura")</f>
        <v>https://www.eliteprospects.com/player/412431/majid-kaddoura</v>
      </c>
      <c r="K1085" t="s">
        <v>27</v>
      </c>
      <c r="L1085" t="s">
        <v>918</v>
      </c>
      <c r="M1085" t="s">
        <v>1296</v>
      </c>
      <c r="N1085">
        <v>6</v>
      </c>
      <c r="O1085" t="s">
        <v>927</v>
      </c>
      <c r="P1085">
        <v>0.02</v>
      </c>
      <c r="Q1085" t="s">
        <v>245</v>
      </c>
      <c r="R1085">
        <v>28.6</v>
      </c>
      <c r="S1085">
        <v>31.4</v>
      </c>
      <c r="T1085">
        <v>28.6</v>
      </c>
      <c r="U1085">
        <v>4.3</v>
      </c>
      <c r="V1085">
        <v>7.1</v>
      </c>
    </row>
    <row r="1086" spans="1:22" x14ac:dyDescent="0.25">
      <c r="A1086" t="s">
        <v>2385</v>
      </c>
      <c r="B1086" t="s">
        <v>926</v>
      </c>
      <c r="C1086">
        <v>13</v>
      </c>
      <c r="D1086" t="s">
        <v>260</v>
      </c>
      <c r="E1086" t="s">
        <v>79</v>
      </c>
      <c r="F1086" t="s">
        <v>140</v>
      </c>
      <c r="G1086">
        <v>0.23</v>
      </c>
      <c r="H1086" t="s">
        <v>132</v>
      </c>
      <c r="I1086">
        <v>2</v>
      </c>
      <c r="J1086" t="str">
        <f>HYPERLINK("https://www.eliteprospects.com/player/291453/matthew-smith")</f>
        <v>https://www.eliteprospects.com/player/291453/matthew-smith</v>
      </c>
      <c r="K1086" t="s">
        <v>27</v>
      </c>
      <c r="L1086" t="s">
        <v>918</v>
      </c>
      <c r="M1086" t="s">
        <v>1296</v>
      </c>
      <c r="N1086">
        <v>6</v>
      </c>
      <c r="O1086" t="s">
        <v>932</v>
      </c>
      <c r="P1086">
        <v>0.03</v>
      </c>
      <c r="Q1086" t="s">
        <v>245</v>
      </c>
      <c r="R1086">
        <v>28.6</v>
      </c>
      <c r="S1086">
        <v>31.4</v>
      </c>
      <c r="T1086">
        <v>28.6</v>
      </c>
      <c r="U1086">
        <v>4.3</v>
      </c>
      <c r="V1086">
        <v>7.1</v>
      </c>
    </row>
    <row r="1087" spans="1:22" x14ac:dyDescent="0.25">
      <c r="A1087" t="s">
        <v>2386</v>
      </c>
      <c r="B1087" t="s">
        <v>939</v>
      </c>
      <c r="C1087">
        <v>14</v>
      </c>
      <c r="D1087" t="s">
        <v>260</v>
      </c>
      <c r="E1087" t="s">
        <v>79</v>
      </c>
      <c r="F1087" t="s">
        <v>140</v>
      </c>
      <c r="G1087">
        <v>0.21</v>
      </c>
      <c r="H1087" t="s">
        <v>24</v>
      </c>
      <c r="I1087">
        <v>-1</v>
      </c>
      <c r="J1087" t="str">
        <f>HYPERLINK("https://www.eliteprospects.com/player/201953/cole-jordan")</f>
        <v>https://www.eliteprospects.com/player/201953/cole-jordan</v>
      </c>
      <c r="K1087" t="s">
        <v>27</v>
      </c>
      <c r="L1087" t="s">
        <v>918</v>
      </c>
      <c r="M1087" t="s">
        <v>1296</v>
      </c>
      <c r="N1087">
        <v>6</v>
      </c>
      <c r="O1087" t="s">
        <v>924</v>
      </c>
      <c r="P1087">
        <v>0.03</v>
      </c>
      <c r="Q1087" t="s">
        <v>245</v>
      </c>
      <c r="R1087">
        <v>28.6</v>
      </c>
      <c r="S1087">
        <v>31.4</v>
      </c>
      <c r="T1087">
        <v>28.6</v>
      </c>
      <c r="U1087">
        <v>4.3</v>
      </c>
      <c r="V1087">
        <v>7.1</v>
      </c>
    </row>
    <row r="1088" spans="1:22" x14ac:dyDescent="0.25">
      <c r="A1088" t="s">
        <v>2387</v>
      </c>
      <c r="B1088" t="s">
        <v>947</v>
      </c>
      <c r="C1088">
        <v>15</v>
      </c>
      <c r="D1088" t="s">
        <v>260</v>
      </c>
      <c r="E1088" t="s">
        <v>79</v>
      </c>
      <c r="F1088" t="s">
        <v>140</v>
      </c>
      <c r="G1088">
        <v>0.2</v>
      </c>
      <c r="H1088" t="s">
        <v>53</v>
      </c>
      <c r="I1088">
        <v>0</v>
      </c>
      <c r="J1088" t="str">
        <f>HYPERLINK("https://www.eliteprospects.com/player/481408/ian-ferguson")</f>
        <v>https://www.eliteprospects.com/player/481408/ian-ferguson</v>
      </c>
      <c r="K1088" t="s">
        <v>27</v>
      </c>
      <c r="L1088" t="s">
        <v>918</v>
      </c>
      <c r="M1088" t="s">
        <v>1296</v>
      </c>
      <c r="N1088">
        <v>6</v>
      </c>
      <c r="O1088" t="s">
        <v>924</v>
      </c>
      <c r="P1088">
        <v>0.02</v>
      </c>
      <c r="Q1088" t="s">
        <v>245</v>
      </c>
      <c r="R1088">
        <v>28.6</v>
      </c>
      <c r="S1088">
        <v>31.4</v>
      </c>
      <c r="T1088">
        <v>28.6</v>
      </c>
      <c r="U1088">
        <v>4.3</v>
      </c>
      <c r="V1088">
        <v>7.1</v>
      </c>
    </row>
    <row r="1089" spans="1:22" x14ac:dyDescent="0.25">
      <c r="A1089" t="s">
        <v>2388</v>
      </c>
      <c r="B1089" t="s">
        <v>944</v>
      </c>
      <c r="C1089">
        <v>17</v>
      </c>
      <c r="D1089" t="s">
        <v>260</v>
      </c>
      <c r="E1089" t="s">
        <v>79</v>
      </c>
      <c r="F1089" t="s">
        <v>140</v>
      </c>
      <c r="G1089">
        <v>0.18</v>
      </c>
      <c r="H1089" t="s">
        <v>529</v>
      </c>
      <c r="I1089">
        <v>3</v>
      </c>
      <c r="J1089" t="str">
        <f>HYPERLINK("https://www.eliteprospects.com/player/571212/charles-cote")</f>
        <v>https://www.eliteprospects.com/player/571212/charles-cote</v>
      </c>
      <c r="K1089" t="s">
        <v>27</v>
      </c>
      <c r="L1089" t="s">
        <v>918</v>
      </c>
      <c r="M1089" t="s">
        <v>1296</v>
      </c>
      <c r="N1089">
        <v>5</v>
      </c>
      <c r="O1089" t="s">
        <v>930</v>
      </c>
      <c r="P1089">
        <v>0.02</v>
      </c>
      <c r="Q1089" t="s">
        <v>245</v>
      </c>
      <c r="R1089">
        <v>28.6</v>
      </c>
      <c r="S1089">
        <v>31.4</v>
      </c>
      <c r="T1089">
        <v>28.6</v>
      </c>
      <c r="U1089">
        <v>4.3</v>
      </c>
      <c r="V1089">
        <v>7.1</v>
      </c>
    </row>
    <row r="1090" spans="1:22" x14ac:dyDescent="0.25">
      <c r="A1090" t="s">
        <v>2389</v>
      </c>
      <c r="B1090" t="s">
        <v>991</v>
      </c>
      <c r="C1090">
        <v>18</v>
      </c>
      <c r="D1090" t="s">
        <v>260</v>
      </c>
      <c r="E1090" t="s">
        <v>79</v>
      </c>
      <c r="F1090" t="s">
        <v>140</v>
      </c>
      <c r="G1090">
        <v>0.17</v>
      </c>
      <c r="H1090" t="s">
        <v>125</v>
      </c>
      <c r="I1090">
        <v>0</v>
      </c>
      <c r="J1090" t="str">
        <f>HYPERLINK("https://www.eliteprospects.com/player/300779/willem-larsen")</f>
        <v>https://www.eliteprospects.com/player/300779/willem-larsen</v>
      </c>
      <c r="K1090" t="s">
        <v>27</v>
      </c>
      <c r="L1090" t="s">
        <v>918</v>
      </c>
      <c r="M1090" t="s">
        <v>1296</v>
      </c>
      <c r="N1090">
        <v>4</v>
      </c>
      <c r="O1090" t="s">
        <v>940</v>
      </c>
      <c r="P1090">
        <v>0.02</v>
      </c>
      <c r="Q1090" t="s">
        <v>245</v>
      </c>
      <c r="R1090">
        <v>28.6</v>
      </c>
      <c r="S1090">
        <v>31.4</v>
      </c>
      <c r="T1090">
        <v>28.6</v>
      </c>
      <c r="U1090">
        <v>4.3</v>
      </c>
      <c r="V1090">
        <v>7.1</v>
      </c>
    </row>
    <row r="1091" spans="1:22" x14ac:dyDescent="0.25">
      <c r="A1091" t="s">
        <v>2390</v>
      </c>
      <c r="B1091" t="s">
        <v>929</v>
      </c>
      <c r="C1091">
        <v>18</v>
      </c>
      <c r="D1091" t="s">
        <v>260</v>
      </c>
      <c r="E1091" t="s">
        <v>79</v>
      </c>
      <c r="F1091" t="s">
        <v>140</v>
      </c>
      <c r="G1091">
        <v>0.17</v>
      </c>
      <c r="H1091" t="s">
        <v>638</v>
      </c>
      <c r="I1091">
        <v>-1</v>
      </c>
      <c r="J1091" t="str">
        <f>HYPERLINK("https://www.eliteprospects.com/player/598379/antoine-michaud")</f>
        <v>https://www.eliteprospects.com/player/598379/antoine-michaud</v>
      </c>
      <c r="K1091" t="s">
        <v>27</v>
      </c>
      <c r="L1091" t="s">
        <v>918</v>
      </c>
      <c r="M1091" t="s">
        <v>1296</v>
      </c>
      <c r="N1091">
        <v>5</v>
      </c>
      <c r="O1091" t="s">
        <v>930</v>
      </c>
      <c r="P1091">
        <v>0.02</v>
      </c>
      <c r="Q1091" t="s">
        <v>245</v>
      </c>
      <c r="R1091">
        <v>28.6</v>
      </c>
      <c r="S1091">
        <v>31.4</v>
      </c>
      <c r="T1091">
        <v>28.6</v>
      </c>
      <c r="U1091">
        <v>4.3</v>
      </c>
      <c r="V1091">
        <v>7.1</v>
      </c>
    </row>
    <row r="1092" spans="1:22" x14ac:dyDescent="0.25">
      <c r="A1092" t="s">
        <v>2391</v>
      </c>
      <c r="B1092" t="s">
        <v>1011</v>
      </c>
      <c r="C1092">
        <v>18</v>
      </c>
      <c r="D1092" t="s">
        <v>260</v>
      </c>
      <c r="E1092" t="s">
        <v>79</v>
      </c>
      <c r="F1092" t="s">
        <v>140</v>
      </c>
      <c r="G1092">
        <v>0.17</v>
      </c>
      <c r="H1092" t="s">
        <v>716</v>
      </c>
      <c r="I1092">
        <v>0</v>
      </c>
      <c r="J1092" t="str">
        <f>HYPERLINK("https://www.eliteprospects.com/player/418415/mark-woolley")</f>
        <v>https://www.eliteprospects.com/player/418415/mark-woolley</v>
      </c>
      <c r="K1092" t="s">
        <v>27</v>
      </c>
      <c r="L1092" t="s">
        <v>918</v>
      </c>
      <c r="M1092" t="s">
        <v>1296</v>
      </c>
      <c r="N1092">
        <v>5</v>
      </c>
      <c r="O1092" t="s">
        <v>935</v>
      </c>
      <c r="P1092">
        <v>0.02</v>
      </c>
      <c r="Q1092" t="s">
        <v>245</v>
      </c>
      <c r="R1092">
        <v>28.6</v>
      </c>
      <c r="S1092">
        <v>31.4</v>
      </c>
      <c r="T1092">
        <v>28.6</v>
      </c>
      <c r="U1092">
        <v>4.3</v>
      </c>
      <c r="V1092">
        <v>7.1</v>
      </c>
    </row>
    <row r="1093" spans="1:22" x14ac:dyDescent="0.25">
      <c r="A1093" t="s">
        <v>2392</v>
      </c>
      <c r="B1093" t="s">
        <v>931</v>
      </c>
      <c r="C1093">
        <v>20</v>
      </c>
      <c r="D1093" t="s">
        <v>260</v>
      </c>
      <c r="E1093" t="s">
        <v>79</v>
      </c>
      <c r="F1093" t="s">
        <v>140</v>
      </c>
      <c r="G1093">
        <v>0.15</v>
      </c>
      <c r="H1093" t="s">
        <v>132</v>
      </c>
      <c r="I1093">
        <v>-1</v>
      </c>
      <c r="J1093" t="str">
        <f>HYPERLINK("https://www.eliteprospects.com/player/351084/mike-ladyman")</f>
        <v>https://www.eliteprospects.com/player/351084/mike-ladyman</v>
      </c>
      <c r="K1093" t="s">
        <v>27</v>
      </c>
      <c r="L1093" t="s">
        <v>918</v>
      </c>
      <c r="M1093" t="s">
        <v>1296</v>
      </c>
      <c r="N1093">
        <v>5</v>
      </c>
      <c r="O1093" t="s">
        <v>1107</v>
      </c>
      <c r="P1093">
        <v>0.02</v>
      </c>
      <c r="Q1093" t="s">
        <v>245</v>
      </c>
      <c r="R1093">
        <v>28.6</v>
      </c>
      <c r="S1093">
        <v>31.4</v>
      </c>
      <c r="T1093">
        <v>28.6</v>
      </c>
      <c r="U1093">
        <v>4.3</v>
      </c>
      <c r="V1093">
        <v>7.1</v>
      </c>
    </row>
    <row r="1094" spans="1:22" x14ac:dyDescent="0.25">
      <c r="A1094" t="s">
        <v>2393</v>
      </c>
      <c r="B1094" t="s">
        <v>947</v>
      </c>
      <c r="C1094">
        <v>14</v>
      </c>
      <c r="D1094" t="s">
        <v>132</v>
      </c>
      <c r="E1094" t="s">
        <v>140</v>
      </c>
      <c r="F1094" t="s">
        <v>140</v>
      </c>
      <c r="G1094">
        <v>0.21</v>
      </c>
      <c r="H1094" t="s">
        <v>53</v>
      </c>
      <c r="I1094">
        <v>0</v>
      </c>
      <c r="J1094" t="str">
        <f>HYPERLINK("https://www.eliteprospects.com/player/592642/nolan-roberts")</f>
        <v>https://www.eliteprospects.com/player/592642/nolan-roberts</v>
      </c>
      <c r="K1094" t="s">
        <v>27</v>
      </c>
      <c r="L1094" t="s">
        <v>918</v>
      </c>
      <c r="M1094" t="s">
        <v>1296</v>
      </c>
      <c r="N1094">
        <v>1</v>
      </c>
      <c r="O1094" t="s">
        <v>984</v>
      </c>
      <c r="P1094">
        <v>0.03</v>
      </c>
      <c r="Q1094" t="s">
        <v>245</v>
      </c>
      <c r="R1094">
        <v>28.6</v>
      </c>
      <c r="S1094">
        <v>31.4</v>
      </c>
      <c r="T1094">
        <v>28.6</v>
      </c>
      <c r="U1094">
        <v>4.3</v>
      </c>
      <c r="V1094">
        <v>7.1</v>
      </c>
    </row>
    <row r="1095" spans="1:22" x14ac:dyDescent="0.25">
      <c r="A1095" t="s">
        <v>2394</v>
      </c>
      <c r="B1095" t="s">
        <v>1049</v>
      </c>
      <c r="C1095">
        <v>16</v>
      </c>
      <c r="D1095" t="s">
        <v>132</v>
      </c>
      <c r="E1095" t="s">
        <v>140</v>
      </c>
      <c r="F1095" t="s">
        <v>140</v>
      </c>
      <c r="G1095">
        <v>0.19</v>
      </c>
      <c r="H1095" t="s">
        <v>57</v>
      </c>
      <c r="I1095">
        <v>4</v>
      </c>
      <c r="J1095" t="str">
        <f>HYPERLINK("https://www.eliteprospects.com/player/416997/evan-toth")</f>
        <v>https://www.eliteprospects.com/player/416997/evan-toth</v>
      </c>
      <c r="K1095" t="s">
        <v>27</v>
      </c>
      <c r="L1095" t="s">
        <v>918</v>
      </c>
      <c r="M1095" t="s">
        <v>1296</v>
      </c>
      <c r="N1095">
        <v>6</v>
      </c>
      <c r="O1095" t="s">
        <v>927</v>
      </c>
      <c r="P1095">
        <v>0.02</v>
      </c>
      <c r="Q1095" t="s">
        <v>245</v>
      </c>
      <c r="R1095">
        <v>28.6</v>
      </c>
      <c r="S1095">
        <v>31.4</v>
      </c>
      <c r="T1095">
        <v>28.6</v>
      </c>
      <c r="U1095">
        <v>4.3</v>
      </c>
      <c r="V1095">
        <v>7.1</v>
      </c>
    </row>
    <row r="1096" spans="1:22" x14ac:dyDescent="0.25">
      <c r="A1096" t="s">
        <v>2395</v>
      </c>
      <c r="B1096" t="s">
        <v>986</v>
      </c>
      <c r="C1096">
        <v>16</v>
      </c>
      <c r="D1096" t="s">
        <v>132</v>
      </c>
      <c r="E1096" t="s">
        <v>140</v>
      </c>
      <c r="F1096" t="s">
        <v>140</v>
      </c>
      <c r="G1096">
        <v>0.19</v>
      </c>
      <c r="H1096" t="s">
        <v>39</v>
      </c>
      <c r="I1096">
        <v>0</v>
      </c>
      <c r="J1096" t="str">
        <f>HYPERLINK("https://www.eliteprospects.com/player/483411/nolan-bettens")</f>
        <v>https://www.eliteprospects.com/player/483411/nolan-bettens</v>
      </c>
      <c r="K1096" t="s">
        <v>27</v>
      </c>
      <c r="L1096" t="s">
        <v>918</v>
      </c>
      <c r="M1096" t="s">
        <v>1296</v>
      </c>
      <c r="N1096">
        <v>1</v>
      </c>
      <c r="O1096" t="s">
        <v>984</v>
      </c>
      <c r="P1096">
        <v>0.02</v>
      </c>
      <c r="Q1096" t="s">
        <v>245</v>
      </c>
      <c r="R1096">
        <v>28.6</v>
      </c>
      <c r="S1096">
        <v>31.4</v>
      </c>
      <c r="T1096">
        <v>28.6</v>
      </c>
      <c r="U1096">
        <v>4.3</v>
      </c>
      <c r="V1096">
        <v>7.1</v>
      </c>
    </row>
    <row r="1097" spans="1:22" x14ac:dyDescent="0.25">
      <c r="A1097" t="s">
        <v>2396</v>
      </c>
      <c r="B1097" t="s">
        <v>1015</v>
      </c>
      <c r="C1097">
        <v>17</v>
      </c>
      <c r="D1097" t="s">
        <v>132</v>
      </c>
      <c r="E1097" t="s">
        <v>140</v>
      </c>
      <c r="F1097" t="s">
        <v>140</v>
      </c>
      <c r="G1097">
        <v>0.18</v>
      </c>
      <c r="H1097" t="s">
        <v>23</v>
      </c>
      <c r="I1097">
        <v>-1</v>
      </c>
      <c r="J1097" t="str">
        <f>HYPERLINK("https://www.eliteprospects.com/player/413413/joel-sexsmith")</f>
        <v>https://www.eliteprospects.com/player/413413/joel-sexsmith</v>
      </c>
      <c r="K1097" t="s">
        <v>27</v>
      </c>
      <c r="L1097" t="s">
        <v>918</v>
      </c>
      <c r="M1097" t="s">
        <v>1296</v>
      </c>
      <c r="N1097">
        <v>6</v>
      </c>
      <c r="O1097" t="s">
        <v>927</v>
      </c>
      <c r="P1097">
        <v>0.02</v>
      </c>
      <c r="Q1097" t="s">
        <v>245</v>
      </c>
      <c r="R1097">
        <v>28.6</v>
      </c>
      <c r="S1097">
        <v>31.4</v>
      </c>
      <c r="T1097">
        <v>28.6</v>
      </c>
      <c r="U1097">
        <v>4.3</v>
      </c>
      <c r="V1097">
        <v>7.1</v>
      </c>
    </row>
    <row r="1098" spans="1:22" x14ac:dyDescent="0.25">
      <c r="A1098" t="s">
        <v>2397</v>
      </c>
      <c r="B1098" t="s">
        <v>1118</v>
      </c>
      <c r="C1098">
        <v>17</v>
      </c>
      <c r="D1098" t="s">
        <v>132</v>
      </c>
      <c r="E1098" t="s">
        <v>140</v>
      </c>
      <c r="F1098" t="s">
        <v>140</v>
      </c>
      <c r="G1098">
        <v>0.18</v>
      </c>
      <c r="H1098" t="s">
        <v>25</v>
      </c>
      <c r="I1098">
        <v>-19</v>
      </c>
      <c r="J1098" t="str">
        <f>HYPERLINK("https://www.eliteprospects.com/player/569178/rylan-silzer")</f>
        <v>https://www.eliteprospects.com/player/569178/rylan-silzer</v>
      </c>
      <c r="K1098" t="s">
        <v>27</v>
      </c>
      <c r="L1098" t="s">
        <v>918</v>
      </c>
      <c r="M1098" t="s">
        <v>1296</v>
      </c>
      <c r="N1098">
        <v>1</v>
      </c>
      <c r="O1098" t="s">
        <v>984</v>
      </c>
      <c r="P1098">
        <v>0.02</v>
      </c>
      <c r="Q1098" t="s">
        <v>245</v>
      </c>
      <c r="R1098">
        <v>28.6</v>
      </c>
      <c r="S1098">
        <v>31.4</v>
      </c>
      <c r="T1098">
        <v>28.6</v>
      </c>
      <c r="U1098">
        <v>4.3</v>
      </c>
      <c r="V1098">
        <v>7.1</v>
      </c>
    </row>
    <row r="1099" spans="1:22" x14ac:dyDescent="0.25">
      <c r="A1099" t="s">
        <v>2398</v>
      </c>
      <c r="B1099" t="s">
        <v>942</v>
      </c>
      <c r="C1099">
        <v>18</v>
      </c>
      <c r="D1099" t="s">
        <v>132</v>
      </c>
      <c r="E1099" t="s">
        <v>140</v>
      </c>
      <c r="F1099" t="s">
        <v>140</v>
      </c>
      <c r="G1099">
        <v>0.17</v>
      </c>
      <c r="H1099" t="s">
        <v>32</v>
      </c>
      <c r="I1099">
        <v>0</v>
      </c>
      <c r="J1099" t="str">
        <f>HYPERLINK("https://www.eliteprospects.com/player/418523/evan-brand")</f>
        <v>https://www.eliteprospects.com/player/418523/evan-brand</v>
      </c>
      <c r="K1099" t="s">
        <v>27</v>
      </c>
      <c r="L1099" t="s">
        <v>918</v>
      </c>
      <c r="M1099" t="s">
        <v>1296</v>
      </c>
      <c r="N1099">
        <v>5</v>
      </c>
      <c r="O1099" t="s">
        <v>935</v>
      </c>
      <c r="P1099">
        <v>0.02</v>
      </c>
      <c r="Q1099" t="s">
        <v>245</v>
      </c>
      <c r="R1099">
        <v>28.6</v>
      </c>
      <c r="S1099">
        <v>31.4</v>
      </c>
      <c r="T1099">
        <v>28.6</v>
      </c>
      <c r="U1099">
        <v>4.3</v>
      </c>
      <c r="V1099">
        <v>7.1</v>
      </c>
    </row>
    <row r="1100" spans="1:22" x14ac:dyDescent="0.25">
      <c r="A1100" t="s">
        <v>2399</v>
      </c>
      <c r="B1100" t="s">
        <v>1053</v>
      </c>
      <c r="C1100">
        <v>18</v>
      </c>
      <c r="D1100" t="s">
        <v>132</v>
      </c>
      <c r="E1100" t="s">
        <v>140</v>
      </c>
      <c r="F1100" t="s">
        <v>140</v>
      </c>
      <c r="G1100">
        <v>0.17</v>
      </c>
      <c r="H1100" t="s">
        <v>24</v>
      </c>
      <c r="I1100">
        <v>0</v>
      </c>
      <c r="J1100" t="str">
        <f>HYPERLINK("https://www.eliteprospects.com/player/413420/bryan-mcandrews")</f>
        <v>https://www.eliteprospects.com/player/413420/bryan-mcandrews</v>
      </c>
      <c r="K1100" t="s">
        <v>27</v>
      </c>
      <c r="L1100" t="s">
        <v>918</v>
      </c>
      <c r="M1100" t="s">
        <v>1296</v>
      </c>
      <c r="N1100">
        <v>5</v>
      </c>
      <c r="O1100" t="s">
        <v>1107</v>
      </c>
      <c r="P1100">
        <v>0.02</v>
      </c>
      <c r="Q1100" t="s">
        <v>245</v>
      </c>
      <c r="R1100">
        <v>28.6</v>
      </c>
      <c r="S1100">
        <v>31.4</v>
      </c>
      <c r="T1100">
        <v>28.6</v>
      </c>
      <c r="U1100">
        <v>4.3</v>
      </c>
      <c r="V1100">
        <v>7.1</v>
      </c>
    </row>
    <row r="1101" spans="1:22" x14ac:dyDescent="0.25">
      <c r="A1101" t="s">
        <v>2400</v>
      </c>
      <c r="B1101" t="s">
        <v>998</v>
      </c>
      <c r="C1101">
        <v>18</v>
      </c>
      <c r="D1101" t="s">
        <v>132</v>
      </c>
      <c r="E1101" t="s">
        <v>140</v>
      </c>
      <c r="F1101" t="s">
        <v>140</v>
      </c>
      <c r="G1101">
        <v>0.17</v>
      </c>
      <c r="H1101" t="s">
        <v>47</v>
      </c>
      <c r="I1101">
        <v>0</v>
      </c>
      <c r="J1101" t="str">
        <f>HYPERLINK("https://www.eliteprospects.com/player/399348/jack-duff")</f>
        <v>https://www.eliteprospects.com/player/399348/jack-duff</v>
      </c>
      <c r="K1101" t="s">
        <v>27</v>
      </c>
      <c r="L1101" t="s">
        <v>918</v>
      </c>
      <c r="M1101" t="s">
        <v>1296</v>
      </c>
      <c r="N1101">
        <v>5</v>
      </c>
      <c r="O1101" t="s">
        <v>955</v>
      </c>
      <c r="P1101">
        <v>0.02</v>
      </c>
      <c r="Q1101" t="s">
        <v>245</v>
      </c>
      <c r="R1101">
        <v>28.6</v>
      </c>
      <c r="S1101">
        <v>31.4</v>
      </c>
      <c r="T1101">
        <v>28.6</v>
      </c>
      <c r="U1101">
        <v>4.3</v>
      </c>
      <c r="V1101">
        <v>7.1</v>
      </c>
    </row>
    <row r="1102" spans="1:22" x14ac:dyDescent="0.25">
      <c r="A1102" t="s">
        <v>2401</v>
      </c>
      <c r="B1102" t="s">
        <v>923</v>
      </c>
      <c r="C1102">
        <v>18</v>
      </c>
      <c r="D1102" t="s">
        <v>132</v>
      </c>
      <c r="E1102" t="s">
        <v>140</v>
      </c>
      <c r="F1102" t="s">
        <v>140</v>
      </c>
      <c r="G1102">
        <v>0.17</v>
      </c>
      <c r="H1102" t="s">
        <v>34</v>
      </c>
      <c r="I1102">
        <v>12</v>
      </c>
      <c r="J1102" t="str">
        <f>HYPERLINK("https://www.eliteprospects.com/player/483632/wyatt-wilson")</f>
        <v>https://www.eliteprospects.com/player/483632/wyatt-wilson</v>
      </c>
      <c r="K1102" t="s">
        <v>27</v>
      </c>
      <c r="L1102" t="s">
        <v>918</v>
      </c>
      <c r="M1102" t="s">
        <v>1296</v>
      </c>
      <c r="N1102">
        <v>4</v>
      </c>
      <c r="O1102" t="s">
        <v>978</v>
      </c>
      <c r="P1102">
        <v>0.02</v>
      </c>
      <c r="Q1102" t="s">
        <v>245</v>
      </c>
      <c r="R1102">
        <v>28.6</v>
      </c>
      <c r="S1102">
        <v>31.4</v>
      </c>
      <c r="T1102">
        <v>28.6</v>
      </c>
      <c r="U1102">
        <v>4.3</v>
      </c>
      <c r="V1102">
        <v>7.1</v>
      </c>
    </row>
    <row r="1103" spans="1:22" x14ac:dyDescent="0.25">
      <c r="A1103" t="s">
        <v>2402</v>
      </c>
      <c r="B1103" t="s">
        <v>957</v>
      </c>
      <c r="C1103">
        <v>20</v>
      </c>
      <c r="D1103" t="s">
        <v>132</v>
      </c>
      <c r="E1103" t="s">
        <v>140</v>
      </c>
      <c r="F1103" t="s">
        <v>140</v>
      </c>
      <c r="G1103">
        <v>0.15</v>
      </c>
      <c r="H1103" t="s">
        <v>39</v>
      </c>
      <c r="I1103">
        <v>-3</v>
      </c>
      <c r="J1103" t="str">
        <f>HYPERLINK("https://www.eliteprospects.com/player/413504/tyson-kowaluk")</f>
        <v>https://www.eliteprospects.com/player/413504/tyson-kowaluk</v>
      </c>
      <c r="K1103" t="s">
        <v>27</v>
      </c>
      <c r="L1103" t="s">
        <v>918</v>
      </c>
      <c r="M1103" t="s">
        <v>1296</v>
      </c>
      <c r="N1103">
        <v>2</v>
      </c>
      <c r="O1103" t="s">
        <v>1021</v>
      </c>
      <c r="P1103">
        <v>0.02</v>
      </c>
      <c r="Q1103" t="s">
        <v>245</v>
      </c>
      <c r="R1103">
        <v>28.6</v>
      </c>
      <c r="S1103">
        <v>31.4</v>
      </c>
      <c r="T1103">
        <v>28.6</v>
      </c>
      <c r="U1103">
        <v>4.3</v>
      </c>
      <c r="V1103">
        <v>7.1</v>
      </c>
    </row>
    <row r="1104" spans="1:22" x14ac:dyDescent="0.25">
      <c r="A1104" t="s">
        <v>2403</v>
      </c>
      <c r="B1104" t="s">
        <v>1020</v>
      </c>
      <c r="C1104">
        <v>20</v>
      </c>
      <c r="D1104" t="s">
        <v>132</v>
      </c>
      <c r="E1104" t="s">
        <v>140</v>
      </c>
      <c r="F1104" t="s">
        <v>140</v>
      </c>
      <c r="G1104">
        <v>0.15</v>
      </c>
      <c r="H1104" t="s">
        <v>24</v>
      </c>
      <c r="I1104">
        <v>-16</v>
      </c>
      <c r="J1104" t="str">
        <f>HYPERLINK("https://www.eliteprospects.com/player/562486/eduard-wruck")</f>
        <v>https://www.eliteprospects.com/player/562486/eduard-wruck</v>
      </c>
      <c r="K1104" t="s">
        <v>27</v>
      </c>
      <c r="L1104" t="s">
        <v>918</v>
      </c>
      <c r="M1104" t="s">
        <v>1296</v>
      </c>
      <c r="N1104">
        <v>2</v>
      </c>
      <c r="O1104" t="s">
        <v>1021</v>
      </c>
      <c r="P1104">
        <v>0.02</v>
      </c>
      <c r="Q1104" t="s">
        <v>245</v>
      </c>
      <c r="R1104">
        <v>28.6</v>
      </c>
      <c r="S1104">
        <v>31.4</v>
      </c>
      <c r="T1104">
        <v>28.6</v>
      </c>
      <c r="U1104">
        <v>4.3</v>
      </c>
      <c r="V1104">
        <v>7.1</v>
      </c>
    </row>
    <row r="1105" spans="1:22" x14ac:dyDescent="0.25">
      <c r="A1105" t="s">
        <v>2404</v>
      </c>
      <c r="B1105" t="s">
        <v>947</v>
      </c>
      <c r="C1105">
        <v>16</v>
      </c>
      <c r="D1105" t="s">
        <v>79</v>
      </c>
      <c r="E1105" t="s">
        <v>132</v>
      </c>
      <c r="F1105" t="s">
        <v>79</v>
      </c>
      <c r="G1105">
        <v>0.13</v>
      </c>
      <c r="H1105" t="s">
        <v>265</v>
      </c>
      <c r="I1105">
        <v>0</v>
      </c>
      <c r="J1105" t="str">
        <f>HYPERLINK("https://www.eliteprospects.com/player/424340/ethan-doyle")</f>
        <v>https://www.eliteprospects.com/player/424340/ethan-doyle</v>
      </c>
      <c r="K1105" t="s">
        <v>27</v>
      </c>
      <c r="L1105" t="s">
        <v>918</v>
      </c>
      <c r="M1105" t="s">
        <v>2405</v>
      </c>
      <c r="N1105">
        <v>3</v>
      </c>
      <c r="O1105" t="s">
        <v>962</v>
      </c>
      <c r="P1105">
        <v>0.02</v>
      </c>
      <c r="Q1105" t="s">
        <v>245</v>
      </c>
      <c r="R1105">
        <v>28.6</v>
      </c>
      <c r="S1105">
        <v>31.4</v>
      </c>
      <c r="T1105">
        <v>28.6</v>
      </c>
      <c r="U1105">
        <v>4.3</v>
      </c>
      <c r="V1105">
        <v>7.1</v>
      </c>
    </row>
    <row r="1106" spans="1:22" x14ac:dyDescent="0.25">
      <c r="A1106" t="s">
        <v>2406</v>
      </c>
      <c r="B1106" t="s">
        <v>977</v>
      </c>
      <c r="C1106">
        <v>10</v>
      </c>
      <c r="D1106" t="s">
        <v>260</v>
      </c>
      <c r="E1106" t="s">
        <v>260</v>
      </c>
      <c r="F1106" t="s">
        <v>79</v>
      </c>
      <c r="G1106">
        <v>0.2</v>
      </c>
      <c r="H1106" t="s">
        <v>57</v>
      </c>
      <c r="I1106">
        <v>0</v>
      </c>
      <c r="J1106" t="str">
        <f>HYPERLINK("https://www.eliteprospects.com/player/418252/frank-jenkins")</f>
        <v>https://www.eliteprospects.com/player/418252/frank-jenkins</v>
      </c>
      <c r="K1106" t="s">
        <v>27</v>
      </c>
      <c r="L1106" t="s">
        <v>918</v>
      </c>
      <c r="M1106" t="s">
        <v>1296</v>
      </c>
      <c r="N1106">
        <v>4</v>
      </c>
      <c r="O1106" t="s">
        <v>1070</v>
      </c>
      <c r="P1106">
        <v>0.02</v>
      </c>
      <c r="Q1106" t="s">
        <v>245</v>
      </c>
      <c r="R1106">
        <v>28.6</v>
      </c>
      <c r="S1106">
        <v>31.4</v>
      </c>
      <c r="T1106">
        <v>28.6</v>
      </c>
      <c r="U1106">
        <v>4.3</v>
      </c>
      <c r="V1106">
        <v>7.1</v>
      </c>
    </row>
    <row r="1107" spans="1:22" x14ac:dyDescent="0.25">
      <c r="A1107" t="s">
        <v>2407</v>
      </c>
      <c r="B1107" t="s">
        <v>1038</v>
      </c>
      <c r="C1107">
        <v>11</v>
      </c>
      <c r="D1107" t="s">
        <v>260</v>
      </c>
      <c r="E1107" t="s">
        <v>260</v>
      </c>
      <c r="F1107" t="s">
        <v>79</v>
      </c>
      <c r="G1107">
        <v>0.18</v>
      </c>
      <c r="H1107" t="s">
        <v>79</v>
      </c>
      <c r="I1107">
        <v>0</v>
      </c>
      <c r="J1107" t="str">
        <f>HYPERLINK("https://www.eliteprospects.com/player/479776/ranvir-gill-shane")</f>
        <v>https://www.eliteprospects.com/player/479776/ranvir-gill-shane</v>
      </c>
      <c r="K1107" t="s">
        <v>27</v>
      </c>
      <c r="L1107" t="s">
        <v>918</v>
      </c>
      <c r="M1107" t="s">
        <v>1296</v>
      </c>
      <c r="N1107">
        <v>4</v>
      </c>
      <c r="O1107" t="s">
        <v>1025</v>
      </c>
      <c r="P1107">
        <v>0.02</v>
      </c>
      <c r="Q1107" t="s">
        <v>245</v>
      </c>
      <c r="R1107">
        <v>28.6</v>
      </c>
      <c r="S1107">
        <v>31.4</v>
      </c>
      <c r="T1107">
        <v>28.6</v>
      </c>
      <c r="U1107">
        <v>4.3</v>
      </c>
      <c r="V1107">
        <v>7.1</v>
      </c>
    </row>
    <row r="1108" spans="1:22" x14ac:dyDescent="0.25">
      <c r="A1108" t="s">
        <v>2408</v>
      </c>
      <c r="B1108" t="s">
        <v>1036</v>
      </c>
      <c r="C1108">
        <v>12</v>
      </c>
      <c r="D1108" t="s">
        <v>260</v>
      </c>
      <c r="E1108" t="s">
        <v>260</v>
      </c>
      <c r="F1108" t="s">
        <v>79</v>
      </c>
      <c r="G1108">
        <v>0.17</v>
      </c>
      <c r="H1108" t="s">
        <v>66</v>
      </c>
      <c r="I1108">
        <v>0</v>
      </c>
      <c r="J1108" t="str">
        <f>HYPERLINK("https://www.eliteprospects.com/player/600856/sawyer-prokopetz")</f>
        <v>https://www.eliteprospects.com/player/600856/sawyer-prokopetz</v>
      </c>
      <c r="K1108" t="s">
        <v>27</v>
      </c>
      <c r="L1108" t="s">
        <v>918</v>
      </c>
      <c r="M1108" t="s">
        <v>1296</v>
      </c>
      <c r="N1108">
        <v>1</v>
      </c>
      <c r="O1108" t="s">
        <v>984</v>
      </c>
      <c r="P1108">
        <v>0.02</v>
      </c>
      <c r="Q1108" t="s">
        <v>245</v>
      </c>
      <c r="R1108">
        <v>28.6</v>
      </c>
      <c r="S1108">
        <v>31.4</v>
      </c>
      <c r="T1108">
        <v>28.6</v>
      </c>
      <c r="U1108">
        <v>4.3</v>
      </c>
      <c r="V1108">
        <v>7.1</v>
      </c>
    </row>
    <row r="1109" spans="1:22" x14ac:dyDescent="0.25">
      <c r="A1109" t="s">
        <v>2409</v>
      </c>
      <c r="B1109" t="s">
        <v>1005</v>
      </c>
      <c r="C1109">
        <v>13</v>
      </c>
      <c r="D1109" t="s">
        <v>260</v>
      </c>
      <c r="E1109" t="s">
        <v>260</v>
      </c>
      <c r="F1109" t="s">
        <v>79</v>
      </c>
      <c r="G1109">
        <v>0.15</v>
      </c>
      <c r="H1109" t="s">
        <v>26</v>
      </c>
      <c r="I1109">
        <v>0</v>
      </c>
      <c r="J1109" t="str">
        <f>HYPERLINK("https://www.eliteprospects.com/player/562188/masen-culley")</f>
        <v>https://www.eliteprospects.com/player/562188/masen-culley</v>
      </c>
      <c r="K1109" t="s">
        <v>27</v>
      </c>
      <c r="L1109" t="s">
        <v>918</v>
      </c>
      <c r="M1109" t="s">
        <v>1296</v>
      </c>
      <c r="N1109">
        <v>1</v>
      </c>
      <c r="O1109" t="s">
        <v>984</v>
      </c>
      <c r="P1109">
        <v>0.02</v>
      </c>
      <c r="Q1109" t="s">
        <v>245</v>
      </c>
      <c r="R1109">
        <v>28.6</v>
      </c>
      <c r="S1109">
        <v>31.4</v>
      </c>
      <c r="T1109">
        <v>28.6</v>
      </c>
      <c r="U1109">
        <v>4.3</v>
      </c>
      <c r="V1109">
        <v>7.1</v>
      </c>
    </row>
    <row r="1110" spans="1:22" x14ac:dyDescent="0.25">
      <c r="A1110" t="s">
        <v>2410</v>
      </c>
      <c r="B1110" t="s">
        <v>986</v>
      </c>
      <c r="C1110">
        <v>14</v>
      </c>
      <c r="D1110" t="s">
        <v>260</v>
      </c>
      <c r="E1110" t="s">
        <v>260</v>
      </c>
      <c r="F1110" t="s">
        <v>79</v>
      </c>
      <c r="G1110">
        <v>0.14000000000000001</v>
      </c>
      <c r="H1110" t="s">
        <v>57</v>
      </c>
      <c r="I1110">
        <v>0</v>
      </c>
      <c r="J1110" t="str">
        <f>HYPERLINK("https://www.eliteprospects.com/player/418418/bryce-kilbourne")</f>
        <v>https://www.eliteprospects.com/player/418418/bryce-kilbourne</v>
      </c>
      <c r="K1110" t="s">
        <v>27</v>
      </c>
      <c r="L1110" t="s">
        <v>918</v>
      </c>
      <c r="M1110" t="s">
        <v>1296</v>
      </c>
      <c r="N1110">
        <v>3</v>
      </c>
      <c r="O1110" t="s">
        <v>962</v>
      </c>
      <c r="P1110">
        <v>0.02</v>
      </c>
      <c r="Q1110" t="s">
        <v>245</v>
      </c>
      <c r="R1110">
        <v>28.6</v>
      </c>
      <c r="S1110">
        <v>31.4</v>
      </c>
      <c r="T1110">
        <v>28.6</v>
      </c>
      <c r="U1110">
        <v>4.3</v>
      </c>
      <c r="V1110">
        <v>7.1</v>
      </c>
    </row>
    <row r="1111" spans="1:22" x14ac:dyDescent="0.25">
      <c r="A1111" t="s">
        <v>2411</v>
      </c>
      <c r="B1111" t="s">
        <v>991</v>
      </c>
      <c r="C1111">
        <v>15</v>
      </c>
      <c r="D1111" t="s">
        <v>260</v>
      </c>
      <c r="E1111" t="s">
        <v>260</v>
      </c>
      <c r="F1111" t="s">
        <v>79</v>
      </c>
      <c r="G1111">
        <v>0.13</v>
      </c>
      <c r="H1111" t="s">
        <v>79</v>
      </c>
      <c r="I1111">
        <v>0</v>
      </c>
      <c r="J1111" t="str">
        <f>HYPERLINK("https://www.eliteprospects.com/player/581948/mason-chitaroni")</f>
        <v>https://www.eliteprospects.com/player/581948/mason-chitaroni</v>
      </c>
      <c r="K1111" t="s">
        <v>27</v>
      </c>
      <c r="L1111" t="s">
        <v>918</v>
      </c>
      <c r="M1111" t="s">
        <v>1296</v>
      </c>
      <c r="N1111">
        <v>3</v>
      </c>
      <c r="O1111" t="s">
        <v>1119</v>
      </c>
      <c r="P1111">
        <v>0.02</v>
      </c>
      <c r="Q1111" t="s">
        <v>245</v>
      </c>
      <c r="R1111">
        <v>28.6</v>
      </c>
      <c r="S1111">
        <v>31.4</v>
      </c>
      <c r="T1111">
        <v>28.6</v>
      </c>
      <c r="U1111">
        <v>4.3</v>
      </c>
      <c r="V1111">
        <v>7.1</v>
      </c>
    </row>
    <row r="1112" spans="1:22" x14ac:dyDescent="0.25">
      <c r="A1112" t="s">
        <v>2412</v>
      </c>
      <c r="B1112" t="s">
        <v>1005</v>
      </c>
      <c r="C1112">
        <v>16</v>
      </c>
      <c r="D1112" t="s">
        <v>260</v>
      </c>
      <c r="E1112" t="s">
        <v>260</v>
      </c>
      <c r="F1112" t="s">
        <v>79</v>
      </c>
      <c r="G1112">
        <v>0.13</v>
      </c>
      <c r="H1112" t="s">
        <v>26</v>
      </c>
      <c r="I1112">
        <v>0</v>
      </c>
      <c r="J1112" t="str">
        <f>HYPERLINK("https://www.eliteprospects.com/player/317452/alexandre-hogue")</f>
        <v>https://www.eliteprospects.com/player/317452/alexandre-hogue</v>
      </c>
      <c r="K1112" t="s">
        <v>27</v>
      </c>
      <c r="L1112" t="s">
        <v>918</v>
      </c>
      <c r="M1112" t="s">
        <v>1296</v>
      </c>
      <c r="N1112">
        <v>4</v>
      </c>
      <c r="O1112" t="s">
        <v>1006</v>
      </c>
      <c r="P1112">
        <v>0.02</v>
      </c>
      <c r="Q1112" t="s">
        <v>245</v>
      </c>
      <c r="R1112">
        <v>28.6</v>
      </c>
      <c r="S1112">
        <v>31.4</v>
      </c>
      <c r="T1112">
        <v>28.6</v>
      </c>
      <c r="U1112">
        <v>4.3</v>
      </c>
      <c r="V1112">
        <v>7.1</v>
      </c>
    </row>
    <row r="1113" spans="1:22" x14ac:dyDescent="0.25">
      <c r="A1113" t="s">
        <v>2413</v>
      </c>
      <c r="B1113" t="s">
        <v>1118</v>
      </c>
      <c r="C1113">
        <v>18</v>
      </c>
      <c r="D1113" t="s">
        <v>260</v>
      </c>
      <c r="E1113" t="s">
        <v>260</v>
      </c>
      <c r="F1113" t="s">
        <v>79</v>
      </c>
      <c r="G1113">
        <v>0.11</v>
      </c>
      <c r="H1113" t="s">
        <v>79</v>
      </c>
      <c r="I1113">
        <v>-13</v>
      </c>
      <c r="J1113" t="str">
        <f>HYPERLINK("https://www.eliteprospects.com/player/403802/leyton-holoien")</f>
        <v>https://www.eliteprospects.com/player/403802/leyton-holoien</v>
      </c>
      <c r="K1113" t="s">
        <v>27</v>
      </c>
      <c r="L1113" t="s">
        <v>918</v>
      </c>
      <c r="M1113" t="s">
        <v>1296</v>
      </c>
      <c r="N1113">
        <v>2</v>
      </c>
      <c r="O1113" t="s">
        <v>1021</v>
      </c>
      <c r="P1113">
        <v>0.01</v>
      </c>
      <c r="Q1113" t="s">
        <v>245</v>
      </c>
      <c r="R1113">
        <v>28.6</v>
      </c>
      <c r="S1113">
        <v>31.4</v>
      </c>
      <c r="T1113">
        <v>28.6</v>
      </c>
      <c r="U1113">
        <v>4.3</v>
      </c>
      <c r="V1113">
        <v>7.1</v>
      </c>
    </row>
    <row r="1114" spans="1:22" x14ac:dyDescent="0.25">
      <c r="A1114" t="s">
        <v>2414</v>
      </c>
      <c r="B1114" t="s">
        <v>997</v>
      </c>
      <c r="C1114">
        <v>18</v>
      </c>
      <c r="D1114" t="s">
        <v>260</v>
      </c>
      <c r="E1114" t="s">
        <v>260</v>
      </c>
      <c r="F1114" t="s">
        <v>79</v>
      </c>
      <c r="G1114">
        <v>0.11</v>
      </c>
      <c r="H1114" t="s">
        <v>57</v>
      </c>
      <c r="I1114">
        <v>0</v>
      </c>
      <c r="J1114" t="str">
        <f>HYPERLINK("https://www.eliteprospects.com/player/411172/christopher-inniss")</f>
        <v>https://www.eliteprospects.com/player/411172/christopher-inniss</v>
      </c>
      <c r="K1114" t="s">
        <v>27</v>
      </c>
      <c r="L1114" t="s">
        <v>918</v>
      </c>
      <c r="M1114" t="s">
        <v>1296</v>
      </c>
      <c r="N1114">
        <v>6</v>
      </c>
      <c r="O1114" t="s">
        <v>937</v>
      </c>
      <c r="P1114">
        <v>0.01</v>
      </c>
      <c r="Q1114" t="s">
        <v>245</v>
      </c>
      <c r="R1114">
        <v>28.6</v>
      </c>
      <c r="S1114">
        <v>31.4</v>
      </c>
      <c r="T1114">
        <v>28.6</v>
      </c>
      <c r="U1114">
        <v>4.3</v>
      </c>
      <c r="V1114">
        <v>7.1</v>
      </c>
    </row>
    <row r="1115" spans="1:22" x14ac:dyDescent="0.25">
      <c r="A1115" t="s">
        <v>2415</v>
      </c>
      <c r="B1115" t="s">
        <v>942</v>
      </c>
      <c r="C1115">
        <v>18</v>
      </c>
      <c r="D1115" t="s">
        <v>260</v>
      </c>
      <c r="E1115" t="s">
        <v>260</v>
      </c>
      <c r="F1115" t="s">
        <v>79</v>
      </c>
      <c r="G1115">
        <v>0.11</v>
      </c>
      <c r="H1115" t="s">
        <v>39</v>
      </c>
      <c r="I1115">
        <v>0</v>
      </c>
      <c r="J1115" t="str">
        <f>HYPERLINK("https://www.eliteprospects.com/player/418057/liam-ross")</f>
        <v>https://www.eliteprospects.com/player/418057/liam-ross</v>
      </c>
      <c r="K1115" t="s">
        <v>27</v>
      </c>
      <c r="L1115" t="s">
        <v>918</v>
      </c>
      <c r="M1115" t="s">
        <v>1296</v>
      </c>
      <c r="N1115">
        <v>5</v>
      </c>
      <c r="O1115" t="s">
        <v>935</v>
      </c>
      <c r="P1115">
        <v>0.01</v>
      </c>
      <c r="Q1115" t="s">
        <v>245</v>
      </c>
      <c r="R1115">
        <v>28.6</v>
      </c>
      <c r="S1115">
        <v>31.4</v>
      </c>
      <c r="T1115">
        <v>28.6</v>
      </c>
      <c r="U1115">
        <v>4.3</v>
      </c>
      <c r="V1115">
        <v>7.1</v>
      </c>
    </row>
    <row r="1116" spans="1:22" x14ac:dyDescent="0.25">
      <c r="A1116" t="s">
        <v>2416</v>
      </c>
      <c r="B1116" t="s">
        <v>959</v>
      </c>
      <c r="C1116">
        <v>18</v>
      </c>
      <c r="D1116" t="s">
        <v>260</v>
      </c>
      <c r="E1116" t="s">
        <v>260</v>
      </c>
      <c r="F1116" t="s">
        <v>79</v>
      </c>
      <c r="G1116">
        <v>0.11</v>
      </c>
      <c r="H1116" t="s">
        <v>24</v>
      </c>
      <c r="I1116">
        <v>0</v>
      </c>
      <c r="J1116" t="str">
        <f>HYPERLINK("https://www.eliteprospects.com/player/484169/nicolas-pavan")</f>
        <v>https://www.eliteprospects.com/player/484169/nicolas-pavan</v>
      </c>
      <c r="K1116" t="s">
        <v>27</v>
      </c>
      <c r="L1116" t="s">
        <v>918</v>
      </c>
      <c r="M1116" t="s">
        <v>1417</v>
      </c>
      <c r="N1116">
        <v>6</v>
      </c>
      <c r="O1116" t="s">
        <v>921</v>
      </c>
      <c r="P1116">
        <v>0.01</v>
      </c>
      <c r="Q1116" t="s">
        <v>245</v>
      </c>
      <c r="R1116">
        <v>28.6</v>
      </c>
      <c r="S1116">
        <v>31.4</v>
      </c>
      <c r="T1116">
        <v>28.6</v>
      </c>
      <c r="U1116">
        <v>4.3</v>
      </c>
      <c r="V1116">
        <v>7.1</v>
      </c>
    </row>
    <row r="1117" spans="1:22" x14ac:dyDescent="0.25">
      <c r="A1117" t="s">
        <v>2417</v>
      </c>
      <c r="B1117" t="s">
        <v>1011</v>
      </c>
      <c r="C1117">
        <v>18</v>
      </c>
      <c r="D1117" t="s">
        <v>260</v>
      </c>
      <c r="E1117" t="s">
        <v>260</v>
      </c>
      <c r="F1117" t="s">
        <v>79</v>
      </c>
      <c r="G1117">
        <v>0.11</v>
      </c>
      <c r="H1117" t="s">
        <v>84</v>
      </c>
      <c r="I1117">
        <v>-3</v>
      </c>
      <c r="J1117" t="str">
        <f>HYPERLINK("https://www.eliteprospects.com/player/405897/brandon-casey")</f>
        <v>https://www.eliteprospects.com/player/405897/brandon-casey</v>
      </c>
      <c r="K1117" t="s">
        <v>27</v>
      </c>
      <c r="L1117" t="s">
        <v>918</v>
      </c>
      <c r="M1117" t="s">
        <v>1296</v>
      </c>
      <c r="N1117">
        <v>4</v>
      </c>
      <c r="O1117" t="s">
        <v>1192</v>
      </c>
      <c r="P1117">
        <v>0.01</v>
      </c>
      <c r="Q1117" t="s">
        <v>245</v>
      </c>
      <c r="R1117">
        <v>28.6</v>
      </c>
      <c r="S1117">
        <v>31.4</v>
      </c>
      <c r="T1117">
        <v>28.6</v>
      </c>
      <c r="U1117">
        <v>4.3</v>
      </c>
      <c r="V1117">
        <v>7.1</v>
      </c>
    </row>
    <row r="1118" spans="1:22" x14ac:dyDescent="0.25">
      <c r="A1118" t="s">
        <v>2418</v>
      </c>
      <c r="B1118" t="s">
        <v>917</v>
      </c>
      <c r="C1118">
        <v>19</v>
      </c>
      <c r="D1118" t="s">
        <v>260</v>
      </c>
      <c r="E1118" t="s">
        <v>260</v>
      </c>
      <c r="F1118" t="s">
        <v>79</v>
      </c>
      <c r="G1118">
        <v>0.11</v>
      </c>
      <c r="H1118" t="s">
        <v>513</v>
      </c>
      <c r="I1118">
        <v>8</v>
      </c>
      <c r="J1118" t="str">
        <f>HYPERLINK("https://www.eliteprospects.com/player/504298/nolan-dillingham")</f>
        <v>https://www.eliteprospects.com/player/504298/nolan-dillingham</v>
      </c>
      <c r="K1118" t="s">
        <v>27</v>
      </c>
      <c r="L1118" t="s">
        <v>918</v>
      </c>
      <c r="M1118" t="s">
        <v>1296</v>
      </c>
      <c r="N1118">
        <v>6</v>
      </c>
      <c r="O1118" t="s">
        <v>970</v>
      </c>
      <c r="P1118">
        <v>0.01</v>
      </c>
      <c r="Q1118" t="s">
        <v>245</v>
      </c>
      <c r="R1118">
        <v>28.6</v>
      </c>
      <c r="S1118">
        <v>31.4</v>
      </c>
      <c r="T1118">
        <v>28.6</v>
      </c>
      <c r="U1118">
        <v>4.3</v>
      </c>
      <c r="V1118">
        <v>7.1</v>
      </c>
    </row>
    <row r="1119" spans="1:22" x14ac:dyDescent="0.25">
      <c r="A1119" t="s">
        <v>2419</v>
      </c>
      <c r="B1119" t="s">
        <v>1020</v>
      </c>
      <c r="C1119">
        <v>20</v>
      </c>
      <c r="D1119" t="s">
        <v>260</v>
      </c>
      <c r="E1119" t="s">
        <v>260</v>
      </c>
      <c r="F1119" t="s">
        <v>79</v>
      </c>
      <c r="G1119">
        <v>0.1</v>
      </c>
      <c r="H1119" t="s">
        <v>40</v>
      </c>
      <c r="I1119">
        <v>-10</v>
      </c>
      <c r="J1119" t="str">
        <f>HYPERLINK("https://www.eliteprospects.com/player/489303/ricards-landmanis")</f>
        <v>https://www.eliteprospects.com/player/489303/ricards-landmanis</v>
      </c>
      <c r="K1119" t="s">
        <v>27</v>
      </c>
      <c r="L1119" t="s">
        <v>918</v>
      </c>
      <c r="M1119" t="s">
        <v>1296</v>
      </c>
      <c r="N1119">
        <v>2</v>
      </c>
      <c r="O1119" t="s">
        <v>1076</v>
      </c>
      <c r="P1119">
        <v>0.01</v>
      </c>
      <c r="Q1119" t="s">
        <v>245</v>
      </c>
      <c r="R1119">
        <v>28.6</v>
      </c>
      <c r="S1119">
        <v>31.4</v>
      </c>
      <c r="T1119">
        <v>28.6</v>
      </c>
      <c r="U1119">
        <v>4.3</v>
      </c>
      <c r="V1119">
        <v>7.1</v>
      </c>
    </row>
    <row r="1120" spans="1:22" x14ac:dyDescent="0.25">
      <c r="A1120" t="s">
        <v>2420</v>
      </c>
      <c r="B1120" t="s">
        <v>997</v>
      </c>
      <c r="C1120">
        <v>11</v>
      </c>
      <c r="D1120" t="s">
        <v>132</v>
      </c>
      <c r="E1120" t="s">
        <v>79</v>
      </c>
      <c r="F1120" t="s">
        <v>79</v>
      </c>
      <c r="G1120">
        <v>0.18</v>
      </c>
      <c r="H1120" t="s">
        <v>66</v>
      </c>
      <c r="I1120">
        <v>0</v>
      </c>
      <c r="J1120" t="str">
        <f>HYPERLINK("https://www.eliteprospects.com/player/571231/zachary-lessard")</f>
        <v>https://www.eliteprospects.com/player/571231/zachary-lessard</v>
      </c>
      <c r="K1120" t="s">
        <v>27</v>
      </c>
      <c r="L1120" t="s">
        <v>918</v>
      </c>
      <c r="M1120" t="s">
        <v>1296</v>
      </c>
      <c r="N1120">
        <v>5</v>
      </c>
      <c r="O1120" t="s">
        <v>930</v>
      </c>
      <c r="P1120">
        <v>0.02</v>
      </c>
      <c r="Q1120" t="s">
        <v>245</v>
      </c>
      <c r="R1120">
        <v>28.6</v>
      </c>
      <c r="S1120">
        <v>31.4</v>
      </c>
      <c r="T1120">
        <v>28.6</v>
      </c>
      <c r="U1120">
        <v>4.3</v>
      </c>
      <c r="V1120">
        <v>7.1</v>
      </c>
    </row>
    <row r="1121" spans="1:22" x14ac:dyDescent="0.25">
      <c r="A1121" t="s">
        <v>2421</v>
      </c>
      <c r="B1121" t="s">
        <v>929</v>
      </c>
      <c r="C1121">
        <v>13</v>
      </c>
      <c r="D1121" t="s">
        <v>132</v>
      </c>
      <c r="E1121" t="s">
        <v>79</v>
      </c>
      <c r="F1121" t="s">
        <v>79</v>
      </c>
      <c r="G1121">
        <v>0.15</v>
      </c>
      <c r="H1121" t="s">
        <v>79</v>
      </c>
      <c r="I1121">
        <v>-4</v>
      </c>
      <c r="J1121" t="str">
        <f>HYPERLINK("https://www.eliteprospects.com/player/267665/tim-gould")</f>
        <v>https://www.eliteprospects.com/player/267665/tim-gould</v>
      </c>
      <c r="K1121" t="s">
        <v>27</v>
      </c>
      <c r="L1121" t="s">
        <v>918</v>
      </c>
      <c r="M1121" t="s">
        <v>1296</v>
      </c>
      <c r="N1121">
        <v>4</v>
      </c>
      <c r="O1121" t="s">
        <v>2422</v>
      </c>
      <c r="P1121">
        <v>0.02</v>
      </c>
      <c r="Q1121" t="s">
        <v>245</v>
      </c>
      <c r="R1121">
        <v>28.6</v>
      </c>
      <c r="S1121">
        <v>31.4</v>
      </c>
      <c r="T1121">
        <v>28.6</v>
      </c>
      <c r="U1121">
        <v>4.3</v>
      </c>
      <c r="V1121">
        <v>7.1</v>
      </c>
    </row>
    <row r="1122" spans="1:22" x14ac:dyDescent="0.25">
      <c r="A1122" t="s">
        <v>2423</v>
      </c>
      <c r="B1122" t="s">
        <v>1036</v>
      </c>
      <c r="C1122">
        <v>13</v>
      </c>
      <c r="D1122" t="s">
        <v>132</v>
      </c>
      <c r="E1122" t="s">
        <v>79</v>
      </c>
      <c r="F1122" t="s">
        <v>79</v>
      </c>
      <c r="G1122">
        <v>0.15</v>
      </c>
      <c r="H1122" t="s">
        <v>79</v>
      </c>
      <c r="I1122">
        <v>0</v>
      </c>
      <c r="J1122" t="str">
        <f>HYPERLINK("https://www.eliteprospects.com/player/482006/jacob-hoffrogge")</f>
        <v>https://www.eliteprospects.com/player/482006/jacob-hoffrogge</v>
      </c>
      <c r="K1122" t="s">
        <v>27</v>
      </c>
      <c r="L1122" t="s">
        <v>918</v>
      </c>
      <c r="M1122" t="s">
        <v>1296</v>
      </c>
      <c r="N1122">
        <v>5</v>
      </c>
      <c r="O1122" t="s">
        <v>979</v>
      </c>
      <c r="P1122">
        <v>0.02</v>
      </c>
      <c r="Q1122" t="s">
        <v>245</v>
      </c>
      <c r="R1122">
        <v>28.6</v>
      </c>
      <c r="S1122">
        <v>31.4</v>
      </c>
      <c r="T1122">
        <v>28.6</v>
      </c>
      <c r="U1122">
        <v>4.3</v>
      </c>
      <c r="V1122">
        <v>7.1</v>
      </c>
    </row>
    <row r="1123" spans="1:22" x14ac:dyDescent="0.25">
      <c r="A1123" t="s">
        <v>2424</v>
      </c>
      <c r="B1123" t="s">
        <v>1053</v>
      </c>
      <c r="C1123">
        <v>13</v>
      </c>
      <c r="D1123" t="s">
        <v>132</v>
      </c>
      <c r="E1123" t="s">
        <v>79</v>
      </c>
      <c r="F1123" t="s">
        <v>79</v>
      </c>
      <c r="G1123">
        <v>0.15</v>
      </c>
      <c r="H1123" t="s">
        <v>47</v>
      </c>
      <c r="I1123">
        <v>0</v>
      </c>
      <c r="J1123" t="str">
        <f>HYPERLINK("https://www.eliteprospects.com/player/351796/cole-beamin")</f>
        <v>https://www.eliteprospects.com/player/351796/cole-beamin</v>
      </c>
      <c r="K1123" t="s">
        <v>27</v>
      </c>
      <c r="L1123" t="s">
        <v>918</v>
      </c>
      <c r="M1123" t="s">
        <v>1296</v>
      </c>
      <c r="N1123">
        <v>4</v>
      </c>
      <c r="O1123" t="s">
        <v>1004</v>
      </c>
      <c r="P1123">
        <v>0.02</v>
      </c>
      <c r="Q1123" t="s">
        <v>245</v>
      </c>
      <c r="R1123">
        <v>28.6</v>
      </c>
      <c r="S1123">
        <v>31.4</v>
      </c>
      <c r="T1123">
        <v>28.6</v>
      </c>
      <c r="U1123">
        <v>4.3</v>
      </c>
      <c r="V1123">
        <v>7.1</v>
      </c>
    </row>
    <row r="1124" spans="1:22" x14ac:dyDescent="0.25">
      <c r="A1124" t="s">
        <v>2425</v>
      </c>
      <c r="B1124" t="s">
        <v>1020</v>
      </c>
      <c r="C1124">
        <v>13</v>
      </c>
      <c r="D1124" t="s">
        <v>132</v>
      </c>
      <c r="E1124" t="s">
        <v>79</v>
      </c>
      <c r="F1124" t="s">
        <v>79</v>
      </c>
      <c r="G1124">
        <v>0.15</v>
      </c>
      <c r="H1124" t="s">
        <v>25</v>
      </c>
      <c r="I1124">
        <v>-6</v>
      </c>
      <c r="J1124" t="str">
        <f>HYPERLINK("https://www.eliteprospects.com/player/570293/tristan-serrao")</f>
        <v>https://www.eliteprospects.com/player/570293/tristan-serrao</v>
      </c>
      <c r="K1124" t="s">
        <v>27</v>
      </c>
      <c r="L1124" t="s">
        <v>918</v>
      </c>
      <c r="M1124" t="s">
        <v>1296</v>
      </c>
      <c r="N1124">
        <v>1</v>
      </c>
      <c r="O1124" t="s">
        <v>984</v>
      </c>
      <c r="P1124">
        <v>0.02</v>
      </c>
      <c r="Q1124" t="s">
        <v>245</v>
      </c>
      <c r="R1124">
        <v>28.6</v>
      </c>
      <c r="S1124">
        <v>31.4</v>
      </c>
      <c r="T1124">
        <v>28.6</v>
      </c>
      <c r="U1124">
        <v>4.3</v>
      </c>
      <c r="V1124">
        <v>7.1</v>
      </c>
    </row>
    <row r="1125" spans="1:22" x14ac:dyDescent="0.25">
      <c r="A1125" t="s">
        <v>2426</v>
      </c>
      <c r="B1125" t="s">
        <v>917</v>
      </c>
      <c r="C1125">
        <v>14</v>
      </c>
      <c r="D1125" t="s">
        <v>132</v>
      </c>
      <c r="E1125" t="s">
        <v>79</v>
      </c>
      <c r="F1125" t="s">
        <v>79</v>
      </c>
      <c r="G1125">
        <v>0.14000000000000001</v>
      </c>
      <c r="H1125" t="s">
        <v>66</v>
      </c>
      <c r="I1125">
        <v>-3</v>
      </c>
      <c r="J1125" t="str">
        <f>HYPERLINK("https://www.eliteprospects.com/player/472995/luke-vardy")</f>
        <v>https://www.eliteprospects.com/player/472995/luke-vardy</v>
      </c>
      <c r="K1125" t="s">
        <v>27</v>
      </c>
      <c r="L1125" t="s">
        <v>918</v>
      </c>
      <c r="M1125" t="s">
        <v>1296</v>
      </c>
      <c r="N1125">
        <v>1</v>
      </c>
      <c r="O1125" t="s">
        <v>984</v>
      </c>
      <c r="P1125">
        <v>0.02</v>
      </c>
      <c r="Q1125" t="s">
        <v>245</v>
      </c>
      <c r="R1125">
        <v>28.6</v>
      </c>
      <c r="S1125">
        <v>31.4</v>
      </c>
      <c r="T1125">
        <v>28.6</v>
      </c>
      <c r="U1125">
        <v>4.3</v>
      </c>
      <c r="V1125">
        <v>7.1</v>
      </c>
    </row>
    <row r="1126" spans="1:22" x14ac:dyDescent="0.25">
      <c r="A1126" t="s">
        <v>2427</v>
      </c>
      <c r="B1126" t="s">
        <v>1003</v>
      </c>
      <c r="C1126">
        <v>15</v>
      </c>
      <c r="D1126" t="s">
        <v>132</v>
      </c>
      <c r="E1126" t="s">
        <v>79</v>
      </c>
      <c r="F1126" t="s">
        <v>79</v>
      </c>
      <c r="G1126">
        <v>0.13</v>
      </c>
      <c r="H1126" t="s">
        <v>66</v>
      </c>
      <c r="I1126">
        <v>0</v>
      </c>
      <c r="J1126" t="str">
        <f>HYPERLINK("https://www.eliteprospects.com/player/726313/nolan-ling")</f>
        <v>https://www.eliteprospects.com/player/726313/nolan-ling</v>
      </c>
      <c r="K1126" t="s">
        <v>27</v>
      </c>
      <c r="L1126" t="s">
        <v>918</v>
      </c>
      <c r="M1126" t="s">
        <v>1296</v>
      </c>
      <c r="N1126">
        <v>4</v>
      </c>
      <c r="O1126" t="s">
        <v>2428</v>
      </c>
      <c r="P1126">
        <v>0.02</v>
      </c>
      <c r="Q1126" t="s">
        <v>245</v>
      </c>
      <c r="R1126">
        <v>28.6</v>
      </c>
      <c r="S1126">
        <v>31.4</v>
      </c>
      <c r="T1126">
        <v>28.6</v>
      </c>
      <c r="U1126">
        <v>4.3</v>
      </c>
      <c r="V1126">
        <v>7.1</v>
      </c>
    </row>
    <row r="1127" spans="1:22" x14ac:dyDescent="0.25">
      <c r="A1127" t="s">
        <v>2429</v>
      </c>
      <c r="B1127" t="s">
        <v>926</v>
      </c>
      <c r="C1127">
        <v>15</v>
      </c>
      <c r="D1127" t="s">
        <v>132</v>
      </c>
      <c r="E1127" t="s">
        <v>79</v>
      </c>
      <c r="F1127" t="s">
        <v>79</v>
      </c>
      <c r="G1127">
        <v>0.13</v>
      </c>
      <c r="H1127" t="s">
        <v>23</v>
      </c>
      <c r="I1127">
        <v>13</v>
      </c>
      <c r="J1127" t="str">
        <f>HYPERLINK("https://www.eliteprospects.com/player/351088/jonny-lambos")</f>
        <v>https://www.eliteprospects.com/player/351088/jonny-lambos</v>
      </c>
      <c r="K1127" t="s">
        <v>27</v>
      </c>
      <c r="L1127" t="s">
        <v>918</v>
      </c>
      <c r="M1127" t="s">
        <v>1296</v>
      </c>
      <c r="N1127">
        <v>6</v>
      </c>
      <c r="O1127" t="s">
        <v>927</v>
      </c>
      <c r="P1127">
        <v>0.02</v>
      </c>
      <c r="Q1127" t="s">
        <v>245</v>
      </c>
      <c r="R1127">
        <v>28.6</v>
      </c>
      <c r="S1127">
        <v>31.4</v>
      </c>
      <c r="T1127">
        <v>28.6</v>
      </c>
      <c r="U1127">
        <v>4.3</v>
      </c>
      <c r="V1127">
        <v>7.1</v>
      </c>
    </row>
    <row r="1128" spans="1:22" x14ac:dyDescent="0.25">
      <c r="A1128" t="s">
        <v>2430</v>
      </c>
      <c r="B1128" t="s">
        <v>1005</v>
      </c>
      <c r="C1128">
        <v>15</v>
      </c>
      <c r="D1128" t="s">
        <v>132</v>
      </c>
      <c r="E1128" t="s">
        <v>79</v>
      </c>
      <c r="F1128" t="s">
        <v>79</v>
      </c>
      <c r="G1128">
        <v>0.13</v>
      </c>
      <c r="H1128" t="s">
        <v>178</v>
      </c>
      <c r="I1128">
        <v>0</v>
      </c>
      <c r="J1128" t="str">
        <f>HYPERLINK("https://www.eliteprospects.com/player/408779/andrew-hunt")</f>
        <v>https://www.eliteprospects.com/player/408779/andrew-hunt</v>
      </c>
      <c r="K1128" t="s">
        <v>27</v>
      </c>
      <c r="L1128" t="s">
        <v>918</v>
      </c>
      <c r="M1128" t="s">
        <v>1296</v>
      </c>
      <c r="N1128">
        <v>4</v>
      </c>
      <c r="O1128" t="s">
        <v>940</v>
      </c>
      <c r="P1128">
        <v>0.02</v>
      </c>
      <c r="Q1128" t="s">
        <v>245</v>
      </c>
      <c r="R1128">
        <v>28.6</v>
      </c>
      <c r="S1128">
        <v>31.4</v>
      </c>
      <c r="T1128">
        <v>28.6</v>
      </c>
      <c r="U1128">
        <v>4.3</v>
      </c>
      <c r="V1128">
        <v>7.1</v>
      </c>
    </row>
    <row r="1129" spans="1:22" x14ac:dyDescent="0.25">
      <c r="A1129" t="s">
        <v>2431</v>
      </c>
      <c r="B1129" t="s">
        <v>977</v>
      </c>
      <c r="C1129">
        <v>16</v>
      </c>
      <c r="D1129" t="s">
        <v>132</v>
      </c>
      <c r="E1129" t="s">
        <v>79</v>
      </c>
      <c r="F1129" t="s">
        <v>79</v>
      </c>
      <c r="G1129">
        <v>0.13</v>
      </c>
      <c r="H1129" t="s">
        <v>132</v>
      </c>
      <c r="I1129">
        <v>0</v>
      </c>
      <c r="J1129" t="str">
        <f>HYPERLINK("https://www.eliteprospects.com/player/526071/sam-grabner")</f>
        <v>https://www.eliteprospects.com/player/526071/sam-grabner</v>
      </c>
      <c r="K1129" t="s">
        <v>27</v>
      </c>
      <c r="L1129" t="s">
        <v>918</v>
      </c>
      <c r="M1129" t="s">
        <v>1296</v>
      </c>
      <c r="N1129">
        <v>1</v>
      </c>
      <c r="O1129" t="s">
        <v>984</v>
      </c>
      <c r="P1129">
        <v>0.02</v>
      </c>
      <c r="Q1129" t="s">
        <v>245</v>
      </c>
      <c r="R1129">
        <v>28.6</v>
      </c>
      <c r="S1129">
        <v>31.4</v>
      </c>
      <c r="T1129">
        <v>28.6</v>
      </c>
      <c r="U1129">
        <v>4.3</v>
      </c>
      <c r="V1129">
        <v>7.1</v>
      </c>
    </row>
    <row r="1130" spans="1:22" x14ac:dyDescent="0.25">
      <c r="A1130" t="s">
        <v>2432</v>
      </c>
      <c r="B1130" t="s">
        <v>998</v>
      </c>
      <c r="C1130">
        <v>16</v>
      </c>
      <c r="D1130" t="s">
        <v>132</v>
      </c>
      <c r="E1130" t="s">
        <v>79</v>
      </c>
      <c r="F1130" t="s">
        <v>79</v>
      </c>
      <c r="G1130">
        <v>0.13</v>
      </c>
      <c r="H1130" t="s">
        <v>26</v>
      </c>
      <c r="I1130">
        <v>0</v>
      </c>
      <c r="J1130" t="str">
        <f>HYPERLINK("https://www.eliteprospects.com/player/503982/nathan-ribau")</f>
        <v>https://www.eliteprospects.com/player/503982/nathan-ribau</v>
      </c>
      <c r="K1130" t="s">
        <v>27</v>
      </c>
      <c r="L1130" t="s">
        <v>918</v>
      </c>
      <c r="M1130" t="s">
        <v>1296</v>
      </c>
      <c r="N1130">
        <v>7</v>
      </c>
      <c r="O1130" t="s">
        <v>919</v>
      </c>
      <c r="P1130">
        <v>0.02</v>
      </c>
      <c r="Q1130" t="s">
        <v>245</v>
      </c>
      <c r="R1130">
        <v>28.6</v>
      </c>
      <c r="S1130">
        <v>31.4</v>
      </c>
      <c r="T1130">
        <v>28.6</v>
      </c>
      <c r="U1130">
        <v>4.3</v>
      </c>
      <c r="V1130">
        <v>7.1</v>
      </c>
    </row>
    <row r="1131" spans="1:22" x14ac:dyDescent="0.25">
      <c r="A1131" t="s">
        <v>2433</v>
      </c>
      <c r="B1131" t="s">
        <v>959</v>
      </c>
      <c r="C1131">
        <v>16</v>
      </c>
      <c r="D1131" t="s">
        <v>132</v>
      </c>
      <c r="E1131" t="s">
        <v>79</v>
      </c>
      <c r="F1131" t="s">
        <v>79</v>
      </c>
      <c r="G1131">
        <v>0.13</v>
      </c>
      <c r="H1131" t="s">
        <v>55</v>
      </c>
      <c r="I1131">
        <v>0</v>
      </c>
      <c r="J1131" t="str">
        <f>HYPERLINK("https://www.eliteprospects.com/player/648905/samuel-kingsley")</f>
        <v>https://www.eliteprospects.com/player/648905/samuel-kingsley</v>
      </c>
      <c r="K1131" t="s">
        <v>27</v>
      </c>
      <c r="L1131" t="s">
        <v>918</v>
      </c>
      <c r="M1131" t="s">
        <v>1296</v>
      </c>
      <c r="N1131">
        <v>4</v>
      </c>
      <c r="O1131" t="s">
        <v>1051</v>
      </c>
      <c r="P1131">
        <v>0.02</v>
      </c>
      <c r="Q1131" t="s">
        <v>245</v>
      </c>
      <c r="R1131">
        <v>28.6</v>
      </c>
      <c r="S1131">
        <v>31.4</v>
      </c>
      <c r="T1131">
        <v>28.6</v>
      </c>
      <c r="U1131">
        <v>4.3</v>
      </c>
      <c r="V1131">
        <v>7.1</v>
      </c>
    </row>
    <row r="1132" spans="1:22" x14ac:dyDescent="0.25">
      <c r="A1132" t="s">
        <v>2434</v>
      </c>
      <c r="B1132" t="s">
        <v>1049</v>
      </c>
      <c r="C1132">
        <v>17</v>
      </c>
      <c r="D1132" t="s">
        <v>132</v>
      </c>
      <c r="E1132" t="s">
        <v>79</v>
      </c>
      <c r="F1132" t="s">
        <v>79</v>
      </c>
      <c r="G1132">
        <v>0.12</v>
      </c>
      <c r="H1132" t="s">
        <v>39</v>
      </c>
      <c r="I1132">
        <v>-4</v>
      </c>
      <c r="J1132" t="str">
        <f>HYPERLINK("https://www.eliteprospects.com/player/565740/tanner-willick")</f>
        <v>https://www.eliteprospects.com/player/565740/tanner-willick</v>
      </c>
      <c r="K1132" t="s">
        <v>27</v>
      </c>
      <c r="L1132" t="s">
        <v>918</v>
      </c>
      <c r="M1132" t="s">
        <v>1296</v>
      </c>
      <c r="N1132">
        <v>2</v>
      </c>
      <c r="O1132" t="s">
        <v>1076</v>
      </c>
      <c r="P1132">
        <v>0.02</v>
      </c>
      <c r="Q1132" t="s">
        <v>245</v>
      </c>
      <c r="R1132">
        <v>28.6</v>
      </c>
      <c r="S1132">
        <v>31.4</v>
      </c>
      <c r="T1132">
        <v>28.6</v>
      </c>
      <c r="U1132">
        <v>4.3</v>
      </c>
      <c r="V1132">
        <v>7.1</v>
      </c>
    </row>
    <row r="1133" spans="1:22" x14ac:dyDescent="0.25">
      <c r="A1133" t="s">
        <v>2435</v>
      </c>
      <c r="B1133" t="s">
        <v>1084</v>
      </c>
      <c r="C1133">
        <v>18</v>
      </c>
      <c r="D1133" t="s">
        <v>132</v>
      </c>
      <c r="E1133" t="s">
        <v>79</v>
      </c>
      <c r="F1133" t="s">
        <v>79</v>
      </c>
      <c r="G1133">
        <v>0.11</v>
      </c>
      <c r="H1133" t="s">
        <v>26</v>
      </c>
      <c r="I1133">
        <v>0</v>
      </c>
      <c r="J1133" t="str">
        <f>HYPERLINK("https://www.eliteprospects.com/player/336777/devin-pimm")</f>
        <v>https://www.eliteprospects.com/player/336777/devin-pimm</v>
      </c>
      <c r="K1133" t="s">
        <v>27</v>
      </c>
      <c r="L1133" t="s">
        <v>918</v>
      </c>
      <c r="M1133" t="s">
        <v>1296</v>
      </c>
      <c r="N1133">
        <v>3</v>
      </c>
      <c r="O1133" t="s">
        <v>962</v>
      </c>
      <c r="P1133">
        <v>0.01</v>
      </c>
      <c r="Q1133" t="s">
        <v>245</v>
      </c>
      <c r="R1133">
        <v>28.6</v>
      </c>
      <c r="S1133">
        <v>31.4</v>
      </c>
      <c r="T1133">
        <v>28.6</v>
      </c>
      <c r="U1133">
        <v>4.3</v>
      </c>
      <c r="V1133">
        <v>7.1</v>
      </c>
    </row>
    <row r="1134" spans="1:22" x14ac:dyDescent="0.25">
      <c r="A1134" t="s">
        <v>2436</v>
      </c>
      <c r="B1134" t="s">
        <v>944</v>
      </c>
      <c r="C1134">
        <v>18</v>
      </c>
      <c r="D1134" t="s">
        <v>132</v>
      </c>
      <c r="E1134" t="s">
        <v>79</v>
      </c>
      <c r="F1134" t="s">
        <v>79</v>
      </c>
      <c r="G1134">
        <v>0.11</v>
      </c>
      <c r="H1134" t="s">
        <v>47</v>
      </c>
      <c r="I1134">
        <v>2</v>
      </c>
      <c r="J1134" t="str">
        <f>HYPERLINK("https://www.eliteprospects.com/player/419302/marc-antoine-mercier")</f>
        <v>https://www.eliteprospects.com/player/419302/marc-antoine-mercier</v>
      </c>
      <c r="K1134" t="s">
        <v>27</v>
      </c>
      <c r="L1134" t="s">
        <v>918</v>
      </c>
      <c r="M1134" t="s">
        <v>1296</v>
      </c>
      <c r="N1134">
        <v>5</v>
      </c>
      <c r="O1134" t="s">
        <v>1094</v>
      </c>
      <c r="P1134">
        <v>0.01</v>
      </c>
      <c r="Q1134" t="s">
        <v>245</v>
      </c>
      <c r="R1134">
        <v>28.6</v>
      </c>
      <c r="S1134">
        <v>31.4</v>
      </c>
      <c r="T1134">
        <v>28.6</v>
      </c>
      <c r="U1134">
        <v>4.3</v>
      </c>
      <c r="V1134">
        <v>7.1</v>
      </c>
    </row>
    <row r="1135" spans="1:22" x14ac:dyDescent="0.25">
      <c r="A1135" t="s">
        <v>2437</v>
      </c>
      <c r="B1135" t="s">
        <v>1084</v>
      </c>
      <c r="C1135">
        <v>19</v>
      </c>
      <c r="D1135" t="s">
        <v>132</v>
      </c>
      <c r="E1135" t="s">
        <v>79</v>
      </c>
      <c r="F1135" t="s">
        <v>79</v>
      </c>
      <c r="G1135">
        <v>0.11</v>
      </c>
      <c r="H1135" t="s">
        <v>79</v>
      </c>
      <c r="I1135">
        <v>0</v>
      </c>
      <c r="J1135" t="str">
        <f>HYPERLINK("https://www.eliteprospects.com/player/317488/bruce-coltart")</f>
        <v>https://www.eliteprospects.com/player/317488/bruce-coltart</v>
      </c>
      <c r="K1135" t="s">
        <v>27</v>
      </c>
      <c r="L1135" t="s">
        <v>918</v>
      </c>
      <c r="M1135" t="s">
        <v>1296</v>
      </c>
      <c r="N1135">
        <v>3</v>
      </c>
      <c r="O1135" t="s">
        <v>962</v>
      </c>
      <c r="P1135">
        <v>0.01</v>
      </c>
      <c r="Q1135" t="s">
        <v>245</v>
      </c>
      <c r="R1135">
        <v>28.6</v>
      </c>
      <c r="S1135">
        <v>31.4</v>
      </c>
      <c r="T1135">
        <v>28.6</v>
      </c>
      <c r="U1135">
        <v>4.3</v>
      </c>
      <c r="V1135">
        <v>7.1</v>
      </c>
    </row>
    <row r="1136" spans="1:22" x14ac:dyDescent="0.25">
      <c r="A1136" t="s">
        <v>2438</v>
      </c>
      <c r="B1136" t="s">
        <v>966</v>
      </c>
      <c r="C1136">
        <v>10</v>
      </c>
      <c r="D1136" t="s">
        <v>260</v>
      </c>
      <c r="E1136" t="s">
        <v>132</v>
      </c>
      <c r="F1136" t="s">
        <v>260</v>
      </c>
      <c r="G1136">
        <v>0.1</v>
      </c>
      <c r="H1136" t="s">
        <v>79</v>
      </c>
      <c r="I1136">
        <v>3</v>
      </c>
      <c r="J1136" t="str">
        <f>HYPERLINK("https://www.eliteprospects.com/player/516637/jordan-grill")</f>
        <v>https://www.eliteprospects.com/player/516637/jordan-grill</v>
      </c>
      <c r="K1136" t="s">
        <v>27</v>
      </c>
      <c r="L1136" t="s">
        <v>918</v>
      </c>
      <c r="M1136" t="s">
        <v>1296</v>
      </c>
      <c r="N1136">
        <v>1</v>
      </c>
      <c r="O1136" t="s">
        <v>984</v>
      </c>
      <c r="P1136">
        <v>0.01</v>
      </c>
      <c r="Q1136" t="s">
        <v>245</v>
      </c>
      <c r="R1136">
        <v>28.6</v>
      </c>
      <c r="S1136">
        <v>31.4</v>
      </c>
      <c r="T1136">
        <v>28.6</v>
      </c>
      <c r="U1136">
        <v>4.3</v>
      </c>
      <c r="V1136">
        <v>7.1</v>
      </c>
    </row>
    <row r="1137" spans="1:22" x14ac:dyDescent="0.25">
      <c r="A1137" t="s">
        <v>2439</v>
      </c>
      <c r="B1137" t="s">
        <v>961</v>
      </c>
      <c r="C1137">
        <v>10</v>
      </c>
      <c r="D1137" t="s">
        <v>260</v>
      </c>
      <c r="E1137" t="s">
        <v>132</v>
      </c>
      <c r="F1137" t="s">
        <v>260</v>
      </c>
      <c r="G1137">
        <v>0.1</v>
      </c>
      <c r="H1137" t="s">
        <v>66</v>
      </c>
      <c r="I1137">
        <v>0</v>
      </c>
      <c r="J1137" t="str">
        <f>HYPERLINK("https://www.eliteprospects.com/player/418343/samuel-willits")</f>
        <v>https://www.eliteprospects.com/player/418343/samuel-willits</v>
      </c>
      <c r="K1137" t="s">
        <v>27</v>
      </c>
      <c r="L1137" t="s">
        <v>918</v>
      </c>
      <c r="M1137" t="s">
        <v>1296</v>
      </c>
      <c r="N1137">
        <v>3</v>
      </c>
      <c r="O1137" t="s">
        <v>962</v>
      </c>
      <c r="P1137">
        <v>0.01</v>
      </c>
      <c r="Q1137" t="s">
        <v>245</v>
      </c>
      <c r="R1137">
        <v>28.6</v>
      </c>
      <c r="S1137">
        <v>31.4</v>
      </c>
      <c r="T1137">
        <v>28.6</v>
      </c>
      <c r="U1137">
        <v>4.3</v>
      </c>
      <c r="V1137">
        <v>7.1</v>
      </c>
    </row>
    <row r="1138" spans="1:22" x14ac:dyDescent="0.25">
      <c r="A1138" t="s">
        <v>2440</v>
      </c>
      <c r="B1138" t="s">
        <v>1032</v>
      </c>
      <c r="C1138">
        <v>10</v>
      </c>
      <c r="D1138" t="s">
        <v>260</v>
      </c>
      <c r="E1138" t="s">
        <v>132</v>
      </c>
      <c r="F1138" t="s">
        <v>260</v>
      </c>
      <c r="G1138">
        <v>0.1</v>
      </c>
      <c r="H1138" t="s">
        <v>23</v>
      </c>
      <c r="I1138">
        <v>0</v>
      </c>
      <c r="J1138" t="str">
        <f>HYPERLINK("https://www.eliteprospects.com/player/881775/brayden-velliaris")</f>
        <v>https://www.eliteprospects.com/player/881775/brayden-velliaris</v>
      </c>
      <c r="K1138" t="s">
        <v>27</v>
      </c>
      <c r="L1138" t="s">
        <v>918</v>
      </c>
      <c r="M1138" t="s">
        <v>1296</v>
      </c>
      <c r="N1138">
        <v>3</v>
      </c>
      <c r="O1138" t="s">
        <v>1211</v>
      </c>
      <c r="P1138">
        <v>0.01</v>
      </c>
      <c r="Q1138" t="s">
        <v>245</v>
      </c>
      <c r="R1138">
        <v>28.6</v>
      </c>
      <c r="S1138">
        <v>31.4</v>
      </c>
      <c r="T1138">
        <v>28.6</v>
      </c>
      <c r="U1138">
        <v>4.3</v>
      </c>
      <c r="V1138">
        <v>7.1</v>
      </c>
    </row>
    <row r="1139" spans="1:22" x14ac:dyDescent="0.25">
      <c r="A1139" t="s">
        <v>2441</v>
      </c>
      <c r="B1139" t="s">
        <v>1118</v>
      </c>
      <c r="C1139">
        <v>16</v>
      </c>
      <c r="D1139" t="s">
        <v>260</v>
      </c>
      <c r="E1139" t="s">
        <v>132</v>
      </c>
      <c r="F1139" t="s">
        <v>260</v>
      </c>
      <c r="G1139">
        <v>0.06</v>
      </c>
      <c r="H1139" t="s">
        <v>23</v>
      </c>
      <c r="I1139">
        <v>-12</v>
      </c>
      <c r="J1139" t="str">
        <f>HYPERLINK("https://www.eliteprospects.com/player/482790/ashton-fishley")</f>
        <v>https://www.eliteprospects.com/player/482790/ashton-fishley</v>
      </c>
      <c r="K1139" t="s">
        <v>27</v>
      </c>
      <c r="L1139" t="s">
        <v>918</v>
      </c>
      <c r="M1139" t="s">
        <v>1296</v>
      </c>
      <c r="N1139">
        <v>1</v>
      </c>
      <c r="O1139" t="s">
        <v>984</v>
      </c>
      <c r="P1139">
        <v>0.01</v>
      </c>
      <c r="Q1139" t="s">
        <v>245</v>
      </c>
      <c r="R1139">
        <v>28.6</v>
      </c>
      <c r="S1139">
        <v>31.4</v>
      </c>
      <c r="T1139">
        <v>28.6</v>
      </c>
      <c r="U1139">
        <v>4.3</v>
      </c>
      <c r="V1139">
        <v>7.1</v>
      </c>
    </row>
    <row r="1140" spans="1:22" x14ac:dyDescent="0.25">
      <c r="A1140" t="s">
        <v>2442</v>
      </c>
      <c r="B1140" t="s">
        <v>998</v>
      </c>
      <c r="C1140">
        <v>10</v>
      </c>
      <c r="D1140" t="s">
        <v>132</v>
      </c>
      <c r="E1140" t="s">
        <v>260</v>
      </c>
      <c r="F1140" t="s">
        <v>260</v>
      </c>
      <c r="G1140">
        <v>0.1</v>
      </c>
      <c r="H1140" t="s">
        <v>66</v>
      </c>
      <c r="I1140">
        <v>0</v>
      </c>
      <c r="J1140" t="str">
        <f>HYPERLINK("https://www.eliteprospects.com/player/485348/ethan-peters")</f>
        <v>https://www.eliteprospects.com/player/485348/ethan-peters</v>
      </c>
      <c r="K1140" t="s">
        <v>27</v>
      </c>
      <c r="L1140" t="s">
        <v>918</v>
      </c>
      <c r="M1140" t="s">
        <v>1296</v>
      </c>
      <c r="N1140">
        <v>5</v>
      </c>
      <c r="O1140" t="s">
        <v>979</v>
      </c>
      <c r="P1140">
        <v>0.01</v>
      </c>
      <c r="Q1140" t="s">
        <v>245</v>
      </c>
      <c r="R1140">
        <v>28.6</v>
      </c>
      <c r="S1140">
        <v>31.4</v>
      </c>
      <c r="T1140">
        <v>28.6</v>
      </c>
      <c r="U1140">
        <v>4.3</v>
      </c>
      <c r="V1140">
        <v>7.1</v>
      </c>
    </row>
    <row r="1141" spans="1:22" x14ac:dyDescent="0.25">
      <c r="A1141" t="s">
        <v>2443</v>
      </c>
      <c r="B1141" t="s">
        <v>934</v>
      </c>
      <c r="C1141">
        <v>11</v>
      </c>
      <c r="D1141" t="s">
        <v>132</v>
      </c>
      <c r="E1141" t="s">
        <v>260</v>
      </c>
      <c r="F1141" t="s">
        <v>260</v>
      </c>
      <c r="G1141">
        <v>0.09</v>
      </c>
      <c r="H1141" t="s">
        <v>57</v>
      </c>
      <c r="I1141">
        <v>0</v>
      </c>
      <c r="J1141" t="str">
        <f>HYPERLINK("https://www.eliteprospects.com/player/649403/roberto-mancini")</f>
        <v>https://www.eliteprospects.com/player/649403/roberto-mancini</v>
      </c>
      <c r="K1141" t="s">
        <v>27</v>
      </c>
      <c r="L1141" t="s">
        <v>918</v>
      </c>
      <c r="M1141" t="s">
        <v>1296</v>
      </c>
      <c r="N1141">
        <v>7</v>
      </c>
      <c r="O1141" t="s">
        <v>948</v>
      </c>
      <c r="P1141">
        <v>0.01</v>
      </c>
      <c r="Q1141" t="s">
        <v>245</v>
      </c>
      <c r="R1141">
        <v>28.6</v>
      </c>
      <c r="S1141">
        <v>31.4</v>
      </c>
      <c r="T1141">
        <v>28.6</v>
      </c>
      <c r="U1141">
        <v>4.3</v>
      </c>
      <c r="V1141">
        <v>7.1</v>
      </c>
    </row>
    <row r="1142" spans="1:22" x14ac:dyDescent="0.25">
      <c r="A1142" t="s">
        <v>2444</v>
      </c>
      <c r="B1142" t="s">
        <v>939</v>
      </c>
      <c r="C1142">
        <v>12</v>
      </c>
      <c r="D1142" t="s">
        <v>132</v>
      </c>
      <c r="E1142" t="s">
        <v>260</v>
      </c>
      <c r="F1142" t="s">
        <v>260</v>
      </c>
      <c r="G1142">
        <v>0.08</v>
      </c>
      <c r="H1142" t="s">
        <v>79</v>
      </c>
      <c r="I1142">
        <v>-4</v>
      </c>
      <c r="J1142" t="str">
        <f>HYPERLINK("https://www.eliteprospects.com/player/287452/ethan-regnier")</f>
        <v>https://www.eliteprospects.com/player/287452/ethan-regnier</v>
      </c>
      <c r="K1142" t="s">
        <v>27</v>
      </c>
      <c r="L1142" t="s">
        <v>918</v>
      </c>
      <c r="M1142" t="s">
        <v>1546</v>
      </c>
      <c r="N1142">
        <v>5</v>
      </c>
      <c r="O1142" t="s">
        <v>1107</v>
      </c>
      <c r="P1142">
        <v>0.01</v>
      </c>
      <c r="Q1142" t="s">
        <v>245</v>
      </c>
      <c r="R1142">
        <v>28.6</v>
      </c>
      <c r="S1142">
        <v>31.4</v>
      </c>
      <c r="T1142">
        <v>28.6</v>
      </c>
      <c r="U1142">
        <v>4.3</v>
      </c>
      <c r="V1142">
        <v>7.1</v>
      </c>
    </row>
    <row r="1143" spans="1:22" x14ac:dyDescent="0.25">
      <c r="A1143" t="s">
        <v>2445</v>
      </c>
      <c r="B1143" t="s">
        <v>957</v>
      </c>
      <c r="C1143">
        <v>12</v>
      </c>
      <c r="D1143" t="s">
        <v>132</v>
      </c>
      <c r="E1143" t="s">
        <v>260</v>
      </c>
      <c r="F1143" t="s">
        <v>260</v>
      </c>
      <c r="G1143">
        <v>0.08</v>
      </c>
      <c r="H1143" t="s">
        <v>79</v>
      </c>
      <c r="I1143">
        <v>2</v>
      </c>
      <c r="J1143" t="str">
        <f>HYPERLINK("https://www.eliteprospects.com/player/575016/dylan-bidyk")</f>
        <v>https://www.eliteprospects.com/player/575016/dylan-bidyk</v>
      </c>
      <c r="K1143" t="s">
        <v>27</v>
      </c>
      <c r="L1143" t="s">
        <v>918</v>
      </c>
      <c r="M1143" t="s">
        <v>1296</v>
      </c>
      <c r="N1143">
        <v>1</v>
      </c>
      <c r="O1143" t="s">
        <v>984</v>
      </c>
      <c r="P1143">
        <v>0.01</v>
      </c>
      <c r="Q1143" t="s">
        <v>245</v>
      </c>
      <c r="R1143">
        <v>28.6</v>
      </c>
      <c r="S1143">
        <v>31.4</v>
      </c>
      <c r="T1143">
        <v>28.6</v>
      </c>
      <c r="U1143">
        <v>4.3</v>
      </c>
      <c r="V1143">
        <v>7.1</v>
      </c>
    </row>
    <row r="1144" spans="1:22" x14ac:dyDescent="0.25">
      <c r="A1144" t="s">
        <v>2446</v>
      </c>
      <c r="B1144" t="s">
        <v>1118</v>
      </c>
      <c r="C1144">
        <v>12</v>
      </c>
      <c r="D1144" t="s">
        <v>132</v>
      </c>
      <c r="E1144" t="s">
        <v>260</v>
      </c>
      <c r="F1144" t="s">
        <v>260</v>
      </c>
      <c r="G1144">
        <v>0.08</v>
      </c>
      <c r="H1144" t="s">
        <v>26</v>
      </c>
      <c r="I1144">
        <v>-14</v>
      </c>
      <c r="J1144" t="str">
        <f>HYPERLINK("https://www.eliteprospects.com/player/560989/jaren-brinson")</f>
        <v>https://www.eliteprospects.com/player/560989/jaren-brinson</v>
      </c>
      <c r="K1144" t="s">
        <v>27</v>
      </c>
      <c r="L1144" t="s">
        <v>918</v>
      </c>
      <c r="M1144" t="s">
        <v>1296</v>
      </c>
      <c r="N1144">
        <v>5</v>
      </c>
      <c r="O1144" t="s">
        <v>979</v>
      </c>
      <c r="P1144">
        <v>0.01</v>
      </c>
      <c r="Q1144" t="s">
        <v>245</v>
      </c>
      <c r="R1144">
        <v>28.6</v>
      </c>
      <c r="S1144">
        <v>31.4</v>
      </c>
      <c r="T1144">
        <v>28.6</v>
      </c>
      <c r="U1144">
        <v>4.3</v>
      </c>
      <c r="V1144">
        <v>7.1</v>
      </c>
    </row>
    <row r="1145" spans="1:22" x14ac:dyDescent="0.25">
      <c r="A1145" t="s">
        <v>2447</v>
      </c>
      <c r="B1145" t="s">
        <v>1001</v>
      </c>
      <c r="C1145">
        <v>12</v>
      </c>
      <c r="D1145" t="s">
        <v>132</v>
      </c>
      <c r="E1145" t="s">
        <v>260</v>
      </c>
      <c r="F1145" t="s">
        <v>260</v>
      </c>
      <c r="G1145">
        <v>0.08</v>
      </c>
      <c r="H1145" t="s">
        <v>513</v>
      </c>
      <c r="I1145">
        <v>-12</v>
      </c>
      <c r="J1145" t="str">
        <f>HYPERLINK("https://www.eliteprospects.com/player/569196/liam-rodman")</f>
        <v>https://www.eliteprospects.com/player/569196/liam-rodman</v>
      </c>
      <c r="K1145" t="s">
        <v>27</v>
      </c>
      <c r="L1145" t="s">
        <v>918</v>
      </c>
      <c r="M1145" t="s">
        <v>1296</v>
      </c>
      <c r="N1145">
        <v>1</v>
      </c>
      <c r="O1145" t="s">
        <v>984</v>
      </c>
      <c r="P1145">
        <v>0.01</v>
      </c>
      <c r="Q1145" t="s">
        <v>245</v>
      </c>
      <c r="R1145">
        <v>28.6</v>
      </c>
      <c r="S1145">
        <v>31.4</v>
      </c>
      <c r="T1145">
        <v>28.6</v>
      </c>
      <c r="U1145">
        <v>4.3</v>
      </c>
      <c r="V1145">
        <v>7.1</v>
      </c>
    </row>
    <row r="1146" spans="1:22" x14ac:dyDescent="0.25">
      <c r="A1146" t="s">
        <v>2448</v>
      </c>
      <c r="B1146" t="s">
        <v>1038</v>
      </c>
      <c r="C1146">
        <v>13</v>
      </c>
      <c r="D1146" t="s">
        <v>132</v>
      </c>
      <c r="E1146" t="s">
        <v>260</v>
      </c>
      <c r="F1146" t="s">
        <v>260</v>
      </c>
      <c r="G1146">
        <v>0.08</v>
      </c>
      <c r="H1146" t="s">
        <v>66</v>
      </c>
      <c r="I1146">
        <v>0</v>
      </c>
      <c r="J1146" t="str">
        <f>HYPERLINK("https://www.eliteprospects.com/player/651971/ethan-mcfarland")</f>
        <v>https://www.eliteprospects.com/player/651971/ethan-mcfarland</v>
      </c>
      <c r="K1146" t="s">
        <v>27</v>
      </c>
      <c r="L1146" t="s">
        <v>918</v>
      </c>
      <c r="M1146" t="s">
        <v>1296</v>
      </c>
      <c r="N1146">
        <v>1</v>
      </c>
      <c r="O1146" t="s">
        <v>984</v>
      </c>
      <c r="P1146">
        <v>0.01</v>
      </c>
      <c r="Q1146" t="s">
        <v>245</v>
      </c>
      <c r="R1146">
        <v>28.6</v>
      </c>
      <c r="S1146">
        <v>31.4</v>
      </c>
      <c r="T1146">
        <v>28.6</v>
      </c>
      <c r="U1146">
        <v>4.3</v>
      </c>
      <c r="V1146">
        <v>7.1</v>
      </c>
    </row>
    <row r="1147" spans="1:22" x14ac:dyDescent="0.25">
      <c r="A1147" t="s">
        <v>2449</v>
      </c>
      <c r="B1147" t="s">
        <v>947</v>
      </c>
      <c r="C1147">
        <v>13</v>
      </c>
      <c r="D1147" t="s">
        <v>132</v>
      </c>
      <c r="E1147" t="s">
        <v>260</v>
      </c>
      <c r="F1147" t="s">
        <v>260</v>
      </c>
      <c r="G1147">
        <v>0.08</v>
      </c>
      <c r="H1147" t="s">
        <v>38</v>
      </c>
      <c r="I1147">
        <v>0</v>
      </c>
      <c r="J1147" t="str">
        <f>HYPERLINK("https://www.eliteprospects.com/player/506437/ethan-casper")</f>
        <v>https://www.eliteprospects.com/player/506437/ethan-casper</v>
      </c>
      <c r="K1147" t="s">
        <v>27</v>
      </c>
      <c r="L1147" t="s">
        <v>918</v>
      </c>
      <c r="M1147" t="s">
        <v>1296</v>
      </c>
      <c r="N1147">
        <v>1</v>
      </c>
      <c r="O1147" t="s">
        <v>984</v>
      </c>
      <c r="P1147">
        <v>0.01</v>
      </c>
      <c r="Q1147" t="s">
        <v>245</v>
      </c>
      <c r="R1147">
        <v>28.6</v>
      </c>
      <c r="S1147">
        <v>31.4</v>
      </c>
      <c r="T1147">
        <v>28.6</v>
      </c>
      <c r="U1147">
        <v>4.3</v>
      </c>
      <c r="V1147">
        <v>7.1</v>
      </c>
    </row>
    <row r="1148" spans="1:22" x14ac:dyDescent="0.25">
      <c r="A1148" t="s">
        <v>2450</v>
      </c>
      <c r="B1148" t="s">
        <v>961</v>
      </c>
      <c r="C1148">
        <v>13</v>
      </c>
      <c r="D1148" t="s">
        <v>132</v>
      </c>
      <c r="E1148" t="s">
        <v>260</v>
      </c>
      <c r="F1148" t="s">
        <v>260</v>
      </c>
      <c r="G1148">
        <v>0.08</v>
      </c>
      <c r="H1148" t="s">
        <v>55</v>
      </c>
      <c r="I1148">
        <v>0</v>
      </c>
      <c r="J1148" t="str">
        <f>HYPERLINK("https://www.eliteprospects.com/player/542042/anthony-allepot")</f>
        <v>https://www.eliteprospects.com/player/542042/anthony-allepot</v>
      </c>
      <c r="K1148" t="s">
        <v>27</v>
      </c>
      <c r="L1148" t="s">
        <v>918</v>
      </c>
      <c r="M1148" t="s">
        <v>1296</v>
      </c>
      <c r="N1148">
        <v>5</v>
      </c>
      <c r="O1148" t="s">
        <v>973</v>
      </c>
      <c r="P1148">
        <v>0.01</v>
      </c>
      <c r="Q1148" t="s">
        <v>245</v>
      </c>
      <c r="R1148">
        <v>28.6</v>
      </c>
      <c r="S1148">
        <v>31.4</v>
      </c>
      <c r="T1148">
        <v>28.6</v>
      </c>
      <c r="U1148">
        <v>4.3</v>
      </c>
      <c r="V1148">
        <v>7.1</v>
      </c>
    </row>
    <row r="1149" spans="1:22" x14ac:dyDescent="0.25">
      <c r="A1149" t="s">
        <v>2451</v>
      </c>
      <c r="B1149" t="s">
        <v>1011</v>
      </c>
      <c r="C1149">
        <v>15</v>
      </c>
      <c r="D1149" t="s">
        <v>132</v>
      </c>
      <c r="E1149" t="s">
        <v>260</v>
      </c>
      <c r="F1149" t="s">
        <v>260</v>
      </c>
      <c r="G1149">
        <v>7.0000000000000007E-2</v>
      </c>
      <c r="H1149" t="s">
        <v>79</v>
      </c>
      <c r="I1149">
        <v>-5</v>
      </c>
      <c r="J1149" t="str">
        <f>HYPERLINK("https://www.eliteprospects.com/player/660326/logan-cunningham")</f>
        <v>https://www.eliteprospects.com/player/660326/logan-cunningham</v>
      </c>
      <c r="K1149" t="s">
        <v>27</v>
      </c>
      <c r="L1149" t="s">
        <v>918</v>
      </c>
      <c r="M1149" t="s">
        <v>1296</v>
      </c>
      <c r="N1149">
        <v>5</v>
      </c>
      <c r="O1149" t="s">
        <v>979</v>
      </c>
      <c r="P1149">
        <v>0.01</v>
      </c>
      <c r="Q1149" t="s">
        <v>245</v>
      </c>
      <c r="R1149">
        <v>28.6</v>
      </c>
      <c r="S1149">
        <v>31.4</v>
      </c>
      <c r="T1149">
        <v>28.6</v>
      </c>
      <c r="U1149">
        <v>4.3</v>
      </c>
      <c r="V1149">
        <v>7.1</v>
      </c>
    </row>
    <row r="1150" spans="1:22" x14ac:dyDescent="0.25">
      <c r="A1150" t="s">
        <v>2452</v>
      </c>
      <c r="B1150" t="s">
        <v>1020</v>
      </c>
      <c r="C1150">
        <v>16</v>
      </c>
      <c r="D1150" t="s">
        <v>132</v>
      </c>
      <c r="E1150" t="s">
        <v>260</v>
      </c>
      <c r="F1150" t="s">
        <v>260</v>
      </c>
      <c r="G1150">
        <v>0.06</v>
      </c>
      <c r="H1150" t="s">
        <v>66</v>
      </c>
      <c r="I1150">
        <v>-11</v>
      </c>
      <c r="J1150" t="str">
        <f>HYPERLINK("https://www.eliteprospects.com/player/541162/adam-leitch")</f>
        <v>https://www.eliteprospects.com/player/541162/adam-leitch</v>
      </c>
      <c r="K1150" t="s">
        <v>27</v>
      </c>
      <c r="L1150" t="s">
        <v>918</v>
      </c>
      <c r="M1150" t="s">
        <v>1296</v>
      </c>
      <c r="N1150">
        <v>1</v>
      </c>
      <c r="O1150" t="s">
        <v>984</v>
      </c>
      <c r="P1150">
        <v>0.01</v>
      </c>
      <c r="Q1150" t="s">
        <v>245</v>
      </c>
      <c r="R1150">
        <v>28.6</v>
      </c>
      <c r="S1150">
        <v>31.4</v>
      </c>
      <c r="T1150">
        <v>28.6</v>
      </c>
      <c r="U1150">
        <v>4.3</v>
      </c>
      <c r="V1150">
        <v>7.1</v>
      </c>
    </row>
    <row r="1151" spans="1:22" x14ac:dyDescent="0.25">
      <c r="A1151" t="s">
        <v>2453</v>
      </c>
      <c r="B1151" t="s">
        <v>1015</v>
      </c>
      <c r="C1151">
        <v>16</v>
      </c>
      <c r="D1151" t="s">
        <v>132</v>
      </c>
      <c r="E1151" t="s">
        <v>260</v>
      </c>
      <c r="F1151" t="s">
        <v>260</v>
      </c>
      <c r="G1151">
        <v>0.06</v>
      </c>
      <c r="H1151" t="s">
        <v>32</v>
      </c>
      <c r="I1151">
        <v>0</v>
      </c>
      <c r="J1151" t="str">
        <f>HYPERLINK("https://www.eliteprospects.com/player/282492/konrad-belcourt")</f>
        <v>https://www.eliteprospects.com/player/282492/konrad-belcourt</v>
      </c>
      <c r="K1151" t="s">
        <v>27</v>
      </c>
      <c r="L1151" t="s">
        <v>918</v>
      </c>
      <c r="M1151" t="s">
        <v>1296</v>
      </c>
      <c r="N1151">
        <v>2</v>
      </c>
      <c r="O1151" t="s">
        <v>1021</v>
      </c>
      <c r="P1151">
        <v>0.01</v>
      </c>
      <c r="Q1151" t="s">
        <v>245</v>
      </c>
      <c r="R1151">
        <v>28.6</v>
      </c>
      <c r="S1151">
        <v>31.4</v>
      </c>
      <c r="T1151">
        <v>28.6</v>
      </c>
      <c r="U1151">
        <v>4.3</v>
      </c>
      <c r="V1151">
        <v>7.1</v>
      </c>
    </row>
    <row r="1152" spans="1:22" x14ac:dyDescent="0.25">
      <c r="A1152" t="s">
        <v>2454</v>
      </c>
      <c r="B1152" t="s">
        <v>998</v>
      </c>
      <c r="C1152">
        <v>16</v>
      </c>
      <c r="D1152" t="s">
        <v>132</v>
      </c>
      <c r="E1152" t="s">
        <v>260</v>
      </c>
      <c r="F1152" t="s">
        <v>260</v>
      </c>
      <c r="G1152">
        <v>0.06</v>
      </c>
      <c r="H1152" t="s">
        <v>23</v>
      </c>
      <c r="I1152">
        <v>0</v>
      </c>
      <c r="J1152" t="str">
        <f>HYPERLINK("https://www.eliteprospects.com/player/502874/cameron-morton")</f>
        <v>https://www.eliteprospects.com/player/502874/cameron-morton</v>
      </c>
      <c r="K1152" t="s">
        <v>27</v>
      </c>
      <c r="L1152" t="s">
        <v>918</v>
      </c>
      <c r="M1152" t="s">
        <v>1296</v>
      </c>
      <c r="N1152">
        <v>6</v>
      </c>
      <c r="O1152" t="s">
        <v>995</v>
      </c>
      <c r="P1152">
        <v>0.01</v>
      </c>
      <c r="Q1152" t="s">
        <v>245</v>
      </c>
      <c r="R1152">
        <v>28.6</v>
      </c>
      <c r="S1152">
        <v>31.4</v>
      </c>
      <c r="T1152">
        <v>28.6</v>
      </c>
      <c r="U1152">
        <v>4.3</v>
      </c>
      <c r="V1152">
        <v>7.1</v>
      </c>
    </row>
    <row r="1153" spans="1:22" x14ac:dyDescent="0.25">
      <c r="A1153" t="s">
        <v>2455</v>
      </c>
      <c r="B1153" t="s">
        <v>1053</v>
      </c>
      <c r="C1153">
        <v>17</v>
      </c>
      <c r="D1153" t="s">
        <v>132</v>
      </c>
      <c r="E1153" t="s">
        <v>260</v>
      </c>
      <c r="F1153" t="s">
        <v>260</v>
      </c>
      <c r="G1153">
        <v>0.06</v>
      </c>
      <c r="H1153" t="s">
        <v>66</v>
      </c>
      <c r="I1153">
        <v>0</v>
      </c>
      <c r="J1153" t="str">
        <f>HYPERLINK("https://www.eliteprospects.com/player/421644/logan-holm")</f>
        <v>https://www.eliteprospects.com/player/421644/logan-holm</v>
      </c>
      <c r="K1153" t="s">
        <v>27</v>
      </c>
      <c r="L1153" t="s">
        <v>918</v>
      </c>
      <c r="M1153" t="s">
        <v>1296</v>
      </c>
      <c r="N1153">
        <v>2</v>
      </c>
      <c r="O1153" t="s">
        <v>1021</v>
      </c>
      <c r="P1153">
        <v>0.01</v>
      </c>
      <c r="Q1153" t="s">
        <v>245</v>
      </c>
      <c r="R1153">
        <v>28.6</v>
      </c>
      <c r="S1153">
        <v>31.4</v>
      </c>
      <c r="T1153">
        <v>28.6</v>
      </c>
      <c r="U1153">
        <v>4.3</v>
      </c>
      <c r="V1153">
        <v>7.1</v>
      </c>
    </row>
    <row r="1154" spans="1:22" x14ac:dyDescent="0.25">
      <c r="A1154" t="s">
        <v>2456</v>
      </c>
      <c r="B1154" t="s">
        <v>954</v>
      </c>
      <c r="C1154">
        <v>17</v>
      </c>
      <c r="D1154" t="s">
        <v>132</v>
      </c>
      <c r="E1154" t="s">
        <v>260</v>
      </c>
      <c r="F1154" t="s">
        <v>260</v>
      </c>
      <c r="G1154">
        <v>0.06</v>
      </c>
      <c r="H1154" t="s">
        <v>38</v>
      </c>
      <c r="I1154">
        <v>0</v>
      </c>
      <c r="J1154" t="str">
        <f>HYPERLINK("https://www.eliteprospects.com/player/582559/cam-gauvreau")</f>
        <v>https://www.eliteprospects.com/player/582559/cam-gauvreau</v>
      </c>
      <c r="K1154" t="s">
        <v>27</v>
      </c>
      <c r="L1154" t="s">
        <v>918</v>
      </c>
      <c r="M1154" t="s">
        <v>1296</v>
      </c>
      <c r="N1154">
        <v>4</v>
      </c>
      <c r="O1154" t="s">
        <v>1025</v>
      </c>
      <c r="P1154">
        <v>0.01</v>
      </c>
      <c r="Q1154" t="s">
        <v>245</v>
      </c>
      <c r="R1154">
        <v>28.6</v>
      </c>
      <c r="S1154">
        <v>31.4</v>
      </c>
      <c r="T1154">
        <v>28.6</v>
      </c>
      <c r="U1154">
        <v>4.3</v>
      </c>
      <c r="V1154">
        <v>7.1</v>
      </c>
    </row>
    <row r="1155" spans="1:22" x14ac:dyDescent="0.25">
      <c r="A1155" t="s">
        <v>2457</v>
      </c>
      <c r="B1155" t="s">
        <v>1032</v>
      </c>
      <c r="C1155">
        <v>17</v>
      </c>
      <c r="D1155" t="s">
        <v>132</v>
      </c>
      <c r="E1155" t="s">
        <v>260</v>
      </c>
      <c r="F1155" t="s">
        <v>260</v>
      </c>
      <c r="G1155">
        <v>0.06</v>
      </c>
      <c r="H1155" t="s">
        <v>125</v>
      </c>
      <c r="I1155">
        <v>0</v>
      </c>
      <c r="J1155" t="str">
        <f>HYPERLINK("https://www.eliteprospects.com/player/413066/kieran-ruscheinski")</f>
        <v>https://www.eliteprospects.com/player/413066/kieran-ruscheinski</v>
      </c>
      <c r="K1155" t="s">
        <v>27</v>
      </c>
      <c r="L1155" t="s">
        <v>918</v>
      </c>
      <c r="M1155" t="s">
        <v>1296</v>
      </c>
      <c r="N1155">
        <v>3</v>
      </c>
      <c r="O1155" t="s">
        <v>1039</v>
      </c>
      <c r="P1155">
        <v>0.01</v>
      </c>
      <c r="Q1155" t="s">
        <v>245</v>
      </c>
      <c r="R1155">
        <v>28.6</v>
      </c>
      <c r="S1155">
        <v>31.4</v>
      </c>
      <c r="T1155">
        <v>28.6</v>
      </c>
      <c r="U1155">
        <v>4.3</v>
      </c>
      <c r="V1155">
        <v>7.1</v>
      </c>
    </row>
    <row r="1156" spans="1:22" x14ac:dyDescent="0.25">
      <c r="A1156" t="s">
        <v>2458</v>
      </c>
      <c r="B1156" t="s">
        <v>972</v>
      </c>
      <c r="C1156">
        <v>18</v>
      </c>
      <c r="D1156" t="s">
        <v>132</v>
      </c>
      <c r="E1156" t="s">
        <v>260</v>
      </c>
      <c r="F1156" t="s">
        <v>260</v>
      </c>
      <c r="G1156">
        <v>0.06</v>
      </c>
      <c r="H1156" t="s">
        <v>79</v>
      </c>
      <c r="I1156">
        <v>0</v>
      </c>
      <c r="J1156" t="str">
        <f>HYPERLINK("https://www.eliteprospects.com/player/675217/timothy-porter")</f>
        <v>https://www.eliteprospects.com/player/675217/timothy-porter</v>
      </c>
      <c r="K1156" t="s">
        <v>27</v>
      </c>
      <c r="L1156" t="s">
        <v>918</v>
      </c>
      <c r="M1156" t="s">
        <v>1296</v>
      </c>
      <c r="N1156">
        <v>1</v>
      </c>
      <c r="O1156" t="s">
        <v>984</v>
      </c>
      <c r="P1156">
        <v>0.01</v>
      </c>
      <c r="Q1156" t="s">
        <v>245</v>
      </c>
      <c r="R1156">
        <v>28.6</v>
      </c>
      <c r="S1156">
        <v>31.4</v>
      </c>
      <c r="T1156">
        <v>28.6</v>
      </c>
      <c r="U1156">
        <v>4.3</v>
      </c>
      <c r="V1156">
        <v>7.1</v>
      </c>
    </row>
    <row r="1157" spans="1:22" x14ac:dyDescent="0.25">
      <c r="A1157" t="s">
        <v>2459</v>
      </c>
      <c r="B1157" t="s">
        <v>991</v>
      </c>
      <c r="C1157">
        <v>18</v>
      </c>
      <c r="D1157" t="s">
        <v>132</v>
      </c>
      <c r="E1157" t="s">
        <v>260</v>
      </c>
      <c r="F1157" t="s">
        <v>260</v>
      </c>
      <c r="G1157">
        <v>0.06</v>
      </c>
      <c r="H1157" t="s">
        <v>32</v>
      </c>
      <c r="I1157">
        <v>0</v>
      </c>
      <c r="J1157" t="str">
        <f>HYPERLINK("https://www.eliteprospects.com/player/646143/cole-jenken")</f>
        <v>https://www.eliteprospects.com/player/646143/cole-jenken</v>
      </c>
      <c r="K1157" t="s">
        <v>27</v>
      </c>
      <c r="L1157" t="s">
        <v>918</v>
      </c>
      <c r="M1157" t="s">
        <v>1296</v>
      </c>
      <c r="N1157">
        <v>1</v>
      </c>
      <c r="O1157" t="s">
        <v>984</v>
      </c>
      <c r="P1157">
        <v>0.01</v>
      </c>
      <c r="Q1157" t="s">
        <v>245</v>
      </c>
      <c r="R1157">
        <v>28.6</v>
      </c>
      <c r="S1157">
        <v>31.4</v>
      </c>
      <c r="T1157">
        <v>28.6</v>
      </c>
      <c r="U1157">
        <v>4.3</v>
      </c>
      <c r="V1157">
        <v>7.1</v>
      </c>
    </row>
    <row r="1158" spans="1:22" x14ac:dyDescent="0.25">
      <c r="A1158" t="s">
        <v>2460</v>
      </c>
      <c r="B1158" t="s">
        <v>954</v>
      </c>
      <c r="C1158">
        <v>18</v>
      </c>
      <c r="D1158" t="s">
        <v>132</v>
      </c>
      <c r="E1158" t="s">
        <v>260</v>
      </c>
      <c r="F1158" t="s">
        <v>260</v>
      </c>
      <c r="G1158">
        <v>0.06</v>
      </c>
      <c r="H1158" t="s">
        <v>23</v>
      </c>
      <c r="I1158">
        <v>0</v>
      </c>
      <c r="J1158" t="str">
        <f>HYPERLINK("https://www.eliteprospects.com/player/413333/anson-mcmaster")</f>
        <v>https://www.eliteprospects.com/player/413333/anson-mcmaster</v>
      </c>
      <c r="K1158" t="s">
        <v>27</v>
      </c>
      <c r="L1158" t="s">
        <v>918</v>
      </c>
      <c r="M1158" t="s">
        <v>1296</v>
      </c>
      <c r="N1158">
        <v>6</v>
      </c>
      <c r="O1158" t="s">
        <v>924</v>
      </c>
      <c r="P1158">
        <v>0.01</v>
      </c>
      <c r="Q1158" t="s">
        <v>245</v>
      </c>
      <c r="R1158">
        <v>28.6</v>
      </c>
      <c r="S1158">
        <v>31.4</v>
      </c>
      <c r="T1158">
        <v>28.6</v>
      </c>
      <c r="U1158">
        <v>4.3</v>
      </c>
      <c r="V1158">
        <v>7.1</v>
      </c>
    </row>
    <row r="1159" spans="1:22" x14ac:dyDescent="0.25">
      <c r="A1159" t="s">
        <v>2461</v>
      </c>
      <c r="B1159" t="s">
        <v>1053</v>
      </c>
      <c r="C1159">
        <v>18</v>
      </c>
      <c r="D1159" t="s">
        <v>132</v>
      </c>
      <c r="E1159" t="s">
        <v>260</v>
      </c>
      <c r="F1159" t="s">
        <v>260</v>
      </c>
      <c r="G1159">
        <v>0.06</v>
      </c>
      <c r="H1159" t="s">
        <v>38</v>
      </c>
      <c r="I1159">
        <v>0</v>
      </c>
      <c r="J1159" t="str">
        <f>HYPERLINK("https://www.eliteprospects.com/player/506977/lucas-eagle")</f>
        <v>https://www.eliteprospects.com/player/506977/lucas-eagle</v>
      </c>
      <c r="K1159" t="s">
        <v>27</v>
      </c>
      <c r="L1159" t="s">
        <v>918</v>
      </c>
      <c r="M1159" t="s">
        <v>1296</v>
      </c>
      <c r="N1159">
        <v>2</v>
      </c>
      <c r="O1159" t="s">
        <v>1021</v>
      </c>
      <c r="P1159">
        <v>0.01</v>
      </c>
      <c r="Q1159" t="s">
        <v>245</v>
      </c>
      <c r="R1159">
        <v>28.6</v>
      </c>
      <c r="S1159">
        <v>31.4</v>
      </c>
      <c r="T1159">
        <v>28.6</v>
      </c>
      <c r="U1159">
        <v>4.3</v>
      </c>
      <c r="V1159">
        <v>7.1</v>
      </c>
    </row>
    <row r="1160" spans="1:22" x14ac:dyDescent="0.25">
      <c r="A1160" t="s">
        <v>2462</v>
      </c>
      <c r="B1160" t="s">
        <v>1001</v>
      </c>
      <c r="C1160">
        <v>19</v>
      </c>
      <c r="D1160" t="s">
        <v>132</v>
      </c>
      <c r="E1160" t="s">
        <v>260</v>
      </c>
      <c r="F1160" t="s">
        <v>260</v>
      </c>
      <c r="G1160">
        <v>0.05</v>
      </c>
      <c r="H1160" t="s">
        <v>55</v>
      </c>
      <c r="I1160">
        <v>-13</v>
      </c>
      <c r="J1160" t="str">
        <f>HYPERLINK("https://www.eliteprospects.com/player/563392/josh-o-connor")</f>
        <v>https://www.eliteprospects.com/player/563392/josh-o-connor</v>
      </c>
      <c r="K1160" t="s">
        <v>27</v>
      </c>
      <c r="L1160" t="s">
        <v>918</v>
      </c>
      <c r="M1160" t="s">
        <v>1296</v>
      </c>
      <c r="N1160">
        <v>1</v>
      </c>
      <c r="O1160" t="s">
        <v>984</v>
      </c>
      <c r="P1160">
        <v>0.01</v>
      </c>
      <c r="Q1160" t="s">
        <v>245</v>
      </c>
      <c r="R1160">
        <v>28.6</v>
      </c>
      <c r="S1160">
        <v>31.4</v>
      </c>
      <c r="T1160">
        <v>28.6</v>
      </c>
      <c r="U1160">
        <v>4.3</v>
      </c>
      <c r="V1160">
        <v>7.1</v>
      </c>
    </row>
    <row r="1161" spans="1:22" x14ac:dyDescent="0.25">
      <c r="A1161" t="s">
        <v>2463</v>
      </c>
      <c r="B1161" t="s">
        <v>957</v>
      </c>
      <c r="C1161">
        <v>10</v>
      </c>
      <c r="D1161" t="s">
        <v>132</v>
      </c>
      <c r="E1161" t="s">
        <v>132</v>
      </c>
      <c r="F1161" t="s">
        <v>132</v>
      </c>
      <c r="G1161">
        <v>0</v>
      </c>
      <c r="H1161" t="s">
        <v>66</v>
      </c>
      <c r="I1161">
        <v>-3</v>
      </c>
      <c r="J1161" t="str">
        <f>HYPERLINK("https://www.eliteprospects.com/player/476567/jack-parker")</f>
        <v>https://www.eliteprospects.com/player/476567/jack-parker</v>
      </c>
      <c r="K1161" t="s">
        <v>27</v>
      </c>
      <c r="L1161" t="s">
        <v>918</v>
      </c>
      <c r="M1161" t="s">
        <v>1296</v>
      </c>
      <c r="N1161">
        <v>2</v>
      </c>
      <c r="O1161" t="s">
        <v>1021</v>
      </c>
      <c r="P1161">
        <v>0</v>
      </c>
      <c r="Q1161" t="s">
        <v>245</v>
      </c>
      <c r="R1161">
        <v>28.6</v>
      </c>
      <c r="S1161">
        <v>31.4</v>
      </c>
      <c r="T1161">
        <v>28.6</v>
      </c>
      <c r="U1161">
        <v>4.3</v>
      </c>
      <c r="V1161">
        <v>7.1</v>
      </c>
    </row>
    <row r="1162" spans="1:22" x14ac:dyDescent="0.25">
      <c r="A1162" t="s">
        <v>2464</v>
      </c>
      <c r="B1162" t="s">
        <v>942</v>
      </c>
      <c r="C1162">
        <v>11</v>
      </c>
      <c r="D1162" t="s">
        <v>132</v>
      </c>
      <c r="E1162" t="s">
        <v>132</v>
      </c>
      <c r="F1162" t="s">
        <v>132</v>
      </c>
      <c r="G1162">
        <v>0</v>
      </c>
      <c r="H1162" t="s">
        <v>26</v>
      </c>
      <c r="I1162">
        <v>0</v>
      </c>
      <c r="J1162" t="str">
        <f>HYPERLINK("https://www.eliteprospects.com/player/559029/easton-kovacs")</f>
        <v>https://www.eliteprospects.com/player/559029/easton-kovacs</v>
      </c>
      <c r="K1162" t="s">
        <v>27</v>
      </c>
      <c r="L1162" t="s">
        <v>918</v>
      </c>
      <c r="M1162" t="s">
        <v>1296</v>
      </c>
      <c r="N1162">
        <v>5</v>
      </c>
      <c r="O1162" t="s">
        <v>979</v>
      </c>
      <c r="P1162">
        <v>0</v>
      </c>
      <c r="Q1162" t="s">
        <v>245</v>
      </c>
      <c r="R1162">
        <v>28.6</v>
      </c>
      <c r="S1162">
        <v>31.4</v>
      </c>
      <c r="T1162">
        <v>28.6</v>
      </c>
      <c r="U1162">
        <v>4.3</v>
      </c>
      <c r="V1162">
        <v>7.1</v>
      </c>
    </row>
    <row r="1163" spans="1:22" x14ac:dyDescent="0.25">
      <c r="A1163" t="s">
        <v>2465</v>
      </c>
      <c r="B1163" t="s">
        <v>1003</v>
      </c>
      <c r="C1163">
        <v>11</v>
      </c>
      <c r="D1163" t="s">
        <v>132</v>
      </c>
      <c r="E1163" t="s">
        <v>132</v>
      </c>
      <c r="F1163" t="s">
        <v>132</v>
      </c>
      <c r="G1163">
        <v>0</v>
      </c>
      <c r="H1163" t="s">
        <v>32</v>
      </c>
      <c r="I1163">
        <v>0</v>
      </c>
      <c r="J1163" t="str">
        <f>HYPERLINK("https://www.eliteprospects.com/player/483413/tayem-gislason")</f>
        <v>https://www.eliteprospects.com/player/483413/tayem-gislason</v>
      </c>
      <c r="K1163" t="s">
        <v>27</v>
      </c>
      <c r="L1163" t="s">
        <v>918</v>
      </c>
      <c r="M1163" t="s">
        <v>1296</v>
      </c>
      <c r="N1163">
        <v>4</v>
      </c>
      <c r="O1163" t="s">
        <v>978</v>
      </c>
      <c r="P1163">
        <v>0</v>
      </c>
      <c r="Q1163" t="s">
        <v>245</v>
      </c>
      <c r="R1163">
        <v>28.6</v>
      </c>
      <c r="S1163">
        <v>31.4</v>
      </c>
      <c r="T1163">
        <v>28.6</v>
      </c>
      <c r="U1163">
        <v>4.3</v>
      </c>
      <c r="V1163">
        <v>7.1</v>
      </c>
    </row>
    <row r="1164" spans="1:22" x14ac:dyDescent="0.25">
      <c r="A1164" t="s">
        <v>2466</v>
      </c>
      <c r="B1164" t="s">
        <v>1003</v>
      </c>
      <c r="C1164">
        <v>12</v>
      </c>
      <c r="D1164" t="s">
        <v>132</v>
      </c>
      <c r="E1164" t="s">
        <v>132</v>
      </c>
      <c r="F1164" t="s">
        <v>132</v>
      </c>
      <c r="G1164">
        <v>0</v>
      </c>
      <c r="H1164" t="s">
        <v>57</v>
      </c>
      <c r="I1164">
        <v>0</v>
      </c>
      <c r="J1164" t="str">
        <f>HYPERLINK("https://www.eliteprospects.com/player/651803/alexander-park")</f>
        <v>https://www.eliteprospects.com/player/651803/alexander-park</v>
      </c>
      <c r="K1164" t="s">
        <v>27</v>
      </c>
      <c r="L1164" t="s">
        <v>918</v>
      </c>
      <c r="M1164" t="s">
        <v>1296</v>
      </c>
      <c r="N1164">
        <v>1</v>
      </c>
      <c r="O1164" t="s">
        <v>984</v>
      </c>
      <c r="P1164">
        <v>0</v>
      </c>
      <c r="Q1164" t="s">
        <v>245</v>
      </c>
      <c r="R1164">
        <v>28.6</v>
      </c>
      <c r="S1164">
        <v>31.4</v>
      </c>
      <c r="T1164">
        <v>28.6</v>
      </c>
      <c r="U1164">
        <v>4.3</v>
      </c>
      <c r="V1164">
        <v>7.1</v>
      </c>
    </row>
    <row r="1165" spans="1:22" x14ac:dyDescent="0.25">
      <c r="A1165" t="s">
        <v>2467</v>
      </c>
      <c r="B1165" t="s">
        <v>1005</v>
      </c>
      <c r="C1165">
        <v>12</v>
      </c>
      <c r="D1165" t="s">
        <v>132</v>
      </c>
      <c r="E1165" t="s">
        <v>132</v>
      </c>
      <c r="F1165" t="s">
        <v>132</v>
      </c>
      <c r="G1165">
        <v>0</v>
      </c>
      <c r="H1165" t="s">
        <v>26</v>
      </c>
      <c r="I1165">
        <v>0</v>
      </c>
      <c r="J1165" t="str">
        <f>HYPERLINK("https://www.eliteprospects.com/player/577918/charles-poudrette")</f>
        <v>https://www.eliteprospects.com/player/577918/charles-poudrette</v>
      </c>
      <c r="K1165" t="s">
        <v>27</v>
      </c>
      <c r="L1165" t="s">
        <v>918</v>
      </c>
      <c r="M1165" t="s">
        <v>1296</v>
      </c>
      <c r="N1165">
        <v>1</v>
      </c>
      <c r="O1165" t="s">
        <v>984</v>
      </c>
      <c r="P1165">
        <v>0</v>
      </c>
      <c r="Q1165" t="s">
        <v>245</v>
      </c>
      <c r="R1165">
        <v>28.6</v>
      </c>
      <c r="S1165">
        <v>31.4</v>
      </c>
      <c r="T1165">
        <v>28.6</v>
      </c>
      <c r="U1165">
        <v>4.3</v>
      </c>
      <c r="V1165">
        <v>7.1</v>
      </c>
    </row>
    <row r="1166" spans="1:22" x14ac:dyDescent="0.25">
      <c r="A1166" t="s">
        <v>2468</v>
      </c>
      <c r="B1166" t="s">
        <v>1001</v>
      </c>
      <c r="C1166">
        <v>12</v>
      </c>
      <c r="D1166" t="s">
        <v>132</v>
      </c>
      <c r="E1166" t="s">
        <v>132</v>
      </c>
      <c r="F1166" t="s">
        <v>132</v>
      </c>
      <c r="G1166">
        <v>0</v>
      </c>
      <c r="H1166" t="s">
        <v>47</v>
      </c>
      <c r="I1166">
        <v>-13</v>
      </c>
      <c r="J1166" t="str">
        <f>HYPERLINK("https://www.eliteprospects.com/player/473291/zach-welsh")</f>
        <v>https://www.eliteprospects.com/player/473291/zach-welsh</v>
      </c>
      <c r="K1166" t="s">
        <v>27</v>
      </c>
      <c r="L1166" t="s">
        <v>918</v>
      </c>
      <c r="M1166" t="s">
        <v>1296</v>
      </c>
      <c r="N1166">
        <v>5</v>
      </c>
      <c r="O1166" t="s">
        <v>930</v>
      </c>
      <c r="P1166">
        <v>0</v>
      </c>
      <c r="Q1166" t="s">
        <v>245</v>
      </c>
      <c r="R1166">
        <v>28.6</v>
      </c>
      <c r="S1166">
        <v>31.4</v>
      </c>
      <c r="T1166">
        <v>28.6</v>
      </c>
      <c r="U1166">
        <v>4.3</v>
      </c>
      <c r="V1166">
        <v>7.1</v>
      </c>
    </row>
    <row r="1167" spans="1:22" x14ac:dyDescent="0.25">
      <c r="A1167" t="s">
        <v>2469</v>
      </c>
      <c r="B1167" t="s">
        <v>961</v>
      </c>
      <c r="C1167">
        <v>17</v>
      </c>
      <c r="D1167" t="s">
        <v>132</v>
      </c>
      <c r="E1167" t="s">
        <v>132</v>
      </c>
      <c r="F1167" t="s">
        <v>132</v>
      </c>
      <c r="G1167">
        <v>0</v>
      </c>
      <c r="H1167" t="s">
        <v>57</v>
      </c>
      <c r="I1167">
        <v>0</v>
      </c>
      <c r="J1167" t="str">
        <f>HYPERLINK("https://www.eliteprospects.com/player/730452/nathan-sauder")</f>
        <v>https://www.eliteprospects.com/player/730452/nathan-sauder</v>
      </c>
      <c r="K1167" t="s">
        <v>27</v>
      </c>
      <c r="L1167" t="s">
        <v>918</v>
      </c>
      <c r="M1167" t="s">
        <v>1296</v>
      </c>
      <c r="N1167">
        <v>5</v>
      </c>
      <c r="O1167" t="s">
        <v>1008</v>
      </c>
      <c r="P1167">
        <v>0</v>
      </c>
      <c r="Q1167" t="s">
        <v>245</v>
      </c>
      <c r="R1167">
        <v>28.6</v>
      </c>
      <c r="S1167">
        <v>31.4</v>
      </c>
      <c r="T1167">
        <v>28.6</v>
      </c>
      <c r="U1167">
        <v>4.3</v>
      </c>
      <c r="V1167">
        <v>7.1</v>
      </c>
    </row>
    <row r="1168" spans="1:22" x14ac:dyDescent="0.25">
      <c r="A1168" t="s">
        <v>2470</v>
      </c>
      <c r="B1168" t="s">
        <v>1084</v>
      </c>
      <c r="C1168">
        <v>17</v>
      </c>
      <c r="D1168" t="s">
        <v>132</v>
      </c>
      <c r="E1168" t="s">
        <v>132</v>
      </c>
      <c r="F1168" t="s">
        <v>132</v>
      </c>
      <c r="G1168">
        <v>0</v>
      </c>
      <c r="H1168" t="s">
        <v>46</v>
      </c>
      <c r="I1168">
        <v>0</v>
      </c>
      <c r="J1168" t="str">
        <f>HYPERLINK("https://www.eliteprospects.com/player/636112/wade-bolton")</f>
        <v>https://www.eliteprospects.com/player/636112/wade-bolton</v>
      </c>
      <c r="K1168" t="s">
        <v>27</v>
      </c>
      <c r="L1168" t="s">
        <v>918</v>
      </c>
      <c r="M1168" t="s">
        <v>1296</v>
      </c>
      <c r="N1168">
        <v>2</v>
      </c>
      <c r="O1168" t="s">
        <v>1021</v>
      </c>
      <c r="P1168">
        <v>0</v>
      </c>
      <c r="Q1168" t="s">
        <v>245</v>
      </c>
      <c r="R1168">
        <v>28.6</v>
      </c>
      <c r="S1168">
        <v>31.4</v>
      </c>
      <c r="T1168">
        <v>28.6</v>
      </c>
      <c r="U1168">
        <v>4.3</v>
      </c>
      <c r="V1168">
        <v>7.1</v>
      </c>
    </row>
    <row r="1169" spans="10:10" x14ac:dyDescent="0.25">
      <c r="J1169" s="4"/>
    </row>
    <row r="1170" spans="10:10" x14ac:dyDescent="0.25">
      <c r="J1170" s="4"/>
    </row>
    <row r="1171" spans="10:10" x14ac:dyDescent="0.25">
      <c r="J1171" s="4"/>
    </row>
    <row r="1172" spans="10:10" x14ac:dyDescent="0.25">
      <c r="J1172" s="4"/>
    </row>
    <row r="1173" spans="10:10" x14ac:dyDescent="0.25">
      <c r="J1173" s="4"/>
    </row>
    <row r="1174" spans="10:10" x14ac:dyDescent="0.25">
      <c r="J1174" s="4"/>
    </row>
    <row r="1175" spans="10:10" x14ac:dyDescent="0.25">
      <c r="J1175" s="4"/>
    </row>
    <row r="1176" spans="10:10" x14ac:dyDescent="0.25">
      <c r="J1176" s="4"/>
    </row>
    <row r="1177" spans="10:10" x14ac:dyDescent="0.25">
      <c r="J1177" s="4"/>
    </row>
    <row r="1178" spans="10:10" x14ac:dyDescent="0.25">
      <c r="J1178" s="4"/>
    </row>
    <row r="1179" spans="10:10" x14ac:dyDescent="0.25">
      <c r="J1179" s="4"/>
    </row>
    <row r="1180" spans="10:10" x14ac:dyDescent="0.25">
      <c r="J1180" s="4"/>
    </row>
    <row r="1181" spans="10:10" x14ac:dyDescent="0.25">
      <c r="J1181" s="4"/>
    </row>
    <row r="1182" spans="10:10" x14ac:dyDescent="0.25">
      <c r="J1182" s="4"/>
    </row>
    <row r="1183" spans="10:10" x14ac:dyDescent="0.25">
      <c r="J1183" s="4"/>
    </row>
    <row r="1184" spans="10:10" x14ac:dyDescent="0.25">
      <c r="J1184" s="4"/>
    </row>
    <row r="1185" spans="10:10" x14ac:dyDescent="0.25">
      <c r="J1185" s="4"/>
    </row>
    <row r="1186" spans="10:10" x14ac:dyDescent="0.25">
      <c r="J1186" s="4"/>
    </row>
    <row r="1187" spans="10:10" x14ac:dyDescent="0.25">
      <c r="J1187" s="4"/>
    </row>
    <row r="1188" spans="10:10" x14ac:dyDescent="0.25">
      <c r="J1188" s="4"/>
    </row>
    <row r="1189" spans="10:10" x14ac:dyDescent="0.25">
      <c r="J1189" s="4"/>
    </row>
    <row r="1190" spans="10:10" x14ac:dyDescent="0.25">
      <c r="J1190" s="4"/>
    </row>
    <row r="1191" spans="10:10" x14ac:dyDescent="0.25">
      <c r="J1191" s="4"/>
    </row>
    <row r="1192" spans="10:10" x14ac:dyDescent="0.25">
      <c r="J1192" s="4"/>
    </row>
    <row r="1193" spans="10:10" x14ac:dyDescent="0.25">
      <c r="J1193" s="4"/>
    </row>
    <row r="1194" spans="10:10" x14ac:dyDescent="0.25">
      <c r="J1194" s="4"/>
    </row>
    <row r="1195" spans="10:10" x14ac:dyDescent="0.25">
      <c r="J1195" s="4"/>
    </row>
    <row r="1196" spans="10:10" x14ac:dyDescent="0.25">
      <c r="J1196" s="4"/>
    </row>
    <row r="1197" spans="10:10" x14ac:dyDescent="0.25">
      <c r="J1197" s="4"/>
    </row>
    <row r="1198" spans="10:10" x14ac:dyDescent="0.25">
      <c r="J1198" s="4"/>
    </row>
    <row r="1199" spans="10:10" x14ac:dyDescent="0.25">
      <c r="J1199" s="4"/>
    </row>
    <row r="1200" spans="10:10" x14ac:dyDescent="0.25">
      <c r="J1200" s="4"/>
    </row>
    <row r="1201" spans="10:10" x14ac:dyDescent="0.25">
      <c r="J1201" s="4"/>
    </row>
    <row r="1202" spans="10:10" x14ac:dyDescent="0.25">
      <c r="J1202" s="4"/>
    </row>
    <row r="1203" spans="10:10" x14ac:dyDescent="0.25">
      <c r="J1203" s="4"/>
    </row>
    <row r="1204" spans="10:10" x14ac:dyDescent="0.25">
      <c r="J1204" s="4"/>
    </row>
    <row r="1205" spans="10:10" x14ac:dyDescent="0.25">
      <c r="J1205" s="4"/>
    </row>
    <row r="1206" spans="10:10" x14ac:dyDescent="0.25">
      <c r="J1206" s="4"/>
    </row>
    <row r="1207" spans="10:10" x14ac:dyDescent="0.25">
      <c r="J1207" s="4"/>
    </row>
    <row r="1208" spans="10:10" x14ac:dyDescent="0.25">
      <c r="J1208" s="4"/>
    </row>
    <row r="1209" spans="10:10" x14ac:dyDescent="0.25">
      <c r="J1209" s="4"/>
    </row>
    <row r="1210" spans="10:10" x14ac:dyDescent="0.25">
      <c r="J1210" s="4"/>
    </row>
    <row r="1211" spans="10:10" x14ac:dyDescent="0.25">
      <c r="J1211" s="4"/>
    </row>
    <row r="1212" spans="10:10" x14ac:dyDescent="0.25">
      <c r="J1212" s="4"/>
    </row>
    <row r="1213" spans="10:10" x14ac:dyDescent="0.25">
      <c r="J1213" s="4"/>
    </row>
    <row r="1214" spans="10:10" x14ac:dyDescent="0.25">
      <c r="J1214" s="4"/>
    </row>
    <row r="1215" spans="10:10" x14ac:dyDescent="0.25">
      <c r="J1215" s="4"/>
    </row>
    <row r="1216" spans="10:10" x14ac:dyDescent="0.25">
      <c r="J1216" s="4"/>
    </row>
    <row r="1217" spans="10:10" x14ac:dyDescent="0.25">
      <c r="J1217" s="4"/>
    </row>
    <row r="1218" spans="10:10" x14ac:dyDescent="0.25">
      <c r="J1218" s="4"/>
    </row>
    <row r="1219" spans="10:10" x14ac:dyDescent="0.25">
      <c r="J1219" s="4"/>
    </row>
    <row r="1220" spans="10:10" x14ac:dyDescent="0.25">
      <c r="J1220" s="4"/>
    </row>
    <row r="1221" spans="10:10" x14ac:dyDescent="0.25">
      <c r="J1221" s="4"/>
    </row>
    <row r="1222" spans="10:10" x14ac:dyDescent="0.25">
      <c r="J1222" s="4"/>
    </row>
    <row r="1223" spans="10:10" x14ac:dyDescent="0.25">
      <c r="J1223" s="4"/>
    </row>
    <row r="1224" spans="10:10" x14ac:dyDescent="0.25">
      <c r="J1224" s="4"/>
    </row>
    <row r="1225" spans="10:10" x14ac:dyDescent="0.25">
      <c r="J1225" s="4"/>
    </row>
    <row r="1226" spans="10:10" x14ac:dyDescent="0.25">
      <c r="J1226" s="4"/>
    </row>
    <row r="1227" spans="10:10" x14ac:dyDescent="0.25">
      <c r="J1227" s="4"/>
    </row>
    <row r="1228" spans="10:10" x14ac:dyDescent="0.25">
      <c r="J1228" s="4"/>
    </row>
    <row r="1229" spans="10:10" x14ac:dyDescent="0.25">
      <c r="J1229" s="4"/>
    </row>
    <row r="1230" spans="10:10" x14ac:dyDescent="0.25">
      <c r="J1230" s="4"/>
    </row>
    <row r="1231" spans="10:10" x14ac:dyDescent="0.25">
      <c r="J1231" s="4"/>
    </row>
    <row r="1232" spans="10:10" x14ac:dyDescent="0.25">
      <c r="J1232" s="4"/>
    </row>
    <row r="1233" spans="10:10" x14ac:dyDescent="0.25">
      <c r="J1233" s="4"/>
    </row>
    <row r="1234" spans="10:10" x14ac:dyDescent="0.25">
      <c r="J1234" s="4"/>
    </row>
    <row r="1235" spans="10:10" x14ac:dyDescent="0.25">
      <c r="J1235" s="4"/>
    </row>
    <row r="1236" spans="10:10" x14ac:dyDescent="0.25">
      <c r="J1236" s="4"/>
    </row>
    <row r="1237" spans="10:10" x14ac:dyDescent="0.25">
      <c r="J1237" s="4"/>
    </row>
    <row r="1238" spans="10:10" x14ac:dyDescent="0.25">
      <c r="J1238" s="4"/>
    </row>
    <row r="1239" spans="10:10" x14ac:dyDescent="0.25">
      <c r="J1239" s="4"/>
    </row>
    <row r="1240" spans="10:10" x14ac:dyDescent="0.25">
      <c r="J1240" s="4"/>
    </row>
    <row r="1241" spans="10:10" x14ac:dyDescent="0.25">
      <c r="J1241" s="4"/>
    </row>
    <row r="1242" spans="10:10" x14ac:dyDescent="0.25">
      <c r="J1242" s="4"/>
    </row>
    <row r="1243" spans="10:10" x14ac:dyDescent="0.25">
      <c r="J1243" s="4"/>
    </row>
    <row r="1244" spans="10:10" x14ac:dyDescent="0.25">
      <c r="J1244" s="4"/>
    </row>
    <row r="1245" spans="10:10" x14ac:dyDescent="0.25">
      <c r="J1245" s="4"/>
    </row>
    <row r="1246" spans="10:10" x14ac:dyDescent="0.25">
      <c r="J1246" s="4"/>
    </row>
    <row r="1247" spans="10:10" x14ac:dyDescent="0.25">
      <c r="J1247" s="4"/>
    </row>
    <row r="1248" spans="10:10" x14ac:dyDescent="0.25">
      <c r="J1248" s="4"/>
    </row>
    <row r="1249" spans="10:10" x14ac:dyDescent="0.25">
      <c r="J1249" s="4"/>
    </row>
    <row r="1250" spans="10:10" x14ac:dyDescent="0.25">
      <c r="J1250" s="4"/>
    </row>
    <row r="1251" spans="10:10" x14ac:dyDescent="0.25">
      <c r="J1251" s="4"/>
    </row>
    <row r="1252" spans="10:10" x14ac:dyDescent="0.25">
      <c r="J1252" s="4"/>
    </row>
    <row r="1253" spans="10:10" x14ac:dyDescent="0.25">
      <c r="J1253" s="4"/>
    </row>
    <row r="1254" spans="10:10" x14ac:dyDescent="0.25">
      <c r="J1254" s="4"/>
    </row>
    <row r="1255" spans="10:10" x14ac:dyDescent="0.25">
      <c r="J1255" s="4"/>
    </row>
    <row r="1256" spans="10:10" x14ac:dyDescent="0.25">
      <c r="J1256" s="4"/>
    </row>
    <row r="1257" spans="10:10" x14ac:dyDescent="0.25">
      <c r="J1257" s="4"/>
    </row>
    <row r="1258" spans="10:10" x14ac:dyDescent="0.25">
      <c r="J1258" s="4"/>
    </row>
    <row r="1259" spans="10:10" x14ac:dyDescent="0.25">
      <c r="J1259" s="4"/>
    </row>
    <row r="1260" spans="10:10" x14ac:dyDescent="0.25">
      <c r="J1260" s="4"/>
    </row>
    <row r="1261" spans="10:10" x14ac:dyDescent="0.25">
      <c r="J1261" s="4"/>
    </row>
    <row r="1262" spans="10:10" x14ac:dyDescent="0.25">
      <c r="J1262" s="4"/>
    </row>
    <row r="1263" spans="10:10" x14ac:dyDescent="0.25">
      <c r="J1263" s="4"/>
    </row>
    <row r="1264" spans="10:10" x14ac:dyDescent="0.25">
      <c r="J1264" s="4"/>
    </row>
    <row r="1265" spans="10:10" x14ac:dyDescent="0.25">
      <c r="J1265" s="4"/>
    </row>
    <row r="1266" spans="10:10" x14ac:dyDescent="0.25">
      <c r="J1266" s="4"/>
    </row>
    <row r="1267" spans="10:10" x14ac:dyDescent="0.25">
      <c r="J1267" s="4"/>
    </row>
    <row r="1268" spans="10:10" x14ac:dyDescent="0.25">
      <c r="J1268" s="4"/>
    </row>
    <row r="1269" spans="10:10" x14ac:dyDescent="0.25">
      <c r="J1269" s="4"/>
    </row>
    <row r="1270" spans="10:10" x14ac:dyDescent="0.25">
      <c r="J1270" s="4"/>
    </row>
    <row r="1271" spans="10:10" x14ac:dyDescent="0.25">
      <c r="J1271" s="4"/>
    </row>
    <row r="1272" spans="10:10" x14ac:dyDescent="0.25">
      <c r="J1272" s="4"/>
    </row>
    <row r="1273" spans="10:10" x14ac:dyDescent="0.25">
      <c r="J1273" s="4"/>
    </row>
    <row r="1274" spans="10:10" x14ac:dyDescent="0.25">
      <c r="J1274" s="4"/>
    </row>
    <row r="1275" spans="10:10" x14ac:dyDescent="0.25">
      <c r="J1275" s="4"/>
    </row>
    <row r="1276" spans="10:10" x14ac:dyDescent="0.25">
      <c r="J1276" s="4"/>
    </row>
    <row r="1277" spans="10:10" x14ac:dyDescent="0.25">
      <c r="J1277" s="4"/>
    </row>
    <row r="1278" spans="10:10" x14ac:dyDescent="0.25">
      <c r="J1278" s="4"/>
    </row>
    <row r="1279" spans="10:10" x14ac:dyDescent="0.25">
      <c r="J1279" s="4"/>
    </row>
    <row r="1280" spans="10:10" x14ac:dyDescent="0.25">
      <c r="J1280" s="4"/>
    </row>
    <row r="1281" spans="10:10" x14ac:dyDescent="0.25">
      <c r="J1281" s="4"/>
    </row>
    <row r="1282" spans="10:10" x14ac:dyDescent="0.25">
      <c r="J1282" s="4"/>
    </row>
    <row r="1283" spans="10:10" x14ac:dyDescent="0.25">
      <c r="J1283" s="4"/>
    </row>
    <row r="1284" spans="10:10" x14ac:dyDescent="0.25">
      <c r="J1284" s="4"/>
    </row>
    <row r="1285" spans="10:10" x14ac:dyDescent="0.25">
      <c r="J1285" s="4"/>
    </row>
    <row r="1286" spans="10:10" x14ac:dyDescent="0.25">
      <c r="J1286" s="4"/>
    </row>
    <row r="1287" spans="10:10" x14ac:dyDescent="0.25">
      <c r="J1287" s="4"/>
    </row>
    <row r="1288" spans="10:10" x14ac:dyDescent="0.25">
      <c r="J1288" s="4"/>
    </row>
    <row r="1289" spans="10:10" x14ac:dyDescent="0.25">
      <c r="J1289" s="4"/>
    </row>
    <row r="1290" spans="10:10" x14ac:dyDescent="0.25">
      <c r="J1290" s="4"/>
    </row>
    <row r="1291" spans="10:10" x14ac:dyDescent="0.25">
      <c r="J1291" s="4"/>
    </row>
    <row r="1292" spans="10:10" x14ac:dyDescent="0.25">
      <c r="J1292" s="4"/>
    </row>
    <row r="1293" spans="10:10" x14ac:dyDescent="0.25">
      <c r="J1293" s="4"/>
    </row>
    <row r="1294" spans="10:10" x14ac:dyDescent="0.25">
      <c r="J1294" s="4"/>
    </row>
    <row r="1295" spans="10:10" x14ac:dyDescent="0.25">
      <c r="J1295" s="4"/>
    </row>
    <row r="1296" spans="10:10" x14ac:dyDescent="0.25">
      <c r="J1296" s="4"/>
    </row>
    <row r="1297" spans="10:10" x14ac:dyDescent="0.25">
      <c r="J1297" s="4"/>
    </row>
    <row r="1298" spans="10:10" x14ac:dyDescent="0.25">
      <c r="J1298" s="4"/>
    </row>
    <row r="1299" spans="10:10" x14ac:dyDescent="0.25">
      <c r="J1299" s="4"/>
    </row>
    <row r="1300" spans="10:10" x14ac:dyDescent="0.25">
      <c r="J1300" s="4"/>
    </row>
    <row r="1301" spans="10:10" x14ac:dyDescent="0.25">
      <c r="J1301" s="4"/>
    </row>
    <row r="1302" spans="10:10" x14ac:dyDescent="0.25">
      <c r="J1302" s="4"/>
    </row>
    <row r="1303" spans="10:10" x14ac:dyDescent="0.25">
      <c r="J1303" s="4"/>
    </row>
    <row r="1304" spans="10:10" x14ac:dyDescent="0.25">
      <c r="J1304" s="4"/>
    </row>
    <row r="1305" spans="10:10" x14ac:dyDescent="0.25">
      <c r="J1305" s="4"/>
    </row>
    <row r="1306" spans="10:10" x14ac:dyDescent="0.25">
      <c r="J1306" s="4"/>
    </row>
    <row r="1307" spans="10:10" x14ac:dyDescent="0.25">
      <c r="J1307" s="4"/>
    </row>
    <row r="1308" spans="10:10" x14ac:dyDescent="0.25">
      <c r="J1308" s="4"/>
    </row>
    <row r="1309" spans="10:10" x14ac:dyDescent="0.25">
      <c r="J1309" s="4"/>
    </row>
    <row r="1310" spans="10:10" x14ac:dyDescent="0.25">
      <c r="J1310" s="4"/>
    </row>
    <row r="1311" spans="10:10" x14ac:dyDescent="0.25">
      <c r="J1311" s="4"/>
    </row>
    <row r="1312" spans="10:10" x14ac:dyDescent="0.25">
      <c r="J1312" s="4"/>
    </row>
    <row r="1313" spans="10:10" x14ac:dyDescent="0.25">
      <c r="J1313" s="4"/>
    </row>
    <row r="1314" spans="10:10" x14ac:dyDescent="0.25">
      <c r="J1314" s="4"/>
    </row>
    <row r="1315" spans="10:10" x14ac:dyDescent="0.25">
      <c r="J1315" s="4"/>
    </row>
    <row r="1316" spans="10:10" x14ac:dyDescent="0.25">
      <c r="J1316" s="4"/>
    </row>
    <row r="1317" spans="10:10" x14ac:dyDescent="0.25">
      <c r="J1317" s="4"/>
    </row>
    <row r="1318" spans="10:10" x14ac:dyDescent="0.25">
      <c r="J1318" s="4"/>
    </row>
    <row r="1319" spans="10:10" x14ac:dyDescent="0.25">
      <c r="J1319" s="4"/>
    </row>
    <row r="1320" spans="10:10" x14ac:dyDescent="0.25">
      <c r="J1320" s="4"/>
    </row>
    <row r="1321" spans="10:10" x14ac:dyDescent="0.25">
      <c r="J1321" s="4"/>
    </row>
    <row r="1322" spans="10:10" x14ac:dyDescent="0.25">
      <c r="J1322" s="4"/>
    </row>
    <row r="1323" spans="10:10" x14ac:dyDescent="0.25">
      <c r="J1323" s="4"/>
    </row>
    <row r="1324" spans="10:10" x14ac:dyDescent="0.25">
      <c r="J1324" s="4"/>
    </row>
    <row r="1325" spans="10:10" x14ac:dyDescent="0.25">
      <c r="J1325" s="4"/>
    </row>
    <row r="1326" spans="10:10" x14ac:dyDescent="0.25">
      <c r="J1326" s="4"/>
    </row>
    <row r="1327" spans="10:10" x14ac:dyDescent="0.25">
      <c r="J1327" s="4"/>
    </row>
    <row r="1328" spans="10:10" x14ac:dyDescent="0.25">
      <c r="J1328" s="4"/>
    </row>
    <row r="1329" spans="10:10" x14ac:dyDescent="0.25">
      <c r="J1329" s="4"/>
    </row>
    <row r="1330" spans="10:10" x14ac:dyDescent="0.25">
      <c r="J1330" s="4"/>
    </row>
    <row r="1331" spans="10:10" x14ac:dyDescent="0.25">
      <c r="J1331" s="4"/>
    </row>
    <row r="1332" spans="10:10" x14ac:dyDescent="0.25">
      <c r="J1332" s="4"/>
    </row>
    <row r="1333" spans="10:10" x14ac:dyDescent="0.25">
      <c r="J1333" s="4"/>
    </row>
    <row r="1334" spans="10:10" x14ac:dyDescent="0.25">
      <c r="J1334" s="4"/>
    </row>
    <row r="1335" spans="10:10" x14ac:dyDescent="0.25">
      <c r="J1335" s="4"/>
    </row>
    <row r="1336" spans="10:10" x14ac:dyDescent="0.25">
      <c r="J1336" s="4"/>
    </row>
    <row r="1337" spans="10:10" x14ac:dyDescent="0.25">
      <c r="J1337" s="4"/>
    </row>
    <row r="1338" spans="10:10" x14ac:dyDescent="0.25">
      <c r="J1338" s="4"/>
    </row>
    <row r="1339" spans="10:10" x14ac:dyDescent="0.25">
      <c r="J1339" s="4"/>
    </row>
    <row r="1340" spans="10:10" x14ac:dyDescent="0.25">
      <c r="J1340" s="4"/>
    </row>
    <row r="1341" spans="10:10" x14ac:dyDescent="0.25">
      <c r="J1341" s="4"/>
    </row>
    <row r="1342" spans="10:10" x14ac:dyDescent="0.25">
      <c r="J1342" s="4"/>
    </row>
    <row r="1343" spans="10:10" x14ac:dyDescent="0.25">
      <c r="J1343" s="4"/>
    </row>
    <row r="1344" spans="10:10" x14ac:dyDescent="0.25">
      <c r="J1344" s="4"/>
    </row>
    <row r="1345" spans="10:10" x14ac:dyDescent="0.25">
      <c r="J1345" s="4"/>
    </row>
    <row r="1346" spans="10:10" x14ac:dyDescent="0.25">
      <c r="J1346" s="4"/>
    </row>
    <row r="1347" spans="10:10" x14ac:dyDescent="0.25">
      <c r="J1347" s="4"/>
    </row>
    <row r="1348" spans="10:10" x14ac:dyDescent="0.25">
      <c r="J1348" s="4"/>
    </row>
    <row r="1349" spans="10:10" x14ac:dyDescent="0.25">
      <c r="J1349" s="4"/>
    </row>
    <row r="1350" spans="10:10" x14ac:dyDescent="0.25">
      <c r="J1350" s="4"/>
    </row>
    <row r="1351" spans="10:10" x14ac:dyDescent="0.25">
      <c r="J1351" s="4"/>
    </row>
    <row r="1352" spans="10:10" x14ac:dyDescent="0.25">
      <c r="J1352" s="4"/>
    </row>
    <row r="1353" spans="10:10" x14ac:dyDescent="0.25">
      <c r="J1353" s="4"/>
    </row>
    <row r="1354" spans="10:10" x14ac:dyDescent="0.25">
      <c r="J1354" s="4"/>
    </row>
    <row r="1355" spans="10:10" x14ac:dyDescent="0.25">
      <c r="J1355" s="4"/>
    </row>
    <row r="1356" spans="10:10" x14ac:dyDescent="0.25">
      <c r="J1356" s="4"/>
    </row>
    <row r="1357" spans="10:10" x14ac:dyDescent="0.25">
      <c r="J1357" s="4"/>
    </row>
    <row r="1358" spans="10:10" x14ac:dyDescent="0.25">
      <c r="J1358" s="4"/>
    </row>
    <row r="1359" spans="10:10" x14ac:dyDescent="0.25">
      <c r="J1359" s="4"/>
    </row>
    <row r="1360" spans="10:10" x14ac:dyDescent="0.25">
      <c r="J1360" s="4"/>
    </row>
    <row r="1361" spans="10:10" x14ac:dyDescent="0.25">
      <c r="J1361" s="4"/>
    </row>
    <row r="1362" spans="10:10" x14ac:dyDescent="0.25">
      <c r="J1362" s="4"/>
    </row>
    <row r="1363" spans="10:10" x14ac:dyDescent="0.25">
      <c r="J1363" s="4"/>
    </row>
    <row r="1364" spans="10:10" x14ac:dyDescent="0.25">
      <c r="J1364" s="4"/>
    </row>
    <row r="1365" spans="10:10" x14ac:dyDescent="0.25">
      <c r="J1365" s="4"/>
    </row>
    <row r="1366" spans="10:10" x14ac:dyDescent="0.25">
      <c r="J1366" s="4"/>
    </row>
    <row r="1367" spans="10:10" x14ac:dyDescent="0.25">
      <c r="J1367" s="4"/>
    </row>
    <row r="1368" spans="10:10" x14ac:dyDescent="0.25">
      <c r="J1368" s="4"/>
    </row>
    <row r="1369" spans="10:10" x14ac:dyDescent="0.25">
      <c r="J1369" s="4"/>
    </row>
    <row r="1370" spans="10:10" x14ac:dyDescent="0.25">
      <c r="J1370" s="4"/>
    </row>
    <row r="1371" spans="10:10" x14ac:dyDescent="0.25">
      <c r="J1371" s="4"/>
    </row>
    <row r="1372" spans="10:10" x14ac:dyDescent="0.25">
      <c r="J1372" s="4"/>
    </row>
    <row r="1373" spans="10:10" x14ac:dyDescent="0.25">
      <c r="J1373" s="4"/>
    </row>
    <row r="1374" spans="10:10" x14ac:dyDescent="0.25">
      <c r="J1374" s="4"/>
    </row>
    <row r="1375" spans="10:10" x14ac:dyDescent="0.25">
      <c r="J1375" s="4"/>
    </row>
    <row r="1376" spans="10:10" x14ac:dyDescent="0.25">
      <c r="J1376" s="4"/>
    </row>
    <row r="1377" spans="10:10" x14ac:dyDescent="0.25">
      <c r="J1377" s="4"/>
    </row>
    <row r="1378" spans="10:10" x14ac:dyDescent="0.25">
      <c r="J1378" s="4"/>
    </row>
    <row r="1379" spans="10:10" x14ac:dyDescent="0.25">
      <c r="J1379" s="4"/>
    </row>
    <row r="1380" spans="10:10" x14ac:dyDescent="0.25">
      <c r="J1380" s="4"/>
    </row>
    <row r="1381" spans="10:10" x14ac:dyDescent="0.25">
      <c r="J1381" s="4"/>
    </row>
    <row r="1382" spans="10:10" x14ac:dyDescent="0.25">
      <c r="J1382" s="4"/>
    </row>
    <row r="1383" spans="10:10" x14ac:dyDescent="0.25">
      <c r="J1383" s="4"/>
    </row>
    <row r="1384" spans="10:10" x14ac:dyDescent="0.25">
      <c r="J1384" s="4"/>
    </row>
    <row r="1385" spans="10:10" x14ac:dyDescent="0.25">
      <c r="J1385" s="4"/>
    </row>
    <row r="1386" spans="10:10" x14ac:dyDescent="0.25">
      <c r="J1386" s="4"/>
    </row>
    <row r="1387" spans="10:10" x14ac:dyDescent="0.25">
      <c r="J1387" s="4"/>
    </row>
    <row r="1388" spans="10:10" x14ac:dyDescent="0.25">
      <c r="J1388" s="4"/>
    </row>
    <row r="1389" spans="10:10" x14ac:dyDescent="0.25">
      <c r="J1389" s="4"/>
    </row>
    <row r="1390" spans="10:10" x14ac:dyDescent="0.25">
      <c r="J1390" s="4"/>
    </row>
    <row r="1391" spans="10:10" x14ac:dyDescent="0.25">
      <c r="J1391" s="4"/>
    </row>
    <row r="1392" spans="10:10" x14ac:dyDescent="0.25">
      <c r="J1392" s="4"/>
    </row>
    <row r="1393" spans="10:10" x14ac:dyDescent="0.25">
      <c r="J1393" s="4"/>
    </row>
    <row r="1394" spans="10:10" x14ac:dyDescent="0.25">
      <c r="J1394" s="4"/>
    </row>
    <row r="1395" spans="10:10" x14ac:dyDescent="0.25">
      <c r="J1395" s="4"/>
    </row>
    <row r="1396" spans="10:10" x14ac:dyDescent="0.25">
      <c r="J1396" s="4"/>
    </row>
    <row r="1397" spans="10:10" x14ac:dyDescent="0.25">
      <c r="J1397" s="4"/>
    </row>
    <row r="1398" spans="10:10" x14ac:dyDescent="0.25">
      <c r="J1398" s="4"/>
    </row>
    <row r="1399" spans="10:10" x14ac:dyDescent="0.25">
      <c r="J1399" s="4"/>
    </row>
    <row r="1400" spans="10:10" x14ac:dyDescent="0.25">
      <c r="J1400" s="4"/>
    </row>
    <row r="1401" spans="10:10" x14ac:dyDescent="0.25">
      <c r="J1401" s="4"/>
    </row>
    <row r="1402" spans="10:10" x14ac:dyDescent="0.25">
      <c r="J1402" s="4"/>
    </row>
    <row r="1403" spans="10:10" x14ac:dyDescent="0.25">
      <c r="J1403" s="4"/>
    </row>
    <row r="1404" spans="10:10" x14ac:dyDescent="0.25">
      <c r="J1404" s="4"/>
    </row>
    <row r="1405" spans="10:10" x14ac:dyDescent="0.25">
      <c r="J1405" s="4"/>
    </row>
    <row r="1406" spans="10:10" x14ac:dyDescent="0.25">
      <c r="J1406" s="4"/>
    </row>
    <row r="1407" spans="10:10" x14ac:dyDescent="0.25">
      <c r="J1407" s="4"/>
    </row>
    <row r="1408" spans="10:10" x14ac:dyDescent="0.25">
      <c r="J1408" s="4"/>
    </row>
    <row r="1409" spans="10:10" x14ac:dyDescent="0.25">
      <c r="J1409" s="4"/>
    </row>
    <row r="1410" spans="10:10" x14ac:dyDescent="0.25">
      <c r="J1410" s="4"/>
    </row>
    <row r="1411" spans="10:10" x14ac:dyDescent="0.25">
      <c r="J1411" s="4"/>
    </row>
    <row r="1412" spans="10:10" x14ac:dyDescent="0.25">
      <c r="J1412" s="4"/>
    </row>
    <row r="1413" spans="10:10" x14ac:dyDescent="0.25">
      <c r="J1413" s="4"/>
    </row>
    <row r="1414" spans="10:10" x14ac:dyDescent="0.25">
      <c r="J1414" s="4"/>
    </row>
    <row r="1415" spans="10:10" x14ac:dyDescent="0.25">
      <c r="J1415" s="4"/>
    </row>
    <row r="1416" spans="10:10" x14ac:dyDescent="0.25">
      <c r="J1416" s="4"/>
    </row>
    <row r="1417" spans="10:10" x14ac:dyDescent="0.25">
      <c r="J1417" s="4"/>
    </row>
    <row r="1418" spans="10:10" x14ac:dyDescent="0.25">
      <c r="J1418" s="4"/>
    </row>
    <row r="1419" spans="10:10" x14ac:dyDescent="0.25">
      <c r="J1419" s="4"/>
    </row>
    <row r="1420" spans="10:10" x14ac:dyDescent="0.25">
      <c r="J1420" s="4"/>
    </row>
    <row r="1421" spans="10:10" x14ac:dyDescent="0.25">
      <c r="J1421" s="4"/>
    </row>
    <row r="1422" spans="10:10" x14ac:dyDescent="0.25">
      <c r="J1422" s="4"/>
    </row>
    <row r="1423" spans="10:10" x14ac:dyDescent="0.25">
      <c r="J1423" s="4"/>
    </row>
    <row r="1424" spans="10:10" x14ac:dyDescent="0.25">
      <c r="J1424" s="4"/>
    </row>
    <row r="1425" spans="10:10" x14ac:dyDescent="0.25">
      <c r="J1425" s="4"/>
    </row>
    <row r="1426" spans="10:10" x14ac:dyDescent="0.25">
      <c r="J1426" s="4"/>
    </row>
    <row r="1427" spans="10:10" x14ac:dyDescent="0.25">
      <c r="J1427" s="4"/>
    </row>
    <row r="1428" spans="10:10" x14ac:dyDescent="0.25">
      <c r="J1428" s="4"/>
    </row>
    <row r="1429" spans="10:10" x14ac:dyDescent="0.25">
      <c r="J1429" s="4"/>
    </row>
    <row r="1430" spans="10:10" x14ac:dyDescent="0.25">
      <c r="J1430" s="4"/>
    </row>
    <row r="1431" spans="10:10" x14ac:dyDescent="0.25">
      <c r="J1431" s="4"/>
    </row>
    <row r="1432" spans="10:10" x14ac:dyDescent="0.25">
      <c r="J1432" s="4"/>
    </row>
    <row r="1433" spans="10:10" x14ac:dyDescent="0.25">
      <c r="J1433" s="4"/>
    </row>
    <row r="1434" spans="10:10" x14ac:dyDescent="0.25">
      <c r="J1434" s="4"/>
    </row>
    <row r="1435" spans="10:10" x14ac:dyDescent="0.25">
      <c r="J1435" s="4"/>
    </row>
    <row r="1436" spans="10:10" x14ac:dyDescent="0.25">
      <c r="J1436" s="4"/>
    </row>
    <row r="1437" spans="10:10" x14ac:dyDescent="0.25">
      <c r="J1437" s="4"/>
    </row>
    <row r="1438" spans="10:10" x14ac:dyDescent="0.25">
      <c r="J1438" s="4"/>
    </row>
    <row r="1439" spans="10:10" x14ac:dyDescent="0.25">
      <c r="J1439" s="4"/>
    </row>
    <row r="1440" spans="10:10" x14ac:dyDescent="0.25">
      <c r="J1440" s="4"/>
    </row>
    <row r="1441" spans="10:10" x14ac:dyDescent="0.25">
      <c r="J1441" s="4"/>
    </row>
    <row r="1442" spans="10:10" x14ac:dyDescent="0.25">
      <c r="J1442" s="4"/>
    </row>
    <row r="1443" spans="10:10" x14ac:dyDescent="0.25">
      <c r="J1443" s="4"/>
    </row>
    <row r="1444" spans="10:10" x14ac:dyDescent="0.25">
      <c r="J1444" s="4"/>
    </row>
    <row r="1445" spans="10:10" x14ac:dyDescent="0.25">
      <c r="J1445" s="4"/>
    </row>
    <row r="1446" spans="10:10" x14ac:dyDescent="0.25">
      <c r="J1446" s="4"/>
    </row>
    <row r="1447" spans="10:10" x14ac:dyDescent="0.25">
      <c r="J1447" s="4"/>
    </row>
    <row r="1448" spans="10:10" x14ac:dyDescent="0.25">
      <c r="J1448" s="4"/>
    </row>
    <row r="1449" spans="10:10" x14ac:dyDescent="0.25">
      <c r="J1449" s="4"/>
    </row>
    <row r="1450" spans="10:10" x14ac:dyDescent="0.25">
      <c r="J1450" s="4"/>
    </row>
    <row r="1451" spans="10:10" x14ac:dyDescent="0.25">
      <c r="J1451" s="4"/>
    </row>
    <row r="1452" spans="10:10" x14ac:dyDescent="0.25">
      <c r="J1452" s="4"/>
    </row>
    <row r="1453" spans="10:10" x14ac:dyDescent="0.25">
      <c r="J1453" s="4"/>
    </row>
    <row r="1454" spans="10:10" x14ac:dyDescent="0.25">
      <c r="J1454" s="4"/>
    </row>
    <row r="1455" spans="10:10" x14ac:dyDescent="0.25">
      <c r="J1455" s="4"/>
    </row>
    <row r="1456" spans="10:10" x14ac:dyDescent="0.25">
      <c r="J1456" s="4"/>
    </row>
    <row r="1457" spans="10:10" x14ac:dyDescent="0.25">
      <c r="J1457" s="4"/>
    </row>
    <row r="1458" spans="10:10" x14ac:dyDescent="0.25">
      <c r="J1458" s="4"/>
    </row>
    <row r="1459" spans="10:10" x14ac:dyDescent="0.25">
      <c r="J1459" s="4"/>
    </row>
    <row r="1460" spans="10:10" x14ac:dyDescent="0.25">
      <c r="J1460" s="4"/>
    </row>
    <row r="1461" spans="10:10" x14ac:dyDescent="0.25">
      <c r="J1461" s="4"/>
    </row>
    <row r="1462" spans="10:10" x14ac:dyDescent="0.25">
      <c r="J1462" s="4"/>
    </row>
    <row r="1463" spans="10:10" x14ac:dyDescent="0.25">
      <c r="J1463" s="4"/>
    </row>
    <row r="1464" spans="10:10" x14ac:dyDescent="0.25">
      <c r="J1464" s="4"/>
    </row>
    <row r="1465" spans="10:10" x14ac:dyDescent="0.25">
      <c r="J1465" s="4"/>
    </row>
    <row r="1466" spans="10:10" x14ac:dyDescent="0.25">
      <c r="J1466" s="4"/>
    </row>
    <row r="1467" spans="10:10" x14ac:dyDescent="0.25">
      <c r="J1467" s="4"/>
    </row>
    <row r="1468" spans="10:10" x14ac:dyDescent="0.25">
      <c r="J1468" s="4"/>
    </row>
    <row r="1469" spans="10:10" x14ac:dyDescent="0.25">
      <c r="J1469" s="4"/>
    </row>
    <row r="1470" spans="10:10" x14ac:dyDescent="0.25">
      <c r="J1470" s="4"/>
    </row>
    <row r="1471" spans="10:10" x14ac:dyDescent="0.25">
      <c r="J1471" s="4"/>
    </row>
    <row r="1472" spans="10:10" x14ac:dyDescent="0.25">
      <c r="J1472" s="4"/>
    </row>
    <row r="1473" spans="10:10" x14ac:dyDescent="0.25">
      <c r="J1473" s="4"/>
    </row>
    <row r="1474" spans="10:10" x14ac:dyDescent="0.25">
      <c r="J1474" s="4"/>
    </row>
    <row r="1475" spans="10:10" x14ac:dyDescent="0.25">
      <c r="J1475" s="4"/>
    </row>
    <row r="1476" spans="10:10" x14ac:dyDescent="0.25">
      <c r="J1476" s="4"/>
    </row>
    <row r="1477" spans="10:10" x14ac:dyDescent="0.25">
      <c r="J1477" s="4"/>
    </row>
    <row r="1478" spans="10:10" x14ac:dyDescent="0.25">
      <c r="J1478" s="4"/>
    </row>
    <row r="1479" spans="10:10" x14ac:dyDescent="0.25">
      <c r="J1479" s="4"/>
    </row>
    <row r="1480" spans="10:10" x14ac:dyDescent="0.25">
      <c r="J1480" s="4"/>
    </row>
    <row r="1481" spans="10:10" x14ac:dyDescent="0.25">
      <c r="J1481" s="4"/>
    </row>
    <row r="1482" spans="10:10" x14ac:dyDescent="0.25">
      <c r="J1482" s="4"/>
    </row>
    <row r="1483" spans="10:10" x14ac:dyDescent="0.25">
      <c r="J1483" s="4"/>
    </row>
    <row r="1484" spans="10:10" x14ac:dyDescent="0.25">
      <c r="J1484" s="4"/>
    </row>
    <row r="1485" spans="10:10" x14ac:dyDescent="0.25">
      <c r="J1485" s="4"/>
    </row>
    <row r="1486" spans="10:10" x14ac:dyDescent="0.25">
      <c r="J1486" s="4"/>
    </row>
    <row r="1487" spans="10:10" x14ac:dyDescent="0.25">
      <c r="J1487" s="4"/>
    </row>
    <row r="1488" spans="10:10" x14ac:dyDescent="0.25">
      <c r="J1488" s="4"/>
    </row>
    <row r="1489" spans="10:10" x14ac:dyDescent="0.25">
      <c r="J1489" s="4"/>
    </row>
    <row r="1490" spans="10:10" x14ac:dyDescent="0.25">
      <c r="J1490" s="4"/>
    </row>
    <row r="1491" spans="10:10" x14ac:dyDescent="0.25">
      <c r="J1491" s="4"/>
    </row>
    <row r="1492" spans="10:10" x14ac:dyDescent="0.25">
      <c r="J1492" s="4"/>
    </row>
    <row r="1493" spans="10:10" x14ac:dyDescent="0.25">
      <c r="J1493" s="4"/>
    </row>
    <row r="1494" spans="10:10" x14ac:dyDescent="0.25">
      <c r="J1494" s="4"/>
    </row>
    <row r="1495" spans="10:10" x14ac:dyDescent="0.25">
      <c r="J1495" s="4"/>
    </row>
    <row r="1496" spans="10:10" x14ac:dyDescent="0.25">
      <c r="J1496" s="4"/>
    </row>
    <row r="1497" spans="10:10" x14ac:dyDescent="0.25">
      <c r="J1497" s="4"/>
    </row>
    <row r="1498" spans="10:10" x14ac:dyDescent="0.25">
      <c r="J1498" s="4"/>
    </row>
    <row r="1499" spans="10:10" x14ac:dyDescent="0.25">
      <c r="J1499" s="4"/>
    </row>
    <row r="1500" spans="10:10" x14ac:dyDescent="0.25">
      <c r="J1500" s="4"/>
    </row>
    <row r="1501" spans="10:10" x14ac:dyDescent="0.25">
      <c r="J1501" s="4"/>
    </row>
    <row r="1502" spans="10:10" x14ac:dyDescent="0.25">
      <c r="J1502" s="4"/>
    </row>
    <row r="1503" spans="10:10" x14ac:dyDescent="0.25">
      <c r="J1503" s="4"/>
    </row>
    <row r="1504" spans="10:10" x14ac:dyDescent="0.25">
      <c r="J1504" s="4"/>
    </row>
    <row r="1505" spans="10:10" x14ac:dyDescent="0.25">
      <c r="J1505" s="4"/>
    </row>
    <row r="1506" spans="10:10" x14ac:dyDescent="0.25">
      <c r="J1506" s="4"/>
    </row>
    <row r="1507" spans="10:10" x14ac:dyDescent="0.25">
      <c r="J1507" s="4"/>
    </row>
    <row r="1508" spans="10:10" x14ac:dyDescent="0.25">
      <c r="J1508" s="4"/>
    </row>
    <row r="1509" spans="10:10" x14ac:dyDescent="0.25">
      <c r="J1509" s="4"/>
    </row>
    <row r="1510" spans="10:10" x14ac:dyDescent="0.25">
      <c r="J1510" s="4"/>
    </row>
    <row r="1511" spans="10:10" x14ac:dyDescent="0.25">
      <c r="J1511" s="4"/>
    </row>
    <row r="1512" spans="10:10" x14ac:dyDescent="0.25">
      <c r="J1512" s="4"/>
    </row>
    <row r="1513" spans="10:10" x14ac:dyDescent="0.25">
      <c r="J1513" s="4"/>
    </row>
    <row r="1514" spans="10:10" x14ac:dyDescent="0.25">
      <c r="J1514" s="4"/>
    </row>
    <row r="1515" spans="10:10" x14ac:dyDescent="0.25">
      <c r="J1515" s="4"/>
    </row>
    <row r="1516" spans="10:10" x14ac:dyDescent="0.25">
      <c r="J1516" s="4"/>
    </row>
    <row r="1517" spans="10:10" x14ac:dyDescent="0.25">
      <c r="J1517" s="4"/>
    </row>
    <row r="1518" spans="10:10" x14ac:dyDescent="0.25">
      <c r="J1518" s="4"/>
    </row>
    <row r="1519" spans="10:10" x14ac:dyDescent="0.25">
      <c r="J1519" s="4"/>
    </row>
    <row r="1520" spans="10:10" x14ac:dyDescent="0.25">
      <c r="J1520" s="4"/>
    </row>
    <row r="1521" spans="10:10" x14ac:dyDescent="0.25">
      <c r="J1521" s="4"/>
    </row>
    <row r="1522" spans="10:10" x14ac:dyDescent="0.25">
      <c r="J1522" s="4"/>
    </row>
    <row r="1523" spans="10:10" x14ac:dyDescent="0.25">
      <c r="J1523" s="4"/>
    </row>
    <row r="1524" spans="10:10" x14ac:dyDescent="0.25">
      <c r="J1524" s="4"/>
    </row>
    <row r="1525" spans="10:10" x14ac:dyDescent="0.25">
      <c r="J1525" s="4"/>
    </row>
    <row r="1526" spans="10:10" x14ac:dyDescent="0.25">
      <c r="J1526" s="4"/>
    </row>
    <row r="1527" spans="10:10" x14ac:dyDescent="0.25">
      <c r="J1527" s="4"/>
    </row>
    <row r="1528" spans="10:10" x14ac:dyDescent="0.25">
      <c r="J1528" s="4"/>
    </row>
    <row r="1529" spans="10:10" x14ac:dyDescent="0.25">
      <c r="J1529" s="4"/>
    </row>
    <row r="1530" spans="10:10" x14ac:dyDescent="0.25">
      <c r="J1530" s="4"/>
    </row>
    <row r="1531" spans="10:10" x14ac:dyDescent="0.25">
      <c r="J1531" s="4"/>
    </row>
    <row r="1532" spans="10:10" x14ac:dyDescent="0.25">
      <c r="J1532" s="4"/>
    </row>
    <row r="1533" spans="10:10" x14ac:dyDescent="0.25">
      <c r="J1533" s="4"/>
    </row>
    <row r="1534" spans="10:10" x14ac:dyDescent="0.25">
      <c r="J1534" s="4"/>
    </row>
    <row r="1535" spans="10:10" x14ac:dyDescent="0.25">
      <c r="J1535" s="4"/>
    </row>
    <row r="1536" spans="10:10" x14ac:dyDescent="0.25">
      <c r="J1536" s="4"/>
    </row>
    <row r="1537" spans="10:10" x14ac:dyDescent="0.25">
      <c r="J1537" s="4"/>
    </row>
    <row r="1538" spans="10:10" x14ac:dyDescent="0.25">
      <c r="J1538" s="4"/>
    </row>
    <row r="1539" spans="10:10" x14ac:dyDescent="0.25">
      <c r="J1539" s="4"/>
    </row>
    <row r="1540" spans="10:10" x14ac:dyDescent="0.25">
      <c r="J1540" s="4"/>
    </row>
    <row r="1541" spans="10:10" x14ac:dyDescent="0.25">
      <c r="J1541" s="4"/>
    </row>
    <row r="1542" spans="10:10" x14ac:dyDescent="0.25">
      <c r="J1542" s="4"/>
    </row>
    <row r="1543" spans="10:10" x14ac:dyDescent="0.25">
      <c r="J1543" s="4"/>
    </row>
    <row r="1544" spans="10:10" x14ac:dyDescent="0.25">
      <c r="J1544" s="4"/>
    </row>
    <row r="1545" spans="10:10" x14ac:dyDescent="0.25">
      <c r="J1545" s="4"/>
    </row>
    <row r="1546" spans="10:10" x14ac:dyDescent="0.25">
      <c r="J1546" s="4"/>
    </row>
    <row r="1547" spans="10:10" x14ac:dyDescent="0.25">
      <c r="J1547" s="4"/>
    </row>
    <row r="1548" spans="10:10" x14ac:dyDescent="0.25">
      <c r="J1548" s="4"/>
    </row>
    <row r="1549" spans="10:10" x14ac:dyDescent="0.25">
      <c r="J1549" s="4"/>
    </row>
    <row r="1550" spans="10:10" x14ac:dyDescent="0.25">
      <c r="J1550" s="4"/>
    </row>
    <row r="1551" spans="10:10" x14ac:dyDescent="0.25">
      <c r="J1551" s="4"/>
    </row>
    <row r="1552" spans="10:10" x14ac:dyDescent="0.25">
      <c r="J1552" s="4"/>
    </row>
    <row r="1553" spans="10:10" x14ac:dyDescent="0.25">
      <c r="J1553" s="4"/>
    </row>
    <row r="1554" spans="10:10" x14ac:dyDescent="0.25">
      <c r="J1554" s="4"/>
    </row>
    <row r="1555" spans="10:10" x14ac:dyDescent="0.25">
      <c r="J1555" s="4"/>
    </row>
    <row r="1556" spans="10:10" x14ac:dyDescent="0.25">
      <c r="J1556" s="4"/>
    </row>
    <row r="1557" spans="10:10" x14ac:dyDescent="0.25">
      <c r="J1557" s="4"/>
    </row>
    <row r="1558" spans="10:10" x14ac:dyDescent="0.25">
      <c r="J1558" s="4"/>
    </row>
    <row r="1559" spans="10:10" x14ac:dyDescent="0.25">
      <c r="J1559" s="4"/>
    </row>
    <row r="1560" spans="10:10" x14ac:dyDescent="0.25">
      <c r="J1560" s="4"/>
    </row>
    <row r="1561" spans="10:10" x14ac:dyDescent="0.25">
      <c r="J1561" s="4"/>
    </row>
    <row r="1562" spans="10:10" x14ac:dyDescent="0.25">
      <c r="J1562" s="4"/>
    </row>
    <row r="1563" spans="10:10" x14ac:dyDescent="0.25">
      <c r="J1563" s="4"/>
    </row>
    <row r="1564" spans="10:10" x14ac:dyDescent="0.25">
      <c r="J1564" s="4"/>
    </row>
    <row r="1565" spans="10:10" x14ac:dyDescent="0.25">
      <c r="J1565" s="4"/>
    </row>
    <row r="1566" spans="10:10" x14ac:dyDescent="0.25">
      <c r="J1566" s="4"/>
    </row>
    <row r="1567" spans="10:10" x14ac:dyDescent="0.25">
      <c r="J1567" s="4"/>
    </row>
    <row r="1568" spans="10:10" x14ac:dyDescent="0.25">
      <c r="J1568" s="4"/>
    </row>
    <row r="1569" spans="10:10" x14ac:dyDescent="0.25">
      <c r="J1569" s="4"/>
    </row>
    <row r="1570" spans="10:10" x14ac:dyDescent="0.25">
      <c r="J1570" s="4"/>
    </row>
    <row r="1571" spans="10:10" x14ac:dyDescent="0.25">
      <c r="J1571" s="4"/>
    </row>
    <row r="1572" spans="10:10" x14ac:dyDescent="0.25">
      <c r="J1572" s="4"/>
    </row>
    <row r="1573" spans="10:10" x14ac:dyDescent="0.25">
      <c r="J1573" s="4"/>
    </row>
    <row r="1574" spans="10:10" x14ac:dyDescent="0.25">
      <c r="J1574" s="4"/>
    </row>
    <row r="1575" spans="10:10" x14ac:dyDescent="0.25">
      <c r="J1575" s="4"/>
    </row>
    <row r="1576" spans="10:10" x14ac:dyDescent="0.25">
      <c r="J1576" s="4"/>
    </row>
    <row r="1577" spans="10:10" x14ac:dyDescent="0.25">
      <c r="J1577" s="4"/>
    </row>
    <row r="1578" spans="10:10" x14ac:dyDescent="0.25">
      <c r="J1578" s="4"/>
    </row>
    <row r="1579" spans="10:10" x14ac:dyDescent="0.25">
      <c r="J1579" s="4"/>
    </row>
    <row r="1580" spans="10:10" x14ac:dyDescent="0.25">
      <c r="J1580" s="4"/>
    </row>
    <row r="1581" spans="10:10" x14ac:dyDescent="0.25">
      <c r="J1581" s="4"/>
    </row>
    <row r="1582" spans="10:10" x14ac:dyDescent="0.25">
      <c r="J1582" s="4"/>
    </row>
    <row r="1583" spans="10:10" x14ac:dyDescent="0.25">
      <c r="J1583" s="4"/>
    </row>
    <row r="1584" spans="10:10" x14ac:dyDescent="0.25">
      <c r="J1584" s="4"/>
    </row>
    <row r="1585" spans="10:10" x14ac:dyDescent="0.25">
      <c r="J1585" s="4"/>
    </row>
    <row r="1586" spans="10:10" x14ac:dyDescent="0.25">
      <c r="J1586" s="4"/>
    </row>
    <row r="1587" spans="10:10" x14ac:dyDescent="0.25">
      <c r="J1587" s="4"/>
    </row>
    <row r="1588" spans="10:10" x14ac:dyDescent="0.25">
      <c r="J1588" s="4"/>
    </row>
    <row r="1589" spans="10:10" x14ac:dyDescent="0.25">
      <c r="J1589" s="4"/>
    </row>
    <row r="1590" spans="10:10" x14ac:dyDescent="0.25">
      <c r="J1590" s="4"/>
    </row>
    <row r="1591" spans="10:10" x14ac:dyDescent="0.25">
      <c r="J1591" s="4"/>
    </row>
    <row r="1592" spans="10:10" x14ac:dyDescent="0.25">
      <c r="J1592" s="4"/>
    </row>
    <row r="1593" spans="10:10" x14ac:dyDescent="0.25">
      <c r="J1593" s="4"/>
    </row>
    <row r="1594" spans="10:10" x14ac:dyDescent="0.25">
      <c r="J1594" s="4"/>
    </row>
    <row r="1595" spans="10:10" x14ac:dyDescent="0.25">
      <c r="J1595" s="4"/>
    </row>
    <row r="1596" spans="10:10" x14ac:dyDescent="0.25">
      <c r="J1596" s="4"/>
    </row>
    <row r="1597" spans="10:10" x14ac:dyDescent="0.25">
      <c r="J1597" s="4"/>
    </row>
    <row r="1598" spans="10:10" x14ac:dyDescent="0.25">
      <c r="J1598" s="4"/>
    </row>
    <row r="1599" spans="10:10" x14ac:dyDescent="0.25">
      <c r="J1599" s="4"/>
    </row>
    <row r="1600" spans="10:10" x14ac:dyDescent="0.25">
      <c r="J1600" s="4"/>
    </row>
    <row r="1601" spans="10:10" x14ac:dyDescent="0.25">
      <c r="J1601" s="4"/>
    </row>
    <row r="1602" spans="10:10" x14ac:dyDescent="0.25">
      <c r="J1602" s="4"/>
    </row>
    <row r="1603" spans="10:10" x14ac:dyDescent="0.25">
      <c r="J1603" s="4"/>
    </row>
    <row r="1604" spans="10:10" x14ac:dyDescent="0.25">
      <c r="J1604" s="4"/>
    </row>
    <row r="1605" spans="10:10" x14ac:dyDescent="0.25">
      <c r="J1605" s="4"/>
    </row>
    <row r="1606" spans="10:10" x14ac:dyDescent="0.25">
      <c r="J1606" s="4"/>
    </row>
    <row r="1607" spans="10:10" x14ac:dyDescent="0.25">
      <c r="J1607" s="4"/>
    </row>
    <row r="1608" spans="10:10" x14ac:dyDescent="0.25">
      <c r="J1608" s="4"/>
    </row>
    <row r="1609" spans="10:10" x14ac:dyDescent="0.25">
      <c r="J1609" s="4"/>
    </row>
    <row r="1610" spans="10:10" x14ac:dyDescent="0.25">
      <c r="J1610" s="4"/>
    </row>
    <row r="1611" spans="10:10" x14ac:dyDescent="0.25">
      <c r="J1611" s="4"/>
    </row>
    <row r="1612" spans="10:10" x14ac:dyDescent="0.25">
      <c r="J1612" s="4"/>
    </row>
    <row r="1613" spans="10:10" x14ac:dyDescent="0.25">
      <c r="J1613" s="4"/>
    </row>
    <row r="1614" spans="10:10" x14ac:dyDescent="0.25">
      <c r="J1614" s="4"/>
    </row>
    <row r="1615" spans="10:10" x14ac:dyDescent="0.25">
      <c r="J1615" s="4"/>
    </row>
    <row r="1616" spans="10:10" x14ac:dyDescent="0.25">
      <c r="J1616" s="4"/>
    </row>
    <row r="1617" spans="10:10" x14ac:dyDescent="0.25">
      <c r="J1617" s="4"/>
    </row>
    <row r="1618" spans="10:10" x14ac:dyDescent="0.25">
      <c r="J1618" s="4"/>
    </row>
    <row r="1619" spans="10:10" x14ac:dyDescent="0.25">
      <c r="J1619" s="4"/>
    </row>
    <row r="1620" spans="10:10" x14ac:dyDescent="0.25">
      <c r="J1620" s="4"/>
    </row>
    <row r="1621" spans="10:10" x14ac:dyDescent="0.25">
      <c r="J1621" s="4"/>
    </row>
    <row r="1622" spans="10:10" x14ac:dyDescent="0.25">
      <c r="J1622" s="4"/>
    </row>
    <row r="1623" spans="10:10" x14ac:dyDescent="0.25">
      <c r="J1623" s="4"/>
    </row>
    <row r="1624" spans="10:10" x14ac:dyDescent="0.25">
      <c r="J1624" s="4"/>
    </row>
    <row r="1625" spans="10:10" x14ac:dyDescent="0.25">
      <c r="J1625" s="4"/>
    </row>
    <row r="1626" spans="10:10" x14ac:dyDescent="0.25">
      <c r="J1626" s="4"/>
    </row>
    <row r="1627" spans="10:10" x14ac:dyDescent="0.25">
      <c r="J1627" s="4"/>
    </row>
    <row r="1628" spans="10:10" x14ac:dyDescent="0.25">
      <c r="J1628" s="4"/>
    </row>
    <row r="1629" spans="10:10" x14ac:dyDescent="0.25">
      <c r="J1629" s="4"/>
    </row>
    <row r="1630" spans="10:10" x14ac:dyDescent="0.25">
      <c r="J1630" s="4"/>
    </row>
    <row r="1631" spans="10:10" x14ac:dyDescent="0.25">
      <c r="J1631" s="4"/>
    </row>
    <row r="1632" spans="10:10" x14ac:dyDescent="0.25">
      <c r="J1632" s="4"/>
    </row>
    <row r="1633" spans="10:10" x14ac:dyDescent="0.25">
      <c r="J1633" s="4"/>
    </row>
    <row r="1634" spans="10:10" x14ac:dyDescent="0.25">
      <c r="J1634" s="4"/>
    </row>
    <row r="1635" spans="10:10" x14ac:dyDescent="0.25">
      <c r="J1635" s="4"/>
    </row>
    <row r="1636" spans="10:10" x14ac:dyDescent="0.25">
      <c r="J1636" s="4"/>
    </row>
    <row r="1637" spans="10:10" x14ac:dyDescent="0.25">
      <c r="J1637" s="4"/>
    </row>
    <row r="1638" spans="10:10" x14ac:dyDescent="0.25">
      <c r="J1638" s="4"/>
    </row>
    <row r="1639" spans="10:10" x14ac:dyDescent="0.25">
      <c r="J1639" s="4"/>
    </row>
    <row r="1640" spans="10:10" x14ac:dyDescent="0.25">
      <c r="J1640" s="4"/>
    </row>
    <row r="1641" spans="10:10" x14ac:dyDescent="0.25">
      <c r="J1641" s="4"/>
    </row>
    <row r="1642" spans="10:10" x14ac:dyDescent="0.25">
      <c r="J1642" s="4"/>
    </row>
    <row r="1643" spans="10:10" x14ac:dyDescent="0.25">
      <c r="J1643" s="4"/>
    </row>
    <row r="1644" spans="10:10" x14ac:dyDescent="0.25">
      <c r="J1644" s="4"/>
    </row>
    <row r="1645" spans="10:10" x14ac:dyDescent="0.25">
      <c r="J1645" s="4"/>
    </row>
    <row r="1646" spans="10:10" x14ac:dyDescent="0.25">
      <c r="J1646" s="4"/>
    </row>
    <row r="1647" spans="10:10" x14ac:dyDescent="0.25">
      <c r="J1647" s="4"/>
    </row>
    <row r="1648" spans="10:10" x14ac:dyDescent="0.25">
      <c r="J1648" s="4"/>
    </row>
    <row r="1649" spans="10:10" x14ac:dyDescent="0.25">
      <c r="J1649" s="4"/>
    </row>
    <row r="1650" spans="10:10" x14ac:dyDescent="0.25">
      <c r="J1650" s="4"/>
    </row>
    <row r="1651" spans="10:10" x14ac:dyDescent="0.25">
      <c r="J1651" s="4"/>
    </row>
    <row r="1652" spans="10:10" x14ac:dyDescent="0.25">
      <c r="J1652" s="4"/>
    </row>
    <row r="1653" spans="10:10" x14ac:dyDescent="0.25">
      <c r="J1653" s="4"/>
    </row>
    <row r="1654" spans="10:10" x14ac:dyDescent="0.25">
      <c r="J1654" s="4"/>
    </row>
    <row r="1655" spans="10:10" x14ac:dyDescent="0.25">
      <c r="J1655" s="4"/>
    </row>
    <row r="1656" spans="10:10" x14ac:dyDescent="0.25">
      <c r="J1656" s="4"/>
    </row>
    <row r="1657" spans="10:10" x14ac:dyDescent="0.25">
      <c r="J1657" s="4"/>
    </row>
    <row r="1658" spans="10:10" x14ac:dyDescent="0.25">
      <c r="J1658" s="4"/>
    </row>
    <row r="1659" spans="10:10" x14ac:dyDescent="0.25">
      <c r="J1659" s="4"/>
    </row>
    <row r="1660" spans="10:10" x14ac:dyDescent="0.25">
      <c r="J1660" s="4"/>
    </row>
    <row r="1661" spans="10:10" x14ac:dyDescent="0.25">
      <c r="J1661" s="4"/>
    </row>
    <row r="1662" spans="10:10" x14ac:dyDescent="0.25">
      <c r="J1662" s="4"/>
    </row>
    <row r="1663" spans="10:10" x14ac:dyDescent="0.25">
      <c r="J1663" s="4"/>
    </row>
    <row r="1664" spans="10:10" x14ac:dyDescent="0.25">
      <c r="J1664" s="4"/>
    </row>
    <row r="1665" spans="10:10" x14ac:dyDescent="0.25">
      <c r="J1665" s="4"/>
    </row>
    <row r="1666" spans="10:10" x14ac:dyDescent="0.25">
      <c r="J1666" s="4"/>
    </row>
    <row r="1667" spans="10:10" x14ac:dyDescent="0.25">
      <c r="J1667" s="4"/>
    </row>
    <row r="1668" spans="10:10" x14ac:dyDescent="0.25">
      <c r="J1668" s="4"/>
    </row>
    <row r="1669" spans="10:10" x14ac:dyDescent="0.25">
      <c r="J1669" s="4"/>
    </row>
    <row r="1670" spans="10:10" x14ac:dyDescent="0.25">
      <c r="J1670" s="4"/>
    </row>
    <row r="1671" spans="10:10" x14ac:dyDescent="0.25">
      <c r="J1671" s="4"/>
    </row>
    <row r="1672" spans="10:10" x14ac:dyDescent="0.25">
      <c r="J1672" s="4"/>
    </row>
    <row r="1673" spans="10:10" x14ac:dyDescent="0.25">
      <c r="J1673" s="4"/>
    </row>
    <row r="1674" spans="10:10" x14ac:dyDescent="0.25">
      <c r="J1674" s="4"/>
    </row>
    <row r="1675" spans="10:10" x14ac:dyDescent="0.25">
      <c r="J1675" s="4"/>
    </row>
    <row r="1676" spans="10:10" x14ac:dyDescent="0.25">
      <c r="J1676" s="4"/>
    </row>
    <row r="1677" spans="10:10" x14ac:dyDescent="0.25">
      <c r="J1677" s="4"/>
    </row>
    <row r="1678" spans="10:10" x14ac:dyDescent="0.25">
      <c r="J1678" s="4"/>
    </row>
    <row r="1679" spans="10:10" x14ac:dyDescent="0.25">
      <c r="J1679" s="4"/>
    </row>
    <row r="1680" spans="10:10" x14ac:dyDescent="0.25">
      <c r="J1680" s="4"/>
    </row>
    <row r="1681" spans="10:10" x14ac:dyDescent="0.25">
      <c r="J1681" s="4"/>
    </row>
    <row r="1682" spans="10:10" x14ac:dyDescent="0.25">
      <c r="J1682" s="4"/>
    </row>
    <row r="1683" spans="10:10" x14ac:dyDescent="0.25">
      <c r="J1683" s="4"/>
    </row>
    <row r="1684" spans="10:10" x14ac:dyDescent="0.25">
      <c r="J1684" s="4"/>
    </row>
    <row r="1685" spans="10:10" x14ac:dyDescent="0.25">
      <c r="J1685" s="4"/>
    </row>
    <row r="1686" spans="10:10" x14ac:dyDescent="0.25">
      <c r="J1686" s="4"/>
    </row>
    <row r="1687" spans="10:10" x14ac:dyDescent="0.25">
      <c r="J1687" s="4"/>
    </row>
    <row r="1688" spans="10:10" x14ac:dyDescent="0.25">
      <c r="J1688" s="4"/>
    </row>
    <row r="1689" spans="10:10" x14ac:dyDescent="0.25">
      <c r="J1689" s="4"/>
    </row>
    <row r="1690" spans="10:10" x14ac:dyDescent="0.25">
      <c r="J1690" s="4"/>
    </row>
    <row r="1691" spans="10:10" x14ac:dyDescent="0.25">
      <c r="J1691" s="4"/>
    </row>
    <row r="1692" spans="10:10" x14ac:dyDescent="0.25">
      <c r="J1692" s="4"/>
    </row>
    <row r="1693" spans="10:10" x14ac:dyDescent="0.25">
      <c r="J1693" s="4"/>
    </row>
    <row r="1694" spans="10:10" x14ac:dyDescent="0.25">
      <c r="J1694" s="4"/>
    </row>
    <row r="1695" spans="10:10" x14ac:dyDescent="0.25">
      <c r="J1695" s="4"/>
    </row>
    <row r="1696" spans="10:10" x14ac:dyDescent="0.25">
      <c r="J1696" s="4"/>
    </row>
    <row r="1697" spans="10:10" x14ac:dyDescent="0.25">
      <c r="J1697" s="4"/>
    </row>
    <row r="1698" spans="10:10" x14ac:dyDescent="0.25">
      <c r="J1698" s="4"/>
    </row>
    <row r="1699" spans="10:10" x14ac:dyDescent="0.25">
      <c r="J1699" s="4"/>
    </row>
    <row r="1700" spans="10:10" x14ac:dyDescent="0.25">
      <c r="J1700" s="4"/>
    </row>
    <row r="1701" spans="10:10" x14ac:dyDescent="0.25">
      <c r="J1701" s="4"/>
    </row>
    <row r="1702" spans="10:10" x14ac:dyDescent="0.25">
      <c r="J1702" s="4"/>
    </row>
    <row r="1703" spans="10:10" x14ac:dyDescent="0.25">
      <c r="J1703" s="4"/>
    </row>
    <row r="1704" spans="10:10" x14ac:dyDescent="0.25">
      <c r="J1704" s="4"/>
    </row>
    <row r="1705" spans="10:10" x14ac:dyDescent="0.25">
      <c r="J1705" s="4"/>
    </row>
    <row r="1706" spans="10:10" x14ac:dyDescent="0.25">
      <c r="J1706" s="4"/>
    </row>
    <row r="1707" spans="10:10" x14ac:dyDescent="0.25">
      <c r="J1707" s="4"/>
    </row>
    <row r="1708" spans="10:10" x14ac:dyDescent="0.25">
      <c r="J1708" s="4"/>
    </row>
    <row r="1709" spans="10:10" x14ac:dyDescent="0.25">
      <c r="J1709" s="4"/>
    </row>
    <row r="1710" spans="10:10" x14ac:dyDescent="0.25">
      <c r="J1710" s="4"/>
    </row>
    <row r="1711" spans="10:10" x14ac:dyDescent="0.25">
      <c r="J1711" s="4"/>
    </row>
    <row r="1712" spans="10:10" x14ac:dyDescent="0.25">
      <c r="J1712" s="4"/>
    </row>
    <row r="1713" spans="10:10" x14ac:dyDescent="0.25">
      <c r="J1713" s="4"/>
    </row>
    <row r="1714" spans="10:10" x14ac:dyDescent="0.25">
      <c r="J1714" s="4"/>
    </row>
    <row r="1715" spans="10:10" x14ac:dyDescent="0.25">
      <c r="J1715" s="4"/>
    </row>
    <row r="1716" spans="10:10" x14ac:dyDescent="0.25">
      <c r="J1716" s="4"/>
    </row>
    <row r="1717" spans="10:10" x14ac:dyDescent="0.25">
      <c r="J1717" s="4"/>
    </row>
    <row r="1718" spans="10:10" x14ac:dyDescent="0.25">
      <c r="J1718" s="4"/>
    </row>
    <row r="1719" spans="10:10" x14ac:dyDescent="0.25">
      <c r="J1719" s="4"/>
    </row>
    <row r="1720" spans="10:10" x14ac:dyDescent="0.25">
      <c r="J1720" s="4"/>
    </row>
    <row r="1721" spans="10:10" x14ac:dyDescent="0.25">
      <c r="J1721" s="4"/>
    </row>
    <row r="1722" spans="10:10" x14ac:dyDescent="0.25">
      <c r="J1722" s="4"/>
    </row>
    <row r="1723" spans="10:10" x14ac:dyDescent="0.25">
      <c r="J1723" s="4"/>
    </row>
    <row r="1724" spans="10:10" x14ac:dyDescent="0.25">
      <c r="J1724" s="4"/>
    </row>
    <row r="1725" spans="10:10" x14ac:dyDescent="0.25">
      <c r="J1725" s="4"/>
    </row>
    <row r="1726" spans="10:10" x14ac:dyDescent="0.25">
      <c r="J1726" s="4"/>
    </row>
    <row r="1727" spans="10:10" x14ac:dyDescent="0.25">
      <c r="J1727" s="4"/>
    </row>
    <row r="1728" spans="10:10" x14ac:dyDescent="0.25">
      <c r="J1728" s="4"/>
    </row>
    <row r="1729" spans="10:10" x14ac:dyDescent="0.25">
      <c r="J1729" s="4"/>
    </row>
    <row r="1730" spans="10:10" x14ac:dyDescent="0.25">
      <c r="J1730" s="4"/>
    </row>
    <row r="1731" spans="10:10" x14ac:dyDescent="0.25">
      <c r="J1731" s="4"/>
    </row>
    <row r="1732" spans="10:10" x14ac:dyDescent="0.25">
      <c r="J1732" s="4"/>
    </row>
    <row r="1733" spans="10:10" x14ac:dyDescent="0.25">
      <c r="J1733" s="4"/>
    </row>
    <row r="1734" spans="10:10" x14ac:dyDescent="0.25">
      <c r="J1734" s="4"/>
    </row>
    <row r="1735" spans="10:10" x14ac:dyDescent="0.25">
      <c r="J1735" s="4"/>
    </row>
    <row r="1736" spans="10:10" x14ac:dyDescent="0.25">
      <c r="J1736" s="4"/>
    </row>
    <row r="1737" spans="10:10" x14ac:dyDescent="0.25">
      <c r="J1737" s="4"/>
    </row>
    <row r="1738" spans="10:10" x14ac:dyDescent="0.25">
      <c r="J1738" s="4"/>
    </row>
    <row r="1739" spans="10:10" x14ac:dyDescent="0.25">
      <c r="J1739" s="4"/>
    </row>
    <row r="1740" spans="10:10" x14ac:dyDescent="0.25">
      <c r="J1740" s="4"/>
    </row>
    <row r="1741" spans="10:10" x14ac:dyDescent="0.25">
      <c r="J1741" s="4"/>
    </row>
    <row r="1742" spans="10:10" x14ac:dyDescent="0.25">
      <c r="J1742" s="4"/>
    </row>
    <row r="1743" spans="10:10" x14ac:dyDescent="0.25">
      <c r="J1743" s="4"/>
    </row>
    <row r="1744" spans="10:10" x14ac:dyDescent="0.25">
      <c r="J1744" s="4"/>
    </row>
    <row r="1745" spans="10:10" x14ac:dyDescent="0.25">
      <c r="J1745" s="4"/>
    </row>
    <row r="1746" spans="10:10" x14ac:dyDescent="0.25">
      <c r="J1746" s="4"/>
    </row>
    <row r="1747" spans="10:10" x14ac:dyDescent="0.25">
      <c r="J1747" s="4"/>
    </row>
    <row r="1748" spans="10:10" x14ac:dyDescent="0.25">
      <c r="J1748" s="4"/>
    </row>
    <row r="1749" spans="10:10" x14ac:dyDescent="0.25">
      <c r="J1749" s="4"/>
    </row>
    <row r="1750" spans="10:10" x14ac:dyDescent="0.25">
      <c r="J1750" s="4"/>
    </row>
    <row r="1751" spans="10:10" x14ac:dyDescent="0.25">
      <c r="J1751" s="4"/>
    </row>
    <row r="1752" spans="10:10" x14ac:dyDescent="0.25">
      <c r="J1752" s="4"/>
    </row>
    <row r="1753" spans="10:10" x14ac:dyDescent="0.25">
      <c r="J1753" s="4"/>
    </row>
    <row r="1754" spans="10:10" x14ac:dyDescent="0.25">
      <c r="J1754" s="4"/>
    </row>
    <row r="1755" spans="10:10" x14ac:dyDescent="0.25">
      <c r="J1755" s="4"/>
    </row>
    <row r="1756" spans="10:10" x14ac:dyDescent="0.25">
      <c r="J1756" s="4"/>
    </row>
    <row r="1757" spans="10:10" x14ac:dyDescent="0.25">
      <c r="J1757" s="4"/>
    </row>
    <row r="1758" spans="10:10" x14ac:dyDescent="0.25">
      <c r="J1758" s="4"/>
    </row>
    <row r="1759" spans="10:10" x14ac:dyDescent="0.25">
      <c r="J1759" s="4"/>
    </row>
    <row r="1760" spans="10:10" x14ac:dyDescent="0.25">
      <c r="J1760" s="4"/>
    </row>
    <row r="1761" spans="10:10" x14ac:dyDescent="0.25">
      <c r="J1761" s="4"/>
    </row>
    <row r="1762" spans="10:10" x14ac:dyDescent="0.25">
      <c r="J1762" s="4"/>
    </row>
    <row r="1763" spans="10:10" x14ac:dyDescent="0.25">
      <c r="J1763" s="4"/>
    </row>
    <row r="1764" spans="10:10" x14ac:dyDescent="0.25">
      <c r="J1764" s="4"/>
    </row>
    <row r="1765" spans="10:10" x14ac:dyDescent="0.25">
      <c r="J1765" s="4"/>
    </row>
    <row r="1766" spans="10:10" x14ac:dyDescent="0.25">
      <c r="J1766" s="4"/>
    </row>
    <row r="1767" spans="10:10" x14ac:dyDescent="0.25">
      <c r="J1767" s="4"/>
    </row>
    <row r="1768" spans="10:10" x14ac:dyDescent="0.25">
      <c r="J1768" s="4"/>
    </row>
    <row r="1769" spans="10:10" x14ac:dyDescent="0.25">
      <c r="J1769" s="4"/>
    </row>
    <row r="1770" spans="10:10" x14ac:dyDescent="0.25">
      <c r="J1770" s="4"/>
    </row>
    <row r="1771" spans="10:10" x14ac:dyDescent="0.25">
      <c r="J1771" s="4"/>
    </row>
    <row r="1772" spans="10:10" x14ac:dyDescent="0.25">
      <c r="J1772" s="4"/>
    </row>
    <row r="1773" spans="10:10" x14ac:dyDescent="0.25">
      <c r="J1773" s="4"/>
    </row>
    <row r="1774" spans="10:10" x14ac:dyDescent="0.25">
      <c r="J1774" s="4"/>
    </row>
    <row r="1775" spans="10:10" x14ac:dyDescent="0.25">
      <c r="J1775" s="4"/>
    </row>
    <row r="1776" spans="10:10" x14ac:dyDescent="0.25">
      <c r="J1776" s="4"/>
    </row>
    <row r="1777" spans="10:10" x14ac:dyDescent="0.25">
      <c r="J1777" s="4"/>
    </row>
    <row r="1778" spans="10:10" x14ac:dyDescent="0.25">
      <c r="J1778" s="4"/>
    </row>
    <row r="1779" spans="10:10" x14ac:dyDescent="0.25">
      <c r="J1779" s="4"/>
    </row>
    <row r="1780" spans="10:10" x14ac:dyDescent="0.25">
      <c r="J1780" s="4"/>
    </row>
    <row r="1781" spans="10:10" x14ac:dyDescent="0.25">
      <c r="J1781" s="4"/>
    </row>
    <row r="1782" spans="10:10" x14ac:dyDescent="0.25">
      <c r="J1782" s="4"/>
    </row>
    <row r="1783" spans="10:10" x14ac:dyDescent="0.25">
      <c r="J1783" s="4"/>
    </row>
    <row r="1784" spans="10:10" x14ac:dyDescent="0.25">
      <c r="J1784" s="4"/>
    </row>
    <row r="1785" spans="10:10" x14ac:dyDescent="0.25">
      <c r="J1785" s="4"/>
    </row>
    <row r="1786" spans="10:10" x14ac:dyDescent="0.25">
      <c r="J1786" s="4"/>
    </row>
    <row r="1787" spans="10:10" x14ac:dyDescent="0.25">
      <c r="J1787" s="4"/>
    </row>
    <row r="1788" spans="10:10" x14ac:dyDescent="0.25">
      <c r="J1788" s="4"/>
    </row>
    <row r="1789" spans="10:10" x14ac:dyDescent="0.25">
      <c r="J1789" s="4"/>
    </row>
    <row r="1790" spans="10:10" x14ac:dyDescent="0.25">
      <c r="J1790" s="4"/>
    </row>
    <row r="1791" spans="10:10" x14ac:dyDescent="0.25">
      <c r="J1791" s="4"/>
    </row>
    <row r="1792" spans="10:10" x14ac:dyDescent="0.25">
      <c r="J1792" s="4"/>
    </row>
    <row r="1793" spans="10:10" x14ac:dyDescent="0.25">
      <c r="J1793" s="4"/>
    </row>
    <row r="1794" spans="10:10" x14ac:dyDescent="0.25">
      <c r="J1794" s="4"/>
    </row>
    <row r="1795" spans="10:10" x14ac:dyDescent="0.25">
      <c r="J1795" s="4"/>
    </row>
    <row r="1796" spans="10:10" x14ac:dyDescent="0.25">
      <c r="J1796" s="4"/>
    </row>
    <row r="1797" spans="10:10" x14ac:dyDescent="0.25">
      <c r="J1797" s="4"/>
    </row>
    <row r="1798" spans="10:10" x14ac:dyDescent="0.25">
      <c r="J1798" s="4"/>
    </row>
    <row r="1799" spans="10:10" x14ac:dyDescent="0.25">
      <c r="J1799" s="4"/>
    </row>
    <row r="1800" spans="10:10" x14ac:dyDescent="0.25">
      <c r="J1800" s="4"/>
    </row>
    <row r="1801" spans="10:10" x14ac:dyDescent="0.25">
      <c r="J1801" s="4"/>
    </row>
    <row r="1802" spans="10:10" x14ac:dyDescent="0.25">
      <c r="J1802" s="4"/>
    </row>
    <row r="1803" spans="10:10" x14ac:dyDescent="0.25">
      <c r="J1803" s="4"/>
    </row>
    <row r="1804" spans="10:10" x14ac:dyDescent="0.25">
      <c r="J1804" s="4"/>
    </row>
    <row r="1805" spans="10:10" x14ac:dyDescent="0.25">
      <c r="J1805" s="4"/>
    </row>
    <row r="1806" spans="10:10" x14ac:dyDescent="0.25">
      <c r="J1806" s="4"/>
    </row>
    <row r="1807" spans="10:10" x14ac:dyDescent="0.25">
      <c r="J1807" s="4"/>
    </row>
    <row r="1808" spans="10:10" x14ac:dyDescent="0.25">
      <c r="J1808" s="4"/>
    </row>
    <row r="1809" spans="10:10" x14ac:dyDescent="0.25">
      <c r="J1809" s="4"/>
    </row>
    <row r="1810" spans="10:10" x14ac:dyDescent="0.25">
      <c r="J1810" s="4"/>
    </row>
    <row r="1811" spans="10:10" x14ac:dyDescent="0.25">
      <c r="J1811" s="4"/>
    </row>
    <row r="1812" spans="10:10" x14ac:dyDescent="0.25">
      <c r="J1812" s="4"/>
    </row>
    <row r="1813" spans="10:10" x14ac:dyDescent="0.25">
      <c r="J1813" s="4"/>
    </row>
    <row r="1814" spans="10:10" x14ac:dyDescent="0.25">
      <c r="J1814" s="4"/>
    </row>
    <row r="1815" spans="10:10" x14ac:dyDescent="0.25">
      <c r="J1815" s="4"/>
    </row>
    <row r="1816" spans="10:10" x14ac:dyDescent="0.25">
      <c r="J1816" s="4"/>
    </row>
    <row r="1817" spans="10:10" x14ac:dyDescent="0.25">
      <c r="J1817" s="4"/>
    </row>
    <row r="1818" spans="10:10" x14ac:dyDescent="0.25">
      <c r="J1818" s="4"/>
    </row>
    <row r="1819" spans="10:10" x14ac:dyDescent="0.25">
      <c r="J1819" s="4"/>
    </row>
    <row r="1820" spans="10:10" x14ac:dyDescent="0.25">
      <c r="J1820" s="4"/>
    </row>
    <row r="1821" spans="10:10" x14ac:dyDescent="0.25">
      <c r="J1821" s="4"/>
    </row>
    <row r="1822" spans="10:10" x14ac:dyDescent="0.25">
      <c r="J1822" s="4"/>
    </row>
    <row r="1823" spans="10:10" x14ac:dyDescent="0.25">
      <c r="J1823" s="4"/>
    </row>
    <row r="1824" spans="10:10" x14ac:dyDescent="0.25">
      <c r="J1824" s="4"/>
    </row>
    <row r="1825" spans="10:10" x14ac:dyDescent="0.25">
      <c r="J1825" s="4"/>
    </row>
    <row r="1826" spans="10:10" x14ac:dyDescent="0.25">
      <c r="J1826" s="4"/>
    </row>
    <row r="1827" spans="10:10" x14ac:dyDescent="0.25">
      <c r="J1827" s="4"/>
    </row>
    <row r="1828" spans="10:10" x14ac:dyDescent="0.25">
      <c r="J1828" s="4"/>
    </row>
    <row r="1829" spans="10:10" x14ac:dyDescent="0.25">
      <c r="J1829" s="4"/>
    </row>
    <row r="1830" spans="10:10" x14ac:dyDescent="0.25">
      <c r="J1830" s="4"/>
    </row>
    <row r="1831" spans="10:10" x14ac:dyDescent="0.25">
      <c r="J1831" s="4"/>
    </row>
    <row r="1832" spans="10:10" x14ac:dyDescent="0.25">
      <c r="J1832" s="4"/>
    </row>
    <row r="1833" spans="10:10" x14ac:dyDescent="0.25">
      <c r="J1833" s="4"/>
    </row>
    <row r="1834" spans="10:10" x14ac:dyDescent="0.25">
      <c r="J1834" s="4"/>
    </row>
    <row r="1835" spans="10:10" x14ac:dyDescent="0.25">
      <c r="J1835" s="4"/>
    </row>
    <row r="1836" spans="10:10" x14ac:dyDescent="0.25">
      <c r="J1836" s="4"/>
    </row>
    <row r="1837" spans="10:10" x14ac:dyDescent="0.25">
      <c r="J1837" s="4"/>
    </row>
    <row r="1838" spans="10:10" x14ac:dyDescent="0.25">
      <c r="J1838" s="4"/>
    </row>
    <row r="1839" spans="10:10" x14ac:dyDescent="0.25">
      <c r="J1839" s="4"/>
    </row>
    <row r="1840" spans="10:10" x14ac:dyDescent="0.25">
      <c r="J1840" s="4"/>
    </row>
    <row r="1841" spans="10:10" x14ac:dyDescent="0.25">
      <c r="J1841" s="4"/>
    </row>
    <row r="1842" spans="10:10" x14ac:dyDescent="0.25">
      <c r="J1842" s="4"/>
    </row>
    <row r="1843" spans="10:10" x14ac:dyDescent="0.25">
      <c r="J1843" s="4"/>
    </row>
    <row r="1844" spans="10:10" x14ac:dyDescent="0.25">
      <c r="J1844" s="4"/>
    </row>
    <row r="1845" spans="10:10" x14ac:dyDescent="0.25">
      <c r="J1845" s="4"/>
    </row>
    <row r="1846" spans="10:10" x14ac:dyDescent="0.25">
      <c r="J1846" s="4"/>
    </row>
    <row r="1847" spans="10:10" x14ac:dyDescent="0.25">
      <c r="J1847" s="4"/>
    </row>
    <row r="1848" spans="10:10" x14ac:dyDescent="0.25">
      <c r="J1848" s="4"/>
    </row>
    <row r="1849" spans="10:10" x14ac:dyDescent="0.25">
      <c r="J1849" s="4"/>
    </row>
    <row r="1850" spans="10:10" x14ac:dyDescent="0.25">
      <c r="J1850" s="4"/>
    </row>
    <row r="1851" spans="10:10" x14ac:dyDescent="0.25">
      <c r="J1851" s="4"/>
    </row>
    <row r="1852" spans="10:10" x14ac:dyDescent="0.25">
      <c r="J1852" s="4"/>
    </row>
    <row r="1853" spans="10:10" x14ac:dyDescent="0.25">
      <c r="J1853" s="4"/>
    </row>
    <row r="1854" spans="10:10" x14ac:dyDescent="0.25">
      <c r="J1854" s="4"/>
    </row>
    <row r="1855" spans="10:10" x14ac:dyDescent="0.25">
      <c r="J1855" s="4"/>
    </row>
    <row r="1856" spans="10:10" x14ac:dyDescent="0.25">
      <c r="J1856" s="4"/>
    </row>
    <row r="1857" spans="10:10" x14ac:dyDescent="0.25">
      <c r="J1857" s="4"/>
    </row>
    <row r="1858" spans="10:10" x14ac:dyDescent="0.25">
      <c r="J1858" s="4"/>
    </row>
    <row r="1859" spans="10:10" x14ac:dyDescent="0.25">
      <c r="J1859" s="4"/>
    </row>
    <row r="1860" spans="10:10" x14ac:dyDescent="0.25">
      <c r="J1860" s="4"/>
    </row>
    <row r="1861" spans="10:10" x14ac:dyDescent="0.25">
      <c r="J1861" s="4"/>
    </row>
    <row r="1862" spans="10:10" x14ac:dyDescent="0.25">
      <c r="J1862" s="4"/>
    </row>
    <row r="1863" spans="10:10" x14ac:dyDescent="0.25">
      <c r="J1863" s="4"/>
    </row>
    <row r="1864" spans="10:10" x14ac:dyDescent="0.25">
      <c r="J1864" s="4"/>
    </row>
    <row r="1865" spans="10:10" x14ac:dyDescent="0.25">
      <c r="J1865" s="4"/>
    </row>
    <row r="1866" spans="10:10" x14ac:dyDescent="0.25">
      <c r="J1866" s="4"/>
    </row>
    <row r="1867" spans="10:10" x14ac:dyDescent="0.25">
      <c r="J1867" s="4"/>
    </row>
    <row r="1868" spans="10:10" x14ac:dyDescent="0.25">
      <c r="J1868" s="4"/>
    </row>
    <row r="1869" spans="10:10" x14ac:dyDescent="0.25">
      <c r="J1869" s="4"/>
    </row>
    <row r="1870" spans="10:10" x14ac:dyDescent="0.25">
      <c r="J1870" s="4"/>
    </row>
    <row r="1871" spans="10:10" x14ac:dyDescent="0.25">
      <c r="J1871" s="4"/>
    </row>
    <row r="1872" spans="10:10" x14ac:dyDescent="0.25">
      <c r="J1872" s="4"/>
    </row>
    <row r="1873" spans="10:10" x14ac:dyDescent="0.25">
      <c r="J1873" s="4"/>
    </row>
    <row r="1874" spans="10:10" x14ac:dyDescent="0.25">
      <c r="J1874" s="4"/>
    </row>
    <row r="1875" spans="10:10" x14ac:dyDescent="0.25">
      <c r="J1875" s="4"/>
    </row>
    <row r="1876" spans="10:10" x14ac:dyDescent="0.25">
      <c r="J1876" s="4"/>
    </row>
    <row r="1877" spans="10:10" x14ac:dyDescent="0.25">
      <c r="J1877" s="4"/>
    </row>
    <row r="1878" spans="10:10" x14ac:dyDescent="0.25">
      <c r="J1878" s="4"/>
    </row>
    <row r="1879" spans="10:10" x14ac:dyDescent="0.25">
      <c r="J1879" s="4"/>
    </row>
    <row r="1880" spans="10:10" x14ac:dyDescent="0.25">
      <c r="J1880" s="4"/>
    </row>
    <row r="1881" spans="10:10" x14ac:dyDescent="0.25">
      <c r="J1881" s="4"/>
    </row>
    <row r="1882" spans="10:10" x14ac:dyDescent="0.25">
      <c r="J1882" s="4"/>
    </row>
    <row r="1883" spans="10:10" x14ac:dyDescent="0.25">
      <c r="J1883" s="4"/>
    </row>
    <row r="1884" spans="10:10" x14ac:dyDescent="0.25">
      <c r="J1884" s="4"/>
    </row>
    <row r="1885" spans="10:10" x14ac:dyDescent="0.25">
      <c r="J1885" s="4"/>
    </row>
    <row r="1886" spans="10:10" x14ac:dyDescent="0.25">
      <c r="J1886" s="4"/>
    </row>
    <row r="1887" spans="10:10" x14ac:dyDescent="0.25">
      <c r="J1887" s="4"/>
    </row>
    <row r="1888" spans="10:10" x14ac:dyDescent="0.25">
      <c r="J1888" s="4"/>
    </row>
    <row r="1889" spans="10:10" x14ac:dyDescent="0.25">
      <c r="J1889" s="4"/>
    </row>
    <row r="1890" spans="10:10" x14ac:dyDescent="0.25">
      <c r="J1890" s="4"/>
    </row>
    <row r="1891" spans="10:10" x14ac:dyDescent="0.25">
      <c r="J1891" s="4"/>
    </row>
    <row r="1892" spans="10:10" x14ac:dyDescent="0.25">
      <c r="J1892" s="4"/>
    </row>
    <row r="1893" spans="10:10" x14ac:dyDescent="0.25">
      <c r="J1893" s="4"/>
    </row>
    <row r="1894" spans="10:10" x14ac:dyDescent="0.25">
      <c r="J1894" s="4"/>
    </row>
    <row r="1895" spans="10:10" x14ac:dyDescent="0.25">
      <c r="J1895" s="4"/>
    </row>
    <row r="1896" spans="10:10" x14ac:dyDescent="0.25">
      <c r="J1896" s="4"/>
    </row>
    <row r="1897" spans="10:10" x14ac:dyDescent="0.25">
      <c r="J1897" s="4"/>
    </row>
    <row r="1898" spans="10:10" x14ac:dyDescent="0.25">
      <c r="J1898" s="4"/>
    </row>
    <row r="1899" spans="10:10" x14ac:dyDescent="0.25">
      <c r="J1899" s="4"/>
    </row>
    <row r="1900" spans="10:10" x14ac:dyDescent="0.25">
      <c r="J1900" s="4"/>
    </row>
    <row r="1901" spans="10:10" x14ac:dyDescent="0.25">
      <c r="J1901" s="4"/>
    </row>
    <row r="1902" spans="10:10" x14ac:dyDescent="0.25">
      <c r="J1902" s="4"/>
    </row>
    <row r="1903" spans="10:10" x14ac:dyDescent="0.25">
      <c r="J1903" s="4"/>
    </row>
    <row r="1904" spans="10:10" x14ac:dyDescent="0.25">
      <c r="J1904" s="4"/>
    </row>
    <row r="1905" spans="10:10" x14ac:dyDescent="0.25">
      <c r="J1905" s="4"/>
    </row>
    <row r="1906" spans="10:10" x14ac:dyDescent="0.25">
      <c r="J1906" s="4"/>
    </row>
    <row r="1907" spans="10:10" x14ac:dyDescent="0.25">
      <c r="J1907" s="4"/>
    </row>
    <row r="1908" spans="10:10" x14ac:dyDescent="0.25">
      <c r="J1908" s="4"/>
    </row>
    <row r="1909" spans="10:10" x14ac:dyDescent="0.25">
      <c r="J1909" s="4"/>
    </row>
    <row r="1910" spans="10:10" x14ac:dyDescent="0.25">
      <c r="J1910" s="4"/>
    </row>
    <row r="1911" spans="10:10" x14ac:dyDescent="0.25">
      <c r="J1911" s="4"/>
    </row>
    <row r="1912" spans="10:10" x14ac:dyDescent="0.25">
      <c r="J1912" s="4"/>
    </row>
    <row r="1913" spans="10:10" x14ac:dyDescent="0.25">
      <c r="J1913" s="4"/>
    </row>
    <row r="1914" spans="10:10" x14ac:dyDescent="0.25">
      <c r="J1914" s="4"/>
    </row>
    <row r="1915" spans="10:10" x14ac:dyDescent="0.25">
      <c r="J1915" s="4"/>
    </row>
    <row r="1916" spans="10:10" x14ac:dyDescent="0.25">
      <c r="J1916" s="4"/>
    </row>
    <row r="1917" spans="10:10" x14ac:dyDescent="0.25">
      <c r="J1917" s="4"/>
    </row>
    <row r="1918" spans="10:10" x14ac:dyDescent="0.25">
      <c r="J1918" s="4"/>
    </row>
    <row r="1919" spans="10:10" x14ac:dyDescent="0.25">
      <c r="J1919" s="4"/>
    </row>
    <row r="1920" spans="10:10" x14ac:dyDescent="0.25">
      <c r="J1920" s="4"/>
    </row>
    <row r="1921" spans="10:10" x14ac:dyDescent="0.25">
      <c r="J1921" s="4"/>
    </row>
    <row r="1922" spans="10:10" x14ac:dyDescent="0.25">
      <c r="J1922" s="4"/>
    </row>
    <row r="1923" spans="10:10" x14ac:dyDescent="0.25">
      <c r="J1923" s="4"/>
    </row>
    <row r="1924" spans="10:10" x14ac:dyDescent="0.25">
      <c r="J1924" s="4"/>
    </row>
    <row r="1925" spans="10:10" x14ac:dyDescent="0.25">
      <c r="J1925" s="4"/>
    </row>
    <row r="1926" spans="10:10" x14ac:dyDescent="0.25">
      <c r="J1926" s="4"/>
    </row>
    <row r="1927" spans="10:10" x14ac:dyDescent="0.25">
      <c r="J1927" s="4"/>
    </row>
    <row r="1928" spans="10:10" x14ac:dyDescent="0.25">
      <c r="J1928" s="4"/>
    </row>
    <row r="1929" spans="10:10" x14ac:dyDescent="0.25">
      <c r="J1929" s="4"/>
    </row>
    <row r="1930" spans="10:10" x14ac:dyDescent="0.25">
      <c r="J1930" s="4"/>
    </row>
    <row r="1931" spans="10:10" x14ac:dyDescent="0.25">
      <c r="J1931" s="4"/>
    </row>
    <row r="1932" spans="10:10" x14ac:dyDescent="0.25">
      <c r="J1932" s="4"/>
    </row>
    <row r="1933" spans="10:10" x14ac:dyDescent="0.25">
      <c r="J1933" s="4"/>
    </row>
    <row r="1934" spans="10:10" x14ac:dyDescent="0.25">
      <c r="J1934" s="4"/>
    </row>
    <row r="1935" spans="10:10" x14ac:dyDescent="0.25">
      <c r="J1935" s="4"/>
    </row>
    <row r="1936" spans="10:10" x14ac:dyDescent="0.25">
      <c r="J1936" s="4"/>
    </row>
    <row r="1937" spans="10:10" x14ac:dyDescent="0.25">
      <c r="J1937" s="4"/>
    </row>
    <row r="1938" spans="10:10" x14ac:dyDescent="0.25">
      <c r="J1938" s="4"/>
    </row>
    <row r="1939" spans="10:10" x14ac:dyDescent="0.25">
      <c r="J1939" s="4"/>
    </row>
    <row r="1940" spans="10:10" x14ac:dyDescent="0.25">
      <c r="J1940" s="4"/>
    </row>
    <row r="1941" spans="10:10" x14ac:dyDescent="0.25">
      <c r="J1941" s="4"/>
    </row>
    <row r="1942" spans="10:10" x14ac:dyDescent="0.25">
      <c r="J1942" s="4"/>
    </row>
    <row r="1943" spans="10:10" x14ac:dyDescent="0.25">
      <c r="J1943" s="4"/>
    </row>
    <row r="1944" spans="10:10" x14ac:dyDescent="0.25">
      <c r="J1944" s="4"/>
    </row>
    <row r="1945" spans="10:10" x14ac:dyDescent="0.25">
      <c r="J1945" s="4"/>
    </row>
    <row r="1946" spans="10:10" x14ac:dyDescent="0.25">
      <c r="J1946" s="4"/>
    </row>
    <row r="1947" spans="10:10" x14ac:dyDescent="0.25">
      <c r="J1947" s="4"/>
    </row>
    <row r="1948" spans="10:10" x14ac:dyDescent="0.25">
      <c r="J1948" s="4"/>
    </row>
    <row r="1949" spans="10:10" x14ac:dyDescent="0.25">
      <c r="J1949" s="4"/>
    </row>
    <row r="1950" spans="10:10" x14ac:dyDescent="0.25">
      <c r="J1950" s="4"/>
    </row>
    <row r="1951" spans="10:10" x14ac:dyDescent="0.25">
      <c r="J1951" s="4"/>
    </row>
    <row r="1952" spans="10:10" x14ac:dyDescent="0.25">
      <c r="J1952" s="4"/>
    </row>
    <row r="1953" spans="10:10" x14ac:dyDescent="0.25">
      <c r="J1953" s="4"/>
    </row>
    <row r="1954" spans="10:10" x14ac:dyDescent="0.25">
      <c r="J1954" s="4"/>
    </row>
    <row r="1955" spans="10:10" x14ac:dyDescent="0.25">
      <c r="J1955" s="4"/>
    </row>
    <row r="1956" spans="10:10" x14ac:dyDescent="0.25">
      <c r="J1956" s="4"/>
    </row>
    <row r="1957" spans="10:10" x14ac:dyDescent="0.25">
      <c r="J1957" s="4"/>
    </row>
    <row r="1958" spans="10:10" x14ac:dyDescent="0.25">
      <c r="J1958" s="4"/>
    </row>
    <row r="1959" spans="10:10" x14ac:dyDescent="0.25">
      <c r="J1959" s="4"/>
    </row>
    <row r="1960" spans="10:10" x14ac:dyDescent="0.25">
      <c r="J1960" s="4"/>
    </row>
    <row r="1961" spans="10:10" x14ac:dyDescent="0.25">
      <c r="J1961" s="4"/>
    </row>
    <row r="1962" spans="10:10" x14ac:dyDescent="0.25">
      <c r="J1962" s="4"/>
    </row>
    <row r="1963" spans="10:10" x14ac:dyDescent="0.25">
      <c r="J1963" s="4"/>
    </row>
    <row r="1964" spans="10:10" x14ac:dyDescent="0.25">
      <c r="J1964" s="4"/>
    </row>
    <row r="1965" spans="10:10" x14ac:dyDescent="0.25">
      <c r="J1965" s="4"/>
    </row>
    <row r="1966" spans="10:10" x14ac:dyDescent="0.25">
      <c r="J1966" s="4"/>
    </row>
    <row r="1967" spans="10:10" x14ac:dyDescent="0.25">
      <c r="J1967" s="4"/>
    </row>
    <row r="1968" spans="10:10" x14ac:dyDescent="0.25">
      <c r="J1968" s="4"/>
    </row>
    <row r="1969" spans="10:10" x14ac:dyDescent="0.25">
      <c r="J1969" s="4"/>
    </row>
    <row r="1970" spans="10:10" x14ac:dyDescent="0.25">
      <c r="J1970" s="4"/>
    </row>
    <row r="1971" spans="10:10" x14ac:dyDescent="0.25">
      <c r="J1971" s="4"/>
    </row>
    <row r="1972" spans="10:10" x14ac:dyDescent="0.25">
      <c r="J1972" s="4"/>
    </row>
    <row r="1973" spans="10:10" x14ac:dyDescent="0.25">
      <c r="J1973" s="4"/>
    </row>
    <row r="1974" spans="10:10" x14ac:dyDescent="0.25">
      <c r="J1974" s="4"/>
    </row>
    <row r="1975" spans="10:10" x14ac:dyDescent="0.25">
      <c r="J1975" s="4"/>
    </row>
    <row r="1976" spans="10:10" x14ac:dyDescent="0.25">
      <c r="J1976" s="4"/>
    </row>
    <row r="1977" spans="10:10" x14ac:dyDescent="0.25">
      <c r="J1977" s="4"/>
    </row>
    <row r="1978" spans="10:10" x14ac:dyDescent="0.25">
      <c r="J1978" s="4"/>
    </row>
    <row r="1979" spans="10:10" x14ac:dyDescent="0.25">
      <c r="J1979" s="4"/>
    </row>
    <row r="1980" spans="10:10" x14ac:dyDescent="0.25">
      <c r="J1980" s="4"/>
    </row>
    <row r="1981" spans="10:10" x14ac:dyDescent="0.25">
      <c r="J1981" s="4"/>
    </row>
    <row r="1982" spans="10:10" x14ac:dyDescent="0.25">
      <c r="J1982" s="4"/>
    </row>
    <row r="1983" spans="10:10" x14ac:dyDescent="0.25">
      <c r="J1983" s="4"/>
    </row>
    <row r="1984" spans="10:10" x14ac:dyDescent="0.25">
      <c r="J1984" s="4"/>
    </row>
    <row r="1985" spans="10:10" x14ac:dyDescent="0.25">
      <c r="J1985" s="4"/>
    </row>
    <row r="1986" spans="10:10" x14ac:dyDescent="0.25">
      <c r="J1986" s="4"/>
    </row>
    <row r="1987" spans="10:10" x14ac:dyDescent="0.25">
      <c r="J1987" s="4"/>
    </row>
    <row r="1988" spans="10:10" x14ac:dyDescent="0.25">
      <c r="J1988" s="4"/>
    </row>
    <row r="1989" spans="10:10" x14ac:dyDescent="0.25">
      <c r="J1989" s="4"/>
    </row>
    <row r="1990" spans="10:10" x14ac:dyDescent="0.25">
      <c r="J1990" s="4"/>
    </row>
    <row r="1991" spans="10:10" x14ac:dyDescent="0.25">
      <c r="J1991" s="4"/>
    </row>
    <row r="1992" spans="10:10" x14ac:dyDescent="0.25">
      <c r="J1992" s="4"/>
    </row>
    <row r="1993" spans="10:10" x14ac:dyDescent="0.25">
      <c r="J1993" s="4"/>
    </row>
    <row r="1994" spans="10:10" x14ac:dyDescent="0.25">
      <c r="J1994" s="4"/>
    </row>
    <row r="1995" spans="10:10" x14ac:dyDescent="0.25">
      <c r="J1995" s="4"/>
    </row>
    <row r="1996" spans="10:10" x14ac:dyDescent="0.25">
      <c r="J1996" s="4"/>
    </row>
    <row r="1997" spans="10:10" x14ac:dyDescent="0.25">
      <c r="J1997" s="4"/>
    </row>
    <row r="1998" spans="10:10" x14ac:dyDescent="0.25">
      <c r="J1998" s="4"/>
    </row>
    <row r="1999" spans="10:10" x14ac:dyDescent="0.25">
      <c r="J1999" s="4"/>
    </row>
    <row r="2000" spans="10:10" x14ac:dyDescent="0.25">
      <c r="J2000" s="4"/>
    </row>
    <row r="2001" spans="10:10" x14ac:dyDescent="0.25">
      <c r="J2001" s="4"/>
    </row>
    <row r="2002" spans="10:10" x14ac:dyDescent="0.25">
      <c r="J2002" s="4"/>
    </row>
    <row r="2003" spans="10:10" x14ac:dyDescent="0.25">
      <c r="J2003" s="4"/>
    </row>
    <row r="2004" spans="10:10" x14ac:dyDescent="0.25">
      <c r="J2004" s="4"/>
    </row>
    <row r="2005" spans="10:10" x14ac:dyDescent="0.25">
      <c r="J2005" s="4"/>
    </row>
    <row r="2006" spans="10:10" x14ac:dyDescent="0.25">
      <c r="J2006" s="4"/>
    </row>
    <row r="2007" spans="10:10" x14ac:dyDescent="0.25">
      <c r="J2007" s="4"/>
    </row>
    <row r="2008" spans="10:10" x14ac:dyDescent="0.25">
      <c r="J2008" s="4"/>
    </row>
    <row r="2009" spans="10:10" x14ac:dyDescent="0.25">
      <c r="J2009" s="4"/>
    </row>
    <row r="2010" spans="10:10" x14ac:dyDescent="0.25">
      <c r="J2010" s="4"/>
    </row>
    <row r="2011" spans="10:10" x14ac:dyDescent="0.25">
      <c r="J2011" s="4"/>
    </row>
    <row r="2012" spans="10:10" x14ac:dyDescent="0.25">
      <c r="J2012" s="4"/>
    </row>
    <row r="2013" spans="10:10" x14ac:dyDescent="0.25">
      <c r="J2013" s="4"/>
    </row>
    <row r="2014" spans="10:10" x14ac:dyDescent="0.25">
      <c r="J2014" s="4"/>
    </row>
    <row r="2015" spans="10:10" x14ac:dyDescent="0.25">
      <c r="J2015" s="4"/>
    </row>
    <row r="2016" spans="10:10" x14ac:dyDescent="0.25">
      <c r="J2016" s="4"/>
    </row>
    <row r="2017" spans="10:10" x14ac:dyDescent="0.25">
      <c r="J2017" s="4"/>
    </row>
    <row r="2018" spans="10:10" x14ac:dyDescent="0.25">
      <c r="J2018" s="4"/>
    </row>
    <row r="2019" spans="10:10" x14ac:dyDescent="0.25">
      <c r="J2019" s="4"/>
    </row>
    <row r="2020" spans="10:10" x14ac:dyDescent="0.25">
      <c r="J2020" s="4"/>
    </row>
    <row r="2021" spans="10:10" x14ac:dyDescent="0.25">
      <c r="J2021" s="4"/>
    </row>
    <row r="2022" spans="10:10" x14ac:dyDescent="0.25">
      <c r="J2022" s="4"/>
    </row>
    <row r="2023" spans="10:10" x14ac:dyDescent="0.25">
      <c r="J2023" s="4"/>
    </row>
    <row r="2024" spans="10:10" x14ac:dyDescent="0.25">
      <c r="J2024" s="4"/>
    </row>
    <row r="2025" spans="10:10" x14ac:dyDescent="0.25">
      <c r="J2025" s="4"/>
    </row>
    <row r="2026" spans="10:10" x14ac:dyDescent="0.25">
      <c r="J2026" s="4"/>
    </row>
    <row r="2027" spans="10:10" x14ac:dyDescent="0.25">
      <c r="J2027" s="4"/>
    </row>
    <row r="2028" spans="10:10" x14ac:dyDescent="0.25">
      <c r="J2028" s="4"/>
    </row>
    <row r="2029" spans="10:10" x14ac:dyDescent="0.25">
      <c r="J2029" s="4"/>
    </row>
    <row r="2030" spans="10:10" x14ac:dyDescent="0.25">
      <c r="J2030" s="4"/>
    </row>
    <row r="2031" spans="10:10" x14ac:dyDescent="0.25">
      <c r="J2031" s="4"/>
    </row>
    <row r="2032" spans="10:10" x14ac:dyDescent="0.25">
      <c r="J2032" s="4"/>
    </row>
    <row r="2033" spans="10:10" x14ac:dyDescent="0.25">
      <c r="J2033" s="4"/>
    </row>
    <row r="2034" spans="10:10" x14ac:dyDescent="0.25">
      <c r="J2034" s="4"/>
    </row>
    <row r="2035" spans="10:10" x14ac:dyDescent="0.25">
      <c r="J2035" s="4"/>
    </row>
    <row r="2036" spans="10:10" x14ac:dyDescent="0.25">
      <c r="J2036" s="4"/>
    </row>
    <row r="2037" spans="10:10" x14ac:dyDescent="0.25">
      <c r="J2037" s="4"/>
    </row>
    <row r="2038" spans="10:10" x14ac:dyDescent="0.25">
      <c r="J2038" s="4"/>
    </row>
    <row r="2039" spans="10:10" x14ac:dyDescent="0.25">
      <c r="J2039" s="4"/>
    </row>
    <row r="2040" spans="10:10" x14ac:dyDescent="0.25">
      <c r="J2040" s="4"/>
    </row>
    <row r="2041" spans="10:10" x14ac:dyDescent="0.25">
      <c r="J2041" s="4"/>
    </row>
    <row r="2042" spans="10:10" x14ac:dyDescent="0.25">
      <c r="J2042" s="4"/>
    </row>
    <row r="2043" spans="10:10" x14ac:dyDescent="0.25">
      <c r="J2043" s="4"/>
    </row>
    <row r="2044" spans="10:10" x14ac:dyDescent="0.25">
      <c r="J2044" s="4"/>
    </row>
    <row r="2045" spans="10:10" x14ac:dyDescent="0.25">
      <c r="J2045" s="4"/>
    </row>
    <row r="2046" spans="10:10" x14ac:dyDescent="0.25">
      <c r="J2046" s="4"/>
    </row>
    <row r="2047" spans="10:10" x14ac:dyDescent="0.25">
      <c r="J2047" s="4"/>
    </row>
    <row r="2048" spans="10:10" x14ac:dyDescent="0.25">
      <c r="J2048" s="4"/>
    </row>
    <row r="2049" spans="10:10" x14ac:dyDescent="0.25">
      <c r="J2049" s="4"/>
    </row>
    <row r="2050" spans="10:10" x14ac:dyDescent="0.25">
      <c r="J2050" s="4"/>
    </row>
    <row r="2051" spans="10:10" x14ac:dyDescent="0.25">
      <c r="J2051" s="4"/>
    </row>
    <row r="2052" spans="10:10" x14ac:dyDescent="0.25">
      <c r="J2052" s="4"/>
    </row>
    <row r="2053" spans="10:10" x14ac:dyDescent="0.25">
      <c r="J2053" s="4"/>
    </row>
    <row r="2054" spans="10:10" x14ac:dyDescent="0.25">
      <c r="J2054" s="4"/>
    </row>
    <row r="2055" spans="10:10" x14ac:dyDescent="0.25">
      <c r="J2055" s="4"/>
    </row>
    <row r="2056" spans="10:10" x14ac:dyDescent="0.25">
      <c r="J2056" s="4"/>
    </row>
    <row r="2057" spans="10:10" x14ac:dyDescent="0.25">
      <c r="J2057" s="4"/>
    </row>
    <row r="2058" spans="10:10" x14ac:dyDescent="0.25">
      <c r="J2058" s="4"/>
    </row>
    <row r="2059" spans="10:10" x14ac:dyDescent="0.25">
      <c r="J2059" s="4"/>
    </row>
    <row r="2060" spans="10:10" x14ac:dyDescent="0.25">
      <c r="J2060" s="4"/>
    </row>
    <row r="2061" spans="10:10" x14ac:dyDescent="0.25">
      <c r="J2061" s="4"/>
    </row>
    <row r="2062" spans="10:10" x14ac:dyDescent="0.25">
      <c r="J2062" s="4"/>
    </row>
    <row r="2063" spans="10:10" x14ac:dyDescent="0.25">
      <c r="J2063" s="4"/>
    </row>
    <row r="2064" spans="10:10" x14ac:dyDescent="0.25">
      <c r="J2064" s="4"/>
    </row>
    <row r="2065" spans="10:10" x14ac:dyDescent="0.25">
      <c r="J2065" s="4"/>
    </row>
    <row r="2066" spans="10:10" x14ac:dyDescent="0.25">
      <c r="J2066" s="4"/>
    </row>
    <row r="2067" spans="10:10" x14ac:dyDescent="0.25">
      <c r="J2067" s="4"/>
    </row>
    <row r="2068" spans="10:10" x14ac:dyDescent="0.25">
      <c r="J2068" s="4"/>
    </row>
    <row r="2069" spans="10:10" x14ac:dyDescent="0.25">
      <c r="J2069" s="4"/>
    </row>
    <row r="2070" spans="10:10" x14ac:dyDescent="0.25">
      <c r="J2070" s="4"/>
    </row>
    <row r="2071" spans="10:10" x14ac:dyDescent="0.25">
      <c r="J2071" s="4"/>
    </row>
  </sheetData>
  <pageMargins left="0.75" right="0.75" top="1" bottom="1" header="0.5" footer="0.5"/>
  <headerFooter>
    <oddHeader>&amp;C&amp;G</oddHeader>
  </headerFooter>
  <drawing r:id="rId1"/>
  <legacyDrawingHF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96679-727B-481F-90C9-13B1B2AF8B7F}">
  <dimension ref="A16:V2071"/>
  <sheetViews>
    <sheetView workbookViewId="0">
      <pane xSplit="2" ySplit="16" topLeftCell="C17" activePane="bottomRight" state="frozen"/>
      <selection pane="topRight" activeCell="C1" sqref="C1"/>
      <selection pane="bottomLeft" activeCell="A17" sqref="A17"/>
      <selection pane="bottomRight" activeCell="G10" sqref="G10"/>
    </sheetView>
  </sheetViews>
  <sheetFormatPr defaultRowHeight="15" x14ac:dyDescent="0.25"/>
  <cols>
    <col min="1" max="1" width="33" bestFit="1" customWidth="1"/>
    <col min="2" max="2" width="30.7109375" bestFit="1" customWidth="1"/>
    <col min="3" max="3" width="7.7109375" bestFit="1" customWidth="1"/>
    <col min="4" max="5" width="6.5703125" bestFit="1" customWidth="1"/>
    <col min="6" max="6" width="7.42578125" bestFit="1" customWidth="1"/>
    <col min="7" max="7" width="8.85546875" bestFit="1" customWidth="1"/>
    <col min="8" max="8" width="9" bestFit="1" customWidth="1"/>
    <col min="9" max="9" width="8.140625" bestFit="1" customWidth="1"/>
    <col min="10" max="10" width="71.140625" bestFit="1" customWidth="1"/>
    <col min="11" max="11" width="11.7109375" bestFit="1" customWidth="1"/>
    <col min="12" max="12" width="11.5703125" bestFit="1" customWidth="1"/>
    <col min="13" max="13" width="12.85546875" bestFit="1" customWidth="1"/>
    <col min="14" max="14" width="11.7109375" bestFit="1" customWidth="1"/>
    <col min="15" max="15" width="25.140625" bestFit="1" customWidth="1"/>
    <col min="16" max="16" width="13.85546875" bestFit="1" customWidth="1"/>
    <col min="17" max="17" width="20.28515625" bestFit="1" customWidth="1"/>
    <col min="18" max="18" width="18.5703125" bestFit="1" customWidth="1"/>
    <col min="19" max="19" width="19.28515625" bestFit="1" customWidth="1"/>
    <col min="20" max="20" width="30.28515625" bestFit="1" customWidth="1"/>
    <col min="21" max="21" width="18.5703125" bestFit="1" customWidth="1"/>
    <col min="22" max="22" width="16" bestFit="1" customWidth="1"/>
  </cols>
  <sheetData>
    <row r="16" spans="1:22" x14ac:dyDescent="0.25">
      <c r="A16" s="6" t="s">
        <v>0</v>
      </c>
      <c r="B16" s="6" t="s">
        <v>1</v>
      </c>
      <c r="C16" s="6" t="s">
        <v>2</v>
      </c>
      <c r="D16" s="6" t="s">
        <v>3</v>
      </c>
      <c r="E16" s="6" t="s">
        <v>4</v>
      </c>
      <c r="F16" s="6" t="s">
        <v>5</v>
      </c>
      <c r="G16" s="6" t="s">
        <v>6</v>
      </c>
      <c r="H16" s="6" t="s">
        <v>7</v>
      </c>
      <c r="I16" s="6" t="s">
        <v>8</v>
      </c>
      <c r="J16" s="6" t="s">
        <v>9</v>
      </c>
      <c r="K16" s="6" t="s">
        <v>10</v>
      </c>
      <c r="L16" s="6" t="s">
        <v>11</v>
      </c>
      <c r="M16" s="6" t="s">
        <v>12</v>
      </c>
      <c r="N16" s="6" t="s">
        <v>13</v>
      </c>
      <c r="O16" s="6" t="s">
        <v>14</v>
      </c>
      <c r="P16" s="6" t="s">
        <v>15</v>
      </c>
      <c r="Q16" s="8" t="s">
        <v>16</v>
      </c>
      <c r="R16" s="7" t="s">
        <v>17</v>
      </c>
      <c r="S16" s="7" t="s">
        <v>18</v>
      </c>
      <c r="T16" s="7" t="s">
        <v>19</v>
      </c>
      <c r="U16" s="7" t="s">
        <v>20</v>
      </c>
      <c r="V16" s="7" t="s">
        <v>21</v>
      </c>
    </row>
    <row r="17" spans="1:22" x14ac:dyDescent="0.25">
      <c r="A17" t="s">
        <v>1295</v>
      </c>
      <c r="B17" t="s">
        <v>145</v>
      </c>
      <c r="C17">
        <v>23</v>
      </c>
      <c r="D17" t="s">
        <v>65</v>
      </c>
      <c r="E17" t="s">
        <v>69</v>
      </c>
      <c r="F17" t="s">
        <v>81</v>
      </c>
      <c r="G17">
        <v>1.04</v>
      </c>
      <c r="H17" t="s">
        <v>84</v>
      </c>
      <c r="I17">
        <v>12</v>
      </c>
      <c r="J17" t="str">
        <f>HYPERLINK("https://www.eliteprospects.com/player/656832/eric-pohlkamp")</f>
        <v>https://www.eliteprospects.com/player/656832/eric-pohlkamp</v>
      </c>
      <c r="K17" t="s">
        <v>27</v>
      </c>
      <c r="L17" t="s">
        <v>28</v>
      </c>
      <c r="M17" t="s">
        <v>1296</v>
      </c>
      <c r="N17">
        <v>3</v>
      </c>
      <c r="O17" t="s">
        <v>74</v>
      </c>
      <c r="P17">
        <v>0.2</v>
      </c>
      <c r="Q17" t="s">
        <v>31</v>
      </c>
      <c r="R17">
        <v>42.9</v>
      </c>
      <c r="S17">
        <v>14.3</v>
      </c>
      <c r="T17">
        <v>7.1</v>
      </c>
      <c r="U17">
        <v>7.1</v>
      </c>
      <c r="V17">
        <v>28.6</v>
      </c>
    </row>
    <row r="18" spans="1:22" x14ac:dyDescent="0.25">
      <c r="A18" t="s">
        <v>1297</v>
      </c>
      <c r="B18" t="s">
        <v>37</v>
      </c>
      <c r="C18">
        <v>22</v>
      </c>
      <c r="D18" t="s">
        <v>57</v>
      </c>
      <c r="E18" t="s">
        <v>55</v>
      </c>
      <c r="F18" t="s">
        <v>81</v>
      </c>
      <c r="G18">
        <v>1.0900000000000001</v>
      </c>
      <c r="H18" t="s">
        <v>26</v>
      </c>
      <c r="I18">
        <v>17</v>
      </c>
      <c r="J18" t="str">
        <f>HYPERLINK("https://www.eliteprospects.com/player/603191/ty-hanson")</f>
        <v>https://www.eliteprospects.com/player/603191/ty-hanson</v>
      </c>
      <c r="K18" t="s">
        <v>27</v>
      </c>
      <c r="L18" t="s">
        <v>28</v>
      </c>
      <c r="M18" t="s">
        <v>1296</v>
      </c>
      <c r="N18">
        <v>2</v>
      </c>
      <c r="O18" t="s">
        <v>43</v>
      </c>
      <c r="P18">
        <v>0.21</v>
      </c>
      <c r="Q18" t="s">
        <v>31</v>
      </c>
      <c r="R18">
        <v>0</v>
      </c>
      <c r="S18">
        <v>0</v>
      </c>
      <c r="T18">
        <v>0</v>
      </c>
      <c r="U18">
        <v>0</v>
      </c>
      <c r="V18">
        <v>0</v>
      </c>
    </row>
    <row r="19" spans="1:22" x14ac:dyDescent="0.25">
      <c r="A19" t="s">
        <v>1298</v>
      </c>
      <c r="B19" t="s">
        <v>98</v>
      </c>
      <c r="C19">
        <v>21</v>
      </c>
      <c r="D19" t="s">
        <v>45</v>
      </c>
      <c r="E19" t="s">
        <v>39</v>
      </c>
      <c r="F19" t="s">
        <v>84</v>
      </c>
      <c r="G19">
        <v>1.1000000000000001</v>
      </c>
      <c r="H19" t="s">
        <v>75</v>
      </c>
      <c r="I19">
        <v>17</v>
      </c>
      <c r="J19" t="str">
        <f>HYPERLINK("https://www.eliteprospects.com/player/476039/tyler-dunbar")</f>
        <v>https://www.eliteprospects.com/player/476039/tyler-dunbar</v>
      </c>
      <c r="K19" t="s">
        <v>27</v>
      </c>
      <c r="L19" t="s">
        <v>28</v>
      </c>
      <c r="M19" t="s">
        <v>1296</v>
      </c>
      <c r="N19">
        <v>3</v>
      </c>
      <c r="O19" t="s">
        <v>74</v>
      </c>
      <c r="P19">
        <v>0.21</v>
      </c>
      <c r="Q19" t="s">
        <v>31</v>
      </c>
      <c r="R19">
        <v>0</v>
      </c>
      <c r="S19">
        <v>0</v>
      </c>
      <c r="T19">
        <v>0</v>
      </c>
      <c r="U19">
        <v>0</v>
      </c>
      <c r="V19">
        <v>0</v>
      </c>
    </row>
    <row r="20" spans="1:22" x14ac:dyDescent="0.25">
      <c r="A20" t="s">
        <v>1299</v>
      </c>
      <c r="B20" t="s">
        <v>88</v>
      </c>
      <c r="C20">
        <v>22</v>
      </c>
      <c r="D20" t="s">
        <v>32</v>
      </c>
      <c r="E20" t="s">
        <v>69</v>
      </c>
      <c r="F20" t="s">
        <v>33</v>
      </c>
      <c r="G20">
        <v>0.95</v>
      </c>
      <c r="H20" t="s">
        <v>32</v>
      </c>
      <c r="I20">
        <v>3</v>
      </c>
      <c r="J20" t="str">
        <f>HYPERLINK("https://www.eliteprospects.com/player/417512/chris-hedden")</f>
        <v>https://www.eliteprospects.com/player/417512/chris-hedden</v>
      </c>
      <c r="K20" t="s">
        <v>27</v>
      </c>
      <c r="L20" t="s">
        <v>28</v>
      </c>
      <c r="M20" t="s">
        <v>1296</v>
      </c>
      <c r="N20">
        <v>4</v>
      </c>
      <c r="O20" t="s">
        <v>30</v>
      </c>
      <c r="P20">
        <v>0.18</v>
      </c>
      <c r="Q20" t="s">
        <v>1300</v>
      </c>
      <c r="R20">
        <v>33.299999999999997</v>
      </c>
      <c r="S20">
        <v>33.299999999999997</v>
      </c>
      <c r="T20">
        <v>16.7</v>
      </c>
      <c r="U20">
        <v>16.7</v>
      </c>
      <c r="V20">
        <v>0</v>
      </c>
    </row>
    <row r="21" spans="1:22" x14ac:dyDescent="0.25">
      <c r="A21" t="s">
        <v>1301</v>
      </c>
      <c r="B21" t="s">
        <v>195</v>
      </c>
      <c r="C21">
        <v>19</v>
      </c>
      <c r="D21" t="s">
        <v>78</v>
      </c>
      <c r="E21" t="s">
        <v>65</v>
      </c>
      <c r="F21" t="s">
        <v>24</v>
      </c>
      <c r="G21">
        <v>1.05</v>
      </c>
      <c r="H21" t="s">
        <v>23</v>
      </c>
      <c r="I21">
        <v>8</v>
      </c>
      <c r="J21" t="str">
        <f>HYPERLINK("https://www.eliteprospects.com/player/597819/cole-hutson")</f>
        <v>https://www.eliteprospects.com/player/597819/cole-hutson</v>
      </c>
      <c r="K21" t="s">
        <v>27</v>
      </c>
      <c r="L21" t="s">
        <v>28</v>
      </c>
      <c r="M21" t="s">
        <v>1296</v>
      </c>
      <c r="N21">
        <v>2</v>
      </c>
      <c r="O21" t="s">
        <v>43</v>
      </c>
      <c r="P21">
        <v>0.2</v>
      </c>
      <c r="Q21" t="s">
        <v>31</v>
      </c>
      <c r="R21">
        <v>42.9</v>
      </c>
      <c r="S21">
        <v>14.3</v>
      </c>
      <c r="T21">
        <v>7.1</v>
      </c>
      <c r="U21">
        <v>7.1</v>
      </c>
      <c r="V21">
        <v>28.6</v>
      </c>
    </row>
    <row r="22" spans="1:22" x14ac:dyDescent="0.25">
      <c r="A22" t="s">
        <v>1302</v>
      </c>
      <c r="B22" t="s">
        <v>145</v>
      </c>
      <c r="C22">
        <v>23</v>
      </c>
      <c r="D22" t="s">
        <v>78</v>
      </c>
      <c r="E22" t="s">
        <v>65</v>
      </c>
      <c r="F22" t="s">
        <v>24</v>
      </c>
      <c r="G22">
        <v>0.87</v>
      </c>
      <c r="H22" t="s">
        <v>23</v>
      </c>
      <c r="I22">
        <v>15</v>
      </c>
      <c r="J22" t="str">
        <f>HYPERLINK("https://www.eliteprospects.com/player/486534/boston-buckberger")</f>
        <v>https://www.eliteprospects.com/player/486534/boston-buckberger</v>
      </c>
      <c r="K22" t="s">
        <v>27</v>
      </c>
      <c r="L22" t="s">
        <v>28</v>
      </c>
      <c r="M22" t="s">
        <v>1296</v>
      </c>
      <c r="N22">
        <v>3</v>
      </c>
      <c r="O22" t="s">
        <v>74</v>
      </c>
      <c r="P22">
        <v>0.17</v>
      </c>
      <c r="Q22" t="s">
        <v>1300</v>
      </c>
      <c r="R22">
        <v>42.9</v>
      </c>
      <c r="S22">
        <v>14.3</v>
      </c>
      <c r="T22">
        <v>7.1</v>
      </c>
      <c r="U22">
        <v>7.1</v>
      </c>
      <c r="V22">
        <v>28.6</v>
      </c>
    </row>
    <row r="23" spans="1:22" x14ac:dyDescent="0.25">
      <c r="A23" t="s">
        <v>1303</v>
      </c>
      <c r="B23" t="s">
        <v>113</v>
      </c>
      <c r="C23">
        <v>23</v>
      </c>
      <c r="D23" t="s">
        <v>57</v>
      </c>
      <c r="E23" t="s">
        <v>39</v>
      </c>
      <c r="F23" t="s">
        <v>24</v>
      </c>
      <c r="G23">
        <v>0.87</v>
      </c>
      <c r="H23" t="s">
        <v>132</v>
      </c>
      <c r="I23">
        <v>12</v>
      </c>
      <c r="J23" t="str">
        <f>HYPERLINK("https://www.eliteprospects.com/player/658220/evan-murr")</f>
        <v>https://www.eliteprospects.com/player/658220/evan-murr</v>
      </c>
      <c r="K23" t="s">
        <v>27</v>
      </c>
      <c r="L23" t="s">
        <v>28</v>
      </c>
      <c r="M23" t="s">
        <v>1296</v>
      </c>
      <c r="N23">
        <v>3</v>
      </c>
      <c r="O23" t="s">
        <v>74</v>
      </c>
      <c r="P23">
        <v>0.17</v>
      </c>
      <c r="Q23" t="s">
        <v>1300</v>
      </c>
      <c r="R23">
        <v>42.9</v>
      </c>
      <c r="S23">
        <v>14.3</v>
      </c>
      <c r="T23">
        <v>7.1</v>
      </c>
      <c r="U23">
        <v>7.1</v>
      </c>
      <c r="V23">
        <v>28.6</v>
      </c>
    </row>
    <row r="24" spans="1:22" x14ac:dyDescent="0.25">
      <c r="A24" t="s">
        <v>1304</v>
      </c>
      <c r="B24" t="s">
        <v>59</v>
      </c>
      <c r="C24">
        <v>23</v>
      </c>
      <c r="D24" t="s">
        <v>96</v>
      </c>
      <c r="E24" t="s">
        <v>41</v>
      </c>
      <c r="F24" t="s">
        <v>24</v>
      </c>
      <c r="G24">
        <v>0.87</v>
      </c>
      <c r="H24" t="s">
        <v>66</v>
      </c>
      <c r="I24">
        <v>14</v>
      </c>
      <c r="J24" t="str">
        <f>HYPERLINK("https://www.eliteprospects.com/player/508078/brandon-holt")</f>
        <v>https://www.eliteprospects.com/player/508078/brandon-holt</v>
      </c>
      <c r="K24" t="s">
        <v>27</v>
      </c>
      <c r="L24" t="s">
        <v>28</v>
      </c>
      <c r="M24" t="s">
        <v>1296</v>
      </c>
      <c r="N24">
        <v>4</v>
      </c>
      <c r="O24" t="s">
        <v>30</v>
      </c>
      <c r="P24">
        <v>0.17</v>
      </c>
      <c r="Q24" t="s">
        <v>1300</v>
      </c>
      <c r="R24">
        <v>42.9</v>
      </c>
      <c r="S24">
        <v>14.3</v>
      </c>
      <c r="T24">
        <v>7.1</v>
      </c>
      <c r="U24">
        <v>7.1</v>
      </c>
      <c r="V24">
        <v>28.6</v>
      </c>
    </row>
    <row r="25" spans="1:22" x14ac:dyDescent="0.25">
      <c r="A25" t="s">
        <v>1305</v>
      </c>
      <c r="B25" t="s">
        <v>109</v>
      </c>
      <c r="C25">
        <v>22</v>
      </c>
      <c r="D25" t="s">
        <v>140</v>
      </c>
      <c r="E25" t="s">
        <v>60</v>
      </c>
      <c r="F25" t="s">
        <v>24</v>
      </c>
      <c r="G25">
        <v>0.91</v>
      </c>
      <c r="H25" t="s">
        <v>26</v>
      </c>
      <c r="I25">
        <v>11</v>
      </c>
      <c r="J25" t="str">
        <f>HYPERLINK("https://www.eliteprospects.com/player/571946/jake-livanavage")</f>
        <v>https://www.eliteprospects.com/player/571946/jake-livanavage</v>
      </c>
      <c r="K25" t="s">
        <v>27</v>
      </c>
      <c r="L25" t="s">
        <v>28</v>
      </c>
      <c r="M25" t="s">
        <v>1296</v>
      </c>
      <c r="N25">
        <v>3</v>
      </c>
      <c r="O25" t="s">
        <v>74</v>
      </c>
      <c r="P25">
        <v>0.18</v>
      </c>
      <c r="Q25" t="s">
        <v>1300</v>
      </c>
      <c r="R25">
        <v>42.9</v>
      </c>
      <c r="S25">
        <v>14.3</v>
      </c>
      <c r="T25">
        <v>7.1</v>
      </c>
      <c r="U25">
        <v>7.1</v>
      </c>
      <c r="V25">
        <v>28.6</v>
      </c>
    </row>
    <row r="26" spans="1:22" x14ac:dyDescent="0.25">
      <c r="A26" t="s">
        <v>1306</v>
      </c>
      <c r="B26" t="s">
        <v>139</v>
      </c>
      <c r="C26">
        <v>20</v>
      </c>
      <c r="D26" t="s">
        <v>96</v>
      </c>
      <c r="E26" t="s">
        <v>65</v>
      </c>
      <c r="F26" t="s">
        <v>55</v>
      </c>
      <c r="G26">
        <v>0.9</v>
      </c>
      <c r="H26" t="s">
        <v>66</v>
      </c>
      <c r="I26">
        <v>1</v>
      </c>
      <c r="J26" t="str">
        <f>HYPERLINK("https://www.eliteprospects.com/player/201850/ben-dexheimer")</f>
        <v>https://www.eliteprospects.com/player/201850/ben-dexheimer</v>
      </c>
      <c r="K26" t="s">
        <v>27</v>
      </c>
      <c r="L26" t="s">
        <v>28</v>
      </c>
      <c r="M26" t="s">
        <v>1296</v>
      </c>
      <c r="N26">
        <v>4</v>
      </c>
      <c r="O26" t="s">
        <v>30</v>
      </c>
      <c r="P26">
        <v>0.17</v>
      </c>
      <c r="Q26" t="s">
        <v>1300</v>
      </c>
      <c r="R26">
        <v>33.299999999999997</v>
      </c>
      <c r="S26">
        <v>33.299999999999997</v>
      </c>
      <c r="T26">
        <v>16.7</v>
      </c>
      <c r="U26">
        <v>16.7</v>
      </c>
      <c r="V26">
        <v>0</v>
      </c>
    </row>
    <row r="27" spans="1:22" x14ac:dyDescent="0.25">
      <c r="A27" t="s">
        <v>1307</v>
      </c>
      <c r="B27" t="s">
        <v>128</v>
      </c>
      <c r="C27">
        <v>20</v>
      </c>
      <c r="D27" t="s">
        <v>79</v>
      </c>
      <c r="E27" t="s">
        <v>38</v>
      </c>
      <c r="F27" t="s">
        <v>55</v>
      </c>
      <c r="G27">
        <v>0.9</v>
      </c>
      <c r="H27" t="s">
        <v>23</v>
      </c>
      <c r="I27">
        <v>11</v>
      </c>
      <c r="J27" t="str">
        <f>HYPERLINK("https://www.eliteprospects.com/player/507286/breck-mckinley")</f>
        <v>https://www.eliteprospects.com/player/507286/breck-mckinley</v>
      </c>
      <c r="K27" t="s">
        <v>27</v>
      </c>
      <c r="L27" t="s">
        <v>28</v>
      </c>
      <c r="M27" t="s">
        <v>1296</v>
      </c>
      <c r="N27">
        <v>3</v>
      </c>
      <c r="O27" t="s">
        <v>74</v>
      </c>
      <c r="P27">
        <v>0.17</v>
      </c>
      <c r="Q27" t="s">
        <v>1300</v>
      </c>
      <c r="R27">
        <v>42.9</v>
      </c>
      <c r="S27">
        <v>14.3</v>
      </c>
      <c r="T27">
        <v>7.1</v>
      </c>
      <c r="U27">
        <v>7.1</v>
      </c>
      <c r="V27">
        <v>28.6</v>
      </c>
    </row>
    <row r="28" spans="1:22" x14ac:dyDescent="0.25">
      <c r="A28" t="s">
        <v>1308</v>
      </c>
      <c r="B28" t="s">
        <v>124</v>
      </c>
      <c r="C28">
        <v>22</v>
      </c>
      <c r="D28" t="s">
        <v>79</v>
      </c>
      <c r="E28" t="s">
        <v>41</v>
      </c>
      <c r="F28" t="s">
        <v>60</v>
      </c>
      <c r="G28">
        <v>0.77</v>
      </c>
      <c r="H28" t="s">
        <v>38</v>
      </c>
      <c r="I28">
        <v>8</v>
      </c>
      <c r="J28" t="str">
        <f>HYPERLINK("https://www.eliteprospects.com/player/697964/vladislav-lukashevich")</f>
        <v>https://www.eliteprospects.com/player/697964/vladislav-lukashevich</v>
      </c>
      <c r="K28" t="s">
        <v>27</v>
      </c>
      <c r="L28" t="s">
        <v>28</v>
      </c>
      <c r="M28" t="s">
        <v>1296</v>
      </c>
      <c r="N28">
        <v>2</v>
      </c>
      <c r="O28" t="s">
        <v>43</v>
      </c>
      <c r="P28">
        <v>0.15</v>
      </c>
      <c r="Q28" t="s">
        <v>1309</v>
      </c>
      <c r="R28">
        <v>10</v>
      </c>
      <c r="S28">
        <v>10</v>
      </c>
      <c r="T28">
        <v>20</v>
      </c>
      <c r="U28">
        <v>20</v>
      </c>
      <c r="V28">
        <v>40</v>
      </c>
    </row>
    <row r="29" spans="1:22" x14ac:dyDescent="0.25">
      <c r="A29" t="s">
        <v>1310</v>
      </c>
      <c r="B29" t="s">
        <v>64</v>
      </c>
      <c r="C29">
        <v>22</v>
      </c>
      <c r="D29" t="s">
        <v>132</v>
      </c>
      <c r="E29" t="s">
        <v>60</v>
      </c>
      <c r="F29" t="s">
        <v>60</v>
      </c>
      <c r="G29">
        <v>0.77</v>
      </c>
      <c r="H29" t="s">
        <v>57</v>
      </c>
      <c r="I29">
        <v>6</v>
      </c>
      <c r="J29" t="str">
        <f>HYPERLINK("https://www.eliteprospects.com/player/689570/chase-cheslock")</f>
        <v>https://www.eliteprospects.com/player/689570/chase-cheslock</v>
      </c>
      <c r="K29" t="s">
        <v>27</v>
      </c>
      <c r="L29" t="s">
        <v>28</v>
      </c>
      <c r="M29" t="s">
        <v>1296</v>
      </c>
      <c r="N29">
        <v>3</v>
      </c>
      <c r="O29" t="s">
        <v>74</v>
      </c>
      <c r="P29">
        <v>0.15</v>
      </c>
      <c r="Q29" t="s">
        <v>1309</v>
      </c>
      <c r="R29">
        <v>10</v>
      </c>
      <c r="S29">
        <v>10</v>
      </c>
      <c r="T29">
        <v>20</v>
      </c>
      <c r="U29">
        <v>20</v>
      </c>
      <c r="V29">
        <v>40</v>
      </c>
    </row>
    <row r="30" spans="1:22" x14ac:dyDescent="0.25">
      <c r="A30" t="s">
        <v>1311</v>
      </c>
      <c r="B30" t="s">
        <v>180</v>
      </c>
      <c r="C30">
        <v>20</v>
      </c>
      <c r="D30" t="s">
        <v>96</v>
      </c>
      <c r="E30" t="s">
        <v>69</v>
      </c>
      <c r="F30" t="s">
        <v>38</v>
      </c>
      <c r="G30">
        <v>0.8</v>
      </c>
      <c r="H30" t="s">
        <v>265</v>
      </c>
      <c r="I30">
        <v>-12</v>
      </c>
      <c r="J30" t="str">
        <f>HYPERLINK("https://www.eliteprospects.com/player/637620/paul-fischer")</f>
        <v>https://www.eliteprospects.com/player/637620/paul-fischer</v>
      </c>
      <c r="K30" t="s">
        <v>27</v>
      </c>
      <c r="L30" t="s">
        <v>28</v>
      </c>
      <c r="M30" t="s">
        <v>1296</v>
      </c>
      <c r="N30">
        <v>3</v>
      </c>
      <c r="O30" t="s">
        <v>74</v>
      </c>
      <c r="P30">
        <v>0.16</v>
      </c>
      <c r="Q30" t="s">
        <v>1300</v>
      </c>
      <c r="R30">
        <v>40</v>
      </c>
      <c r="S30">
        <v>40</v>
      </c>
      <c r="T30">
        <v>0</v>
      </c>
      <c r="U30">
        <v>0</v>
      </c>
      <c r="V30">
        <v>20</v>
      </c>
    </row>
    <row r="31" spans="1:22" x14ac:dyDescent="0.25">
      <c r="A31" t="s">
        <v>1312</v>
      </c>
      <c r="B31" t="s">
        <v>165</v>
      </c>
      <c r="C31">
        <v>20</v>
      </c>
      <c r="D31" t="s">
        <v>66</v>
      </c>
      <c r="E31" t="s">
        <v>23</v>
      </c>
      <c r="F31" t="s">
        <v>38</v>
      </c>
      <c r="G31">
        <v>0.8</v>
      </c>
      <c r="H31" t="s">
        <v>32</v>
      </c>
      <c r="I31">
        <v>-3</v>
      </c>
      <c r="J31" t="str">
        <f>HYPERLINK("https://www.eliteprospects.com/player/655508/isaiah-norlin")</f>
        <v>https://www.eliteprospects.com/player/655508/isaiah-norlin</v>
      </c>
      <c r="K31" t="s">
        <v>27</v>
      </c>
      <c r="L31" t="s">
        <v>28</v>
      </c>
      <c r="M31" t="s">
        <v>1296</v>
      </c>
      <c r="N31">
        <v>2</v>
      </c>
      <c r="O31" t="s">
        <v>43</v>
      </c>
      <c r="P31">
        <v>0.16</v>
      </c>
      <c r="Q31" t="s">
        <v>1300</v>
      </c>
      <c r="R31">
        <v>40</v>
      </c>
      <c r="S31">
        <v>40</v>
      </c>
      <c r="T31">
        <v>0</v>
      </c>
      <c r="U31">
        <v>0</v>
      </c>
      <c r="V31">
        <v>20</v>
      </c>
    </row>
    <row r="32" spans="1:22" x14ac:dyDescent="0.25">
      <c r="A32" t="s">
        <v>1313</v>
      </c>
      <c r="B32" t="s">
        <v>88</v>
      </c>
      <c r="C32">
        <v>22</v>
      </c>
      <c r="D32" t="s">
        <v>96</v>
      </c>
      <c r="E32" t="s">
        <v>32</v>
      </c>
      <c r="F32" t="s">
        <v>41</v>
      </c>
      <c r="G32">
        <v>0.68</v>
      </c>
      <c r="H32" t="s">
        <v>75</v>
      </c>
      <c r="I32">
        <v>-2</v>
      </c>
      <c r="J32" t="str">
        <f>HYPERLINK("https://www.eliteprospects.com/player/478395/will-staring")</f>
        <v>https://www.eliteprospects.com/player/478395/will-staring</v>
      </c>
      <c r="K32" t="s">
        <v>27</v>
      </c>
      <c r="L32" t="s">
        <v>28</v>
      </c>
      <c r="M32" t="s">
        <v>1296</v>
      </c>
      <c r="N32">
        <v>3</v>
      </c>
      <c r="O32" t="s">
        <v>74</v>
      </c>
      <c r="P32">
        <v>0.13</v>
      </c>
      <c r="Q32" t="s">
        <v>1309</v>
      </c>
      <c r="R32">
        <v>25</v>
      </c>
      <c r="S32">
        <v>25</v>
      </c>
      <c r="T32">
        <v>0</v>
      </c>
      <c r="U32">
        <v>0</v>
      </c>
      <c r="V32">
        <v>50</v>
      </c>
    </row>
    <row r="33" spans="1:22" x14ac:dyDescent="0.25">
      <c r="A33" t="s">
        <v>1314</v>
      </c>
      <c r="B33" t="s">
        <v>101</v>
      </c>
      <c r="C33">
        <v>19</v>
      </c>
      <c r="D33" t="s">
        <v>66</v>
      </c>
      <c r="E33" t="s">
        <v>69</v>
      </c>
      <c r="F33" t="s">
        <v>41</v>
      </c>
      <c r="G33">
        <v>0.79</v>
      </c>
      <c r="H33" t="s">
        <v>26</v>
      </c>
      <c r="I33">
        <v>-3</v>
      </c>
      <c r="J33" t="str">
        <f>HYPERLINK("https://www.eliteprospects.com/player/478377/vincent-borgesi")</f>
        <v>https://www.eliteprospects.com/player/478377/vincent-borgesi</v>
      </c>
      <c r="K33" t="s">
        <v>27</v>
      </c>
      <c r="L33" t="s">
        <v>28</v>
      </c>
      <c r="M33" t="s">
        <v>1296</v>
      </c>
      <c r="N33">
        <v>4</v>
      </c>
      <c r="O33" t="s">
        <v>30</v>
      </c>
      <c r="P33">
        <v>0.15</v>
      </c>
      <c r="Q33" t="s">
        <v>1300</v>
      </c>
      <c r="R33">
        <v>40</v>
      </c>
      <c r="S33">
        <v>40</v>
      </c>
      <c r="T33">
        <v>0</v>
      </c>
      <c r="U33">
        <v>0</v>
      </c>
      <c r="V33">
        <v>20</v>
      </c>
    </row>
    <row r="34" spans="1:22" x14ac:dyDescent="0.25">
      <c r="A34" t="s">
        <v>1315</v>
      </c>
      <c r="B34" t="s">
        <v>90</v>
      </c>
      <c r="C34">
        <v>20</v>
      </c>
      <c r="D34" t="s">
        <v>140</v>
      </c>
      <c r="E34" t="s">
        <v>23</v>
      </c>
      <c r="F34" t="s">
        <v>41</v>
      </c>
      <c r="G34">
        <v>0.75</v>
      </c>
      <c r="H34" t="s">
        <v>23</v>
      </c>
      <c r="I34">
        <v>-6</v>
      </c>
      <c r="J34" t="str">
        <f>HYPERLINK("https://www.eliteprospects.com/player/540571/mikey-adamson")</f>
        <v>https://www.eliteprospects.com/player/540571/mikey-adamson</v>
      </c>
      <c r="K34" t="s">
        <v>27</v>
      </c>
      <c r="L34" t="s">
        <v>28</v>
      </c>
      <c r="M34" t="s">
        <v>1296</v>
      </c>
      <c r="N34">
        <v>4</v>
      </c>
      <c r="O34" t="s">
        <v>30</v>
      </c>
      <c r="P34">
        <v>0.15</v>
      </c>
      <c r="Q34" t="s">
        <v>1300</v>
      </c>
      <c r="R34">
        <v>40</v>
      </c>
      <c r="S34">
        <v>40</v>
      </c>
      <c r="T34">
        <v>0</v>
      </c>
      <c r="U34">
        <v>0</v>
      </c>
      <c r="V34">
        <v>20</v>
      </c>
    </row>
    <row r="35" spans="1:22" x14ac:dyDescent="0.25">
      <c r="A35" t="s">
        <v>1316</v>
      </c>
      <c r="B35" t="s">
        <v>50</v>
      </c>
      <c r="C35">
        <v>22</v>
      </c>
      <c r="D35" t="s">
        <v>132</v>
      </c>
      <c r="E35" t="s">
        <v>41</v>
      </c>
      <c r="F35" t="s">
        <v>41</v>
      </c>
      <c r="G35">
        <v>0.68</v>
      </c>
      <c r="H35" t="s">
        <v>39</v>
      </c>
      <c r="I35">
        <v>15</v>
      </c>
      <c r="J35" t="str">
        <f>HYPERLINK("https://www.eliteprospects.com/player/609495/ben-robertson")</f>
        <v>https://www.eliteprospects.com/player/609495/ben-robertson</v>
      </c>
      <c r="K35" t="s">
        <v>27</v>
      </c>
      <c r="L35" t="s">
        <v>28</v>
      </c>
      <c r="M35" t="s">
        <v>1296</v>
      </c>
      <c r="N35">
        <v>3</v>
      </c>
      <c r="O35" t="s">
        <v>74</v>
      </c>
      <c r="P35">
        <v>0.13</v>
      </c>
      <c r="Q35" t="s">
        <v>1300</v>
      </c>
      <c r="R35">
        <v>42.9</v>
      </c>
      <c r="S35">
        <v>14.3</v>
      </c>
      <c r="T35">
        <v>7.1</v>
      </c>
      <c r="U35">
        <v>7.1</v>
      </c>
      <c r="V35">
        <v>28.6</v>
      </c>
    </row>
    <row r="36" spans="1:22" x14ac:dyDescent="0.25">
      <c r="A36" t="s">
        <v>1317</v>
      </c>
      <c r="B36" t="s">
        <v>124</v>
      </c>
      <c r="C36">
        <v>22</v>
      </c>
      <c r="D36" t="s">
        <v>66</v>
      </c>
      <c r="E36" t="s">
        <v>32</v>
      </c>
      <c r="F36" t="s">
        <v>39</v>
      </c>
      <c r="G36">
        <v>0.64</v>
      </c>
      <c r="H36" t="s">
        <v>26</v>
      </c>
      <c r="I36">
        <v>10</v>
      </c>
      <c r="J36" t="str">
        <f>HYPERLINK("https://www.eliteprospects.com/player/511976/michael-quinn")</f>
        <v>https://www.eliteprospects.com/player/511976/michael-quinn</v>
      </c>
      <c r="K36" t="s">
        <v>27</v>
      </c>
      <c r="L36" t="s">
        <v>28</v>
      </c>
      <c r="M36" t="s">
        <v>1296</v>
      </c>
      <c r="N36">
        <v>2</v>
      </c>
      <c r="O36" t="s">
        <v>43</v>
      </c>
      <c r="P36">
        <v>0.12</v>
      </c>
      <c r="Q36" t="s">
        <v>1300</v>
      </c>
      <c r="R36">
        <v>42.9</v>
      </c>
      <c r="S36">
        <v>14.3</v>
      </c>
      <c r="T36">
        <v>7.1</v>
      </c>
      <c r="U36">
        <v>7.1</v>
      </c>
      <c r="V36">
        <v>28.6</v>
      </c>
    </row>
    <row r="37" spans="1:22" x14ac:dyDescent="0.25">
      <c r="A37" t="s">
        <v>1318</v>
      </c>
      <c r="B37" t="s">
        <v>95</v>
      </c>
      <c r="C37">
        <v>22</v>
      </c>
      <c r="D37" t="s">
        <v>66</v>
      </c>
      <c r="E37" t="s">
        <v>32</v>
      </c>
      <c r="F37" t="s">
        <v>39</v>
      </c>
      <c r="G37">
        <v>0.64</v>
      </c>
      <c r="H37" t="s">
        <v>32</v>
      </c>
      <c r="I37">
        <v>8</v>
      </c>
      <c r="J37" t="str">
        <f>HYPERLINK("https://www.eliteprospects.com/player/381262/samuel-sjolund")</f>
        <v>https://www.eliteprospects.com/player/381262/samuel-sjolund</v>
      </c>
      <c r="K37" t="s">
        <v>27</v>
      </c>
      <c r="L37" t="s">
        <v>28</v>
      </c>
      <c r="M37" t="s">
        <v>1296</v>
      </c>
      <c r="N37">
        <v>4</v>
      </c>
      <c r="O37" t="s">
        <v>30</v>
      </c>
      <c r="P37">
        <v>0.12</v>
      </c>
      <c r="Q37" t="s">
        <v>1309</v>
      </c>
      <c r="R37">
        <v>10</v>
      </c>
      <c r="S37">
        <v>10</v>
      </c>
      <c r="T37">
        <v>20</v>
      </c>
      <c r="U37">
        <v>20</v>
      </c>
      <c r="V37">
        <v>40</v>
      </c>
    </row>
    <row r="38" spans="1:22" x14ac:dyDescent="0.25">
      <c r="A38" t="s">
        <v>1319</v>
      </c>
      <c r="B38" t="s">
        <v>68</v>
      </c>
      <c r="C38">
        <v>19</v>
      </c>
      <c r="D38" t="s">
        <v>140</v>
      </c>
      <c r="E38" t="s">
        <v>69</v>
      </c>
      <c r="F38" t="s">
        <v>39</v>
      </c>
      <c r="G38">
        <v>0.74</v>
      </c>
      <c r="H38" t="s">
        <v>26</v>
      </c>
      <c r="I38">
        <v>4</v>
      </c>
      <c r="J38" t="str">
        <f>HYPERLINK("https://www.eliteprospects.com/player/424457/will-gilson")</f>
        <v>https://www.eliteprospects.com/player/424457/will-gilson</v>
      </c>
      <c r="K38" t="s">
        <v>27</v>
      </c>
      <c r="L38" t="s">
        <v>28</v>
      </c>
      <c r="M38" t="s">
        <v>1296</v>
      </c>
      <c r="N38">
        <v>4</v>
      </c>
      <c r="O38" t="s">
        <v>30</v>
      </c>
      <c r="P38">
        <v>0.14000000000000001</v>
      </c>
      <c r="Q38" t="s">
        <v>1309</v>
      </c>
      <c r="R38">
        <v>10</v>
      </c>
      <c r="S38">
        <v>10</v>
      </c>
      <c r="T38">
        <v>20</v>
      </c>
      <c r="U38">
        <v>20</v>
      </c>
      <c r="V38">
        <v>40</v>
      </c>
    </row>
    <row r="39" spans="1:22" x14ac:dyDescent="0.25">
      <c r="A39" t="s">
        <v>1320</v>
      </c>
      <c r="B39" t="s">
        <v>130</v>
      </c>
      <c r="C39">
        <v>20</v>
      </c>
      <c r="D39" t="s">
        <v>140</v>
      </c>
      <c r="E39" t="s">
        <v>69</v>
      </c>
      <c r="F39" t="s">
        <v>39</v>
      </c>
      <c r="G39">
        <v>0.7</v>
      </c>
      <c r="H39" t="s">
        <v>79</v>
      </c>
      <c r="I39">
        <v>-6</v>
      </c>
      <c r="J39" t="str">
        <f>HYPERLINK("https://www.eliteprospects.com/player/626521/seamus-powell")</f>
        <v>https://www.eliteprospects.com/player/626521/seamus-powell</v>
      </c>
      <c r="K39" t="s">
        <v>27</v>
      </c>
      <c r="L39" t="s">
        <v>28</v>
      </c>
      <c r="M39" t="s">
        <v>1296</v>
      </c>
      <c r="N39">
        <v>3</v>
      </c>
      <c r="O39" t="s">
        <v>74</v>
      </c>
      <c r="P39">
        <v>0.14000000000000001</v>
      </c>
      <c r="Q39" t="s">
        <v>1300</v>
      </c>
      <c r="R39">
        <v>40</v>
      </c>
      <c r="S39">
        <v>40</v>
      </c>
      <c r="T39">
        <v>0</v>
      </c>
      <c r="U39">
        <v>0</v>
      </c>
      <c r="V39">
        <v>20</v>
      </c>
    </row>
    <row r="40" spans="1:22" x14ac:dyDescent="0.25">
      <c r="A40" t="s">
        <v>1321</v>
      </c>
      <c r="B40" t="s">
        <v>109</v>
      </c>
      <c r="C40">
        <v>22</v>
      </c>
      <c r="D40" t="s">
        <v>140</v>
      </c>
      <c r="E40" t="s">
        <v>69</v>
      </c>
      <c r="F40" t="s">
        <v>39</v>
      </c>
      <c r="G40">
        <v>0.64</v>
      </c>
      <c r="H40" t="s">
        <v>66</v>
      </c>
      <c r="I40">
        <v>1</v>
      </c>
      <c r="J40" t="str">
        <f>HYPERLINK("https://www.eliteprospects.com/player/579149/abram-wiebe")</f>
        <v>https://www.eliteprospects.com/player/579149/abram-wiebe</v>
      </c>
      <c r="K40" t="s">
        <v>27</v>
      </c>
      <c r="L40" t="s">
        <v>28</v>
      </c>
      <c r="M40" t="s">
        <v>1296</v>
      </c>
      <c r="N40">
        <v>3</v>
      </c>
      <c r="O40" t="s">
        <v>74</v>
      </c>
      <c r="P40">
        <v>0.12</v>
      </c>
      <c r="Q40" t="s">
        <v>1300</v>
      </c>
      <c r="R40">
        <v>33.299999999999997</v>
      </c>
      <c r="S40">
        <v>33.299999999999997</v>
      </c>
      <c r="T40">
        <v>16.7</v>
      </c>
      <c r="U40">
        <v>16.7</v>
      </c>
      <c r="V40">
        <v>0</v>
      </c>
    </row>
    <row r="41" spans="1:22" x14ac:dyDescent="0.25">
      <c r="A41" t="s">
        <v>1322</v>
      </c>
      <c r="B41" t="s">
        <v>146</v>
      </c>
      <c r="C41">
        <v>22</v>
      </c>
      <c r="D41" t="s">
        <v>79</v>
      </c>
      <c r="E41" t="s">
        <v>23</v>
      </c>
      <c r="F41" t="s">
        <v>39</v>
      </c>
      <c r="G41">
        <v>0.64</v>
      </c>
      <c r="H41" t="s">
        <v>55</v>
      </c>
      <c r="I41">
        <v>0</v>
      </c>
      <c r="J41" t="str">
        <f>HYPERLINK("https://www.eliteprospects.com/player/645227/adam-barone")</f>
        <v>https://www.eliteprospects.com/player/645227/adam-barone</v>
      </c>
      <c r="K41" t="s">
        <v>27</v>
      </c>
      <c r="L41" t="s">
        <v>28</v>
      </c>
      <c r="M41" t="s">
        <v>1296</v>
      </c>
      <c r="N41">
        <v>2</v>
      </c>
      <c r="O41" t="s">
        <v>43</v>
      </c>
      <c r="P41">
        <v>0.12</v>
      </c>
      <c r="Q41" t="s">
        <v>1309</v>
      </c>
      <c r="R41">
        <v>25</v>
      </c>
      <c r="S41">
        <v>25</v>
      </c>
      <c r="T41">
        <v>0</v>
      </c>
      <c r="U41">
        <v>0</v>
      </c>
      <c r="V41">
        <v>50</v>
      </c>
    </row>
    <row r="42" spans="1:22" x14ac:dyDescent="0.25">
      <c r="A42" t="s">
        <v>1323</v>
      </c>
      <c r="B42" t="s">
        <v>145</v>
      </c>
      <c r="C42">
        <v>23</v>
      </c>
      <c r="D42" t="s">
        <v>57</v>
      </c>
      <c r="E42" t="s">
        <v>78</v>
      </c>
      <c r="F42" t="s">
        <v>65</v>
      </c>
      <c r="G42">
        <v>0.56999999999999995</v>
      </c>
      <c r="H42" t="s">
        <v>518</v>
      </c>
      <c r="I42">
        <v>5</v>
      </c>
      <c r="J42" t="str">
        <f>HYPERLINK("https://www.eliteprospects.com/player/670790/eric-jamieson")</f>
        <v>https://www.eliteprospects.com/player/670790/eric-jamieson</v>
      </c>
      <c r="K42" t="s">
        <v>27</v>
      </c>
      <c r="L42" t="s">
        <v>28</v>
      </c>
      <c r="M42" t="s">
        <v>1296</v>
      </c>
      <c r="N42">
        <v>5</v>
      </c>
      <c r="O42" t="s">
        <v>152</v>
      </c>
      <c r="P42">
        <v>0.11</v>
      </c>
      <c r="Q42" t="s">
        <v>1300</v>
      </c>
      <c r="R42">
        <v>37.5</v>
      </c>
      <c r="S42">
        <v>12.5</v>
      </c>
      <c r="T42">
        <v>12.5</v>
      </c>
      <c r="U42">
        <v>12.5</v>
      </c>
      <c r="V42">
        <v>25</v>
      </c>
    </row>
    <row r="43" spans="1:22" x14ac:dyDescent="0.25">
      <c r="A43" t="s">
        <v>1324</v>
      </c>
      <c r="B43" t="s">
        <v>64</v>
      </c>
      <c r="C43">
        <v>22</v>
      </c>
      <c r="D43" t="s">
        <v>96</v>
      </c>
      <c r="E43" t="s">
        <v>26</v>
      </c>
      <c r="F43" t="s">
        <v>65</v>
      </c>
      <c r="G43">
        <v>0.59</v>
      </c>
      <c r="H43" t="s">
        <v>57</v>
      </c>
      <c r="I43">
        <v>3</v>
      </c>
      <c r="J43" t="str">
        <f>HYPERLINK("https://www.eliteprospects.com/player/574929/nick-williams")</f>
        <v>https://www.eliteprospects.com/player/574929/nick-williams</v>
      </c>
      <c r="K43" t="s">
        <v>27</v>
      </c>
      <c r="L43" t="s">
        <v>28</v>
      </c>
      <c r="M43" t="s">
        <v>1296</v>
      </c>
      <c r="N43">
        <v>3</v>
      </c>
      <c r="O43" t="s">
        <v>74</v>
      </c>
      <c r="P43">
        <v>0.11</v>
      </c>
      <c r="Q43" t="s">
        <v>1325</v>
      </c>
      <c r="R43">
        <v>22.2</v>
      </c>
      <c r="S43">
        <v>11.1</v>
      </c>
      <c r="T43">
        <v>44.4</v>
      </c>
      <c r="U43">
        <v>0</v>
      </c>
      <c r="V43">
        <v>22.2</v>
      </c>
    </row>
    <row r="44" spans="1:22" x14ac:dyDescent="0.25">
      <c r="A44" t="s">
        <v>1326</v>
      </c>
      <c r="B44" t="s">
        <v>88</v>
      </c>
      <c r="C44">
        <v>22</v>
      </c>
      <c r="D44" t="s">
        <v>96</v>
      </c>
      <c r="E44" t="s">
        <v>26</v>
      </c>
      <c r="F44" t="s">
        <v>65</v>
      </c>
      <c r="G44">
        <v>0.59</v>
      </c>
      <c r="H44" t="s">
        <v>23</v>
      </c>
      <c r="I44">
        <v>-3</v>
      </c>
      <c r="J44" t="str">
        <f>HYPERLINK("https://www.eliteprospects.com/player/351311/nolan-cunningham")</f>
        <v>https://www.eliteprospects.com/player/351311/nolan-cunningham</v>
      </c>
      <c r="K44" t="s">
        <v>27</v>
      </c>
      <c r="L44" t="s">
        <v>28</v>
      </c>
      <c r="M44" t="s">
        <v>1296</v>
      </c>
      <c r="N44">
        <v>4</v>
      </c>
      <c r="O44" t="s">
        <v>30</v>
      </c>
      <c r="P44">
        <v>0.11</v>
      </c>
      <c r="Q44" t="s">
        <v>1325</v>
      </c>
      <c r="R44">
        <v>37.5</v>
      </c>
      <c r="S44">
        <v>25</v>
      </c>
      <c r="T44">
        <v>37.5</v>
      </c>
      <c r="U44">
        <v>0</v>
      </c>
      <c r="V44">
        <v>0</v>
      </c>
    </row>
    <row r="45" spans="1:22" x14ac:dyDescent="0.25">
      <c r="A45" t="s">
        <v>1327</v>
      </c>
      <c r="B45" t="s">
        <v>50</v>
      </c>
      <c r="C45">
        <v>22</v>
      </c>
      <c r="D45" t="s">
        <v>66</v>
      </c>
      <c r="E45" t="s">
        <v>45</v>
      </c>
      <c r="F45" t="s">
        <v>65</v>
      </c>
      <c r="G45">
        <v>0.59</v>
      </c>
      <c r="H45" t="s">
        <v>39</v>
      </c>
      <c r="I45">
        <v>9</v>
      </c>
      <c r="J45" t="str">
        <f>HYPERLINK("https://www.eliteprospects.com/player/597856/dakoda-rheaume-mullen")</f>
        <v>https://www.eliteprospects.com/player/597856/dakoda-rheaume-mullen</v>
      </c>
      <c r="K45" t="s">
        <v>27</v>
      </c>
      <c r="L45" t="s">
        <v>28</v>
      </c>
      <c r="M45" t="s">
        <v>1296</v>
      </c>
      <c r="N45">
        <v>2</v>
      </c>
      <c r="O45" t="s">
        <v>43</v>
      </c>
      <c r="P45">
        <v>0.11</v>
      </c>
      <c r="Q45" t="s">
        <v>1300</v>
      </c>
      <c r="R45">
        <v>37.5</v>
      </c>
      <c r="S45">
        <v>12.5</v>
      </c>
      <c r="T45">
        <v>12.5</v>
      </c>
      <c r="U45">
        <v>12.5</v>
      </c>
      <c r="V45">
        <v>25</v>
      </c>
    </row>
    <row r="46" spans="1:22" x14ac:dyDescent="0.25">
      <c r="A46" t="s">
        <v>1328</v>
      </c>
      <c r="B46" t="s">
        <v>189</v>
      </c>
      <c r="C46">
        <v>24</v>
      </c>
      <c r="D46" t="s">
        <v>66</v>
      </c>
      <c r="E46" t="s">
        <v>45</v>
      </c>
      <c r="F46" t="s">
        <v>65</v>
      </c>
      <c r="G46">
        <v>0.54</v>
      </c>
      <c r="H46" t="s">
        <v>60</v>
      </c>
      <c r="I46">
        <v>-5</v>
      </c>
      <c r="J46" t="str">
        <f>HYPERLINK("https://www.eliteprospects.com/player/632451/xavier-alexandre-jean-louis")</f>
        <v>https://www.eliteprospects.com/player/632451/xavier-alexandre-jean-louis</v>
      </c>
      <c r="K46" t="s">
        <v>27</v>
      </c>
      <c r="L46" t="s">
        <v>28</v>
      </c>
      <c r="M46" t="s">
        <v>1296</v>
      </c>
      <c r="N46">
        <v>4</v>
      </c>
      <c r="O46" t="s">
        <v>30</v>
      </c>
      <c r="P46">
        <v>0.1</v>
      </c>
      <c r="Q46" t="s">
        <v>1325</v>
      </c>
      <c r="R46">
        <v>37.5</v>
      </c>
      <c r="S46">
        <v>25</v>
      </c>
      <c r="T46">
        <v>37.5</v>
      </c>
      <c r="U46">
        <v>0</v>
      </c>
      <c r="V46">
        <v>0</v>
      </c>
    </row>
    <row r="47" spans="1:22" x14ac:dyDescent="0.25">
      <c r="A47" t="s">
        <v>1329</v>
      </c>
      <c r="B47" t="s">
        <v>103</v>
      </c>
      <c r="C47">
        <v>20</v>
      </c>
      <c r="D47" t="s">
        <v>140</v>
      </c>
      <c r="E47" t="s">
        <v>32</v>
      </c>
      <c r="F47" t="s">
        <v>65</v>
      </c>
      <c r="G47">
        <v>0.65</v>
      </c>
      <c r="H47" t="s">
        <v>26</v>
      </c>
      <c r="I47">
        <v>-1</v>
      </c>
      <c r="J47" t="str">
        <f>HYPERLINK("https://www.eliteprospects.com/player/723401/francesco-dell-elce")</f>
        <v>https://www.eliteprospects.com/player/723401/francesco-dell-elce</v>
      </c>
      <c r="K47" t="s">
        <v>27</v>
      </c>
      <c r="L47" t="s">
        <v>28</v>
      </c>
      <c r="M47" t="s">
        <v>1296</v>
      </c>
      <c r="N47">
        <v>2</v>
      </c>
      <c r="O47" t="s">
        <v>43</v>
      </c>
      <c r="P47">
        <v>0.13</v>
      </c>
      <c r="Q47" t="s">
        <v>1309</v>
      </c>
      <c r="R47">
        <v>25</v>
      </c>
      <c r="S47">
        <v>25</v>
      </c>
      <c r="T47">
        <v>0</v>
      </c>
      <c r="U47">
        <v>0</v>
      </c>
      <c r="V47">
        <v>50</v>
      </c>
    </row>
    <row r="48" spans="1:22" x14ac:dyDescent="0.25">
      <c r="A48" t="s">
        <v>1330</v>
      </c>
      <c r="B48" t="s">
        <v>114</v>
      </c>
      <c r="C48">
        <v>20</v>
      </c>
      <c r="D48" t="s">
        <v>140</v>
      </c>
      <c r="E48" t="s">
        <v>32</v>
      </c>
      <c r="F48" t="s">
        <v>65</v>
      </c>
      <c r="G48">
        <v>0.65</v>
      </c>
      <c r="H48" t="s">
        <v>23</v>
      </c>
      <c r="I48">
        <v>2</v>
      </c>
      <c r="J48" t="str">
        <f>HYPERLINK("https://www.eliteprospects.com/player/413833/nolan-seed")</f>
        <v>https://www.eliteprospects.com/player/413833/nolan-seed</v>
      </c>
      <c r="K48" t="s">
        <v>27</v>
      </c>
      <c r="L48" t="s">
        <v>28</v>
      </c>
      <c r="M48" t="s">
        <v>1296</v>
      </c>
      <c r="N48">
        <v>5</v>
      </c>
      <c r="O48" t="s">
        <v>182</v>
      </c>
      <c r="P48">
        <v>0.13</v>
      </c>
      <c r="Q48" t="s">
        <v>1300</v>
      </c>
      <c r="R48">
        <v>33.299999999999997</v>
      </c>
      <c r="S48">
        <v>33.299999999999997</v>
      </c>
      <c r="T48">
        <v>16.7</v>
      </c>
      <c r="U48">
        <v>16.7</v>
      </c>
      <c r="V48">
        <v>0</v>
      </c>
    </row>
    <row r="49" spans="1:22" x14ac:dyDescent="0.25">
      <c r="A49" t="s">
        <v>1331</v>
      </c>
      <c r="B49" t="s">
        <v>148</v>
      </c>
      <c r="C49">
        <v>20</v>
      </c>
      <c r="D49" t="s">
        <v>140</v>
      </c>
      <c r="E49" t="s">
        <v>32</v>
      </c>
      <c r="F49" t="s">
        <v>65</v>
      </c>
      <c r="G49">
        <v>0.65</v>
      </c>
      <c r="H49" t="s">
        <v>38</v>
      </c>
      <c r="I49">
        <v>3</v>
      </c>
      <c r="J49" t="str">
        <f>HYPERLINK("https://www.eliteprospects.com/player/424078/owen-baumgartner")</f>
        <v>https://www.eliteprospects.com/player/424078/owen-baumgartner</v>
      </c>
      <c r="K49" t="s">
        <v>27</v>
      </c>
      <c r="L49" t="s">
        <v>28</v>
      </c>
      <c r="M49" t="s">
        <v>1296</v>
      </c>
      <c r="N49">
        <v>3</v>
      </c>
      <c r="O49" t="s">
        <v>74</v>
      </c>
      <c r="P49">
        <v>0.13</v>
      </c>
      <c r="Q49" t="s">
        <v>1300</v>
      </c>
      <c r="R49">
        <v>33.299999999999997</v>
      </c>
      <c r="S49">
        <v>33.299999999999997</v>
      </c>
      <c r="T49">
        <v>16.7</v>
      </c>
      <c r="U49">
        <v>16.7</v>
      </c>
      <c r="V49">
        <v>0</v>
      </c>
    </row>
    <row r="50" spans="1:22" x14ac:dyDescent="0.25">
      <c r="A50" t="s">
        <v>1332</v>
      </c>
      <c r="B50" t="s">
        <v>86</v>
      </c>
      <c r="C50">
        <v>20</v>
      </c>
      <c r="D50" t="s">
        <v>79</v>
      </c>
      <c r="E50" t="s">
        <v>69</v>
      </c>
      <c r="F50" t="s">
        <v>65</v>
      </c>
      <c r="G50">
        <v>0.65</v>
      </c>
      <c r="H50" t="s">
        <v>132</v>
      </c>
      <c r="I50">
        <v>17</v>
      </c>
      <c r="J50" t="str">
        <f>HYPERLINK("https://www.eliteprospects.com/player/418236/matt-basgall")</f>
        <v>https://www.eliteprospects.com/player/418236/matt-basgall</v>
      </c>
      <c r="K50" t="s">
        <v>27</v>
      </c>
      <c r="L50" t="s">
        <v>28</v>
      </c>
      <c r="M50" t="s">
        <v>1296</v>
      </c>
      <c r="N50">
        <v>4</v>
      </c>
      <c r="O50" t="s">
        <v>30</v>
      </c>
      <c r="P50">
        <v>0.13</v>
      </c>
      <c r="Q50" t="s">
        <v>1300</v>
      </c>
      <c r="R50">
        <v>42.9</v>
      </c>
      <c r="S50">
        <v>14.3</v>
      </c>
      <c r="T50">
        <v>7.1</v>
      </c>
      <c r="U50">
        <v>7.1</v>
      </c>
      <c r="V50">
        <v>28.6</v>
      </c>
    </row>
    <row r="51" spans="1:22" x14ac:dyDescent="0.25">
      <c r="A51" t="s">
        <v>1333</v>
      </c>
      <c r="B51" t="s">
        <v>82</v>
      </c>
      <c r="C51">
        <v>22</v>
      </c>
      <c r="D51" t="s">
        <v>79</v>
      </c>
      <c r="E51" t="s">
        <v>69</v>
      </c>
      <c r="F51" t="s">
        <v>65</v>
      </c>
      <c r="G51">
        <v>0.59</v>
      </c>
      <c r="H51" t="s">
        <v>81</v>
      </c>
      <c r="I51">
        <v>1</v>
      </c>
      <c r="J51" t="str">
        <f>HYPERLINK("https://www.eliteprospects.com/player/483418/hudson-thornton")</f>
        <v>https://www.eliteprospects.com/player/483418/hudson-thornton</v>
      </c>
      <c r="K51" t="s">
        <v>27</v>
      </c>
      <c r="L51" t="s">
        <v>28</v>
      </c>
      <c r="M51" t="s">
        <v>1296</v>
      </c>
      <c r="N51">
        <v>5</v>
      </c>
      <c r="O51" t="s">
        <v>152</v>
      </c>
      <c r="P51">
        <v>0.11</v>
      </c>
      <c r="Q51" t="s">
        <v>1325</v>
      </c>
      <c r="R51">
        <v>22.2</v>
      </c>
      <c r="S51">
        <v>11.1</v>
      </c>
      <c r="T51">
        <v>44.4</v>
      </c>
      <c r="U51">
        <v>0</v>
      </c>
      <c r="V51">
        <v>22.2</v>
      </c>
    </row>
    <row r="52" spans="1:22" x14ac:dyDescent="0.25">
      <c r="A52" t="s">
        <v>1334</v>
      </c>
      <c r="B52" t="s">
        <v>127</v>
      </c>
      <c r="C52">
        <v>20</v>
      </c>
      <c r="D52" t="s">
        <v>96</v>
      </c>
      <c r="E52" t="s">
        <v>78</v>
      </c>
      <c r="F52" t="s">
        <v>23</v>
      </c>
      <c r="G52">
        <v>0.6</v>
      </c>
      <c r="H52" t="s">
        <v>66</v>
      </c>
      <c r="I52">
        <v>6</v>
      </c>
      <c r="J52" t="str">
        <f>HYPERLINK("https://www.eliteprospects.com/player/542863/mack-oliphant")</f>
        <v>https://www.eliteprospects.com/player/542863/mack-oliphant</v>
      </c>
      <c r="K52" t="s">
        <v>27</v>
      </c>
      <c r="L52" t="s">
        <v>28</v>
      </c>
      <c r="M52" t="s">
        <v>1296</v>
      </c>
      <c r="N52">
        <v>4</v>
      </c>
      <c r="O52" t="s">
        <v>30</v>
      </c>
      <c r="P52">
        <v>0.12</v>
      </c>
      <c r="Q52" t="s">
        <v>1309</v>
      </c>
      <c r="R52">
        <v>10</v>
      </c>
      <c r="S52">
        <v>10</v>
      </c>
      <c r="T52">
        <v>20</v>
      </c>
      <c r="U52">
        <v>20</v>
      </c>
      <c r="V52">
        <v>40</v>
      </c>
    </row>
    <row r="53" spans="1:22" x14ac:dyDescent="0.25">
      <c r="A53" t="s">
        <v>1335</v>
      </c>
      <c r="B53" t="s">
        <v>200</v>
      </c>
      <c r="C53">
        <v>15</v>
      </c>
      <c r="D53" t="s">
        <v>66</v>
      </c>
      <c r="E53" t="s">
        <v>26</v>
      </c>
      <c r="F53" t="s">
        <v>23</v>
      </c>
      <c r="G53">
        <v>0.8</v>
      </c>
      <c r="H53" t="s">
        <v>79</v>
      </c>
      <c r="I53">
        <v>0</v>
      </c>
      <c r="J53" t="str">
        <f>HYPERLINK("https://www.eliteprospects.com/player/719775/xavier-veilleux")</f>
        <v>https://www.eliteprospects.com/player/719775/xavier-veilleux</v>
      </c>
      <c r="K53" t="s">
        <v>27</v>
      </c>
      <c r="L53" t="s">
        <v>28</v>
      </c>
      <c r="M53" t="s">
        <v>1296</v>
      </c>
      <c r="N53">
        <v>1</v>
      </c>
      <c r="O53" t="s">
        <v>71</v>
      </c>
      <c r="P53">
        <v>0.16</v>
      </c>
      <c r="Q53" t="s">
        <v>1309</v>
      </c>
      <c r="R53">
        <v>25</v>
      </c>
      <c r="S53">
        <v>25</v>
      </c>
      <c r="T53">
        <v>0</v>
      </c>
      <c r="U53">
        <v>0</v>
      </c>
      <c r="V53">
        <v>50</v>
      </c>
    </row>
    <row r="54" spans="1:22" x14ac:dyDescent="0.25">
      <c r="A54" t="s">
        <v>1336</v>
      </c>
      <c r="B54" t="s">
        <v>109</v>
      </c>
      <c r="C54">
        <v>18</v>
      </c>
      <c r="D54" t="s">
        <v>66</v>
      </c>
      <c r="E54" t="s">
        <v>26</v>
      </c>
      <c r="F54" t="s">
        <v>23</v>
      </c>
      <c r="G54">
        <v>0.67</v>
      </c>
      <c r="H54" t="s">
        <v>33</v>
      </c>
      <c r="I54">
        <v>7</v>
      </c>
      <c r="J54" t="str">
        <f>HYPERLINK("https://www.eliteprospects.com/player/878326/keaton-verhoeff")</f>
        <v>https://www.eliteprospects.com/player/878326/keaton-verhoeff</v>
      </c>
      <c r="K54" t="s">
        <v>27</v>
      </c>
      <c r="L54" t="s">
        <v>28</v>
      </c>
      <c r="M54" t="s">
        <v>1296</v>
      </c>
      <c r="N54">
        <v>3</v>
      </c>
      <c r="O54" t="s">
        <v>1337</v>
      </c>
      <c r="P54">
        <v>0.13</v>
      </c>
      <c r="Q54" t="s">
        <v>1309</v>
      </c>
      <c r="R54">
        <v>10</v>
      </c>
      <c r="S54">
        <v>10</v>
      </c>
      <c r="T54">
        <v>20</v>
      </c>
      <c r="U54">
        <v>20</v>
      </c>
      <c r="V54">
        <v>40</v>
      </c>
    </row>
    <row r="55" spans="1:22" x14ac:dyDescent="0.25">
      <c r="A55" t="s">
        <v>1338</v>
      </c>
      <c r="B55" t="s">
        <v>83</v>
      </c>
      <c r="C55">
        <v>17</v>
      </c>
      <c r="D55" t="s">
        <v>140</v>
      </c>
      <c r="E55" t="s">
        <v>45</v>
      </c>
      <c r="F55" t="s">
        <v>23</v>
      </c>
      <c r="G55">
        <v>0.71</v>
      </c>
      <c r="H55" t="s">
        <v>57</v>
      </c>
      <c r="I55">
        <v>4</v>
      </c>
      <c r="J55" t="str">
        <f>HYPERLINK("https://www.eliteprospects.com/player/603641/c.j.-foley")</f>
        <v>https://www.eliteprospects.com/player/603641/c.j.-foley</v>
      </c>
      <c r="K55" t="s">
        <v>27</v>
      </c>
      <c r="L55" t="s">
        <v>28</v>
      </c>
      <c r="M55" t="s">
        <v>1296</v>
      </c>
      <c r="N55">
        <v>3</v>
      </c>
      <c r="O55" t="s">
        <v>74</v>
      </c>
      <c r="P55">
        <v>0.14000000000000001</v>
      </c>
      <c r="Q55" t="s">
        <v>1309</v>
      </c>
      <c r="R55">
        <v>10</v>
      </c>
      <c r="S55">
        <v>10</v>
      </c>
      <c r="T55">
        <v>20</v>
      </c>
      <c r="U55">
        <v>20</v>
      </c>
      <c r="V55">
        <v>40</v>
      </c>
    </row>
    <row r="56" spans="1:22" x14ac:dyDescent="0.25">
      <c r="A56" t="s">
        <v>1339</v>
      </c>
      <c r="B56" t="s">
        <v>95</v>
      </c>
      <c r="C56">
        <v>20</v>
      </c>
      <c r="D56" t="s">
        <v>140</v>
      </c>
      <c r="E56" t="s">
        <v>45</v>
      </c>
      <c r="F56" t="s">
        <v>23</v>
      </c>
      <c r="G56">
        <v>0.6</v>
      </c>
      <c r="H56" t="s">
        <v>32</v>
      </c>
      <c r="I56">
        <v>13</v>
      </c>
      <c r="J56" t="str">
        <f>HYPERLINK("https://www.eliteprospects.com/player/674722/zack-sharp")</f>
        <v>https://www.eliteprospects.com/player/674722/zack-sharp</v>
      </c>
      <c r="K56" t="s">
        <v>27</v>
      </c>
      <c r="L56" t="s">
        <v>28</v>
      </c>
      <c r="M56" t="s">
        <v>1296</v>
      </c>
      <c r="N56">
        <v>2</v>
      </c>
      <c r="O56" t="s">
        <v>43</v>
      </c>
      <c r="P56">
        <v>0.12</v>
      </c>
      <c r="Q56" t="s">
        <v>1300</v>
      </c>
      <c r="R56">
        <v>42.9</v>
      </c>
      <c r="S56">
        <v>14.3</v>
      </c>
      <c r="T56">
        <v>7.1</v>
      </c>
      <c r="U56">
        <v>7.1</v>
      </c>
      <c r="V56">
        <v>28.6</v>
      </c>
    </row>
    <row r="57" spans="1:22" x14ac:dyDescent="0.25">
      <c r="A57" t="s">
        <v>1340</v>
      </c>
      <c r="B57" t="s">
        <v>205</v>
      </c>
      <c r="C57">
        <v>21</v>
      </c>
      <c r="D57" t="s">
        <v>140</v>
      </c>
      <c r="E57" t="s">
        <v>45</v>
      </c>
      <c r="F57" t="s">
        <v>23</v>
      </c>
      <c r="G57">
        <v>0.56999999999999995</v>
      </c>
      <c r="H57" t="s">
        <v>57</v>
      </c>
      <c r="I57">
        <v>4</v>
      </c>
      <c r="J57" t="str">
        <f>HYPERLINK("https://www.eliteprospects.com/player/502982/ben-roger")</f>
        <v>https://www.eliteprospects.com/player/502982/ben-roger</v>
      </c>
      <c r="K57" t="s">
        <v>27</v>
      </c>
      <c r="L57" t="s">
        <v>28</v>
      </c>
      <c r="M57" t="s">
        <v>1296</v>
      </c>
      <c r="N57">
        <v>6</v>
      </c>
      <c r="O57" t="s">
        <v>460</v>
      </c>
      <c r="P57">
        <v>0.11</v>
      </c>
      <c r="Q57" t="s">
        <v>1300</v>
      </c>
      <c r="R57">
        <v>37.5</v>
      </c>
      <c r="S57">
        <v>12.5</v>
      </c>
      <c r="T57">
        <v>12.5</v>
      </c>
      <c r="U57">
        <v>12.5</v>
      </c>
      <c r="V57">
        <v>25</v>
      </c>
    </row>
    <row r="58" spans="1:22" x14ac:dyDescent="0.25">
      <c r="A58" t="s">
        <v>1341</v>
      </c>
      <c r="B58" t="s">
        <v>73</v>
      </c>
      <c r="C58">
        <v>22</v>
      </c>
      <c r="D58" t="s">
        <v>140</v>
      </c>
      <c r="E58" t="s">
        <v>45</v>
      </c>
      <c r="F58" t="s">
        <v>23</v>
      </c>
      <c r="G58">
        <v>0.55000000000000004</v>
      </c>
      <c r="H58" t="s">
        <v>79</v>
      </c>
      <c r="I58">
        <v>-3</v>
      </c>
      <c r="J58" t="str">
        <f>HYPERLINK("https://www.eliteprospects.com/player/494613/max-smolinski")</f>
        <v>https://www.eliteprospects.com/player/494613/max-smolinski</v>
      </c>
      <c r="K58" t="s">
        <v>27</v>
      </c>
      <c r="L58" t="s">
        <v>28</v>
      </c>
      <c r="M58" t="s">
        <v>1296</v>
      </c>
      <c r="N58">
        <v>4</v>
      </c>
      <c r="O58" t="s">
        <v>30</v>
      </c>
      <c r="P58">
        <v>0.11</v>
      </c>
      <c r="Q58" t="s">
        <v>1325</v>
      </c>
      <c r="R58">
        <v>37.5</v>
      </c>
      <c r="S58">
        <v>25</v>
      </c>
      <c r="T58">
        <v>37.5</v>
      </c>
      <c r="U58">
        <v>0</v>
      </c>
      <c r="V58">
        <v>0</v>
      </c>
    </row>
    <row r="59" spans="1:22" x14ac:dyDescent="0.25">
      <c r="A59" t="s">
        <v>1342</v>
      </c>
      <c r="B59" t="s">
        <v>255</v>
      </c>
      <c r="C59">
        <v>20</v>
      </c>
      <c r="D59" t="s">
        <v>79</v>
      </c>
      <c r="E59" t="s">
        <v>32</v>
      </c>
      <c r="F59" t="s">
        <v>23</v>
      </c>
      <c r="G59">
        <v>0.6</v>
      </c>
      <c r="H59" t="s">
        <v>66</v>
      </c>
      <c r="I59">
        <v>-6</v>
      </c>
      <c r="J59" t="str">
        <f>HYPERLINK("https://www.eliteprospects.com/player/359532/evan-orr")</f>
        <v>https://www.eliteprospects.com/player/359532/evan-orr</v>
      </c>
      <c r="K59" t="s">
        <v>27</v>
      </c>
      <c r="L59" t="s">
        <v>28</v>
      </c>
      <c r="M59" t="s">
        <v>1296</v>
      </c>
      <c r="N59">
        <v>4</v>
      </c>
      <c r="O59" t="s">
        <v>30</v>
      </c>
      <c r="P59">
        <v>0.12</v>
      </c>
      <c r="Q59" t="s">
        <v>1300</v>
      </c>
      <c r="R59">
        <v>40</v>
      </c>
      <c r="S59">
        <v>40</v>
      </c>
      <c r="T59">
        <v>0</v>
      </c>
      <c r="U59">
        <v>0</v>
      </c>
      <c r="V59">
        <v>20</v>
      </c>
    </row>
    <row r="60" spans="1:22" x14ac:dyDescent="0.25">
      <c r="A60" t="s">
        <v>1343</v>
      </c>
      <c r="B60" t="s">
        <v>113</v>
      </c>
      <c r="C60">
        <v>23</v>
      </c>
      <c r="D60" t="s">
        <v>79</v>
      </c>
      <c r="E60" t="s">
        <v>32</v>
      </c>
      <c r="F60" t="s">
        <v>23</v>
      </c>
      <c r="G60">
        <v>0.52</v>
      </c>
      <c r="H60" t="s">
        <v>55</v>
      </c>
      <c r="I60">
        <v>1</v>
      </c>
      <c r="J60" t="str">
        <f>HYPERLINK("https://www.eliteprospects.com/player/534187/ralfs-bergmanis")</f>
        <v>https://www.eliteprospects.com/player/534187/ralfs-bergmanis</v>
      </c>
      <c r="K60" t="s">
        <v>27</v>
      </c>
      <c r="L60" t="s">
        <v>28</v>
      </c>
      <c r="M60" t="s">
        <v>1296</v>
      </c>
      <c r="N60">
        <v>4</v>
      </c>
      <c r="O60" t="s">
        <v>30</v>
      </c>
      <c r="P60">
        <v>0.1</v>
      </c>
      <c r="Q60" t="s">
        <v>1325</v>
      </c>
      <c r="R60">
        <v>22.2</v>
      </c>
      <c r="S60">
        <v>11.1</v>
      </c>
      <c r="T60">
        <v>44.4</v>
      </c>
      <c r="U60">
        <v>0</v>
      </c>
      <c r="V60">
        <v>22.2</v>
      </c>
    </row>
    <row r="61" spans="1:22" x14ac:dyDescent="0.25">
      <c r="A61" t="s">
        <v>1344</v>
      </c>
      <c r="B61" t="s">
        <v>127</v>
      </c>
      <c r="C61">
        <v>20</v>
      </c>
      <c r="D61" t="s">
        <v>260</v>
      </c>
      <c r="E61" t="s">
        <v>69</v>
      </c>
      <c r="F61" t="s">
        <v>23</v>
      </c>
      <c r="G61">
        <v>0.6</v>
      </c>
      <c r="H61" t="s">
        <v>66</v>
      </c>
      <c r="I61">
        <v>6</v>
      </c>
      <c r="J61" t="str">
        <f>HYPERLINK("https://www.eliteprospects.com/player/617528/william-elias")</f>
        <v>https://www.eliteprospects.com/player/617528/william-elias</v>
      </c>
      <c r="K61" t="s">
        <v>27</v>
      </c>
      <c r="L61" t="s">
        <v>28</v>
      </c>
      <c r="M61" t="s">
        <v>1296</v>
      </c>
      <c r="N61">
        <v>3</v>
      </c>
      <c r="O61" t="s">
        <v>74</v>
      </c>
      <c r="P61">
        <v>0.12</v>
      </c>
      <c r="Q61" t="s">
        <v>1309</v>
      </c>
      <c r="R61">
        <v>10</v>
      </c>
      <c r="S61">
        <v>10</v>
      </c>
      <c r="T61">
        <v>20</v>
      </c>
      <c r="U61">
        <v>20</v>
      </c>
      <c r="V61">
        <v>40</v>
      </c>
    </row>
    <row r="62" spans="1:22" x14ac:dyDescent="0.25">
      <c r="A62" t="s">
        <v>1345</v>
      </c>
      <c r="B62" t="s">
        <v>119</v>
      </c>
      <c r="C62">
        <v>21</v>
      </c>
      <c r="D62" t="s">
        <v>260</v>
      </c>
      <c r="E62" t="s">
        <v>69</v>
      </c>
      <c r="F62" t="s">
        <v>23</v>
      </c>
      <c r="G62">
        <v>0.56999999999999995</v>
      </c>
      <c r="H62" t="s">
        <v>23</v>
      </c>
      <c r="I62">
        <v>-3</v>
      </c>
      <c r="J62" t="str">
        <f>HYPERLINK("https://www.eliteprospects.com/player/559036/luke-mittelstadt")</f>
        <v>https://www.eliteprospects.com/player/559036/luke-mittelstadt</v>
      </c>
      <c r="K62" t="s">
        <v>27</v>
      </c>
      <c r="L62" t="s">
        <v>28</v>
      </c>
      <c r="M62" t="s">
        <v>1296</v>
      </c>
      <c r="N62">
        <v>4</v>
      </c>
      <c r="O62" t="s">
        <v>30</v>
      </c>
      <c r="P62">
        <v>0.11</v>
      </c>
      <c r="Q62" t="s">
        <v>1325</v>
      </c>
      <c r="R62">
        <v>37.5</v>
      </c>
      <c r="S62">
        <v>25</v>
      </c>
      <c r="T62">
        <v>37.5</v>
      </c>
      <c r="U62">
        <v>0</v>
      </c>
      <c r="V62">
        <v>0</v>
      </c>
    </row>
    <row r="63" spans="1:22" x14ac:dyDescent="0.25">
      <c r="A63" t="s">
        <v>1346</v>
      </c>
      <c r="B63" t="s">
        <v>80</v>
      </c>
      <c r="C63">
        <v>18</v>
      </c>
      <c r="D63" t="s">
        <v>96</v>
      </c>
      <c r="E63" t="s">
        <v>57</v>
      </c>
      <c r="F63" t="s">
        <v>69</v>
      </c>
      <c r="G63">
        <v>0.61</v>
      </c>
      <c r="H63" t="s">
        <v>39</v>
      </c>
      <c r="I63">
        <v>3</v>
      </c>
      <c r="J63" t="str">
        <f>HYPERLINK("https://www.eliteprospects.com/player/689872/jackson-smith")</f>
        <v>https://www.eliteprospects.com/player/689872/jackson-smith</v>
      </c>
      <c r="K63" t="s">
        <v>27</v>
      </c>
      <c r="L63" t="s">
        <v>28</v>
      </c>
      <c r="M63" t="s">
        <v>1296</v>
      </c>
      <c r="N63">
        <v>4</v>
      </c>
      <c r="O63" t="s">
        <v>137</v>
      </c>
      <c r="P63">
        <v>0.12</v>
      </c>
      <c r="Q63" t="s">
        <v>1300</v>
      </c>
      <c r="R63">
        <v>33.299999999999997</v>
      </c>
      <c r="S63">
        <v>33.299999999999997</v>
      </c>
      <c r="T63">
        <v>16.7</v>
      </c>
      <c r="U63">
        <v>16.7</v>
      </c>
      <c r="V63">
        <v>0</v>
      </c>
    </row>
    <row r="64" spans="1:22" x14ac:dyDescent="0.25">
      <c r="A64" t="s">
        <v>1347</v>
      </c>
      <c r="B64" t="s">
        <v>44</v>
      </c>
      <c r="C64">
        <v>24</v>
      </c>
      <c r="D64" t="s">
        <v>96</v>
      </c>
      <c r="E64" t="s">
        <v>57</v>
      </c>
      <c r="F64" t="s">
        <v>69</v>
      </c>
      <c r="G64">
        <v>0.46</v>
      </c>
      <c r="H64" t="s">
        <v>269</v>
      </c>
      <c r="I64">
        <v>9</v>
      </c>
      <c r="J64" t="str">
        <f>HYPERLINK("https://www.eliteprospects.com/player/341010/jack-anderson")</f>
        <v>https://www.eliteprospects.com/player/341010/jack-anderson</v>
      </c>
      <c r="K64" t="s">
        <v>27</v>
      </c>
      <c r="L64" t="s">
        <v>28</v>
      </c>
      <c r="M64" t="s">
        <v>1296</v>
      </c>
      <c r="N64">
        <v>4</v>
      </c>
      <c r="O64" t="s">
        <v>30</v>
      </c>
      <c r="P64">
        <v>0.09</v>
      </c>
      <c r="Q64" t="s">
        <v>1300</v>
      </c>
      <c r="R64">
        <v>37.5</v>
      </c>
      <c r="S64">
        <v>12.5</v>
      </c>
      <c r="T64">
        <v>12.5</v>
      </c>
      <c r="U64">
        <v>12.5</v>
      </c>
      <c r="V64">
        <v>25</v>
      </c>
    </row>
    <row r="65" spans="1:22" x14ac:dyDescent="0.25">
      <c r="A65" t="s">
        <v>1348</v>
      </c>
      <c r="B65" t="s">
        <v>83</v>
      </c>
      <c r="C65">
        <v>17</v>
      </c>
      <c r="D65" t="s">
        <v>66</v>
      </c>
      <c r="E65" t="s">
        <v>78</v>
      </c>
      <c r="F65" t="s">
        <v>69</v>
      </c>
      <c r="G65">
        <v>0.65</v>
      </c>
      <c r="H65" t="s">
        <v>79</v>
      </c>
      <c r="I65">
        <v>20</v>
      </c>
      <c r="J65" t="str">
        <f>HYPERLINK("https://www.eliteprospects.com/player/548701/eric-charpentier")</f>
        <v>https://www.eliteprospects.com/player/548701/eric-charpentier</v>
      </c>
      <c r="K65" t="s">
        <v>27</v>
      </c>
      <c r="L65" t="s">
        <v>28</v>
      </c>
      <c r="M65" t="s">
        <v>1296</v>
      </c>
      <c r="N65">
        <v>3</v>
      </c>
      <c r="O65" t="s">
        <v>74</v>
      </c>
      <c r="P65">
        <v>0.13</v>
      </c>
      <c r="Q65" t="s">
        <v>1300</v>
      </c>
      <c r="R65">
        <v>42.9</v>
      </c>
      <c r="S65">
        <v>14.3</v>
      </c>
      <c r="T65">
        <v>7.1</v>
      </c>
      <c r="U65">
        <v>7.1</v>
      </c>
      <c r="V65">
        <v>28.6</v>
      </c>
    </row>
    <row r="66" spans="1:22" x14ac:dyDescent="0.25">
      <c r="A66" t="s">
        <v>1349</v>
      </c>
      <c r="B66" t="s">
        <v>88</v>
      </c>
      <c r="C66">
        <v>22</v>
      </c>
      <c r="D66" t="s">
        <v>66</v>
      </c>
      <c r="E66" t="s">
        <v>78</v>
      </c>
      <c r="F66" t="s">
        <v>69</v>
      </c>
      <c r="G66">
        <v>0.5</v>
      </c>
      <c r="H66" t="s">
        <v>57</v>
      </c>
      <c r="I66">
        <v>2</v>
      </c>
      <c r="J66" t="str">
        <f>HYPERLINK("https://www.eliteprospects.com/player/623762/jake-peterson")</f>
        <v>https://www.eliteprospects.com/player/623762/jake-peterson</v>
      </c>
      <c r="K66" t="s">
        <v>27</v>
      </c>
      <c r="L66" t="s">
        <v>28</v>
      </c>
      <c r="M66" t="s">
        <v>1296</v>
      </c>
      <c r="N66">
        <v>2</v>
      </c>
      <c r="O66" t="s">
        <v>43</v>
      </c>
      <c r="P66">
        <v>0.1</v>
      </c>
      <c r="Q66" t="s">
        <v>1325</v>
      </c>
      <c r="R66">
        <v>22.2</v>
      </c>
      <c r="S66">
        <v>11.1</v>
      </c>
      <c r="T66">
        <v>44.4</v>
      </c>
      <c r="U66">
        <v>0</v>
      </c>
      <c r="V66">
        <v>22.2</v>
      </c>
    </row>
    <row r="67" spans="1:22" x14ac:dyDescent="0.25">
      <c r="A67" t="s">
        <v>1350</v>
      </c>
      <c r="B67" t="s">
        <v>120</v>
      </c>
      <c r="C67">
        <v>18</v>
      </c>
      <c r="D67" t="s">
        <v>140</v>
      </c>
      <c r="E67" t="s">
        <v>26</v>
      </c>
      <c r="F67" t="s">
        <v>69</v>
      </c>
      <c r="G67">
        <v>0.61</v>
      </c>
      <c r="H67" t="s">
        <v>46</v>
      </c>
      <c r="I67">
        <v>6</v>
      </c>
      <c r="J67" t="str">
        <f>HYPERLINK("https://www.eliteprospects.com/player/599415/drew-fortescue")</f>
        <v>https://www.eliteprospects.com/player/599415/drew-fortescue</v>
      </c>
      <c r="K67" t="s">
        <v>27</v>
      </c>
      <c r="L67" t="s">
        <v>28</v>
      </c>
      <c r="M67" t="s">
        <v>1296</v>
      </c>
      <c r="N67">
        <v>3</v>
      </c>
      <c r="O67" t="s">
        <v>74</v>
      </c>
      <c r="P67">
        <v>0.12</v>
      </c>
      <c r="Q67" t="s">
        <v>1309</v>
      </c>
      <c r="R67">
        <v>10</v>
      </c>
      <c r="S67">
        <v>10</v>
      </c>
      <c r="T67">
        <v>20</v>
      </c>
      <c r="U67">
        <v>20</v>
      </c>
      <c r="V67">
        <v>40</v>
      </c>
    </row>
    <row r="68" spans="1:22" x14ac:dyDescent="0.25">
      <c r="A68" t="s">
        <v>1351</v>
      </c>
      <c r="B68" t="s">
        <v>98</v>
      </c>
      <c r="C68">
        <v>21</v>
      </c>
      <c r="D68" t="s">
        <v>140</v>
      </c>
      <c r="E68" t="s">
        <v>26</v>
      </c>
      <c r="F68" t="s">
        <v>69</v>
      </c>
      <c r="G68">
        <v>0.52</v>
      </c>
      <c r="H68" t="s">
        <v>125</v>
      </c>
      <c r="I68">
        <v>7</v>
      </c>
      <c r="J68" t="str">
        <f>HYPERLINK("https://www.eliteprospects.com/player/591976/etienne-lessard")</f>
        <v>https://www.eliteprospects.com/player/591976/etienne-lessard</v>
      </c>
      <c r="K68" t="s">
        <v>27</v>
      </c>
      <c r="L68" t="s">
        <v>28</v>
      </c>
      <c r="M68" t="s">
        <v>1296</v>
      </c>
      <c r="N68">
        <v>1</v>
      </c>
      <c r="O68" t="s">
        <v>71</v>
      </c>
      <c r="P68">
        <v>0.1</v>
      </c>
      <c r="Q68" t="s">
        <v>1300</v>
      </c>
      <c r="R68">
        <v>37.5</v>
      </c>
      <c r="S68">
        <v>12.5</v>
      </c>
      <c r="T68">
        <v>12.5</v>
      </c>
      <c r="U68">
        <v>12.5</v>
      </c>
      <c r="V68">
        <v>25</v>
      </c>
    </row>
    <row r="69" spans="1:22" x14ac:dyDescent="0.25">
      <c r="A69" t="s">
        <v>1352</v>
      </c>
      <c r="B69" t="s">
        <v>59</v>
      </c>
      <c r="C69">
        <v>22</v>
      </c>
      <c r="D69" t="s">
        <v>140</v>
      </c>
      <c r="E69" t="s">
        <v>26</v>
      </c>
      <c r="F69" t="s">
        <v>69</v>
      </c>
      <c r="G69">
        <v>0.5</v>
      </c>
      <c r="H69" t="s">
        <v>66</v>
      </c>
      <c r="I69">
        <v>14</v>
      </c>
      <c r="J69" t="str">
        <f>HYPERLINK("https://www.eliteprospects.com/player/737982/lukas-peterson")</f>
        <v>https://www.eliteprospects.com/player/737982/lukas-peterson</v>
      </c>
      <c r="K69" t="s">
        <v>27</v>
      </c>
      <c r="L69" t="s">
        <v>28</v>
      </c>
      <c r="M69" t="s">
        <v>1296</v>
      </c>
      <c r="N69">
        <v>1</v>
      </c>
      <c r="O69" t="s">
        <v>71</v>
      </c>
      <c r="P69">
        <v>0.1</v>
      </c>
      <c r="Q69" t="s">
        <v>1309</v>
      </c>
      <c r="R69">
        <v>25</v>
      </c>
      <c r="S69">
        <v>25</v>
      </c>
      <c r="T69">
        <v>16.7</v>
      </c>
      <c r="U69">
        <v>8.3000000000000007</v>
      </c>
      <c r="V69">
        <v>25</v>
      </c>
    </row>
    <row r="70" spans="1:22" x14ac:dyDescent="0.25">
      <c r="A70" t="s">
        <v>1353</v>
      </c>
      <c r="B70" t="s">
        <v>165</v>
      </c>
      <c r="C70">
        <v>20</v>
      </c>
      <c r="D70" t="s">
        <v>79</v>
      </c>
      <c r="E70" t="s">
        <v>45</v>
      </c>
      <c r="F70" t="s">
        <v>69</v>
      </c>
      <c r="G70">
        <v>0.55000000000000004</v>
      </c>
      <c r="H70" t="s">
        <v>26</v>
      </c>
      <c r="I70">
        <v>-15</v>
      </c>
      <c r="J70" t="str">
        <f>HYPERLINK("https://www.eliteprospects.com/player/403420/michael-neumeier")</f>
        <v>https://www.eliteprospects.com/player/403420/michael-neumeier</v>
      </c>
      <c r="K70" t="s">
        <v>27</v>
      </c>
      <c r="L70" t="s">
        <v>28</v>
      </c>
      <c r="M70" t="s">
        <v>1296</v>
      </c>
      <c r="N70">
        <v>2</v>
      </c>
      <c r="O70" t="s">
        <v>43</v>
      </c>
      <c r="P70">
        <v>0.11</v>
      </c>
      <c r="Q70" t="s">
        <v>1325</v>
      </c>
      <c r="R70">
        <v>37.5</v>
      </c>
      <c r="S70">
        <v>25</v>
      </c>
      <c r="T70">
        <v>37.5</v>
      </c>
      <c r="U70">
        <v>0</v>
      </c>
      <c r="V70">
        <v>0</v>
      </c>
    </row>
    <row r="71" spans="1:22" x14ac:dyDescent="0.25">
      <c r="A71" t="s">
        <v>1354</v>
      </c>
      <c r="B71" t="s">
        <v>68</v>
      </c>
      <c r="C71">
        <v>22</v>
      </c>
      <c r="D71" t="s">
        <v>79</v>
      </c>
      <c r="E71" t="s">
        <v>45</v>
      </c>
      <c r="F71" t="s">
        <v>69</v>
      </c>
      <c r="G71">
        <v>0.5</v>
      </c>
      <c r="H71" t="s">
        <v>23</v>
      </c>
      <c r="I71">
        <v>23</v>
      </c>
      <c r="J71" t="str">
        <f>HYPERLINK("https://www.eliteprospects.com/player/619045/elliott-groenewold")</f>
        <v>https://www.eliteprospects.com/player/619045/elliott-groenewold</v>
      </c>
      <c r="K71" t="s">
        <v>27</v>
      </c>
      <c r="L71" t="s">
        <v>28</v>
      </c>
      <c r="M71" t="s">
        <v>1296</v>
      </c>
      <c r="N71">
        <v>2</v>
      </c>
      <c r="O71" t="s">
        <v>43</v>
      </c>
      <c r="P71">
        <v>0.1</v>
      </c>
      <c r="Q71" t="s">
        <v>1309</v>
      </c>
      <c r="R71">
        <v>25</v>
      </c>
      <c r="S71">
        <v>25</v>
      </c>
      <c r="T71">
        <v>16.7</v>
      </c>
      <c r="U71">
        <v>8.3000000000000007</v>
      </c>
      <c r="V71">
        <v>25</v>
      </c>
    </row>
    <row r="72" spans="1:22" x14ac:dyDescent="0.25">
      <c r="A72" t="s">
        <v>1355</v>
      </c>
      <c r="B72" t="s">
        <v>85</v>
      </c>
      <c r="C72">
        <v>16</v>
      </c>
      <c r="D72" t="s">
        <v>260</v>
      </c>
      <c r="E72" t="s">
        <v>32</v>
      </c>
      <c r="F72" t="s">
        <v>69</v>
      </c>
      <c r="G72">
        <v>0.69</v>
      </c>
      <c r="H72" t="s">
        <v>79</v>
      </c>
      <c r="I72">
        <v>11</v>
      </c>
      <c r="J72" t="str">
        <f>HYPERLINK("https://www.eliteprospects.com/player/617532/tyler-rubin")</f>
        <v>https://www.eliteprospects.com/player/617532/tyler-rubin</v>
      </c>
      <c r="K72" t="s">
        <v>27</v>
      </c>
      <c r="L72" t="s">
        <v>28</v>
      </c>
      <c r="M72" t="s">
        <v>1296</v>
      </c>
      <c r="N72">
        <v>4</v>
      </c>
      <c r="O72" t="s">
        <v>30</v>
      </c>
      <c r="P72">
        <v>0.13</v>
      </c>
      <c r="Q72" t="s">
        <v>1300</v>
      </c>
      <c r="R72">
        <v>42.9</v>
      </c>
      <c r="S72">
        <v>14.3</v>
      </c>
      <c r="T72">
        <v>7.1</v>
      </c>
      <c r="U72">
        <v>7.1</v>
      </c>
      <c r="V72">
        <v>28.6</v>
      </c>
    </row>
    <row r="73" spans="1:22" x14ac:dyDescent="0.25">
      <c r="A73" t="s">
        <v>1356</v>
      </c>
      <c r="B73" t="s">
        <v>174</v>
      </c>
      <c r="C73">
        <v>19</v>
      </c>
      <c r="D73" t="s">
        <v>260</v>
      </c>
      <c r="E73" t="s">
        <v>32</v>
      </c>
      <c r="F73" t="s">
        <v>69</v>
      </c>
      <c r="G73">
        <v>0.57999999999999996</v>
      </c>
      <c r="H73" t="s">
        <v>26</v>
      </c>
      <c r="I73">
        <v>0</v>
      </c>
      <c r="J73" t="str">
        <f>HYPERLINK("https://www.eliteprospects.com/player/622327/brendan-fitzgerald")</f>
        <v>https://www.eliteprospects.com/player/622327/brendan-fitzgerald</v>
      </c>
      <c r="K73" t="s">
        <v>27</v>
      </c>
      <c r="L73" t="s">
        <v>28</v>
      </c>
      <c r="M73" t="s">
        <v>1296</v>
      </c>
      <c r="N73">
        <v>3</v>
      </c>
      <c r="O73" t="s">
        <v>74</v>
      </c>
      <c r="P73">
        <v>0.11</v>
      </c>
      <c r="Q73" t="s">
        <v>245</v>
      </c>
      <c r="R73">
        <v>14.3</v>
      </c>
      <c r="S73">
        <v>42.9</v>
      </c>
      <c r="T73">
        <v>28.6</v>
      </c>
      <c r="U73">
        <v>0</v>
      </c>
      <c r="V73">
        <v>14.3</v>
      </c>
    </row>
    <row r="74" spans="1:22" x14ac:dyDescent="0.25">
      <c r="A74" t="s">
        <v>1357</v>
      </c>
      <c r="B74" t="s">
        <v>128</v>
      </c>
      <c r="C74">
        <v>20</v>
      </c>
      <c r="D74" t="s">
        <v>260</v>
      </c>
      <c r="E74" t="s">
        <v>32</v>
      </c>
      <c r="F74" t="s">
        <v>69</v>
      </c>
      <c r="G74">
        <v>0.55000000000000004</v>
      </c>
      <c r="H74" t="s">
        <v>39</v>
      </c>
      <c r="I74">
        <v>-1</v>
      </c>
      <c r="J74" t="str">
        <f>HYPERLINK("https://www.eliteprospects.com/player/337000/dalton-norris")</f>
        <v>https://www.eliteprospects.com/player/337000/dalton-norris</v>
      </c>
      <c r="K74" t="s">
        <v>27</v>
      </c>
      <c r="L74" t="s">
        <v>28</v>
      </c>
      <c r="M74" t="s">
        <v>1296</v>
      </c>
      <c r="N74">
        <v>4</v>
      </c>
      <c r="O74" t="s">
        <v>30</v>
      </c>
      <c r="P74">
        <v>0.11</v>
      </c>
      <c r="Q74" t="s">
        <v>245</v>
      </c>
      <c r="R74">
        <v>14.3</v>
      </c>
      <c r="S74">
        <v>42.9</v>
      </c>
      <c r="T74">
        <v>28.6</v>
      </c>
      <c r="U74">
        <v>0</v>
      </c>
      <c r="V74">
        <v>14.3</v>
      </c>
    </row>
    <row r="75" spans="1:22" x14ac:dyDescent="0.25">
      <c r="A75" t="s">
        <v>1358</v>
      </c>
      <c r="B75" t="s">
        <v>202</v>
      </c>
      <c r="C75">
        <v>22</v>
      </c>
      <c r="D75" t="s">
        <v>132</v>
      </c>
      <c r="E75" t="s">
        <v>69</v>
      </c>
      <c r="F75" t="s">
        <v>69</v>
      </c>
      <c r="G75">
        <v>0.5</v>
      </c>
      <c r="H75" t="s">
        <v>55</v>
      </c>
      <c r="I75">
        <v>5</v>
      </c>
      <c r="J75" t="str">
        <f>HYPERLINK("https://www.eliteprospects.com/player/588162/griffin-ludtke")</f>
        <v>https://www.eliteprospects.com/player/588162/griffin-ludtke</v>
      </c>
      <c r="K75" t="s">
        <v>27</v>
      </c>
      <c r="L75" t="s">
        <v>28</v>
      </c>
      <c r="M75" t="s">
        <v>1296</v>
      </c>
      <c r="N75">
        <v>4</v>
      </c>
      <c r="O75" t="s">
        <v>30</v>
      </c>
      <c r="P75">
        <v>0.1</v>
      </c>
      <c r="Q75" t="s">
        <v>1300</v>
      </c>
      <c r="R75">
        <v>37.5</v>
      </c>
      <c r="S75">
        <v>12.5</v>
      </c>
      <c r="T75">
        <v>12.5</v>
      </c>
      <c r="U75">
        <v>12.5</v>
      </c>
      <c r="V75">
        <v>25</v>
      </c>
    </row>
    <row r="76" spans="1:22" x14ac:dyDescent="0.25">
      <c r="A76" t="s">
        <v>1359</v>
      </c>
      <c r="B76" t="s">
        <v>59</v>
      </c>
      <c r="C76">
        <v>22</v>
      </c>
      <c r="D76" t="s">
        <v>132</v>
      </c>
      <c r="E76" t="s">
        <v>69</v>
      </c>
      <c r="F76" t="s">
        <v>69</v>
      </c>
      <c r="G76">
        <v>0.5</v>
      </c>
      <c r="H76" t="s">
        <v>33</v>
      </c>
      <c r="I76">
        <v>10</v>
      </c>
      <c r="J76" t="str">
        <f>HYPERLINK("https://www.eliteprospects.com/player/436384/brandon-chabrier")</f>
        <v>https://www.eliteprospects.com/player/436384/brandon-chabrier</v>
      </c>
      <c r="K76" t="s">
        <v>27</v>
      </c>
      <c r="L76" t="s">
        <v>28</v>
      </c>
      <c r="M76" t="s">
        <v>1296</v>
      </c>
      <c r="N76">
        <v>4</v>
      </c>
      <c r="O76" t="s">
        <v>30</v>
      </c>
      <c r="P76">
        <v>0.1</v>
      </c>
      <c r="Q76" t="s">
        <v>1309</v>
      </c>
      <c r="R76">
        <v>25</v>
      </c>
      <c r="S76">
        <v>25</v>
      </c>
      <c r="T76">
        <v>16.7</v>
      </c>
      <c r="U76">
        <v>8.3000000000000007</v>
      </c>
      <c r="V76">
        <v>25</v>
      </c>
    </row>
    <row r="77" spans="1:22" x14ac:dyDescent="0.25">
      <c r="A77" t="s">
        <v>1360</v>
      </c>
      <c r="B77" t="s">
        <v>121</v>
      </c>
      <c r="C77">
        <v>18</v>
      </c>
      <c r="D77" t="s">
        <v>96</v>
      </c>
      <c r="E77" t="s">
        <v>96</v>
      </c>
      <c r="F77" t="s">
        <v>32</v>
      </c>
      <c r="G77">
        <v>0.56000000000000005</v>
      </c>
      <c r="H77" t="s">
        <v>23</v>
      </c>
      <c r="I77">
        <v>0</v>
      </c>
      <c r="J77" t="str">
        <f>HYPERLINK("https://www.eliteprospects.com/player/639808/nicholas-bernardo")</f>
        <v>https://www.eliteprospects.com/player/639808/nicholas-bernardo</v>
      </c>
      <c r="K77" t="s">
        <v>27</v>
      </c>
      <c r="L77" t="s">
        <v>28</v>
      </c>
      <c r="M77" t="s">
        <v>1296</v>
      </c>
      <c r="N77">
        <v>2</v>
      </c>
      <c r="O77" t="s">
        <v>43</v>
      </c>
      <c r="P77">
        <v>0.11</v>
      </c>
      <c r="Q77" t="s">
        <v>245</v>
      </c>
      <c r="R77">
        <v>14.3</v>
      </c>
      <c r="S77">
        <v>42.9</v>
      </c>
      <c r="T77">
        <v>28.6</v>
      </c>
      <c r="U77">
        <v>0</v>
      </c>
      <c r="V77">
        <v>14.3</v>
      </c>
    </row>
    <row r="78" spans="1:22" x14ac:dyDescent="0.25">
      <c r="A78" t="s">
        <v>1361</v>
      </c>
      <c r="B78" t="s">
        <v>37</v>
      </c>
      <c r="C78">
        <v>21</v>
      </c>
      <c r="D78" t="s">
        <v>96</v>
      </c>
      <c r="E78" t="s">
        <v>96</v>
      </c>
      <c r="F78" t="s">
        <v>32</v>
      </c>
      <c r="G78">
        <v>0.48</v>
      </c>
      <c r="H78" t="s">
        <v>79</v>
      </c>
      <c r="I78">
        <v>0</v>
      </c>
      <c r="J78" t="str">
        <f>HYPERLINK("https://www.eliteprospects.com/player/556516/grayden-siepmann")</f>
        <v>https://www.eliteprospects.com/player/556516/grayden-siepmann</v>
      </c>
      <c r="K78" t="s">
        <v>27</v>
      </c>
      <c r="L78" t="s">
        <v>28</v>
      </c>
      <c r="M78" t="s">
        <v>1296</v>
      </c>
      <c r="N78">
        <v>6</v>
      </c>
      <c r="O78" t="s">
        <v>193</v>
      </c>
      <c r="P78">
        <v>0.09</v>
      </c>
      <c r="Q78" t="s">
        <v>245</v>
      </c>
      <c r="R78">
        <v>14.3</v>
      </c>
      <c r="S78">
        <v>42.9</v>
      </c>
      <c r="T78">
        <v>28.6</v>
      </c>
      <c r="U78">
        <v>0</v>
      </c>
      <c r="V78">
        <v>14.3</v>
      </c>
    </row>
    <row r="79" spans="1:22" x14ac:dyDescent="0.25">
      <c r="A79" t="s">
        <v>1362</v>
      </c>
      <c r="B79" t="s">
        <v>106</v>
      </c>
      <c r="C79">
        <v>21</v>
      </c>
      <c r="D79" t="s">
        <v>96</v>
      </c>
      <c r="E79" t="s">
        <v>96</v>
      </c>
      <c r="F79" t="s">
        <v>32</v>
      </c>
      <c r="G79">
        <v>0.48</v>
      </c>
      <c r="H79" t="s">
        <v>57</v>
      </c>
      <c r="I79">
        <v>-4</v>
      </c>
      <c r="J79" t="str">
        <f>HYPERLINK("https://www.eliteprospects.com/player/692443/tate-taylor")</f>
        <v>https://www.eliteprospects.com/player/692443/tate-taylor</v>
      </c>
      <c r="K79" t="s">
        <v>27</v>
      </c>
      <c r="L79" t="s">
        <v>28</v>
      </c>
      <c r="M79" t="s">
        <v>1296</v>
      </c>
      <c r="N79">
        <v>2</v>
      </c>
      <c r="O79" t="s">
        <v>43</v>
      </c>
      <c r="P79">
        <v>0.09</v>
      </c>
      <c r="Q79" t="s">
        <v>1325</v>
      </c>
      <c r="R79">
        <v>37.5</v>
      </c>
      <c r="S79">
        <v>25</v>
      </c>
      <c r="T79">
        <v>37.5</v>
      </c>
      <c r="U79">
        <v>0</v>
      </c>
      <c r="V79">
        <v>0</v>
      </c>
    </row>
    <row r="80" spans="1:22" x14ac:dyDescent="0.25">
      <c r="A80" t="s">
        <v>1363</v>
      </c>
      <c r="B80" t="s">
        <v>202</v>
      </c>
      <c r="C80">
        <v>22</v>
      </c>
      <c r="D80" t="s">
        <v>96</v>
      </c>
      <c r="E80" t="s">
        <v>96</v>
      </c>
      <c r="F80" t="s">
        <v>32</v>
      </c>
      <c r="G80">
        <v>0.45</v>
      </c>
      <c r="H80" t="s">
        <v>38</v>
      </c>
      <c r="I80">
        <v>-2</v>
      </c>
      <c r="J80" t="str">
        <f>HYPERLINK("https://www.eliteprospects.com/player/476026/marc-lajoie")</f>
        <v>https://www.eliteprospects.com/player/476026/marc-lajoie</v>
      </c>
      <c r="K80" t="s">
        <v>27</v>
      </c>
      <c r="L80" t="s">
        <v>28</v>
      </c>
      <c r="M80" t="s">
        <v>1296</v>
      </c>
      <c r="N80">
        <v>6</v>
      </c>
      <c r="O80" t="s">
        <v>193</v>
      </c>
      <c r="P80">
        <v>0.09</v>
      </c>
      <c r="Q80" t="s">
        <v>245</v>
      </c>
      <c r="R80">
        <v>14.3</v>
      </c>
      <c r="S80">
        <v>42.9</v>
      </c>
      <c r="T80">
        <v>28.6</v>
      </c>
      <c r="U80">
        <v>0</v>
      </c>
      <c r="V80">
        <v>14.3</v>
      </c>
    </row>
    <row r="81" spans="1:22" x14ac:dyDescent="0.25">
      <c r="A81" t="s">
        <v>1364</v>
      </c>
      <c r="B81" t="s">
        <v>83</v>
      </c>
      <c r="C81">
        <v>17</v>
      </c>
      <c r="D81" t="s">
        <v>66</v>
      </c>
      <c r="E81" t="s">
        <v>57</v>
      </c>
      <c r="F81" t="s">
        <v>32</v>
      </c>
      <c r="G81">
        <v>0.59</v>
      </c>
      <c r="H81" t="s">
        <v>32</v>
      </c>
      <c r="I81">
        <v>18</v>
      </c>
      <c r="J81" t="str">
        <f>HYPERLINK("https://www.eliteprospects.com/player/553204/colin-grable")</f>
        <v>https://www.eliteprospects.com/player/553204/colin-grable</v>
      </c>
      <c r="K81" t="s">
        <v>27</v>
      </c>
      <c r="L81" t="s">
        <v>28</v>
      </c>
      <c r="M81" t="s">
        <v>1296</v>
      </c>
      <c r="N81">
        <v>2</v>
      </c>
      <c r="O81" t="s">
        <v>43</v>
      </c>
      <c r="P81">
        <v>0.11</v>
      </c>
      <c r="Q81" t="s">
        <v>1309</v>
      </c>
      <c r="R81">
        <v>25</v>
      </c>
      <c r="S81">
        <v>25</v>
      </c>
      <c r="T81">
        <v>16.7</v>
      </c>
      <c r="U81">
        <v>8.3000000000000007</v>
      </c>
      <c r="V81">
        <v>25</v>
      </c>
    </row>
    <row r="82" spans="1:22" x14ac:dyDescent="0.25">
      <c r="A82" t="s">
        <v>1365</v>
      </c>
      <c r="B82" t="s">
        <v>238</v>
      </c>
      <c r="C82">
        <v>21</v>
      </c>
      <c r="D82" t="s">
        <v>66</v>
      </c>
      <c r="E82" t="s">
        <v>57</v>
      </c>
      <c r="F82" t="s">
        <v>32</v>
      </c>
      <c r="G82">
        <v>0.48</v>
      </c>
      <c r="H82" t="s">
        <v>26</v>
      </c>
      <c r="I82">
        <v>-13</v>
      </c>
      <c r="J82" t="str">
        <f>HYPERLINK("https://www.eliteprospects.com/player/640301/kazimier-sobieski")</f>
        <v>https://www.eliteprospects.com/player/640301/kazimier-sobieski</v>
      </c>
      <c r="K82" t="s">
        <v>27</v>
      </c>
      <c r="L82" t="s">
        <v>28</v>
      </c>
      <c r="M82" t="s">
        <v>1296</v>
      </c>
      <c r="N82">
        <v>2</v>
      </c>
      <c r="O82" t="s">
        <v>43</v>
      </c>
      <c r="P82">
        <v>0.09</v>
      </c>
      <c r="Q82" t="s">
        <v>1325</v>
      </c>
      <c r="R82">
        <v>37.5</v>
      </c>
      <c r="S82">
        <v>25</v>
      </c>
      <c r="T82">
        <v>37.5</v>
      </c>
      <c r="U82">
        <v>0</v>
      </c>
      <c r="V82">
        <v>0</v>
      </c>
    </row>
    <row r="83" spans="1:22" x14ac:dyDescent="0.25">
      <c r="A83" t="s">
        <v>1366</v>
      </c>
      <c r="B83" t="s">
        <v>139</v>
      </c>
      <c r="C83">
        <v>14</v>
      </c>
      <c r="D83" t="s">
        <v>140</v>
      </c>
      <c r="E83" t="s">
        <v>78</v>
      </c>
      <c r="F83" t="s">
        <v>32</v>
      </c>
      <c r="G83">
        <v>0.71</v>
      </c>
      <c r="H83" t="s">
        <v>26</v>
      </c>
      <c r="I83">
        <v>4</v>
      </c>
      <c r="J83" t="str">
        <f>HYPERLINK("https://www.eliteprospects.com/player/807168/luke-osburn")</f>
        <v>https://www.eliteprospects.com/player/807168/luke-osburn</v>
      </c>
      <c r="K83" t="s">
        <v>27</v>
      </c>
      <c r="L83" t="s">
        <v>28</v>
      </c>
      <c r="M83" t="s">
        <v>1296</v>
      </c>
      <c r="N83">
        <v>1</v>
      </c>
      <c r="O83" t="s">
        <v>71</v>
      </c>
      <c r="P83">
        <v>0.14000000000000001</v>
      </c>
      <c r="Q83" t="s">
        <v>1309</v>
      </c>
      <c r="R83">
        <v>10</v>
      </c>
      <c r="S83">
        <v>10</v>
      </c>
      <c r="T83">
        <v>20</v>
      </c>
      <c r="U83">
        <v>20</v>
      </c>
      <c r="V83">
        <v>40</v>
      </c>
    </row>
    <row r="84" spans="1:22" x14ac:dyDescent="0.25">
      <c r="A84" t="s">
        <v>1367</v>
      </c>
      <c r="B84" t="s">
        <v>139</v>
      </c>
      <c r="C84">
        <v>17</v>
      </c>
      <c r="D84" t="s">
        <v>140</v>
      </c>
      <c r="E84" t="s">
        <v>78</v>
      </c>
      <c r="F84" t="s">
        <v>32</v>
      </c>
      <c r="G84">
        <v>0.59</v>
      </c>
      <c r="H84" t="s">
        <v>66</v>
      </c>
      <c r="I84">
        <v>9</v>
      </c>
      <c r="J84" t="str">
        <f>HYPERLINK("https://www.eliteprospects.com/player/616256/joe-palodichuk")</f>
        <v>https://www.eliteprospects.com/player/616256/joe-palodichuk</v>
      </c>
      <c r="K84" t="s">
        <v>27</v>
      </c>
      <c r="L84" t="s">
        <v>28</v>
      </c>
      <c r="M84" t="s">
        <v>1296</v>
      </c>
      <c r="N84">
        <v>3</v>
      </c>
      <c r="O84" t="s">
        <v>74</v>
      </c>
      <c r="P84">
        <v>0.11</v>
      </c>
      <c r="Q84" t="s">
        <v>1309</v>
      </c>
      <c r="R84">
        <v>25</v>
      </c>
      <c r="S84">
        <v>25</v>
      </c>
      <c r="T84">
        <v>16.7</v>
      </c>
      <c r="U84">
        <v>8.3000000000000007</v>
      </c>
      <c r="V84">
        <v>25</v>
      </c>
    </row>
    <row r="85" spans="1:22" x14ac:dyDescent="0.25">
      <c r="A85" t="s">
        <v>1368</v>
      </c>
      <c r="B85" t="s">
        <v>234</v>
      </c>
      <c r="C85">
        <v>17</v>
      </c>
      <c r="D85" t="s">
        <v>140</v>
      </c>
      <c r="E85" t="s">
        <v>78</v>
      </c>
      <c r="F85" t="s">
        <v>32</v>
      </c>
      <c r="G85">
        <v>0.59</v>
      </c>
      <c r="H85" t="s">
        <v>39</v>
      </c>
      <c r="I85">
        <v>-5</v>
      </c>
      <c r="J85" t="str">
        <f>HYPERLINK("https://www.eliteprospects.com/player/535645/matthew-desiderio")</f>
        <v>https://www.eliteprospects.com/player/535645/matthew-desiderio</v>
      </c>
      <c r="K85" t="s">
        <v>27</v>
      </c>
      <c r="L85" t="s">
        <v>28</v>
      </c>
      <c r="M85" t="s">
        <v>1296</v>
      </c>
      <c r="N85">
        <v>1</v>
      </c>
      <c r="O85" t="s">
        <v>71</v>
      </c>
      <c r="P85">
        <v>0.11</v>
      </c>
      <c r="Q85" t="s">
        <v>1325</v>
      </c>
      <c r="R85">
        <v>37.5</v>
      </c>
      <c r="S85">
        <v>25</v>
      </c>
      <c r="T85">
        <v>37.5</v>
      </c>
      <c r="U85">
        <v>0</v>
      </c>
      <c r="V85">
        <v>0</v>
      </c>
    </row>
    <row r="86" spans="1:22" x14ac:dyDescent="0.25">
      <c r="A86" t="s">
        <v>1369</v>
      </c>
      <c r="B86" t="s">
        <v>177</v>
      </c>
      <c r="C86">
        <v>19</v>
      </c>
      <c r="D86" t="s">
        <v>140</v>
      </c>
      <c r="E86" t="s">
        <v>78</v>
      </c>
      <c r="F86" t="s">
        <v>32</v>
      </c>
      <c r="G86">
        <v>0.53</v>
      </c>
      <c r="H86" t="s">
        <v>84</v>
      </c>
      <c r="I86">
        <v>8</v>
      </c>
      <c r="J86" t="str">
        <f>HYPERLINK("https://www.eliteprospects.com/player/325955/lane-brockhoff")</f>
        <v>https://www.eliteprospects.com/player/325955/lane-brockhoff</v>
      </c>
      <c r="K86" t="s">
        <v>27</v>
      </c>
      <c r="L86" t="s">
        <v>28</v>
      </c>
      <c r="M86" t="s">
        <v>1296</v>
      </c>
      <c r="N86">
        <v>4</v>
      </c>
      <c r="O86" t="s">
        <v>30</v>
      </c>
      <c r="P86">
        <v>0.1</v>
      </c>
      <c r="Q86" t="s">
        <v>1309</v>
      </c>
      <c r="R86">
        <v>25</v>
      </c>
      <c r="S86">
        <v>25</v>
      </c>
      <c r="T86">
        <v>16.7</v>
      </c>
      <c r="U86">
        <v>8.3000000000000007</v>
      </c>
      <c r="V86">
        <v>25</v>
      </c>
    </row>
    <row r="87" spans="1:22" x14ac:dyDescent="0.25">
      <c r="A87" t="s">
        <v>1370</v>
      </c>
      <c r="B87" t="s">
        <v>73</v>
      </c>
      <c r="C87">
        <v>22</v>
      </c>
      <c r="D87" t="s">
        <v>140</v>
      </c>
      <c r="E87" t="s">
        <v>78</v>
      </c>
      <c r="F87" t="s">
        <v>32</v>
      </c>
      <c r="G87">
        <v>0.45</v>
      </c>
      <c r="H87" t="s">
        <v>79</v>
      </c>
      <c r="I87">
        <v>2</v>
      </c>
      <c r="J87" t="str">
        <f>HYPERLINK("https://www.eliteprospects.com/player/603702/finn-loftus")</f>
        <v>https://www.eliteprospects.com/player/603702/finn-loftus</v>
      </c>
      <c r="K87" t="s">
        <v>27</v>
      </c>
      <c r="L87" t="s">
        <v>28</v>
      </c>
      <c r="M87" t="s">
        <v>1296</v>
      </c>
      <c r="N87">
        <v>2</v>
      </c>
      <c r="O87" t="s">
        <v>43</v>
      </c>
      <c r="P87">
        <v>0.09</v>
      </c>
      <c r="Q87" t="s">
        <v>1325</v>
      </c>
      <c r="R87">
        <v>22.2</v>
      </c>
      <c r="S87">
        <v>11.1</v>
      </c>
      <c r="T87">
        <v>44.4</v>
      </c>
      <c r="U87">
        <v>0</v>
      </c>
      <c r="V87">
        <v>22.2</v>
      </c>
    </row>
    <row r="88" spans="1:22" x14ac:dyDescent="0.25">
      <c r="A88" t="s">
        <v>1371</v>
      </c>
      <c r="B88" t="s">
        <v>148</v>
      </c>
      <c r="C88">
        <v>23</v>
      </c>
      <c r="D88" t="s">
        <v>140</v>
      </c>
      <c r="E88" t="s">
        <v>78</v>
      </c>
      <c r="F88" t="s">
        <v>32</v>
      </c>
      <c r="G88">
        <v>0.43</v>
      </c>
      <c r="H88" t="s">
        <v>125</v>
      </c>
      <c r="I88">
        <v>3</v>
      </c>
      <c r="J88" t="str">
        <f>HYPERLINK("https://www.eliteprospects.com/player/499372/hayden-hennen")</f>
        <v>https://www.eliteprospects.com/player/499372/hayden-hennen</v>
      </c>
      <c r="K88" t="s">
        <v>27</v>
      </c>
      <c r="L88" t="s">
        <v>28</v>
      </c>
      <c r="M88" t="s">
        <v>1296</v>
      </c>
      <c r="N88">
        <v>3</v>
      </c>
      <c r="O88" t="s">
        <v>74</v>
      </c>
      <c r="P88">
        <v>0.08</v>
      </c>
      <c r="Q88" t="s">
        <v>1325</v>
      </c>
      <c r="R88">
        <v>33.299999999999997</v>
      </c>
      <c r="S88">
        <v>16.7</v>
      </c>
      <c r="T88">
        <v>33.299999999999997</v>
      </c>
      <c r="U88">
        <v>16.7</v>
      </c>
      <c r="V88">
        <v>0</v>
      </c>
    </row>
    <row r="89" spans="1:22" x14ac:dyDescent="0.25">
      <c r="A89" t="s">
        <v>1372</v>
      </c>
      <c r="B89" t="s">
        <v>44</v>
      </c>
      <c r="C89">
        <v>24</v>
      </c>
      <c r="D89" t="s">
        <v>140</v>
      </c>
      <c r="E89" t="s">
        <v>78</v>
      </c>
      <c r="F89" t="s">
        <v>32</v>
      </c>
      <c r="G89">
        <v>0.42</v>
      </c>
      <c r="H89" t="s">
        <v>79</v>
      </c>
      <c r="I89">
        <v>-2</v>
      </c>
      <c r="J89" t="str">
        <f>HYPERLINK("https://www.eliteprospects.com/player/603574/reid-andresen")</f>
        <v>https://www.eliteprospects.com/player/603574/reid-andresen</v>
      </c>
      <c r="K89" t="s">
        <v>27</v>
      </c>
      <c r="L89" t="s">
        <v>28</v>
      </c>
      <c r="M89" t="s">
        <v>1296</v>
      </c>
      <c r="N89">
        <v>6</v>
      </c>
      <c r="O89" t="s">
        <v>193</v>
      </c>
      <c r="P89">
        <v>0.08</v>
      </c>
      <c r="Q89" t="s">
        <v>1300</v>
      </c>
      <c r="R89">
        <v>33.299999999999997</v>
      </c>
      <c r="S89">
        <v>22.2</v>
      </c>
      <c r="T89">
        <v>22.2</v>
      </c>
      <c r="U89">
        <v>11.1</v>
      </c>
      <c r="V89">
        <v>11.1</v>
      </c>
    </row>
    <row r="90" spans="1:22" x14ac:dyDescent="0.25">
      <c r="A90" t="s">
        <v>1373</v>
      </c>
      <c r="B90" t="s">
        <v>177</v>
      </c>
      <c r="C90">
        <v>17</v>
      </c>
      <c r="D90" t="s">
        <v>79</v>
      </c>
      <c r="E90" t="s">
        <v>26</v>
      </c>
      <c r="F90" t="s">
        <v>32</v>
      </c>
      <c r="G90">
        <v>0.59</v>
      </c>
      <c r="H90" t="s">
        <v>79</v>
      </c>
      <c r="I90">
        <v>-3</v>
      </c>
      <c r="J90" t="str">
        <f>HYPERLINK("https://www.eliteprospects.com/player/538400/nathan-oickle")</f>
        <v>https://www.eliteprospects.com/player/538400/nathan-oickle</v>
      </c>
      <c r="K90" t="s">
        <v>27</v>
      </c>
      <c r="L90" t="s">
        <v>28</v>
      </c>
      <c r="M90" t="s">
        <v>1296</v>
      </c>
      <c r="N90">
        <v>2</v>
      </c>
      <c r="O90" t="s">
        <v>43</v>
      </c>
      <c r="P90">
        <v>0.11</v>
      </c>
      <c r="Q90" t="s">
        <v>1325</v>
      </c>
      <c r="R90">
        <v>37.5</v>
      </c>
      <c r="S90">
        <v>25</v>
      </c>
      <c r="T90">
        <v>37.5</v>
      </c>
      <c r="U90">
        <v>0</v>
      </c>
      <c r="V90">
        <v>0</v>
      </c>
    </row>
    <row r="91" spans="1:22" x14ac:dyDescent="0.25">
      <c r="A91" t="s">
        <v>1374</v>
      </c>
      <c r="B91" t="s">
        <v>195</v>
      </c>
      <c r="C91">
        <v>20</v>
      </c>
      <c r="D91" t="s">
        <v>79</v>
      </c>
      <c r="E91" t="s">
        <v>26</v>
      </c>
      <c r="F91" t="s">
        <v>32</v>
      </c>
      <c r="G91">
        <v>0.5</v>
      </c>
      <c r="H91" t="s">
        <v>47</v>
      </c>
      <c r="I91">
        <v>7</v>
      </c>
      <c r="J91" t="str">
        <f>HYPERLINK("https://www.eliteprospects.com/player/685705/gavin-mccarthy")</f>
        <v>https://www.eliteprospects.com/player/685705/gavin-mccarthy</v>
      </c>
      <c r="K91" t="s">
        <v>27</v>
      </c>
      <c r="L91" t="s">
        <v>28</v>
      </c>
      <c r="M91" t="s">
        <v>1296</v>
      </c>
      <c r="N91">
        <v>3</v>
      </c>
      <c r="O91" t="s">
        <v>74</v>
      </c>
      <c r="P91">
        <v>0.1</v>
      </c>
      <c r="Q91" t="s">
        <v>1300</v>
      </c>
      <c r="R91">
        <v>37.5</v>
      </c>
      <c r="S91">
        <v>12.5</v>
      </c>
      <c r="T91">
        <v>12.5</v>
      </c>
      <c r="U91">
        <v>12.5</v>
      </c>
      <c r="V91">
        <v>25</v>
      </c>
    </row>
    <row r="92" spans="1:22" x14ac:dyDescent="0.25">
      <c r="A92" t="s">
        <v>1375</v>
      </c>
      <c r="B92" t="s">
        <v>171</v>
      </c>
      <c r="C92">
        <v>21</v>
      </c>
      <c r="D92" t="s">
        <v>79</v>
      </c>
      <c r="E92" t="s">
        <v>26</v>
      </c>
      <c r="F92" t="s">
        <v>32</v>
      </c>
      <c r="G92">
        <v>0.48</v>
      </c>
      <c r="H92" t="s">
        <v>66</v>
      </c>
      <c r="I92">
        <v>-3</v>
      </c>
      <c r="J92" t="str">
        <f>HYPERLINK("https://www.eliteprospects.com/player/473038/t.j.-schweighardt")</f>
        <v>https://www.eliteprospects.com/player/473038/t.j.-schweighardt</v>
      </c>
      <c r="K92" t="s">
        <v>27</v>
      </c>
      <c r="L92" t="s">
        <v>28</v>
      </c>
      <c r="M92" t="s">
        <v>1296</v>
      </c>
      <c r="N92">
        <v>4</v>
      </c>
      <c r="O92" t="s">
        <v>30</v>
      </c>
      <c r="P92">
        <v>0.09</v>
      </c>
      <c r="Q92" t="s">
        <v>1325</v>
      </c>
      <c r="R92">
        <v>37.5</v>
      </c>
      <c r="S92">
        <v>25</v>
      </c>
      <c r="T92">
        <v>37.5</v>
      </c>
      <c r="U92">
        <v>0</v>
      </c>
      <c r="V92">
        <v>0</v>
      </c>
    </row>
    <row r="93" spans="1:22" x14ac:dyDescent="0.25">
      <c r="A93" t="s">
        <v>1376</v>
      </c>
      <c r="B93" t="s">
        <v>171</v>
      </c>
      <c r="C93">
        <v>21</v>
      </c>
      <c r="D93" t="s">
        <v>79</v>
      </c>
      <c r="E93" t="s">
        <v>26</v>
      </c>
      <c r="F93" t="s">
        <v>32</v>
      </c>
      <c r="G93">
        <v>0.48</v>
      </c>
      <c r="H93" t="s">
        <v>46</v>
      </c>
      <c r="I93">
        <v>-2</v>
      </c>
      <c r="J93" t="str">
        <f>HYPERLINK("https://www.eliteprospects.com/player/641137/luke-shipley")</f>
        <v>https://www.eliteprospects.com/player/641137/luke-shipley</v>
      </c>
      <c r="K93" t="s">
        <v>27</v>
      </c>
      <c r="L93" t="s">
        <v>28</v>
      </c>
      <c r="M93" t="s">
        <v>1296</v>
      </c>
      <c r="N93">
        <v>6</v>
      </c>
      <c r="O93" t="s">
        <v>193</v>
      </c>
      <c r="P93">
        <v>0.09</v>
      </c>
      <c r="Q93" t="s">
        <v>245</v>
      </c>
      <c r="R93">
        <v>14.3</v>
      </c>
      <c r="S93">
        <v>42.9</v>
      </c>
      <c r="T93">
        <v>28.6</v>
      </c>
      <c r="U93">
        <v>0</v>
      </c>
      <c r="V93">
        <v>14.3</v>
      </c>
    </row>
    <row r="94" spans="1:22" x14ac:dyDescent="0.25">
      <c r="A94" t="s">
        <v>1377</v>
      </c>
      <c r="B94" t="s">
        <v>150</v>
      </c>
      <c r="C94">
        <v>19</v>
      </c>
      <c r="D94" t="s">
        <v>260</v>
      </c>
      <c r="E94" t="s">
        <v>45</v>
      </c>
      <c r="F94" t="s">
        <v>32</v>
      </c>
      <c r="G94">
        <v>0.53</v>
      </c>
      <c r="H94" t="s">
        <v>61</v>
      </c>
      <c r="I94">
        <v>-5</v>
      </c>
      <c r="J94" t="str">
        <f>HYPERLINK("https://www.eliteprospects.com/player/658972/broten-sabo")</f>
        <v>https://www.eliteprospects.com/player/658972/broten-sabo</v>
      </c>
      <c r="K94" t="s">
        <v>27</v>
      </c>
      <c r="L94" t="s">
        <v>28</v>
      </c>
      <c r="M94" t="s">
        <v>1296</v>
      </c>
      <c r="N94">
        <v>3</v>
      </c>
      <c r="O94" t="s">
        <v>74</v>
      </c>
      <c r="P94">
        <v>0.1</v>
      </c>
      <c r="Q94" t="s">
        <v>1325</v>
      </c>
      <c r="R94">
        <v>37.5</v>
      </c>
      <c r="S94">
        <v>25</v>
      </c>
      <c r="T94">
        <v>37.5</v>
      </c>
      <c r="U94">
        <v>0</v>
      </c>
      <c r="V94">
        <v>0</v>
      </c>
    </row>
    <row r="95" spans="1:22" x14ac:dyDescent="0.25">
      <c r="A95" t="s">
        <v>1378</v>
      </c>
      <c r="B95" t="s">
        <v>95</v>
      </c>
      <c r="C95">
        <v>20</v>
      </c>
      <c r="D95" t="s">
        <v>260</v>
      </c>
      <c r="E95" t="s">
        <v>45</v>
      </c>
      <c r="F95" t="s">
        <v>32</v>
      </c>
      <c r="G95">
        <v>0.5</v>
      </c>
      <c r="H95" t="s">
        <v>39</v>
      </c>
      <c r="I95">
        <v>12</v>
      </c>
      <c r="J95" t="str">
        <f>HYPERLINK("https://www.eliteprospects.com/player/588623/theo-wallberg")</f>
        <v>https://www.eliteprospects.com/player/588623/theo-wallberg</v>
      </c>
      <c r="K95" t="s">
        <v>27</v>
      </c>
      <c r="L95" t="s">
        <v>28</v>
      </c>
      <c r="M95" t="s">
        <v>1296</v>
      </c>
      <c r="N95">
        <v>3</v>
      </c>
      <c r="O95" t="s">
        <v>74</v>
      </c>
      <c r="P95">
        <v>0.1</v>
      </c>
      <c r="Q95" t="s">
        <v>1309</v>
      </c>
      <c r="R95">
        <v>25</v>
      </c>
      <c r="S95">
        <v>25</v>
      </c>
      <c r="T95">
        <v>16.7</v>
      </c>
      <c r="U95">
        <v>8.3000000000000007</v>
      </c>
      <c r="V95">
        <v>25</v>
      </c>
    </row>
    <row r="96" spans="1:22" x14ac:dyDescent="0.25">
      <c r="A96" t="s">
        <v>1379</v>
      </c>
      <c r="B96" t="s">
        <v>146</v>
      </c>
      <c r="C96">
        <v>22</v>
      </c>
      <c r="D96" t="s">
        <v>260</v>
      </c>
      <c r="E96" t="s">
        <v>45</v>
      </c>
      <c r="F96" t="s">
        <v>32</v>
      </c>
      <c r="G96">
        <v>0.45</v>
      </c>
      <c r="H96" t="s">
        <v>66</v>
      </c>
      <c r="I96">
        <v>-8</v>
      </c>
      <c r="J96" t="str">
        <f>HYPERLINK("https://www.eliteprospects.com/player/497327/evan-bushy")</f>
        <v>https://www.eliteprospects.com/player/497327/evan-bushy</v>
      </c>
      <c r="K96" t="s">
        <v>27</v>
      </c>
      <c r="L96" t="s">
        <v>28</v>
      </c>
      <c r="M96" t="s">
        <v>1296</v>
      </c>
      <c r="N96">
        <v>3</v>
      </c>
      <c r="O96" t="s">
        <v>74</v>
      </c>
      <c r="P96">
        <v>0.09</v>
      </c>
      <c r="Q96" t="s">
        <v>1325</v>
      </c>
      <c r="R96">
        <v>37.5</v>
      </c>
      <c r="S96">
        <v>25</v>
      </c>
      <c r="T96">
        <v>37.5</v>
      </c>
      <c r="U96">
        <v>0</v>
      </c>
      <c r="V96">
        <v>0</v>
      </c>
    </row>
    <row r="97" spans="1:22" x14ac:dyDescent="0.25">
      <c r="A97" t="s">
        <v>1380</v>
      </c>
      <c r="B97" t="s">
        <v>50</v>
      </c>
      <c r="C97">
        <v>22</v>
      </c>
      <c r="D97" t="s">
        <v>260</v>
      </c>
      <c r="E97" t="s">
        <v>45</v>
      </c>
      <c r="F97" t="s">
        <v>32</v>
      </c>
      <c r="G97">
        <v>0.45</v>
      </c>
      <c r="H97" t="s">
        <v>26</v>
      </c>
      <c r="I97">
        <v>20</v>
      </c>
      <c r="J97" t="str">
        <f>HYPERLINK("https://www.eliteprospects.com/player/577011/asher-barnett")</f>
        <v>https://www.eliteprospects.com/player/577011/asher-barnett</v>
      </c>
      <c r="K97" t="s">
        <v>27</v>
      </c>
      <c r="L97" t="s">
        <v>28</v>
      </c>
      <c r="M97" t="s">
        <v>1296</v>
      </c>
      <c r="N97">
        <v>1</v>
      </c>
      <c r="O97" t="s">
        <v>71</v>
      </c>
      <c r="P97">
        <v>0.09</v>
      </c>
      <c r="Q97" t="s">
        <v>1309</v>
      </c>
      <c r="R97">
        <v>25</v>
      </c>
      <c r="S97">
        <v>25</v>
      </c>
      <c r="T97">
        <v>16.7</v>
      </c>
      <c r="U97">
        <v>8.3000000000000007</v>
      </c>
      <c r="V97">
        <v>25</v>
      </c>
    </row>
    <row r="98" spans="1:22" x14ac:dyDescent="0.25">
      <c r="A98" t="s">
        <v>1381</v>
      </c>
      <c r="B98" t="s">
        <v>73</v>
      </c>
      <c r="C98">
        <v>22</v>
      </c>
      <c r="D98" t="s">
        <v>260</v>
      </c>
      <c r="E98" t="s">
        <v>45</v>
      </c>
      <c r="F98" t="s">
        <v>32</v>
      </c>
      <c r="G98">
        <v>0.45</v>
      </c>
      <c r="H98" t="s">
        <v>26</v>
      </c>
      <c r="I98">
        <v>0</v>
      </c>
      <c r="J98" t="str">
        <f>HYPERLINK("https://www.eliteprospects.com/player/600494/cooper-wylie")</f>
        <v>https://www.eliteprospects.com/player/600494/cooper-wylie</v>
      </c>
      <c r="K98" t="s">
        <v>27</v>
      </c>
      <c r="L98" t="s">
        <v>28</v>
      </c>
      <c r="M98" t="s">
        <v>1296</v>
      </c>
      <c r="N98">
        <v>4</v>
      </c>
      <c r="O98" t="s">
        <v>30</v>
      </c>
      <c r="P98">
        <v>0.09</v>
      </c>
      <c r="Q98" t="s">
        <v>245</v>
      </c>
      <c r="R98">
        <v>14.3</v>
      </c>
      <c r="S98">
        <v>42.9</v>
      </c>
      <c r="T98">
        <v>28.6</v>
      </c>
      <c r="U98">
        <v>0</v>
      </c>
      <c r="V98">
        <v>14.3</v>
      </c>
    </row>
    <row r="99" spans="1:22" x14ac:dyDescent="0.25">
      <c r="A99" t="s">
        <v>1382</v>
      </c>
      <c r="B99" t="s">
        <v>148</v>
      </c>
      <c r="C99">
        <v>23</v>
      </c>
      <c r="D99" t="s">
        <v>260</v>
      </c>
      <c r="E99" t="s">
        <v>45</v>
      </c>
      <c r="F99" t="s">
        <v>32</v>
      </c>
      <c r="G99">
        <v>0.43</v>
      </c>
      <c r="H99" t="s">
        <v>32</v>
      </c>
      <c r="I99">
        <v>3</v>
      </c>
      <c r="J99" t="str">
        <f>HYPERLINK("https://www.eliteprospects.com/player/623774/easton-young")</f>
        <v>https://www.eliteprospects.com/player/623774/easton-young</v>
      </c>
      <c r="K99" t="s">
        <v>27</v>
      </c>
      <c r="L99" t="s">
        <v>28</v>
      </c>
      <c r="M99" t="s">
        <v>1296</v>
      </c>
      <c r="N99">
        <v>2</v>
      </c>
      <c r="O99" t="s">
        <v>43</v>
      </c>
      <c r="P99">
        <v>0.08</v>
      </c>
      <c r="Q99" t="s">
        <v>1325</v>
      </c>
      <c r="R99">
        <v>33.299999999999997</v>
      </c>
      <c r="S99">
        <v>16.7</v>
      </c>
      <c r="T99">
        <v>33.299999999999997</v>
      </c>
      <c r="U99">
        <v>16.7</v>
      </c>
      <c r="V99">
        <v>0</v>
      </c>
    </row>
    <row r="100" spans="1:22" x14ac:dyDescent="0.25">
      <c r="A100" t="s">
        <v>1383</v>
      </c>
      <c r="B100" t="s">
        <v>85</v>
      </c>
      <c r="C100">
        <v>16</v>
      </c>
      <c r="D100" t="s">
        <v>132</v>
      </c>
      <c r="E100" t="s">
        <v>32</v>
      </c>
      <c r="F100" t="s">
        <v>32</v>
      </c>
      <c r="G100">
        <v>0.63</v>
      </c>
      <c r="H100" t="s">
        <v>66</v>
      </c>
      <c r="I100">
        <v>8</v>
      </c>
      <c r="J100" t="str">
        <f>HYPERLINK("https://www.eliteprospects.com/player/582587/kai-greaves")</f>
        <v>https://www.eliteprospects.com/player/582587/kai-greaves</v>
      </c>
      <c r="K100" t="s">
        <v>27</v>
      </c>
      <c r="L100" t="s">
        <v>28</v>
      </c>
      <c r="M100" t="s">
        <v>1296</v>
      </c>
      <c r="N100">
        <v>2</v>
      </c>
      <c r="O100" t="s">
        <v>43</v>
      </c>
      <c r="P100">
        <v>0.12</v>
      </c>
      <c r="Q100" t="s">
        <v>1300</v>
      </c>
      <c r="R100">
        <v>42.9</v>
      </c>
      <c r="S100">
        <v>14.3</v>
      </c>
      <c r="T100">
        <v>7.1</v>
      </c>
      <c r="U100">
        <v>7.1</v>
      </c>
      <c r="V100">
        <v>28.6</v>
      </c>
    </row>
    <row r="101" spans="1:22" x14ac:dyDescent="0.25">
      <c r="A101" t="s">
        <v>1384</v>
      </c>
      <c r="B101" t="s">
        <v>205</v>
      </c>
      <c r="C101">
        <v>22</v>
      </c>
      <c r="D101" t="s">
        <v>132</v>
      </c>
      <c r="E101" t="s">
        <v>32</v>
      </c>
      <c r="F101" t="s">
        <v>32</v>
      </c>
      <c r="G101">
        <v>0.45</v>
      </c>
      <c r="H101" t="s">
        <v>47</v>
      </c>
      <c r="I101">
        <v>4</v>
      </c>
      <c r="J101" t="str">
        <f>HYPERLINK("https://www.eliteprospects.com/player/539096/tristan-allen")</f>
        <v>https://www.eliteprospects.com/player/539096/tristan-allen</v>
      </c>
      <c r="K101" t="s">
        <v>27</v>
      </c>
      <c r="L101" t="s">
        <v>28</v>
      </c>
      <c r="M101" t="s">
        <v>1296</v>
      </c>
      <c r="N101">
        <v>2</v>
      </c>
      <c r="O101" t="s">
        <v>43</v>
      </c>
      <c r="P101">
        <v>0.09</v>
      </c>
      <c r="Q101" t="s">
        <v>1300</v>
      </c>
      <c r="R101">
        <v>37.5</v>
      </c>
      <c r="S101">
        <v>12.5</v>
      </c>
      <c r="T101">
        <v>12.5</v>
      </c>
      <c r="U101">
        <v>12.5</v>
      </c>
      <c r="V101">
        <v>25</v>
      </c>
    </row>
    <row r="102" spans="1:22" x14ac:dyDescent="0.25">
      <c r="A102" t="s">
        <v>1385</v>
      </c>
      <c r="B102" t="s">
        <v>189</v>
      </c>
      <c r="C102">
        <v>24</v>
      </c>
      <c r="D102" t="s">
        <v>132</v>
      </c>
      <c r="E102" t="s">
        <v>32</v>
      </c>
      <c r="F102" t="s">
        <v>32</v>
      </c>
      <c r="G102">
        <v>0.42</v>
      </c>
      <c r="H102" t="s">
        <v>66</v>
      </c>
      <c r="I102">
        <v>-7</v>
      </c>
      <c r="J102" t="str">
        <f>HYPERLINK("https://www.eliteprospects.com/player/619179/christopher-lie")</f>
        <v>https://www.eliteprospects.com/player/619179/christopher-lie</v>
      </c>
      <c r="K102" t="s">
        <v>27</v>
      </c>
      <c r="L102" t="s">
        <v>28</v>
      </c>
      <c r="M102" t="s">
        <v>1296</v>
      </c>
      <c r="N102">
        <v>2</v>
      </c>
      <c r="O102" t="s">
        <v>43</v>
      </c>
      <c r="P102">
        <v>0.08</v>
      </c>
      <c r="Q102" t="s">
        <v>245</v>
      </c>
      <c r="R102">
        <v>0</v>
      </c>
      <c r="S102">
        <v>44.4</v>
      </c>
      <c r="T102">
        <v>33.299999999999997</v>
      </c>
      <c r="U102">
        <v>0</v>
      </c>
      <c r="V102">
        <v>22.2</v>
      </c>
    </row>
    <row r="103" spans="1:22" x14ac:dyDescent="0.25">
      <c r="A103" t="s">
        <v>1386</v>
      </c>
      <c r="B103" t="s">
        <v>114</v>
      </c>
      <c r="C103">
        <v>18</v>
      </c>
      <c r="D103" t="s">
        <v>96</v>
      </c>
      <c r="E103" t="s">
        <v>66</v>
      </c>
      <c r="F103" t="s">
        <v>45</v>
      </c>
      <c r="G103">
        <v>0.5</v>
      </c>
      <c r="H103" t="s">
        <v>79</v>
      </c>
      <c r="I103">
        <v>4</v>
      </c>
      <c r="J103" t="str">
        <f>HYPERLINK("https://www.eliteprospects.com/player/417298/michael-bevilacqua")</f>
        <v>https://www.eliteprospects.com/player/417298/michael-bevilacqua</v>
      </c>
      <c r="K103" t="s">
        <v>27</v>
      </c>
      <c r="L103" t="s">
        <v>28</v>
      </c>
      <c r="M103" t="s">
        <v>1296</v>
      </c>
      <c r="N103">
        <v>6</v>
      </c>
      <c r="O103" t="s">
        <v>1387</v>
      </c>
      <c r="P103">
        <v>0.1</v>
      </c>
      <c r="Q103" t="s">
        <v>1300</v>
      </c>
      <c r="R103">
        <v>37.5</v>
      </c>
      <c r="S103">
        <v>12.5</v>
      </c>
      <c r="T103">
        <v>12.5</v>
      </c>
      <c r="U103">
        <v>12.5</v>
      </c>
      <c r="V103">
        <v>25</v>
      </c>
    </row>
    <row r="104" spans="1:22" x14ac:dyDescent="0.25">
      <c r="A104" t="s">
        <v>1388</v>
      </c>
      <c r="B104" t="s">
        <v>312</v>
      </c>
      <c r="C104">
        <v>18</v>
      </c>
      <c r="D104" t="s">
        <v>66</v>
      </c>
      <c r="E104" t="s">
        <v>96</v>
      </c>
      <c r="F104" t="s">
        <v>45</v>
      </c>
      <c r="G104">
        <v>0.5</v>
      </c>
      <c r="H104" t="s">
        <v>39</v>
      </c>
      <c r="I104">
        <v>-15</v>
      </c>
      <c r="J104" t="str">
        <f>HYPERLINK("https://www.eliteprospects.com/player/420054/joey-potter")</f>
        <v>https://www.eliteprospects.com/player/420054/joey-potter</v>
      </c>
      <c r="K104" t="s">
        <v>27</v>
      </c>
      <c r="L104" t="s">
        <v>28</v>
      </c>
      <c r="M104" t="s">
        <v>1296</v>
      </c>
      <c r="N104">
        <v>3</v>
      </c>
      <c r="O104" t="s">
        <v>74</v>
      </c>
      <c r="P104">
        <v>0.1</v>
      </c>
      <c r="Q104" t="s">
        <v>1325</v>
      </c>
      <c r="R104">
        <v>37.5</v>
      </c>
      <c r="S104">
        <v>25</v>
      </c>
      <c r="T104">
        <v>37.5</v>
      </c>
      <c r="U104">
        <v>0</v>
      </c>
      <c r="V104">
        <v>0</v>
      </c>
    </row>
    <row r="105" spans="1:22" x14ac:dyDescent="0.25">
      <c r="A105" t="s">
        <v>1389</v>
      </c>
      <c r="B105" t="s">
        <v>80</v>
      </c>
      <c r="C105">
        <v>20</v>
      </c>
      <c r="D105" t="s">
        <v>66</v>
      </c>
      <c r="E105" t="s">
        <v>96</v>
      </c>
      <c r="F105" t="s">
        <v>45</v>
      </c>
      <c r="G105">
        <v>0.45</v>
      </c>
      <c r="H105" t="s">
        <v>25</v>
      </c>
      <c r="I105">
        <v>7</v>
      </c>
      <c r="J105" t="str">
        <f>HYPERLINK("https://www.eliteprospects.com/player/397847/jarod-crespo")</f>
        <v>https://www.eliteprospects.com/player/397847/jarod-crespo</v>
      </c>
      <c r="K105" t="s">
        <v>27</v>
      </c>
      <c r="L105" t="s">
        <v>28</v>
      </c>
      <c r="M105" t="s">
        <v>1296</v>
      </c>
      <c r="N105">
        <v>4</v>
      </c>
      <c r="O105" t="s">
        <v>30</v>
      </c>
      <c r="P105">
        <v>0.09</v>
      </c>
      <c r="Q105" t="s">
        <v>1300</v>
      </c>
      <c r="R105">
        <v>37.5</v>
      </c>
      <c r="S105">
        <v>12.5</v>
      </c>
      <c r="T105">
        <v>12.5</v>
      </c>
      <c r="U105">
        <v>12.5</v>
      </c>
      <c r="V105">
        <v>25</v>
      </c>
    </row>
    <row r="106" spans="1:22" x14ac:dyDescent="0.25">
      <c r="A106" t="s">
        <v>1390</v>
      </c>
      <c r="B106" t="s">
        <v>139</v>
      </c>
      <c r="C106">
        <v>17</v>
      </c>
      <c r="D106" t="s">
        <v>140</v>
      </c>
      <c r="E106" t="s">
        <v>57</v>
      </c>
      <c r="F106" t="s">
        <v>45</v>
      </c>
      <c r="G106">
        <v>0.53</v>
      </c>
      <c r="H106" t="s">
        <v>32</v>
      </c>
      <c r="I106">
        <v>9</v>
      </c>
      <c r="J106" t="str">
        <f>HYPERLINK("https://www.eliteprospects.com/player/703251/logan-hensler")</f>
        <v>https://www.eliteprospects.com/player/703251/logan-hensler</v>
      </c>
      <c r="K106" t="s">
        <v>27</v>
      </c>
      <c r="L106" t="s">
        <v>28</v>
      </c>
      <c r="M106" t="s">
        <v>1296</v>
      </c>
      <c r="N106">
        <v>2</v>
      </c>
      <c r="O106" t="s">
        <v>43</v>
      </c>
      <c r="P106">
        <v>0.1</v>
      </c>
      <c r="Q106" t="s">
        <v>1309</v>
      </c>
      <c r="R106">
        <v>25</v>
      </c>
      <c r="S106">
        <v>25</v>
      </c>
      <c r="T106">
        <v>16.7</v>
      </c>
      <c r="U106">
        <v>8.3000000000000007</v>
      </c>
      <c r="V106">
        <v>25</v>
      </c>
    </row>
    <row r="107" spans="1:22" x14ac:dyDescent="0.25">
      <c r="A107" t="s">
        <v>1391</v>
      </c>
      <c r="B107" t="s">
        <v>224</v>
      </c>
      <c r="C107">
        <v>18</v>
      </c>
      <c r="D107" t="s">
        <v>140</v>
      </c>
      <c r="E107" t="s">
        <v>57</v>
      </c>
      <c r="F107" t="s">
        <v>45</v>
      </c>
      <c r="G107">
        <v>0.5</v>
      </c>
      <c r="H107" t="s">
        <v>66</v>
      </c>
      <c r="I107">
        <v>-10</v>
      </c>
      <c r="J107" t="str">
        <f>HYPERLINK("https://www.eliteprospects.com/player/504014/michael-craig")</f>
        <v>https://www.eliteprospects.com/player/504014/michael-craig</v>
      </c>
      <c r="K107" t="s">
        <v>27</v>
      </c>
      <c r="L107" t="s">
        <v>28</v>
      </c>
      <c r="M107" t="s">
        <v>1296</v>
      </c>
      <c r="N107">
        <v>3</v>
      </c>
      <c r="O107" t="s">
        <v>74</v>
      </c>
      <c r="P107">
        <v>0.1</v>
      </c>
      <c r="Q107" t="s">
        <v>1325</v>
      </c>
      <c r="R107">
        <v>37.5</v>
      </c>
      <c r="S107">
        <v>25</v>
      </c>
      <c r="T107">
        <v>37.5</v>
      </c>
      <c r="U107">
        <v>0</v>
      </c>
      <c r="V107">
        <v>0</v>
      </c>
    </row>
    <row r="108" spans="1:22" x14ac:dyDescent="0.25">
      <c r="A108" t="s">
        <v>1392</v>
      </c>
      <c r="B108" t="s">
        <v>288</v>
      </c>
      <c r="C108">
        <v>19</v>
      </c>
      <c r="D108" t="s">
        <v>140</v>
      </c>
      <c r="E108" t="s">
        <v>57</v>
      </c>
      <c r="F108" t="s">
        <v>45</v>
      </c>
      <c r="G108">
        <v>0.47</v>
      </c>
      <c r="H108" t="s">
        <v>79</v>
      </c>
      <c r="I108">
        <v>-4</v>
      </c>
      <c r="J108" t="str">
        <f>HYPERLINK("https://www.eliteprospects.com/player/473495/sebastian-tornqvist")</f>
        <v>https://www.eliteprospects.com/player/473495/sebastian-tornqvist</v>
      </c>
      <c r="K108" t="s">
        <v>27</v>
      </c>
      <c r="L108" t="s">
        <v>28</v>
      </c>
      <c r="M108" t="s">
        <v>1296</v>
      </c>
      <c r="N108">
        <v>3</v>
      </c>
      <c r="O108" t="s">
        <v>74</v>
      </c>
      <c r="P108">
        <v>0.09</v>
      </c>
      <c r="Q108" t="s">
        <v>1325</v>
      </c>
      <c r="R108">
        <v>37.5</v>
      </c>
      <c r="S108">
        <v>25</v>
      </c>
      <c r="T108">
        <v>37.5</v>
      </c>
      <c r="U108">
        <v>0</v>
      </c>
      <c r="V108">
        <v>0</v>
      </c>
    </row>
    <row r="109" spans="1:22" x14ac:dyDescent="0.25">
      <c r="A109" t="s">
        <v>1393</v>
      </c>
      <c r="B109" t="s">
        <v>50</v>
      </c>
      <c r="C109">
        <v>22</v>
      </c>
      <c r="D109" t="s">
        <v>140</v>
      </c>
      <c r="E109" t="s">
        <v>57</v>
      </c>
      <c r="F109" t="s">
        <v>45</v>
      </c>
      <c r="G109">
        <v>0.41</v>
      </c>
      <c r="H109" t="s">
        <v>66</v>
      </c>
      <c r="I109">
        <v>18</v>
      </c>
      <c r="J109" t="str">
        <f>HYPERLINK("https://www.eliteprospects.com/player/582775/luca-fantilli")</f>
        <v>https://www.eliteprospects.com/player/582775/luca-fantilli</v>
      </c>
      <c r="K109" t="s">
        <v>27</v>
      </c>
      <c r="L109" t="s">
        <v>28</v>
      </c>
      <c r="M109" t="s">
        <v>1296</v>
      </c>
      <c r="N109">
        <v>4</v>
      </c>
      <c r="O109" t="s">
        <v>30</v>
      </c>
      <c r="P109">
        <v>0.08</v>
      </c>
      <c r="Q109" t="s">
        <v>1325</v>
      </c>
      <c r="R109">
        <v>44.4</v>
      </c>
      <c r="S109">
        <v>11.1</v>
      </c>
      <c r="T109">
        <v>44.4</v>
      </c>
      <c r="U109">
        <v>0</v>
      </c>
      <c r="V109">
        <v>0</v>
      </c>
    </row>
    <row r="110" spans="1:22" x14ac:dyDescent="0.25">
      <c r="A110" t="s">
        <v>1394</v>
      </c>
      <c r="B110" t="s">
        <v>68</v>
      </c>
      <c r="C110">
        <v>22</v>
      </c>
      <c r="D110" t="s">
        <v>140</v>
      </c>
      <c r="E110" t="s">
        <v>57</v>
      </c>
      <c r="F110" t="s">
        <v>45</v>
      </c>
      <c r="G110">
        <v>0.41</v>
      </c>
      <c r="H110" t="s">
        <v>26</v>
      </c>
      <c r="I110">
        <v>6</v>
      </c>
      <c r="J110" t="str">
        <f>HYPERLINK("https://www.eliteprospects.com/player/477345/graham-sward")</f>
        <v>https://www.eliteprospects.com/player/477345/graham-sward</v>
      </c>
      <c r="K110" t="s">
        <v>27</v>
      </c>
      <c r="L110" t="s">
        <v>28</v>
      </c>
      <c r="M110" t="s">
        <v>1296</v>
      </c>
      <c r="N110">
        <v>6</v>
      </c>
      <c r="O110" t="s">
        <v>193</v>
      </c>
      <c r="P110">
        <v>0.08</v>
      </c>
      <c r="Q110" t="s">
        <v>1300</v>
      </c>
      <c r="R110">
        <v>42.9</v>
      </c>
      <c r="S110">
        <v>28.6</v>
      </c>
      <c r="T110">
        <v>28.6</v>
      </c>
      <c r="U110">
        <v>0</v>
      </c>
      <c r="V110">
        <v>0</v>
      </c>
    </row>
    <row r="111" spans="1:22" x14ac:dyDescent="0.25">
      <c r="A111" t="s">
        <v>1395</v>
      </c>
      <c r="B111" t="s">
        <v>131</v>
      </c>
      <c r="C111">
        <v>22</v>
      </c>
      <c r="D111" t="s">
        <v>140</v>
      </c>
      <c r="E111" t="s">
        <v>57</v>
      </c>
      <c r="F111" t="s">
        <v>45</v>
      </c>
      <c r="G111">
        <v>0.41</v>
      </c>
      <c r="H111" t="s">
        <v>24</v>
      </c>
      <c r="I111">
        <v>-4</v>
      </c>
      <c r="J111" t="str">
        <f>HYPERLINK("https://www.eliteprospects.com/player/543780/jude-brower")</f>
        <v>https://www.eliteprospects.com/player/543780/jude-brower</v>
      </c>
      <c r="K111" t="s">
        <v>27</v>
      </c>
      <c r="L111" t="s">
        <v>28</v>
      </c>
      <c r="M111" t="s">
        <v>1296</v>
      </c>
      <c r="N111">
        <v>4</v>
      </c>
      <c r="O111" t="s">
        <v>30</v>
      </c>
      <c r="P111">
        <v>0.08</v>
      </c>
      <c r="Q111" t="s">
        <v>245</v>
      </c>
      <c r="R111">
        <v>0</v>
      </c>
      <c r="S111">
        <v>44.4</v>
      </c>
      <c r="T111">
        <v>33.299999999999997</v>
      </c>
      <c r="U111">
        <v>0</v>
      </c>
      <c r="V111">
        <v>22.2</v>
      </c>
    </row>
    <row r="112" spans="1:22" x14ac:dyDescent="0.25">
      <c r="A112" t="s">
        <v>1396</v>
      </c>
      <c r="B112" t="s">
        <v>120</v>
      </c>
      <c r="C112">
        <v>18</v>
      </c>
      <c r="D112" t="s">
        <v>79</v>
      </c>
      <c r="E112" t="s">
        <v>78</v>
      </c>
      <c r="F112" t="s">
        <v>45</v>
      </c>
      <c r="G112">
        <v>0.5</v>
      </c>
      <c r="H112" t="s">
        <v>269</v>
      </c>
      <c r="I112">
        <v>1</v>
      </c>
      <c r="J112" t="str">
        <f>HYPERLINK("https://www.eliteprospects.com/player/551973/lukas-gustafsson")</f>
        <v>https://www.eliteprospects.com/player/551973/lukas-gustafsson</v>
      </c>
      <c r="K112" t="s">
        <v>27</v>
      </c>
      <c r="L112" t="s">
        <v>28</v>
      </c>
      <c r="M112" t="s">
        <v>1296</v>
      </c>
      <c r="N112">
        <v>4</v>
      </c>
      <c r="O112" t="s">
        <v>30</v>
      </c>
      <c r="P112">
        <v>0.1</v>
      </c>
      <c r="Q112" t="s">
        <v>1325</v>
      </c>
      <c r="R112">
        <v>22.2</v>
      </c>
      <c r="S112">
        <v>11.1</v>
      </c>
      <c r="T112">
        <v>44.4</v>
      </c>
      <c r="U112">
        <v>0</v>
      </c>
      <c r="V112">
        <v>22.2</v>
      </c>
    </row>
    <row r="113" spans="1:22" x14ac:dyDescent="0.25">
      <c r="A113" t="s">
        <v>1397</v>
      </c>
      <c r="B113" t="s">
        <v>158</v>
      </c>
      <c r="C113">
        <v>19</v>
      </c>
      <c r="D113" t="s">
        <v>79</v>
      </c>
      <c r="E113" t="s">
        <v>78</v>
      </c>
      <c r="F113" t="s">
        <v>45</v>
      </c>
      <c r="G113">
        <v>0.47</v>
      </c>
      <c r="H113" t="s">
        <v>132</v>
      </c>
      <c r="I113">
        <v>-4</v>
      </c>
      <c r="J113" t="str">
        <f>HYPERLINK("https://www.eliteprospects.com/player/512126/nathan-rickey")</f>
        <v>https://www.eliteprospects.com/player/512126/nathan-rickey</v>
      </c>
      <c r="K113" t="s">
        <v>27</v>
      </c>
      <c r="L113" t="s">
        <v>28</v>
      </c>
      <c r="M113" t="s">
        <v>1296</v>
      </c>
      <c r="N113">
        <v>2</v>
      </c>
      <c r="O113" t="s">
        <v>43</v>
      </c>
      <c r="P113">
        <v>0.09</v>
      </c>
      <c r="Q113" t="s">
        <v>1325</v>
      </c>
      <c r="R113">
        <v>37.5</v>
      </c>
      <c r="S113">
        <v>25</v>
      </c>
      <c r="T113">
        <v>37.5</v>
      </c>
      <c r="U113">
        <v>0</v>
      </c>
      <c r="V113">
        <v>0</v>
      </c>
    </row>
    <row r="114" spans="1:22" x14ac:dyDescent="0.25">
      <c r="A114" t="s">
        <v>1398</v>
      </c>
      <c r="B114" t="s">
        <v>128</v>
      </c>
      <c r="C114">
        <v>20</v>
      </c>
      <c r="D114" t="s">
        <v>79</v>
      </c>
      <c r="E114" t="s">
        <v>78</v>
      </c>
      <c r="F114" t="s">
        <v>45</v>
      </c>
      <c r="G114">
        <v>0.45</v>
      </c>
      <c r="H114" t="s">
        <v>57</v>
      </c>
      <c r="I114">
        <v>1</v>
      </c>
      <c r="J114" t="str">
        <f>HYPERLINK("https://www.eliteprospects.com/player/715347/brayden-crampton")</f>
        <v>https://www.eliteprospects.com/player/715347/brayden-crampton</v>
      </c>
      <c r="K114" t="s">
        <v>27</v>
      </c>
      <c r="L114" t="s">
        <v>28</v>
      </c>
      <c r="M114" t="s">
        <v>1296</v>
      </c>
      <c r="N114">
        <v>5</v>
      </c>
      <c r="O114" t="s">
        <v>152</v>
      </c>
      <c r="P114">
        <v>0.09</v>
      </c>
      <c r="Q114" t="s">
        <v>1325</v>
      </c>
      <c r="R114">
        <v>22.2</v>
      </c>
      <c r="S114">
        <v>11.1</v>
      </c>
      <c r="T114">
        <v>44.4</v>
      </c>
      <c r="U114">
        <v>0</v>
      </c>
      <c r="V114">
        <v>22.2</v>
      </c>
    </row>
    <row r="115" spans="1:22" x14ac:dyDescent="0.25">
      <c r="A115" t="s">
        <v>1399</v>
      </c>
      <c r="B115" t="s">
        <v>163</v>
      </c>
      <c r="C115">
        <v>20</v>
      </c>
      <c r="D115" t="s">
        <v>79</v>
      </c>
      <c r="E115" t="s">
        <v>78</v>
      </c>
      <c r="F115" t="s">
        <v>45</v>
      </c>
      <c r="G115">
        <v>0.45</v>
      </c>
      <c r="H115" t="s">
        <v>23</v>
      </c>
      <c r="I115">
        <v>5</v>
      </c>
      <c r="J115" t="str">
        <f>HYPERLINK("https://www.eliteprospects.com/player/603753/andrew-centrella")</f>
        <v>https://www.eliteprospects.com/player/603753/andrew-centrella</v>
      </c>
      <c r="K115" t="s">
        <v>27</v>
      </c>
      <c r="L115" t="s">
        <v>28</v>
      </c>
      <c r="M115" t="s">
        <v>1296</v>
      </c>
      <c r="N115">
        <v>3</v>
      </c>
      <c r="O115" t="s">
        <v>74</v>
      </c>
      <c r="P115">
        <v>0.09</v>
      </c>
      <c r="Q115" t="s">
        <v>1300</v>
      </c>
      <c r="R115">
        <v>37.5</v>
      </c>
      <c r="S115">
        <v>12.5</v>
      </c>
      <c r="T115">
        <v>12.5</v>
      </c>
      <c r="U115">
        <v>12.5</v>
      </c>
      <c r="V115">
        <v>25</v>
      </c>
    </row>
    <row r="116" spans="1:22" x14ac:dyDescent="0.25">
      <c r="A116" t="s">
        <v>1400</v>
      </c>
      <c r="B116" t="s">
        <v>180</v>
      </c>
      <c r="C116">
        <v>20</v>
      </c>
      <c r="D116" t="s">
        <v>79</v>
      </c>
      <c r="E116" t="s">
        <v>78</v>
      </c>
      <c r="F116" t="s">
        <v>45</v>
      </c>
      <c r="G116">
        <v>0.45</v>
      </c>
      <c r="H116" t="s">
        <v>46</v>
      </c>
      <c r="I116">
        <v>-11</v>
      </c>
      <c r="J116" t="str">
        <f>HYPERLINK("https://www.eliteprospects.com/player/346981/axel-kumlin")</f>
        <v>https://www.eliteprospects.com/player/346981/axel-kumlin</v>
      </c>
      <c r="K116" t="s">
        <v>27</v>
      </c>
      <c r="L116" t="s">
        <v>28</v>
      </c>
      <c r="M116" t="s">
        <v>1296</v>
      </c>
      <c r="N116">
        <v>4</v>
      </c>
      <c r="O116" t="s">
        <v>30</v>
      </c>
      <c r="P116">
        <v>0.09</v>
      </c>
      <c r="Q116" t="s">
        <v>1325</v>
      </c>
      <c r="R116">
        <v>37.5</v>
      </c>
      <c r="S116">
        <v>25</v>
      </c>
      <c r="T116">
        <v>37.5</v>
      </c>
      <c r="U116">
        <v>0</v>
      </c>
      <c r="V116">
        <v>0</v>
      </c>
    </row>
    <row r="117" spans="1:22" x14ac:dyDescent="0.25">
      <c r="A117" t="s">
        <v>1401</v>
      </c>
      <c r="B117" t="s">
        <v>59</v>
      </c>
      <c r="C117">
        <v>22</v>
      </c>
      <c r="D117" t="s">
        <v>79</v>
      </c>
      <c r="E117" t="s">
        <v>78</v>
      </c>
      <c r="F117" t="s">
        <v>45</v>
      </c>
      <c r="G117">
        <v>0.41</v>
      </c>
      <c r="H117" t="s">
        <v>38</v>
      </c>
      <c r="I117">
        <v>4</v>
      </c>
      <c r="J117" t="str">
        <f>HYPERLINK("https://www.eliteprospects.com/player/481501/frank-djurasevic")</f>
        <v>https://www.eliteprospects.com/player/481501/frank-djurasevic</v>
      </c>
      <c r="K117" t="s">
        <v>27</v>
      </c>
      <c r="L117" t="s">
        <v>28</v>
      </c>
      <c r="M117" t="s">
        <v>1296</v>
      </c>
      <c r="N117">
        <v>3</v>
      </c>
      <c r="O117" t="s">
        <v>74</v>
      </c>
      <c r="P117">
        <v>0.08</v>
      </c>
      <c r="Q117" t="s">
        <v>1300</v>
      </c>
      <c r="R117">
        <v>42.9</v>
      </c>
      <c r="S117">
        <v>28.6</v>
      </c>
      <c r="T117">
        <v>28.6</v>
      </c>
      <c r="U117">
        <v>0</v>
      </c>
      <c r="V117">
        <v>0</v>
      </c>
    </row>
    <row r="118" spans="1:22" x14ac:dyDescent="0.25">
      <c r="A118" t="s">
        <v>1402</v>
      </c>
      <c r="B118" t="s">
        <v>22</v>
      </c>
      <c r="C118">
        <v>23</v>
      </c>
      <c r="D118" t="s">
        <v>79</v>
      </c>
      <c r="E118" t="s">
        <v>78</v>
      </c>
      <c r="F118" t="s">
        <v>45</v>
      </c>
      <c r="G118">
        <v>0.39</v>
      </c>
      <c r="H118" t="s">
        <v>57</v>
      </c>
      <c r="I118">
        <v>-5</v>
      </c>
      <c r="J118" t="str">
        <f>HYPERLINK("https://www.eliteprospects.com/player/535603/justin-kipkie")</f>
        <v>https://www.eliteprospects.com/player/535603/justin-kipkie</v>
      </c>
      <c r="K118" t="s">
        <v>27</v>
      </c>
      <c r="L118" t="s">
        <v>28</v>
      </c>
      <c r="M118" t="s">
        <v>1296</v>
      </c>
      <c r="N118">
        <v>5</v>
      </c>
      <c r="O118" t="s">
        <v>152</v>
      </c>
      <c r="P118">
        <v>0.08</v>
      </c>
      <c r="Q118" t="s">
        <v>245</v>
      </c>
      <c r="R118">
        <v>0</v>
      </c>
      <c r="S118">
        <v>44.4</v>
      </c>
      <c r="T118">
        <v>33.299999999999997</v>
      </c>
      <c r="U118">
        <v>0</v>
      </c>
      <c r="V118">
        <v>22.2</v>
      </c>
    </row>
    <row r="119" spans="1:22" x14ac:dyDescent="0.25">
      <c r="A119" t="s">
        <v>1403</v>
      </c>
      <c r="B119" t="s">
        <v>200</v>
      </c>
      <c r="C119">
        <v>15</v>
      </c>
      <c r="D119" t="s">
        <v>260</v>
      </c>
      <c r="E119" t="s">
        <v>26</v>
      </c>
      <c r="F119" t="s">
        <v>45</v>
      </c>
      <c r="G119">
        <v>0.6</v>
      </c>
      <c r="H119" t="s">
        <v>47</v>
      </c>
      <c r="I119">
        <v>10</v>
      </c>
      <c r="J119" t="str">
        <f>HYPERLINK("https://www.eliteprospects.com/player/626551/george-fegaras")</f>
        <v>https://www.eliteprospects.com/player/626551/george-fegaras</v>
      </c>
      <c r="K119" t="s">
        <v>27</v>
      </c>
      <c r="L119" t="s">
        <v>28</v>
      </c>
      <c r="M119" t="s">
        <v>1296</v>
      </c>
      <c r="N119">
        <v>3</v>
      </c>
      <c r="O119" t="s">
        <v>74</v>
      </c>
      <c r="P119">
        <v>0.12</v>
      </c>
      <c r="Q119" t="s">
        <v>1300</v>
      </c>
      <c r="R119">
        <v>42.9</v>
      </c>
      <c r="S119">
        <v>14.3</v>
      </c>
      <c r="T119">
        <v>7.1</v>
      </c>
      <c r="U119">
        <v>7.1</v>
      </c>
      <c r="V119">
        <v>28.6</v>
      </c>
    </row>
    <row r="120" spans="1:22" x14ac:dyDescent="0.25">
      <c r="A120" t="s">
        <v>1404</v>
      </c>
      <c r="B120" t="s">
        <v>162</v>
      </c>
      <c r="C120">
        <v>20</v>
      </c>
      <c r="D120" t="s">
        <v>260</v>
      </c>
      <c r="E120" t="s">
        <v>26</v>
      </c>
      <c r="F120" t="s">
        <v>45</v>
      </c>
      <c r="G120">
        <v>0.45</v>
      </c>
      <c r="H120" t="s">
        <v>39</v>
      </c>
      <c r="I120">
        <v>2</v>
      </c>
      <c r="J120" t="str">
        <f>HYPERLINK("https://www.eliteprospects.com/player/551342/john-dalton")</f>
        <v>https://www.eliteprospects.com/player/551342/john-dalton</v>
      </c>
      <c r="K120" t="s">
        <v>27</v>
      </c>
      <c r="L120" t="s">
        <v>28</v>
      </c>
      <c r="M120" t="s">
        <v>1296</v>
      </c>
      <c r="N120">
        <v>3</v>
      </c>
      <c r="O120" t="s">
        <v>74</v>
      </c>
      <c r="P120">
        <v>0.09</v>
      </c>
      <c r="Q120" t="s">
        <v>1325</v>
      </c>
      <c r="R120">
        <v>22.2</v>
      </c>
      <c r="S120">
        <v>11.1</v>
      </c>
      <c r="T120">
        <v>44.4</v>
      </c>
      <c r="U120">
        <v>0</v>
      </c>
      <c r="V120">
        <v>22.2</v>
      </c>
    </row>
    <row r="121" spans="1:22" x14ac:dyDescent="0.25">
      <c r="A121" t="s">
        <v>1405</v>
      </c>
      <c r="B121" t="s">
        <v>205</v>
      </c>
      <c r="C121">
        <v>21</v>
      </c>
      <c r="D121" t="s">
        <v>260</v>
      </c>
      <c r="E121" t="s">
        <v>26</v>
      </c>
      <c r="F121" t="s">
        <v>45</v>
      </c>
      <c r="G121">
        <v>0.43</v>
      </c>
      <c r="H121" t="s">
        <v>57</v>
      </c>
      <c r="I121">
        <v>-1</v>
      </c>
      <c r="J121" t="str">
        <f>HYPERLINK("https://www.eliteprospects.com/player/201845/crossley-stewart")</f>
        <v>https://www.eliteprospects.com/player/201845/crossley-stewart</v>
      </c>
      <c r="K121" t="s">
        <v>27</v>
      </c>
      <c r="L121" t="s">
        <v>28</v>
      </c>
      <c r="M121" t="s">
        <v>1296</v>
      </c>
      <c r="N121">
        <v>3</v>
      </c>
      <c r="O121" t="s">
        <v>74</v>
      </c>
      <c r="P121">
        <v>0.08</v>
      </c>
      <c r="Q121" t="s">
        <v>1300</v>
      </c>
      <c r="R121">
        <v>33.299999999999997</v>
      </c>
      <c r="S121">
        <v>22.2</v>
      </c>
      <c r="T121">
        <v>22.2</v>
      </c>
      <c r="U121">
        <v>11.1</v>
      </c>
      <c r="V121">
        <v>11.1</v>
      </c>
    </row>
    <row r="122" spans="1:22" x14ac:dyDescent="0.25">
      <c r="A122" t="s">
        <v>1406</v>
      </c>
      <c r="B122" t="s">
        <v>50</v>
      </c>
      <c r="C122">
        <v>10</v>
      </c>
      <c r="D122" t="s">
        <v>132</v>
      </c>
      <c r="E122" t="s">
        <v>45</v>
      </c>
      <c r="F122" t="s">
        <v>45</v>
      </c>
      <c r="G122">
        <v>0.9</v>
      </c>
      <c r="H122" t="s">
        <v>57</v>
      </c>
      <c r="I122">
        <v>5</v>
      </c>
      <c r="J122" t="str">
        <f>HYPERLINK("https://www.eliteprospects.com/player/577193/henry-mews")</f>
        <v>https://www.eliteprospects.com/player/577193/henry-mews</v>
      </c>
      <c r="K122" t="s">
        <v>27</v>
      </c>
      <c r="L122" t="s">
        <v>28</v>
      </c>
      <c r="M122" t="s">
        <v>1296</v>
      </c>
      <c r="N122">
        <v>4</v>
      </c>
      <c r="O122" t="s">
        <v>100</v>
      </c>
      <c r="P122">
        <v>0.17</v>
      </c>
      <c r="Q122" t="s">
        <v>1300</v>
      </c>
      <c r="R122">
        <v>42.9</v>
      </c>
      <c r="S122">
        <v>14.3</v>
      </c>
      <c r="T122">
        <v>7.1</v>
      </c>
      <c r="U122">
        <v>7.1</v>
      </c>
      <c r="V122">
        <v>28.6</v>
      </c>
    </row>
    <row r="123" spans="1:22" x14ac:dyDescent="0.25">
      <c r="A123" t="s">
        <v>1407</v>
      </c>
      <c r="B123" t="s">
        <v>120</v>
      </c>
      <c r="C123">
        <v>16</v>
      </c>
      <c r="D123" t="s">
        <v>132</v>
      </c>
      <c r="E123" t="s">
        <v>45</v>
      </c>
      <c r="F123" t="s">
        <v>45</v>
      </c>
      <c r="G123">
        <v>0.56000000000000005</v>
      </c>
      <c r="H123" t="s">
        <v>66</v>
      </c>
      <c r="I123">
        <v>13</v>
      </c>
      <c r="J123" t="str">
        <f>HYPERLINK("https://www.eliteprospects.com/player/690461/luka-radivojevic")</f>
        <v>https://www.eliteprospects.com/player/690461/luka-radivojevic</v>
      </c>
      <c r="K123" t="s">
        <v>27</v>
      </c>
      <c r="L123" t="s">
        <v>28</v>
      </c>
      <c r="M123" t="s">
        <v>1296</v>
      </c>
      <c r="N123">
        <v>1</v>
      </c>
      <c r="O123" t="s">
        <v>71</v>
      </c>
      <c r="P123">
        <v>0.11</v>
      </c>
      <c r="Q123" t="s">
        <v>1309</v>
      </c>
      <c r="R123">
        <v>25</v>
      </c>
      <c r="S123">
        <v>25</v>
      </c>
      <c r="T123">
        <v>16.7</v>
      </c>
      <c r="U123">
        <v>8.3000000000000007</v>
      </c>
      <c r="V123">
        <v>25</v>
      </c>
    </row>
    <row r="124" spans="1:22" x14ac:dyDescent="0.25">
      <c r="A124" t="s">
        <v>1408</v>
      </c>
      <c r="B124" t="s">
        <v>50</v>
      </c>
      <c r="C124">
        <v>22</v>
      </c>
      <c r="D124" t="s">
        <v>132</v>
      </c>
      <c r="E124" t="s">
        <v>45</v>
      </c>
      <c r="F124" t="s">
        <v>45</v>
      </c>
      <c r="G124">
        <v>0.41</v>
      </c>
      <c r="H124" t="s">
        <v>564</v>
      </c>
      <c r="I124">
        <v>19</v>
      </c>
      <c r="J124" t="str">
        <f>HYPERLINK("https://www.eliteprospects.com/player/512172/tyler-duke")</f>
        <v>https://www.eliteprospects.com/player/512172/tyler-duke</v>
      </c>
      <c r="K124" t="s">
        <v>27</v>
      </c>
      <c r="L124" t="s">
        <v>28</v>
      </c>
      <c r="M124" t="s">
        <v>1296</v>
      </c>
      <c r="N124">
        <v>4</v>
      </c>
      <c r="O124" t="s">
        <v>30</v>
      </c>
      <c r="P124">
        <v>0.08</v>
      </c>
      <c r="Q124" t="s">
        <v>1325</v>
      </c>
      <c r="R124">
        <v>44.4</v>
      </c>
      <c r="S124">
        <v>11.1</v>
      </c>
      <c r="T124">
        <v>44.4</v>
      </c>
      <c r="U124">
        <v>0</v>
      </c>
      <c r="V124">
        <v>0</v>
      </c>
    </row>
    <row r="125" spans="1:22" x14ac:dyDescent="0.25">
      <c r="A125" t="s">
        <v>1409</v>
      </c>
      <c r="B125" t="s">
        <v>44</v>
      </c>
      <c r="C125">
        <v>24</v>
      </c>
      <c r="D125" t="s">
        <v>140</v>
      </c>
      <c r="E125" t="s">
        <v>96</v>
      </c>
      <c r="F125" t="s">
        <v>26</v>
      </c>
      <c r="G125">
        <v>0.33</v>
      </c>
      <c r="H125" t="s">
        <v>23</v>
      </c>
      <c r="I125">
        <v>13</v>
      </c>
      <c r="J125" t="str">
        <f>HYPERLINK("https://www.eliteprospects.com/player/562925/tyler-miller")</f>
        <v>https://www.eliteprospects.com/player/562925/tyler-miller</v>
      </c>
      <c r="K125" t="s">
        <v>27</v>
      </c>
      <c r="L125" t="s">
        <v>28</v>
      </c>
      <c r="M125" t="s">
        <v>1296</v>
      </c>
      <c r="N125">
        <v>2</v>
      </c>
      <c r="O125" t="s">
        <v>43</v>
      </c>
      <c r="P125">
        <v>0.06</v>
      </c>
      <c r="Q125" t="s">
        <v>1309</v>
      </c>
      <c r="R125">
        <v>14.3</v>
      </c>
      <c r="S125">
        <v>28.6</v>
      </c>
      <c r="T125">
        <v>28.6</v>
      </c>
      <c r="U125">
        <v>0</v>
      </c>
      <c r="V125">
        <v>28.6</v>
      </c>
    </row>
    <row r="126" spans="1:22" x14ac:dyDescent="0.25">
      <c r="A126" t="s">
        <v>1410</v>
      </c>
      <c r="B126" t="s">
        <v>165</v>
      </c>
      <c r="C126">
        <v>18</v>
      </c>
      <c r="D126" t="s">
        <v>79</v>
      </c>
      <c r="E126" t="s">
        <v>57</v>
      </c>
      <c r="F126" t="s">
        <v>26</v>
      </c>
      <c r="G126">
        <v>0.44</v>
      </c>
      <c r="H126" t="s">
        <v>66</v>
      </c>
      <c r="I126">
        <v>-1</v>
      </c>
      <c r="J126" t="str">
        <f>HYPERLINK("https://www.eliteprospects.com/player/505291/joshua-niedermayer")</f>
        <v>https://www.eliteprospects.com/player/505291/joshua-niedermayer</v>
      </c>
      <c r="K126" t="s">
        <v>27</v>
      </c>
      <c r="L126" t="s">
        <v>28</v>
      </c>
      <c r="M126" t="s">
        <v>1296</v>
      </c>
      <c r="N126">
        <v>2</v>
      </c>
      <c r="O126" t="s">
        <v>43</v>
      </c>
      <c r="P126">
        <v>0.09</v>
      </c>
      <c r="Q126" t="s">
        <v>245</v>
      </c>
      <c r="R126">
        <v>14.3</v>
      </c>
      <c r="S126">
        <v>42.9</v>
      </c>
      <c r="T126">
        <v>28.6</v>
      </c>
      <c r="U126">
        <v>0</v>
      </c>
      <c r="V126">
        <v>14.3</v>
      </c>
    </row>
    <row r="127" spans="1:22" x14ac:dyDescent="0.25">
      <c r="A127" t="s">
        <v>1411</v>
      </c>
      <c r="B127" t="s">
        <v>59</v>
      </c>
      <c r="C127">
        <v>18</v>
      </c>
      <c r="D127" t="s">
        <v>79</v>
      </c>
      <c r="E127" t="s">
        <v>57</v>
      </c>
      <c r="F127" t="s">
        <v>26</v>
      </c>
      <c r="G127">
        <v>0.44</v>
      </c>
      <c r="H127" t="s">
        <v>38</v>
      </c>
      <c r="I127">
        <v>10</v>
      </c>
      <c r="J127" t="str">
        <f>HYPERLINK("https://www.eliteprospects.com/player/485737/jeremy-langlois")</f>
        <v>https://www.eliteprospects.com/player/485737/jeremy-langlois</v>
      </c>
      <c r="K127" t="s">
        <v>27</v>
      </c>
      <c r="L127" t="s">
        <v>28</v>
      </c>
      <c r="M127" t="s">
        <v>1296</v>
      </c>
      <c r="N127">
        <v>6</v>
      </c>
      <c r="O127" t="s">
        <v>99</v>
      </c>
      <c r="P127">
        <v>0.09</v>
      </c>
      <c r="Q127" t="s">
        <v>1309</v>
      </c>
      <c r="R127">
        <v>25</v>
      </c>
      <c r="S127">
        <v>25</v>
      </c>
      <c r="T127">
        <v>16.7</v>
      </c>
      <c r="U127">
        <v>8.3000000000000007</v>
      </c>
      <c r="V127">
        <v>25</v>
      </c>
    </row>
    <row r="128" spans="1:22" x14ac:dyDescent="0.25">
      <c r="A128" t="s">
        <v>1412</v>
      </c>
      <c r="B128" t="s">
        <v>161</v>
      </c>
      <c r="C128">
        <v>20</v>
      </c>
      <c r="D128" t="s">
        <v>79</v>
      </c>
      <c r="E128" t="s">
        <v>57</v>
      </c>
      <c r="F128" t="s">
        <v>26</v>
      </c>
      <c r="G128">
        <v>0.4</v>
      </c>
      <c r="H128" t="s">
        <v>39</v>
      </c>
      <c r="I128">
        <v>-3</v>
      </c>
      <c r="J128" t="str">
        <f>HYPERLINK("https://www.eliteprospects.com/player/671535/colton-roberts")</f>
        <v>https://www.eliteprospects.com/player/671535/colton-roberts</v>
      </c>
      <c r="K128" t="s">
        <v>27</v>
      </c>
      <c r="L128" t="s">
        <v>28</v>
      </c>
      <c r="M128" t="s">
        <v>1296</v>
      </c>
      <c r="N128">
        <v>5</v>
      </c>
      <c r="O128" t="s">
        <v>152</v>
      </c>
      <c r="P128">
        <v>0.08</v>
      </c>
      <c r="Q128" t="s">
        <v>245</v>
      </c>
      <c r="R128">
        <v>0</v>
      </c>
      <c r="S128">
        <v>44.4</v>
      </c>
      <c r="T128">
        <v>33.299999999999997</v>
      </c>
      <c r="U128">
        <v>0</v>
      </c>
      <c r="V128">
        <v>22.2</v>
      </c>
    </row>
    <row r="129" spans="1:22" x14ac:dyDescent="0.25">
      <c r="A129" t="s">
        <v>1413</v>
      </c>
      <c r="B129" t="s">
        <v>106</v>
      </c>
      <c r="C129">
        <v>22</v>
      </c>
      <c r="D129" t="s">
        <v>79</v>
      </c>
      <c r="E129" t="s">
        <v>57</v>
      </c>
      <c r="F129" t="s">
        <v>26</v>
      </c>
      <c r="G129">
        <v>0.36</v>
      </c>
      <c r="H129" t="s">
        <v>55</v>
      </c>
      <c r="I129">
        <v>-2</v>
      </c>
      <c r="J129" t="str">
        <f>HYPERLINK("https://www.eliteprospects.com/player/623765/tristan-sarsland")</f>
        <v>https://www.eliteprospects.com/player/623765/tristan-sarsland</v>
      </c>
      <c r="K129" t="s">
        <v>27</v>
      </c>
      <c r="L129" t="s">
        <v>28</v>
      </c>
      <c r="M129" t="s">
        <v>1296</v>
      </c>
      <c r="N129">
        <v>4</v>
      </c>
      <c r="O129" t="s">
        <v>30</v>
      </c>
      <c r="P129">
        <v>7.0000000000000007E-2</v>
      </c>
      <c r="Q129" t="s">
        <v>1300</v>
      </c>
      <c r="R129">
        <v>33.299999999999997</v>
      </c>
      <c r="S129">
        <v>22.2</v>
      </c>
      <c r="T129">
        <v>22.2</v>
      </c>
      <c r="U129">
        <v>11.1</v>
      </c>
      <c r="V129">
        <v>11.1</v>
      </c>
    </row>
    <row r="130" spans="1:22" x14ac:dyDescent="0.25">
      <c r="A130" t="s">
        <v>1414</v>
      </c>
      <c r="B130" t="s">
        <v>202</v>
      </c>
      <c r="C130">
        <v>22</v>
      </c>
      <c r="D130" t="s">
        <v>79</v>
      </c>
      <c r="E130" t="s">
        <v>57</v>
      </c>
      <c r="F130" t="s">
        <v>26</v>
      </c>
      <c r="G130">
        <v>0.36</v>
      </c>
      <c r="H130" t="s">
        <v>33</v>
      </c>
      <c r="I130">
        <v>-4</v>
      </c>
      <c r="J130" t="str">
        <f>HYPERLINK("https://www.eliteprospects.com/player/526087/spencer-sova")</f>
        <v>https://www.eliteprospects.com/player/526087/spencer-sova</v>
      </c>
      <c r="K130" t="s">
        <v>27</v>
      </c>
      <c r="L130" t="s">
        <v>28</v>
      </c>
      <c r="M130" t="s">
        <v>1296</v>
      </c>
      <c r="N130">
        <v>5</v>
      </c>
      <c r="O130" t="s">
        <v>147</v>
      </c>
      <c r="P130">
        <v>7.0000000000000007E-2</v>
      </c>
      <c r="Q130" t="s">
        <v>245</v>
      </c>
      <c r="R130">
        <v>0</v>
      </c>
      <c r="S130">
        <v>44.4</v>
      </c>
      <c r="T130">
        <v>33.299999999999997</v>
      </c>
      <c r="U130">
        <v>0</v>
      </c>
      <c r="V130">
        <v>22.2</v>
      </c>
    </row>
    <row r="131" spans="1:22" x14ac:dyDescent="0.25">
      <c r="A131" t="s">
        <v>1415</v>
      </c>
      <c r="B131" t="s">
        <v>106</v>
      </c>
      <c r="C131">
        <v>22</v>
      </c>
      <c r="D131" t="s">
        <v>79</v>
      </c>
      <c r="E131" t="s">
        <v>57</v>
      </c>
      <c r="F131" t="s">
        <v>26</v>
      </c>
      <c r="G131">
        <v>0.36</v>
      </c>
      <c r="H131" t="s">
        <v>40</v>
      </c>
      <c r="I131">
        <v>-4</v>
      </c>
      <c r="J131" t="str">
        <f>HYPERLINK("https://www.eliteprospects.com/player/559022/ty-brassington")</f>
        <v>https://www.eliteprospects.com/player/559022/ty-brassington</v>
      </c>
      <c r="K131" t="s">
        <v>27</v>
      </c>
      <c r="L131" t="s">
        <v>28</v>
      </c>
      <c r="M131" t="s">
        <v>1296</v>
      </c>
      <c r="N131">
        <v>2</v>
      </c>
      <c r="O131" t="s">
        <v>43</v>
      </c>
      <c r="P131">
        <v>7.0000000000000007E-2</v>
      </c>
      <c r="Q131" t="s">
        <v>245</v>
      </c>
      <c r="R131">
        <v>0</v>
      </c>
      <c r="S131">
        <v>44.4</v>
      </c>
      <c r="T131">
        <v>33.299999999999997</v>
      </c>
      <c r="U131">
        <v>0</v>
      </c>
      <c r="V131">
        <v>22.2</v>
      </c>
    </row>
    <row r="132" spans="1:22" x14ac:dyDescent="0.25">
      <c r="A132" t="s">
        <v>1416</v>
      </c>
      <c r="B132" t="s">
        <v>121</v>
      </c>
      <c r="C132">
        <v>18</v>
      </c>
      <c r="D132" t="s">
        <v>260</v>
      </c>
      <c r="E132" t="s">
        <v>78</v>
      </c>
      <c r="F132" t="s">
        <v>26</v>
      </c>
      <c r="G132">
        <v>0.44</v>
      </c>
      <c r="H132" t="s">
        <v>32</v>
      </c>
      <c r="I132">
        <v>0</v>
      </c>
      <c r="J132" t="str">
        <f>HYPERLINK("https://www.eliteprospects.com/player/296824/trevor-griebel")</f>
        <v>https://www.eliteprospects.com/player/296824/trevor-griebel</v>
      </c>
      <c r="K132" t="s">
        <v>27</v>
      </c>
      <c r="L132" t="s">
        <v>28</v>
      </c>
      <c r="M132" t="s">
        <v>1417</v>
      </c>
      <c r="N132">
        <v>4</v>
      </c>
      <c r="O132" t="s">
        <v>30</v>
      </c>
      <c r="P132">
        <v>0.09</v>
      </c>
      <c r="Q132" t="s">
        <v>245</v>
      </c>
      <c r="R132">
        <v>14.3</v>
      </c>
      <c r="S132">
        <v>42.9</v>
      </c>
      <c r="T132">
        <v>28.6</v>
      </c>
      <c r="U132">
        <v>0</v>
      </c>
      <c r="V132">
        <v>14.3</v>
      </c>
    </row>
    <row r="133" spans="1:22" x14ac:dyDescent="0.25">
      <c r="A133" t="s">
        <v>1418</v>
      </c>
      <c r="B133" t="s">
        <v>86</v>
      </c>
      <c r="C133">
        <v>20</v>
      </c>
      <c r="D133" t="s">
        <v>260</v>
      </c>
      <c r="E133" t="s">
        <v>78</v>
      </c>
      <c r="F133" t="s">
        <v>26</v>
      </c>
      <c r="G133">
        <v>0.4</v>
      </c>
      <c r="H133" t="s">
        <v>26</v>
      </c>
      <c r="I133">
        <v>12</v>
      </c>
      <c r="J133" t="str">
        <f>HYPERLINK("https://www.eliteprospects.com/player/595301/maxim-strbak")</f>
        <v>https://www.eliteprospects.com/player/595301/maxim-strbak</v>
      </c>
      <c r="K133" t="s">
        <v>27</v>
      </c>
      <c r="L133" t="s">
        <v>28</v>
      </c>
      <c r="M133" t="s">
        <v>1296</v>
      </c>
      <c r="N133">
        <v>3</v>
      </c>
      <c r="O133" t="s">
        <v>74</v>
      </c>
      <c r="P133">
        <v>0.08</v>
      </c>
      <c r="Q133" t="s">
        <v>1325</v>
      </c>
      <c r="R133">
        <v>44.4</v>
      </c>
      <c r="S133">
        <v>11.1</v>
      </c>
      <c r="T133">
        <v>44.4</v>
      </c>
      <c r="U133">
        <v>0</v>
      </c>
      <c r="V133">
        <v>0</v>
      </c>
    </row>
    <row r="134" spans="1:22" x14ac:dyDescent="0.25">
      <c r="A134" t="s">
        <v>1419</v>
      </c>
      <c r="B134" t="s">
        <v>124</v>
      </c>
      <c r="C134">
        <v>20</v>
      </c>
      <c r="D134" t="s">
        <v>260</v>
      </c>
      <c r="E134" t="s">
        <v>78</v>
      </c>
      <c r="F134" t="s">
        <v>26</v>
      </c>
      <c r="G134">
        <v>0.4</v>
      </c>
      <c r="H134" t="s">
        <v>32</v>
      </c>
      <c r="I134">
        <v>4</v>
      </c>
      <c r="J134" t="str">
        <f>HYPERLINK("https://www.eliteprospects.com/player/568966/ryder-thompson")</f>
        <v>https://www.eliteprospects.com/player/568966/ryder-thompson</v>
      </c>
      <c r="K134" t="s">
        <v>27</v>
      </c>
      <c r="L134" t="s">
        <v>28</v>
      </c>
      <c r="M134" t="s">
        <v>1296</v>
      </c>
      <c r="N134">
        <v>7</v>
      </c>
      <c r="O134" t="s">
        <v>250</v>
      </c>
      <c r="P134">
        <v>0.08</v>
      </c>
      <c r="Q134" t="s">
        <v>1300</v>
      </c>
      <c r="R134">
        <v>42.9</v>
      </c>
      <c r="S134">
        <v>28.6</v>
      </c>
      <c r="T134">
        <v>28.6</v>
      </c>
      <c r="U134">
        <v>0</v>
      </c>
      <c r="V134">
        <v>0</v>
      </c>
    </row>
    <row r="135" spans="1:22" x14ac:dyDescent="0.25">
      <c r="A135" t="s">
        <v>1420</v>
      </c>
      <c r="B135" t="s">
        <v>86</v>
      </c>
      <c r="C135">
        <v>20</v>
      </c>
      <c r="D135" t="s">
        <v>260</v>
      </c>
      <c r="E135" t="s">
        <v>78</v>
      </c>
      <c r="F135" t="s">
        <v>26</v>
      </c>
      <c r="G135">
        <v>0.4</v>
      </c>
      <c r="H135" t="s">
        <v>32</v>
      </c>
      <c r="I135">
        <v>15</v>
      </c>
      <c r="J135" t="str">
        <f>HYPERLINK("https://www.eliteprospects.com/player/634896/colin-ralph")</f>
        <v>https://www.eliteprospects.com/player/634896/colin-ralph</v>
      </c>
      <c r="K135" t="s">
        <v>27</v>
      </c>
      <c r="L135" t="s">
        <v>28</v>
      </c>
      <c r="M135" t="s">
        <v>1296</v>
      </c>
      <c r="N135">
        <v>2</v>
      </c>
      <c r="O135" t="s">
        <v>43</v>
      </c>
      <c r="P135">
        <v>0.08</v>
      </c>
      <c r="Q135" t="s">
        <v>1325</v>
      </c>
      <c r="R135">
        <v>44.4</v>
      </c>
      <c r="S135">
        <v>11.1</v>
      </c>
      <c r="T135">
        <v>44.4</v>
      </c>
      <c r="U135">
        <v>0</v>
      </c>
      <c r="V135">
        <v>0</v>
      </c>
    </row>
    <row r="136" spans="1:22" x14ac:dyDescent="0.25">
      <c r="A136" t="s">
        <v>1421</v>
      </c>
      <c r="B136" t="s">
        <v>145</v>
      </c>
      <c r="C136">
        <v>21</v>
      </c>
      <c r="D136" t="s">
        <v>260</v>
      </c>
      <c r="E136" t="s">
        <v>78</v>
      </c>
      <c r="F136" t="s">
        <v>26</v>
      </c>
      <c r="G136">
        <v>0.38</v>
      </c>
      <c r="H136" t="s">
        <v>32</v>
      </c>
      <c r="I136">
        <v>1</v>
      </c>
      <c r="J136" t="str">
        <f>HYPERLINK("https://www.eliteprospects.com/player/571957/garrett-brown")</f>
        <v>https://www.eliteprospects.com/player/571957/garrett-brown</v>
      </c>
      <c r="K136" t="s">
        <v>27</v>
      </c>
      <c r="L136" t="s">
        <v>28</v>
      </c>
      <c r="M136" t="s">
        <v>1296</v>
      </c>
      <c r="N136">
        <v>3</v>
      </c>
      <c r="O136" t="s">
        <v>74</v>
      </c>
      <c r="P136">
        <v>7.0000000000000007E-2</v>
      </c>
      <c r="Q136" t="s">
        <v>1325</v>
      </c>
      <c r="R136">
        <v>33.299999999999997</v>
      </c>
      <c r="S136">
        <v>16.7</v>
      </c>
      <c r="T136">
        <v>33.299999999999997</v>
      </c>
      <c r="U136">
        <v>16.7</v>
      </c>
      <c r="V136">
        <v>0</v>
      </c>
    </row>
    <row r="137" spans="1:22" x14ac:dyDescent="0.25">
      <c r="A137" t="s">
        <v>1422</v>
      </c>
      <c r="B137" t="s">
        <v>161</v>
      </c>
      <c r="C137">
        <v>22</v>
      </c>
      <c r="D137" t="s">
        <v>260</v>
      </c>
      <c r="E137" t="s">
        <v>78</v>
      </c>
      <c r="F137" t="s">
        <v>26</v>
      </c>
      <c r="G137">
        <v>0.36</v>
      </c>
      <c r="H137" t="s">
        <v>55</v>
      </c>
      <c r="I137">
        <v>0</v>
      </c>
      <c r="J137" t="str">
        <f>HYPERLINK("https://www.eliteprospects.com/player/702620/fisher-scott")</f>
        <v>https://www.eliteprospects.com/player/702620/fisher-scott</v>
      </c>
      <c r="K137" t="s">
        <v>27</v>
      </c>
      <c r="L137" t="s">
        <v>28</v>
      </c>
      <c r="M137" t="s">
        <v>1296</v>
      </c>
      <c r="N137">
        <v>2</v>
      </c>
      <c r="O137" t="s">
        <v>43</v>
      </c>
      <c r="P137">
        <v>7.0000000000000007E-2</v>
      </c>
      <c r="Q137" t="s">
        <v>1300</v>
      </c>
      <c r="R137">
        <v>33.299999999999997</v>
      </c>
      <c r="S137">
        <v>22.2</v>
      </c>
      <c r="T137">
        <v>22.2</v>
      </c>
      <c r="U137">
        <v>11.1</v>
      </c>
      <c r="V137">
        <v>11.1</v>
      </c>
    </row>
    <row r="138" spans="1:22" x14ac:dyDescent="0.25">
      <c r="A138" t="s">
        <v>1423</v>
      </c>
      <c r="B138" t="s">
        <v>44</v>
      </c>
      <c r="C138">
        <v>24</v>
      </c>
      <c r="D138" t="s">
        <v>260</v>
      </c>
      <c r="E138" t="s">
        <v>78</v>
      </c>
      <c r="F138" t="s">
        <v>26</v>
      </c>
      <c r="G138">
        <v>0.33</v>
      </c>
      <c r="H138" t="s">
        <v>55</v>
      </c>
      <c r="I138">
        <v>3</v>
      </c>
      <c r="J138" t="str">
        <f>HYPERLINK("https://www.eliteprospects.com/player/587803/joe-prouty")</f>
        <v>https://www.eliteprospects.com/player/587803/joe-prouty</v>
      </c>
      <c r="K138" t="s">
        <v>27</v>
      </c>
      <c r="L138" t="s">
        <v>28</v>
      </c>
      <c r="M138" t="s">
        <v>1296</v>
      </c>
      <c r="N138">
        <v>4</v>
      </c>
      <c r="O138" t="s">
        <v>30</v>
      </c>
      <c r="P138">
        <v>0.06</v>
      </c>
      <c r="Q138" t="s">
        <v>1300</v>
      </c>
      <c r="R138">
        <v>57.1</v>
      </c>
      <c r="S138">
        <v>28.6</v>
      </c>
      <c r="T138">
        <v>0</v>
      </c>
      <c r="U138">
        <v>14.3</v>
      </c>
      <c r="V138">
        <v>0</v>
      </c>
    </row>
    <row r="139" spans="1:22" x14ac:dyDescent="0.25">
      <c r="A139" t="s">
        <v>1424</v>
      </c>
      <c r="B139" t="s">
        <v>200</v>
      </c>
      <c r="C139">
        <v>15</v>
      </c>
      <c r="D139" t="s">
        <v>132</v>
      </c>
      <c r="E139" t="s">
        <v>26</v>
      </c>
      <c r="F139" t="s">
        <v>26</v>
      </c>
      <c r="G139">
        <v>0.53</v>
      </c>
      <c r="H139" t="s">
        <v>26</v>
      </c>
      <c r="I139">
        <v>-1</v>
      </c>
      <c r="J139" t="str">
        <f>HYPERLINK("https://www.eliteprospects.com/player/535577/hoyt-stanley")</f>
        <v>https://www.eliteprospects.com/player/535577/hoyt-stanley</v>
      </c>
      <c r="K139" t="s">
        <v>27</v>
      </c>
      <c r="L139" t="s">
        <v>28</v>
      </c>
      <c r="M139" t="s">
        <v>1296</v>
      </c>
      <c r="N139">
        <v>3</v>
      </c>
      <c r="O139" t="s">
        <v>74</v>
      </c>
      <c r="P139">
        <v>0.1</v>
      </c>
      <c r="Q139" t="s">
        <v>245</v>
      </c>
      <c r="R139">
        <v>14.3</v>
      </c>
      <c r="S139">
        <v>42.9</v>
      </c>
      <c r="T139">
        <v>28.6</v>
      </c>
      <c r="U139">
        <v>0</v>
      </c>
      <c r="V139">
        <v>14.3</v>
      </c>
    </row>
    <row r="140" spans="1:22" x14ac:dyDescent="0.25">
      <c r="A140" t="s">
        <v>1425</v>
      </c>
      <c r="B140" t="s">
        <v>101</v>
      </c>
      <c r="C140">
        <v>19</v>
      </c>
      <c r="D140" t="s">
        <v>132</v>
      </c>
      <c r="E140" t="s">
        <v>26</v>
      </c>
      <c r="F140" t="s">
        <v>26</v>
      </c>
      <c r="G140">
        <v>0.42</v>
      </c>
      <c r="H140" t="s">
        <v>32</v>
      </c>
      <c r="I140">
        <v>4</v>
      </c>
      <c r="J140" t="str">
        <f>HYPERLINK("https://www.eliteprospects.com/player/410642/dylan-finlay")</f>
        <v>https://www.eliteprospects.com/player/410642/dylan-finlay</v>
      </c>
      <c r="K140" t="s">
        <v>27</v>
      </c>
      <c r="L140" t="s">
        <v>28</v>
      </c>
      <c r="M140" t="s">
        <v>1296</v>
      </c>
      <c r="N140">
        <v>4</v>
      </c>
      <c r="O140" t="s">
        <v>30</v>
      </c>
      <c r="P140">
        <v>0.08</v>
      </c>
      <c r="Q140" t="s">
        <v>1300</v>
      </c>
      <c r="R140">
        <v>42.9</v>
      </c>
      <c r="S140">
        <v>28.6</v>
      </c>
      <c r="T140">
        <v>28.6</v>
      </c>
      <c r="U140">
        <v>0</v>
      </c>
      <c r="V140">
        <v>0</v>
      </c>
    </row>
    <row r="141" spans="1:22" x14ac:dyDescent="0.25">
      <c r="A141" t="s">
        <v>1426</v>
      </c>
      <c r="B141" t="s">
        <v>114</v>
      </c>
      <c r="C141">
        <v>20</v>
      </c>
      <c r="D141" t="s">
        <v>132</v>
      </c>
      <c r="E141" t="s">
        <v>26</v>
      </c>
      <c r="F141" t="s">
        <v>26</v>
      </c>
      <c r="G141">
        <v>0.4</v>
      </c>
      <c r="H141" t="s">
        <v>32</v>
      </c>
      <c r="I141">
        <v>-5</v>
      </c>
      <c r="J141" t="str">
        <f>HYPERLINK("https://www.eliteprospects.com/player/616252/ethan-elias")</f>
        <v>https://www.eliteprospects.com/player/616252/ethan-elias</v>
      </c>
      <c r="K141" t="s">
        <v>27</v>
      </c>
      <c r="L141" t="s">
        <v>28</v>
      </c>
      <c r="M141" t="s">
        <v>1296</v>
      </c>
      <c r="N141">
        <v>2</v>
      </c>
      <c r="O141" t="s">
        <v>43</v>
      </c>
      <c r="P141">
        <v>0.08</v>
      </c>
      <c r="Q141" t="s">
        <v>245</v>
      </c>
      <c r="R141">
        <v>0</v>
      </c>
      <c r="S141">
        <v>44.4</v>
      </c>
      <c r="T141">
        <v>33.299999999999997</v>
      </c>
      <c r="U141">
        <v>0</v>
      </c>
      <c r="V141">
        <v>22.2</v>
      </c>
    </row>
    <row r="142" spans="1:22" x14ac:dyDescent="0.25">
      <c r="A142" t="s">
        <v>1427</v>
      </c>
      <c r="B142" t="s">
        <v>184</v>
      </c>
      <c r="C142">
        <v>21</v>
      </c>
      <c r="D142" t="s">
        <v>132</v>
      </c>
      <c r="E142" t="s">
        <v>26</v>
      </c>
      <c r="F142" t="s">
        <v>26</v>
      </c>
      <c r="G142">
        <v>0.38</v>
      </c>
      <c r="H142" t="s">
        <v>57</v>
      </c>
      <c r="I142">
        <v>13</v>
      </c>
      <c r="J142" t="str">
        <f>HYPERLINK("https://www.eliteprospects.com/player/535572/kai-janviriya")</f>
        <v>https://www.eliteprospects.com/player/535572/kai-janviriya</v>
      </c>
      <c r="K142" t="s">
        <v>27</v>
      </c>
      <c r="L142" t="s">
        <v>28</v>
      </c>
      <c r="M142" t="s">
        <v>1296</v>
      </c>
      <c r="N142">
        <v>2</v>
      </c>
      <c r="O142" t="s">
        <v>43</v>
      </c>
      <c r="P142">
        <v>7.0000000000000007E-2</v>
      </c>
      <c r="Q142" t="s">
        <v>1325</v>
      </c>
      <c r="R142">
        <v>44.4</v>
      </c>
      <c r="S142">
        <v>11.1</v>
      </c>
      <c r="T142">
        <v>44.4</v>
      </c>
      <c r="U142">
        <v>0</v>
      </c>
      <c r="V142">
        <v>0</v>
      </c>
    </row>
    <row r="143" spans="1:22" x14ac:dyDescent="0.25">
      <c r="A143" t="s">
        <v>1428</v>
      </c>
      <c r="B143" t="s">
        <v>121</v>
      </c>
      <c r="C143">
        <v>21</v>
      </c>
      <c r="D143" t="s">
        <v>132</v>
      </c>
      <c r="E143" t="s">
        <v>26</v>
      </c>
      <c r="F143" t="s">
        <v>26</v>
      </c>
      <c r="G143">
        <v>0.38</v>
      </c>
      <c r="H143" t="s">
        <v>39</v>
      </c>
      <c r="I143">
        <v>-1</v>
      </c>
      <c r="J143" t="str">
        <f>HYPERLINK("https://www.eliteprospects.com/player/558797/trenton-powell")</f>
        <v>https://www.eliteprospects.com/player/558797/trenton-powell</v>
      </c>
      <c r="K143" t="s">
        <v>27</v>
      </c>
      <c r="L143" t="s">
        <v>28</v>
      </c>
      <c r="M143" t="s">
        <v>1296</v>
      </c>
      <c r="N143">
        <v>2</v>
      </c>
      <c r="O143" t="s">
        <v>43</v>
      </c>
      <c r="P143">
        <v>7.0000000000000007E-2</v>
      </c>
      <c r="Q143" t="s">
        <v>1300</v>
      </c>
      <c r="R143">
        <v>33.299999999999997</v>
      </c>
      <c r="S143">
        <v>22.2</v>
      </c>
      <c r="T143">
        <v>22.2</v>
      </c>
      <c r="U143">
        <v>11.1</v>
      </c>
      <c r="V143">
        <v>11.1</v>
      </c>
    </row>
    <row r="144" spans="1:22" x14ac:dyDescent="0.25">
      <c r="A144" t="s">
        <v>1429</v>
      </c>
      <c r="B144" t="s">
        <v>64</v>
      </c>
      <c r="C144">
        <v>22</v>
      </c>
      <c r="D144" t="s">
        <v>96</v>
      </c>
      <c r="E144" t="s">
        <v>79</v>
      </c>
      <c r="F144" t="s">
        <v>78</v>
      </c>
      <c r="G144">
        <v>0.32</v>
      </c>
      <c r="H144" t="s">
        <v>57</v>
      </c>
      <c r="I144">
        <v>11</v>
      </c>
      <c r="J144" t="str">
        <f>HYPERLINK("https://www.eliteprospects.com/player/676848/hayes-hundley")</f>
        <v>https://www.eliteprospects.com/player/676848/hayes-hundley</v>
      </c>
      <c r="K144" t="s">
        <v>27</v>
      </c>
      <c r="L144" t="s">
        <v>28</v>
      </c>
      <c r="M144" t="s">
        <v>1296</v>
      </c>
      <c r="N144">
        <v>1</v>
      </c>
      <c r="O144" t="s">
        <v>71</v>
      </c>
      <c r="P144">
        <v>0.06</v>
      </c>
      <c r="Q144" t="s">
        <v>1309</v>
      </c>
      <c r="R144">
        <v>14.3</v>
      </c>
      <c r="S144">
        <v>28.6</v>
      </c>
      <c r="T144">
        <v>28.6</v>
      </c>
      <c r="U144">
        <v>0</v>
      </c>
      <c r="V144">
        <v>28.6</v>
      </c>
    </row>
    <row r="145" spans="1:22" x14ac:dyDescent="0.25">
      <c r="A145" t="s">
        <v>1430</v>
      </c>
      <c r="B145" t="s">
        <v>90</v>
      </c>
      <c r="C145">
        <v>20</v>
      </c>
      <c r="D145" t="s">
        <v>66</v>
      </c>
      <c r="E145" t="s">
        <v>140</v>
      </c>
      <c r="F145" t="s">
        <v>78</v>
      </c>
      <c r="G145">
        <v>0.35</v>
      </c>
      <c r="H145" t="s">
        <v>57</v>
      </c>
      <c r="I145">
        <v>3</v>
      </c>
      <c r="J145" t="str">
        <f>HYPERLINK("https://www.eliteprospects.com/player/382759/noah-ellis")</f>
        <v>https://www.eliteprospects.com/player/382759/noah-ellis</v>
      </c>
      <c r="K145" t="s">
        <v>27</v>
      </c>
      <c r="L145" t="s">
        <v>28</v>
      </c>
      <c r="M145" t="s">
        <v>1296</v>
      </c>
      <c r="N145">
        <v>4</v>
      </c>
      <c r="O145" t="s">
        <v>30</v>
      </c>
      <c r="P145">
        <v>7.0000000000000007E-2</v>
      </c>
      <c r="Q145" t="s">
        <v>1325</v>
      </c>
      <c r="R145">
        <v>33.299999999999997</v>
      </c>
      <c r="S145">
        <v>16.7</v>
      </c>
      <c r="T145">
        <v>33.299999999999997</v>
      </c>
      <c r="U145">
        <v>16.7</v>
      </c>
      <c r="V145">
        <v>0</v>
      </c>
    </row>
    <row r="146" spans="1:22" x14ac:dyDescent="0.25">
      <c r="A146" t="s">
        <v>1431</v>
      </c>
      <c r="B146" t="s">
        <v>180</v>
      </c>
      <c r="C146">
        <v>19</v>
      </c>
      <c r="D146" t="s">
        <v>140</v>
      </c>
      <c r="E146" t="s">
        <v>66</v>
      </c>
      <c r="F146" t="s">
        <v>78</v>
      </c>
      <c r="G146">
        <v>0.37</v>
      </c>
      <c r="H146" t="s">
        <v>47</v>
      </c>
      <c r="I146">
        <v>-12</v>
      </c>
      <c r="J146" t="str">
        <f>HYPERLINK("https://www.eliteprospects.com/player/570755/michael-mastrodomenico")</f>
        <v>https://www.eliteprospects.com/player/570755/michael-mastrodomenico</v>
      </c>
      <c r="K146" t="s">
        <v>27</v>
      </c>
      <c r="L146" t="s">
        <v>28</v>
      </c>
      <c r="M146" t="s">
        <v>1296</v>
      </c>
      <c r="N146">
        <v>4</v>
      </c>
      <c r="O146" t="s">
        <v>30</v>
      </c>
      <c r="P146">
        <v>7.0000000000000007E-2</v>
      </c>
      <c r="Q146" t="s">
        <v>245</v>
      </c>
      <c r="R146">
        <v>0</v>
      </c>
      <c r="S146">
        <v>44.4</v>
      </c>
      <c r="T146">
        <v>33.299999999999997</v>
      </c>
      <c r="U146">
        <v>0</v>
      </c>
      <c r="V146">
        <v>22.2</v>
      </c>
    </row>
    <row r="147" spans="1:22" x14ac:dyDescent="0.25">
      <c r="A147" t="s">
        <v>1432</v>
      </c>
      <c r="B147" t="s">
        <v>44</v>
      </c>
      <c r="C147">
        <v>24</v>
      </c>
      <c r="D147" t="s">
        <v>140</v>
      </c>
      <c r="E147" t="s">
        <v>66</v>
      </c>
      <c r="F147" t="s">
        <v>78</v>
      </c>
      <c r="G147">
        <v>0.28999999999999998</v>
      </c>
      <c r="H147" t="s">
        <v>26</v>
      </c>
      <c r="I147">
        <v>5</v>
      </c>
      <c r="J147" t="str">
        <f>HYPERLINK("https://www.eliteprospects.com/player/569257/kalem-parker")</f>
        <v>https://www.eliteprospects.com/player/569257/kalem-parker</v>
      </c>
      <c r="K147" t="s">
        <v>27</v>
      </c>
      <c r="L147" t="s">
        <v>28</v>
      </c>
      <c r="M147" t="s">
        <v>1296</v>
      </c>
      <c r="N147">
        <v>6</v>
      </c>
      <c r="O147" t="s">
        <v>193</v>
      </c>
      <c r="P147">
        <v>0.06</v>
      </c>
      <c r="Q147" t="s">
        <v>1325</v>
      </c>
      <c r="R147">
        <v>18.2</v>
      </c>
      <c r="S147">
        <v>9.1</v>
      </c>
      <c r="T147">
        <v>63.6</v>
      </c>
      <c r="U147">
        <v>0</v>
      </c>
      <c r="V147">
        <v>9.1</v>
      </c>
    </row>
    <row r="148" spans="1:22" x14ac:dyDescent="0.25">
      <c r="A148" t="s">
        <v>1433</v>
      </c>
      <c r="B148" t="s">
        <v>189</v>
      </c>
      <c r="C148">
        <v>24</v>
      </c>
      <c r="D148" t="s">
        <v>140</v>
      </c>
      <c r="E148" t="s">
        <v>66</v>
      </c>
      <c r="F148" t="s">
        <v>78</v>
      </c>
      <c r="G148">
        <v>0.28999999999999998</v>
      </c>
      <c r="H148" t="s">
        <v>32</v>
      </c>
      <c r="I148">
        <v>-14</v>
      </c>
      <c r="J148" t="str">
        <f>HYPERLINK("https://www.eliteprospects.com/player/417574/jack-mesic")</f>
        <v>https://www.eliteprospects.com/player/417574/jack-mesic</v>
      </c>
      <c r="K148" t="s">
        <v>27</v>
      </c>
      <c r="L148" t="s">
        <v>28</v>
      </c>
      <c r="M148" t="s">
        <v>1296</v>
      </c>
      <c r="N148">
        <v>3</v>
      </c>
      <c r="O148" t="s">
        <v>74</v>
      </c>
      <c r="P148">
        <v>0.06</v>
      </c>
      <c r="Q148" t="s">
        <v>1309</v>
      </c>
      <c r="R148">
        <v>0</v>
      </c>
      <c r="S148">
        <v>20</v>
      </c>
      <c r="T148">
        <v>40</v>
      </c>
      <c r="U148">
        <v>0</v>
      </c>
      <c r="V148">
        <v>40</v>
      </c>
    </row>
    <row r="149" spans="1:22" x14ac:dyDescent="0.25">
      <c r="A149" t="s">
        <v>1434</v>
      </c>
      <c r="B149" t="s">
        <v>167</v>
      </c>
      <c r="C149">
        <v>14</v>
      </c>
      <c r="D149" t="s">
        <v>79</v>
      </c>
      <c r="E149" t="s">
        <v>96</v>
      </c>
      <c r="F149" t="s">
        <v>78</v>
      </c>
      <c r="G149">
        <v>0.5</v>
      </c>
      <c r="H149" t="s">
        <v>32</v>
      </c>
      <c r="I149">
        <v>0</v>
      </c>
      <c r="J149" t="str">
        <f>HYPERLINK("https://www.eliteprospects.com/player/655345/ryan-healey")</f>
        <v>https://www.eliteprospects.com/player/655345/ryan-healey</v>
      </c>
      <c r="K149" t="s">
        <v>27</v>
      </c>
      <c r="L149" t="s">
        <v>28</v>
      </c>
      <c r="M149" t="s">
        <v>1296</v>
      </c>
      <c r="N149">
        <v>4</v>
      </c>
      <c r="O149" t="s">
        <v>30</v>
      </c>
      <c r="P149">
        <v>0.1</v>
      </c>
      <c r="Q149" t="s">
        <v>245</v>
      </c>
      <c r="R149">
        <v>14.3</v>
      </c>
      <c r="S149">
        <v>42.9</v>
      </c>
      <c r="T149">
        <v>28.6</v>
      </c>
      <c r="U149">
        <v>0</v>
      </c>
      <c r="V149">
        <v>14.3</v>
      </c>
    </row>
    <row r="150" spans="1:22" x14ac:dyDescent="0.25">
      <c r="A150" t="s">
        <v>1435</v>
      </c>
      <c r="B150" t="s">
        <v>68</v>
      </c>
      <c r="C150">
        <v>15</v>
      </c>
      <c r="D150" t="s">
        <v>79</v>
      </c>
      <c r="E150" t="s">
        <v>96</v>
      </c>
      <c r="F150" t="s">
        <v>78</v>
      </c>
      <c r="G150">
        <v>0.47</v>
      </c>
      <c r="H150" t="s">
        <v>66</v>
      </c>
      <c r="I150">
        <v>8</v>
      </c>
      <c r="J150" t="str">
        <f>HYPERLINK("https://www.eliteprospects.com/player/477380/braden-blace")</f>
        <v>https://www.eliteprospects.com/player/477380/braden-blace</v>
      </c>
      <c r="K150" t="s">
        <v>27</v>
      </c>
      <c r="L150" t="s">
        <v>28</v>
      </c>
      <c r="M150" t="s">
        <v>1296</v>
      </c>
      <c r="N150">
        <v>2</v>
      </c>
      <c r="O150" t="s">
        <v>43</v>
      </c>
      <c r="P150">
        <v>0.09</v>
      </c>
      <c r="Q150" t="s">
        <v>1309</v>
      </c>
      <c r="R150">
        <v>25</v>
      </c>
      <c r="S150">
        <v>25</v>
      </c>
      <c r="T150">
        <v>16.7</v>
      </c>
      <c r="U150">
        <v>8.3000000000000007</v>
      </c>
      <c r="V150">
        <v>25</v>
      </c>
    </row>
    <row r="151" spans="1:22" x14ac:dyDescent="0.25">
      <c r="A151" t="s">
        <v>1436</v>
      </c>
      <c r="B151" t="s">
        <v>163</v>
      </c>
      <c r="C151">
        <v>15</v>
      </c>
      <c r="D151" t="s">
        <v>79</v>
      </c>
      <c r="E151" t="s">
        <v>96</v>
      </c>
      <c r="F151" t="s">
        <v>78</v>
      </c>
      <c r="G151">
        <v>0.47</v>
      </c>
      <c r="H151" t="s">
        <v>32</v>
      </c>
      <c r="I151">
        <v>2</v>
      </c>
      <c r="J151" t="str">
        <f>HYPERLINK("https://www.eliteprospects.com/player/295024/kale-mccallum")</f>
        <v>https://www.eliteprospects.com/player/295024/kale-mccallum</v>
      </c>
      <c r="K151" t="s">
        <v>27</v>
      </c>
      <c r="L151" t="s">
        <v>28</v>
      </c>
      <c r="M151" t="s">
        <v>1296</v>
      </c>
      <c r="N151">
        <v>7</v>
      </c>
      <c r="O151" t="s">
        <v>1437</v>
      </c>
      <c r="P151">
        <v>0.09</v>
      </c>
      <c r="Q151" t="s">
        <v>1325</v>
      </c>
      <c r="R151">
        <v>22.2</v>
      </c>
      <c r="S151">
        <v>11.1</v>
      </c>
      <c r="T151">
        <v>44.4</v>
      </c>
      <c r="U151">
        <v>0</v>
      </c>
      <c r="V151">
        <v>22.2</v>
      </c>
    </row>
    <row r="152" spans="1:22" x14ac:dyDescent="0.25">
      <c r="A152" t="s">
        <v>1438</v>
      </c>
      <c r="B152" t="s">
        <v>222</v>
      </c>
      <c r="C152">
        <v>16</v>
      </c>
      <c r="D152" t="s">
        <v>79</v>
      </c>
      <c r="E152" t="s">
        <v>96</v>
      </c>
      <c r="F152" t="s">
        <v>78</v>
      </c>
      <c r="G152">
        <v>0.44</v>
      </c>
      <c r="H152" t="s">
        <v>39</v>
      </c>
      <c r="I152">
        <v>2</v>
      </c>
      <c r="J152" t="str">
        <f>HYPERLINK("https://www.eliteprospects.com/player/506237/rhys-bentham")</f>
        <v>https://www.eliteprospects.com/player/506237/rhys-bentham</v>
      </c>
      <c r="K152" t="s">
        <v>27</v>
      </c>
      <c r="L152" t="s">
        <v>28</v>
      </c>
      <c r="M152" t="s">
        <v>1296</v>
      </c>
      <c r="N152">
        <v>3</v>
      </c>
      <c r="O152" t="s">
        <v>74</v>
      </c>
      <c r="P152">
        <v>0.09</v>
      </c>
      <c r="Q152" t="s">
        <v>1325</v>
      </c>
      <c r="R152">
        <v>22.2</v>
      </c>
      <c r="S152">
        <v>11.1</v>
      </c>
      <c r="T152">
        <v>44.4</v>
      </c>
      <c r="U152">
        <v>0</v>
      </c>
      <c r="V152">
        <v>22.2</v>
      </c>
    </row>
    <row r="153" spans="1:22" x14ac:dyDescent="0.25">
      <c r="A153" t="s">
        <v>1439</v>
      </c>
      <c r="B153" t="s">
        <v>165</v>
      </c>
      <c r="C153">
        <v>18</v>
      </c>
      <c r="D153" t="s">
        <v>79</v>
      </c>
      <c r="E153" t="s">
        <v>96</v>
      </c>
      <c r="F153" t="s">
        <v>78</v>
      </c>
      <c r="G153">
        <v>0.39</v>
      </c>
      <c r="H153" t="s">
        <v>79</v>
      </c>
      <c r="I153">
        <v>-9</v>
      </c>
      <c r="J153" t="str">
        <f>HYPERLINK("https://www.eliteprospects.com/player/715322/brett-merner")</f>
        <v>https://www.eliteprospects.com/player/715322/brett-merner</v>
      </c>
      <c r="K153" t="s">
        <v>27</v>
      </c>
      <c r="L153" t="s">
        <v>28</v>
      </c>
      <c r="M153" t="s">
        <v>1296</v>
      </c>
      <c r="N153">
        <v>2</v>
      </c>
      <c r="O153" t="s">
        <v>43</v>
      </c>
      <c r="P153">
        <v>0.08</v>
      </c>
      <c r="Q153" t="s">
        <v>245</v>
      </c>
      <c r="R153">
        <v>0</v>
      </c>
      <c r="S153">
        <v>44.4</v>
      </c>
      <c r="T153">
        <v>33.299999999999997</v>
      </c>
      <c r="U153">
        <v>0</v>
      </c>
      <c r="V153">
        <v>22.2</v>
      </c>
    </row>
    <row r="154" spans="1:22" x14ac:dyDescent="0.25">
      <c r="A154" t="s">
        <v>1440</v>
      </c>
      <c r="B154" t="s">
        <v>127</v>
      </c>
      <c r="C154">
        <v>19</v>
      </c>
      <c r="D154" t="s">
        <v>79</v>
      </c>
      <c r="E154" t="s">
        <v>96</v>
      </c>
      <c r="F154" t="s">
        <v>78</v>
      </c>
      <c r="G154">
        <v>0.37</v>
      </c>
      <c r="H154" t="s">
        <v>66</v>
      </c>
      <c r="I154">
        <v>7</v>
      </c>
      <c r="J154" t="str">
        <f>HYPERLINK("https://www.eliteprospects.com/player/711643/dax-williams")</f>
        <v>https://www.eliteprospects.com/player/711643/dax-williams</v>
      </c>
      <c r="K154" t="s">
        <v>27</v>
      </c>
      <c r="L154" t="s">
        <v>28</v>
      </c>
      <c r="M154" t="s">
        <v>1296</v>
      </c>
      <c r="N154">
        <v>5</v>
      </c>
      <c r="O154" t="s">
        <v>152</v>
      </c>
      <c r="P154">
        <v>7.0000000000000007E-2</v>
      </c>
      <c r="Q154" t="s">
        <v>1300</v>
      </c>
      <c r="R154">
        <v>42.9</v>
      </c>
      <c r="S154">
        <v>28.6</v>
      </c>
      <c r="T154">
        <v>28.6</v>
      </c>
      <c r="U154">
        <v>0</v>
      </c>
      <c r="V154">
        <v>0</v>
      </c>
    </row>
    <row r="155" spans="1:22" x14ac:dyDescent="0.25">
      <c r="A155" t="s">
        <v>1441</v>
      </c>
      <c r="B155" t="s">
        <v>202</v>
      </c>
      <c r="C155">
        <v>19</v>
      </c>
      <c r="D155" t="s">
        <v>79</v>
      </c>
      <c r="E155" t="s">
        <v>96</v>
      </c>
      <c r="F155" t="s">
        <v>78</v>
      </c>
      <c r="G155">
        <v>0.37</v>
      </c>
      <c r="H155" t="s">
        <v>32</v>
      </c>
      <c r="I155">
        <v>-4</v>
      </c>
      <c r="J155" t="str">
        <f>HYPERLINK("https://www.eliteprospects.com/player/201798/aidan-de-la-gorgendiere")</f>
        <v>https://www.eliteprospects.com/player/201798/aidan-de-la-gorgendiere</v>
      </c>
      <c r="K155" t="s">
        <v>27</v>
      </c>
      <c r="L155" t="s">
        <v>28</v>
      </c>
      <c r="M155" t="s">
        <v>1296</v>
      </c>
      <c r="N155">
        <v>6</v>
      </c>
      <c r="O155" t="s">
        <v>263</v>
      </c>
      <c r="P155">
        <v>7.0000000000000007E-2</v>
      </c>
      <c r="Q155" t="s">
        <v>245</v>
      </c>
      <c r="R155">
        <v>0</v>
      </c>
      <c r="S155">
        <v>44.4</v>
      </c>
      <c r="T155">
        <v>33.299999999999997</v>
      </c>
      <c r="U155">
        <v>0</v>
      </c>
      <c r="V155">
        <v>22.2</v>
      </c>
    </row>
    <row r="156" spans="1:22" x14ac:dyDescent="0.25">
      <c r="A156" t="s">
        <v>1442</v>
      </c>
      <c r="B156" t="s">
        <v>90</v>
      </c>
      <c r="C156">
        <v>20</v>
      </c>
      <c r="D156" t="s">
        <v>79</v>
      </c>
      <c r="E156" t="s">
        <v>96</v>
      </c>
      <c r="F156" t="s">
        <v>78</v>
      </c>
      <c r="G156">
        <v>0.35</v>
      </c>
      <c r="H156" t="s">
        <v>57</v>
      </c>
      <c r="I156">
        <v>-1</v>
      </c>
      <c r="J156" t="str">
        <f>HYPERLINK("https://www.eliteprospects.com/player/375499/john-driscoll")</f>
        <v>https://www.eliteprospects.com/player/375499/john-driscoll</v>
      </c>
      <c r="K156" t="s">
        <v>27</v>
      </c>
      <c r="L156" t="s">
        <v>28</v>
      </c>
      <c r="M156" t="s">
        <v>1296</v>
      </c>
      <c r="N156">
        <v>4</v>
      </c>
      <c r="O156" t="s">
        <v>30</v>
      </c>
      <c r="P156">
        <v>7.0000000000000007E-2</v>
      </c>
      <c r="Q156" t="s">
        <v>1300</v>
      </c>
      <c r="R156">
        <v>33.299999999999997</v>
      </c>
      <c r="S156">
        <v>22.2</v>
      </c>
      <c r="T156">
        <v>22.2</v>
      </c>
      <c r="U156">
        <v>11.1</v>
      </c>
      <c r="V156">
        <v>11.1</v>
      </c>
    </row>
    <row r="157" spans="1:22" x14ac:dyDescent="0.25">
      <c r="A157" t="s">
        <v>1443</v>
      </c>
      <c r="B157" t="s">
        <v>238</v>
      </c>
      <c r="C157">
        <v>20</v>
      </c>
      <c r="D157" t="s">
        <v>79</v>
      </c>
      <c r="E157" t="s">
        <v>96</v>
      </c>
      <c r="F157" t="s">
        <v>78</v>
      </c>
      <c r="G157">
        <v>0.35</v>
      </c>
      <c r="H157" t="s">
        <v>57</v>
      </c>
      <c r="I157">
        <v>-8</v>
      </c>
      <c r="J157" t="str">
        <f>HYPERLINK("https://www.eliteprospects.com/player/718106/thomas-klassek")</f>
        <v>https://www.eliteprospects.com/player/718106/thomas-klassek</v>
      </c>
      <c r="K157" t="s">
        <v>27</v>
      </c>
      <c r="L157" t="s">
        <v>28</v>
      </c>
      <c r="M157" t="s">
        <v>1296</v>
      </c>
      <c r="N157">
        <v>1</v>
      </c>
      <c r="O157" t="s">
        <v>71</v>
      </c>
      <c r="P157">
        <v>7.0000000000000007E-2</v>
      </c>
      <c r="Q157" t="s">
        <v>245</v>
      </c>
      <c r="R157">
        <v>0</v>
      </c>
      <c r="S157">
        <v>44.4</v>
      </c>
      <c r="T157">
        <v>33.299999999999997</v>
      </c>
      <c r="U157">
        <v>0</v>
      </c>
      <c r="V157">
        <v>22.2</v>
      </c>
    </row>
    <row r="158" spans="1:22" x14ac:dyDescent="0.25">
      <c r="A158" t="s">
        <v>1444</v>
      </c>
      <c r="B158" t="s">
        <v>180</v>
      </c>
      <c r="C158">
        <v>20</v>
      </c>
      <c r="D158" t="s">
        <v>79</v>
      </c>
      <c r="E158" t="s">
        <v>96</v>
      </c>
      <c r="F158" t="s">
        <v>78</v>
      </c>
      <c r="G158">
        <v>0.35</v>
      </c>
      <c r="H158" t="s">
        <v>32</v>
      </c>
      <c r="I158">
        <v>-8</v>
      </c>
      <c r="J158" t="str">
        <f>HYPERLINK("https://www.eliteprospects.com/player/616257/henry-nelson")</f>
        <v>https://www.eliteprospects.com/player/616257/henry-nelson</v>
      </c>
      <c r="K158" t="s">
        <v>27</v>
      </c>
      <c r="L158" t="s">
        <v>28</v>
      </c>
      <c r="M158" t="s">
        <v>1296</v>
      </c>
      <c r="N158">
        <v>3</v>
      </c>
      <c r="O158" t="s">
        <v>74</v>
      </c>
      <c r="P158">
        <v>7.0000000000000007E-2</v>
      </c>
      <c r="Q158" t="s">
        <v>245</v>
      </c>
      <c r="R158">
        <v>0</v>
      </c>
      <c r="S158">
        <v>44.4</v>
      </c>
      <c r="T158">
        <v>33.299999999999997</v>
      </c>
      <c r="U158">
        <v>0</v>
      </c>
      <c r="V158">
        <v>22.2</v>
      </c>
    </row>
    <row r="159" spans="1:22" x14ac:dyDescent="0.25">
      <c r="A159" t="s">
        <v>1445</v>
      </c>
      <c r="B159" t="s">
        <v>95</v>
      </c>
      <c r="C159">
        <v>21</v>
      </c>
      <c r="D159" t="s">
        <v>79</v>
      </c>
      <c r="E159" t="s">
        <v>96</v>
      </c>
      <c r="F159" t="s">
        <v>78</v>
      </c>
      <c r="G159">
        <v>0.33</v>
      </c>
      <c r="H159" t="s">
        <v>57</v>
      </c>
      <c r="I159">
        <v>7</v>
      </c>
      <c r="J159" t="str">
        <f>HYPERLINK("https://www.eliteprospects.com/player/488006/zach-bookman")</f>
        <v>https://www.eliteprospects.com/player/488006/zach-bookman</v>
      </c>
      <c r="K159" t="s">
        <v>27</v>
      </c>
      <c r="L159" t="s">
        <v>28</v>
      </c>
      <c r="M159" t="s">
        <v>1296</v>
      </c>
      <c r="N159">
        <v>4</v>
      </c>
      <c r="O159" t="s">
        <v>30</v>
      </c>
      <c r="P159">
        <v>0.06</v>
      </c>
      <c r="Q159" t="s">
        <v>1325</v>
      </c>
      <c r="R159">
        <v>18.2</v>
      </c>
      <c r="S159">
        <v>9.1</v>
      </c>
      <c r="T159">
        <v>63.6</v>
      </c>
      <c r="U159">
        <v>0</v>
      </c>
      <c r="V159">
        <v>9.1</v>
      </c>
    </row>
    <row r="160" spans="1:22" x14ac:dyDescent="0.25">
      <c r="A160" t="s">
        <v>1446</v>
      </c>
      <c r="B160" t="s">
        <v>131</v>
      </c>
      <c r="C160">
        <v>23</v>
      </c>
      <c r="D160" t="s">
        <v>79</v>
      </c>
      <c r="E160" t="s">
        <v>96</v>
      </c>
      <c r="F160" t="s">
        <v>78</v>
      </c>
      <c r="G160">
        <v>0.3</v>
      </c>
      <c r="H160" t="s">
        <v>46</v>
      </c>
      <c r="I160">
        <v>6</v>
      </c>
      <c r="J160" t="str">
        <f>HYPERLINK("https://www.eliteprospects.com/player/364220/owen-nolan")</f>
        <v>https://www.eliteprospects.com/player/364220/owen-nolan</v>
      </c>
      <c r="K160" t="s">
        <v>27</v>
      </c>
      <c r="L160" t="s">
        <v>28</v>
      </c>
      <c r="M160" t="s">
        <v>1296</v>
      </c>
      <c r="N160">
        <v>4</v>
      </c>
      <c r="O160" t="s">
        <v>30</v>
      </c>
      <c r="P160">
        <v>0.06</v>
      </c>
      <c r="Q160" t="s">
        <v>1325</v>
      </c>
      <c r="R160">
        <v>18.2</v>
      </c>
      <c r="S160">
        <v>9.1</v>
      </c>
      <c r="T160">
        <v>63.6</v>
      </c>
      <c r="U160">
        <v>0</v>
      </c>
      <c r="V160">
        <v>9.1</v>
      </c>
    </row>
    <row r="161" spans="1:22" x14ac:dyDescent="0.25">
      <c r="A161" t="s">
        <v>1447</v>
      </c>
      <c r="B161" t="s">
        <v>98</v>
      </c>
      <c r="C161">
        <v>19</v>
      </c>
      <c r="D161" t="s">
        <v>260</v>
      </c>
      <c r="E161" t="s">
        <v>57</v>
      </c>
      <c r="F161" t="s">
        <v>78</v>
      </c>
      <c r="G161">
        <v>0.37</v>
      </c>
      <c r="H161" t="s">
        <v>26</v>
      </c>
      <c r="I161">
        <v>2</v>
      </c>
      <c r="J161" t="str">
        <f>HYPERLINK("https://www.eliteprospects.com/player/597647/will-felicio")</f>
        <v>https://www.eliteprospects.com/player/597647/will-felicio</v>
      </c>
      <c r="K161" t="s">
        <v>27</v>
      </c>
      <c r="L161" t="s">
        <v>28</v>
      </c>
      <c r="M161" t="s">
        <v>1296</v>
      </c>
      <c r="N161">
        <v>2</v>
      </c>
      <c r="O161" t="s">
        <v>43</v>
      </c>
      <c r="P161">
        <v>7.0000000000000007E-2</v>
      </c>
      <c r="Q161" t="s">
        <v>1325</v>
      </c>
      <c r="R161">
        <v>33.299999999999997</v>
      </c>
      <c r="S161">
        <v>16.7</v>
      </c>
      <c r="T161">
        <v>33.299999999999997</v>
      </c>
      <c r="U161">
        <v>16.7</v>
      </c>
      <c r="V161">
        <v>0</v>
      </c>
    </row>
    <row r="162" spans="1:22" x14ac:dyDescent="0.25">
      <c r="A162" t="s">
        <v>1448</v>
      </c>
      <c r="B162" t="s">
        <v>86</v>
      </c>
      <c r="C162">
        <v>19</v>
      </c>
      <c r="D162" t="s">
        <v>260</v>
      </c>
      <c r="E162" t="s">
        <v>57</v>
      </c>
      <c r="F162" t="s">
        <v>78</v>
      </c>
      <c r="G162">
        <v>0.37</v>
      </c>
      <c r="H162" t="s">
        <v>136</v>
      </c>
      <c r="I162">
        <v>9</v>
      </c>
      <c r="J162" t="str">
        <f>HYPERLINK("https://www.eliteprospects.com/player/554907/patrick-geary")</f>
        <v>https://www.eliteprospects.com/player/554907/patrick-geary</v>
      </c>
      <c r="K162" t="s">
        <v>27</v>
      </c>
      <c r="L162" t="s">
        <v>28</v>
      </c>
      <c r="M162" t="s">
        <v>1296</v>
      </c>
      <c r="N162">
        <v>3</v>
      </c>
      <c r="O162" t="s">
        <v>74</v>
      </c>
      <c r="P162">
        <v>7.0000000000000007E-2</v>
      </c>
      <c r="Q162" t="s">
        <v>1325</v>
      </c>
      <c r="R162">
        <v>44.4</v>
      </c>
      <c r="S162">
        <v>11.1</v>
      </c>
      <c r="T162">
        <v>44.4</v>
      </c>
      <c r="U162">
        <v>0</v>
      </c>
      <c r="V162">
        <v>0</v>
      </c>
    </row>
    <row r="163" spans="1:22" x14ac:dyDescent="0.25">
      <c r="A163" t="s">
        <v>1449</v>
      </c>
      <c r="B163" t="s">
        <v>127</v>
      </c>
      <c r="C163">
        <v>20</v>
      </c>
      <c r="D163" t="s">
        <v>260</v>
      </c>
      <c r="E163" t="s">
        <v>57</v>
      </c>
      <c r="F163" t="s">
        <v>78</v>
      </c>
      <c r="G163">
        <v>0.35</v>
      </c>
      <c r="H163" t="s">
        <v>53</v>
      </c>
      <c r="I163">
        <v>7</v>
      </c>
      <c r="J163" t="str">
        <f>HYPERLINK("https://www.eliteprospects.com/player/525667/owain-johnston")</f>
        <v>https://www.eliteprospects.com/player/525667/owain-johnston</v>
      </c>
      <c r="K163" t="s">
        <v>27</v>
      </c>
      <c r="L163" t="s">
        <v>28</v>
      </c>
      <c r="M163" t="s">
        <v>1296</v>
      </c>
      <c r="N163">
        <v>4</v>
      </c>
      <c r="O163" t="s">
        <v>100</v>
      </c>
      <c r="P163">
        <v>7.0000000000000007E-2</v>
      </c>
      <c r="Q163" t="s">
        <v>1300</v>
      </c>
      <c r="R163">
        <v>42.9</v>
      </c>
      <c r="S163">
        <v>28.6</v>
      </c>
      <c r="T163">
        <v>28.6</v>
      </c>
      <c r="U163">
        <v>0</v>
      </c>
      <c r="V163">
        <v>0</v>
      </c>
    </row>
    <row r="164" spans="1:22" x14ac:dyDescent="0.25">
      <c r="A164" t="s">
        <v>1450</v>
      </c>
      <c r="B164" t="s">
        <v>113</v>
      </c>
      <c r="C164">
        <v>23</v>
      </c>
      <c r="D164" t="s">
        <v>260</v>
      </c>
      <c r="E164" t="s">
        <v>57</v>
      </c>
      <c r="F164" t="s">
        <v>78</v>
      </c>
      <c r="G164">
        <v>0.3</v>
      </c>
      <c r="H164" t="s">
        <v>40</v>
      </c>
      <c r="I164">
        <v>-2</v>
      </c>
      <c r="J164" t="str">
        <f>HYPERLINK("https://www.eliteprospects.com/player/588298/campbell-cichosz")</f>
        <v>https://www.eliteprospects.com/player/588298/campbell-cichosz</v>
      </c>
      <c r="K164" t="s">
        <v>27</v>
      </c>
      <c r="L164" t="s">
        <v>28</v>
      </c>
      <c r="M164" t="s">
        <v>1296</v>
      </c>
      <c r="N164">
        <v>4</v>
      </c>
      <c r="O164" t="s">
        <v>30</v>
      </c>
      <c r="P164">
        <v>0.06</v>
      </c>
      <c r="Q164" t="s">
        <v>1300</v>
      </c>
      <c r="R164">
        <v>37.5</v>
      </c>
      <c r="S164">
        <v>37.5</v>
      </c>
      <c r="T164">
        <v>0</v>
      </c>
      <c r="U164">
        <v>12.5</v>
      </c>
      <c r="V164">
        <v>12.5</v>
      </c>
    </row>
    <row r="165" spans="1:22" x14ac:dyDescent="0.25">
      <c r="A165" t="s">
        <v>1451</v>
      </c>
      <c r="B165" t="s">
        <v>95</v>
      </c>
      <c r="C165">
        <v>18</v>
      </c>
      <c r="D165" t="s">
        <v>132</v>
      </c>
      <c r="E165" t="s">
        <v>78</v>
      </c>
      <c r="F165" t="s">
        <v>78</v>
      </c>
      <c r="G165">
        <v>0.39</v>
      </c>
      <c r="H165" t="s">
        <v>26</v>
      </c>
      <c r="I165">
        <v>-1</v>
      </c>
      <c r="J165" t="str">
        <f>HYPERLINK("https://www.eliteprospects.com/player/567628/cole-crusberg-roseen")</f>
        <v>https://www.eliteprospects.com/player/567628/cole-crusberg-roseen</v>
      </c>
      <c r="K165" t="s">
        <v>27</v>
      </c>
      <c r="L165" t="s">
        <v>28</v>
      </c>
      <c r="M165" t="s">
        <v>1296</v>
      </c>
      <c r="N165">
        <v>3</v>
      </c>
      <c r="O165" t="s">
        <v>74</v>
      </c>
      <c r="P165">
        <v>0.08</v>
      </c>
      <c r="Q165" t="s">
        <v>1300</v>
      </c>
      <c r="R165">
        <v>33.299999999999997</v>
      </c>
      <c r="S165">
        <v>22.2</v>
      </c>
      <c r="T165">
        <v>22.2</v>
      </c>
      <c r="U165">
        <v>11.1</v>
      </c>
      <c r="V165">
        <v>11.1</v>
      </c>
    </row>
    <row r="166" spans="1:22" x14ac:dyDescent="0.25">
      <c r="A166" t="s">
        <v>1452</v>
      </c>
      <c r="B166" t="s">
        <v>80</v>
      </c>
      <c r="C166">
        <v>20</v>
      </c>
      <c r="D166" t="s">
        <v>132</v>
      </c>
      <c r="E166" t="s">
        <v>78</v>
      </c>
      <c r="F166" t="s">
        <v>78</v>
      </c>
      <c r="G166">
        <v>0.35</v>
      </c>
      <c r="H166" t="s">
        <v>57</v>
      </c>
      <c r="I166">
        <v>-1</v>
      </c>
      <c r="J166" t="str">
        <f>HYPERLINK("https://www.eliteprospects.com/player/201884/mac-gadowsky")</f>
        <v>https://www.eliteprospects.com/player/201884/mac-gadowsky</v>
      </c>
      <c r="K166" t="s">
        <v>27</v>
      </c>
      <c r="L166" t="s">
        <v>28</v>
      </c>
      <c r="M166" t="s">
        <v>1296</v>
      </c>
      <c r="N166">
        <v>3</v>
      </c>
      <c r="O166" t="s">
        <v>74</v>
      </c>
      <c r="P166">
        <v>7.0000000000000007E-2</v>
      </c>
      <c r="Q166" t="s">
        <v>1300</v>
      </c>
      <c r="R166">
        <v>33.299999999999997</v>
      </c>
      <c r="S166">
        <v>22.2</v>
      </c>
      <c r="T166">
        <v>22.2</v>
      </c>
      <c r="U166">
        <v>11.1</v>
      </c>
      <c r="V166">
        <v>11.1</v>
      </c>
    </row>
    <row r="167" spans="1:22" x14ac:dyDescent="0.25">
      <c r="A167" t="s">
        <v>1453</v>
      </c>
      <c r="B167" t="s">
        <v>98</v>
      </c>
      <c r="C167">
        <v>21</v>
      </c>
      <c r="D167" t="s">
        <v>132</v>
      </c>
      <c r="E167" t="s">
        <v>78</v>
      </c>
      <c r="F167" t="s">
        <v>78</v>
      </c>
      <c r="G167">
        <v>0.33</v>
      </c>
      <c r="H167" t="s">
        <v>55</v>
      </c>
      <c r="I167">
        <v>0</v>
      </c>
      <c r="J167" t="str">
        <f>HYPERLINK("https://www.eliteprospects.com/player/556254/carter-rose")</f>
        <v>https://www.eliteprospects.com/player/556254/carter-rose</v>
      </c>
      <c r="K167" t="s">
        <v>27</v>
      </c>
      <c r="L167" t="s">
        <v>28</v>
      </c>
      <c r="M167" t="s">
        <v>1296</v>
      </c>
      <c r="N167">
        <v>3</v>
      </c>
      <c r="O167" t="s">
        <v>74</v>
      </c>
      <c r="P167">
        <v>0.06</v>
      </c>
      <c r="Q167" t="s">
        <v>1300</v>
      </c>
      <c r="R167">
        <v>37.5</v>
      </c>
      <c r="S167">
        <v>37.5</v>
      </c>
      <c r="T167">
        <v>0</v>
      </c>
      <c r="U167">
        <v>12.5</v>
      </c>
      <c r="V167">
        <v>12.5</v>
      </c>
    </row>
    <row r="168" spans="1:22" x14ac:dyDescent="0.25">
      <c r="A168" t="s">
        <v>1454</v>
      </c>
      <c r="B168" t="s">
        <v>215</v>
      </c>
      <c r="C168">
        <v>24</v>
      </c>
      <c r="D168" t="s">
        <v>132</v>
      </c>
      <c r="E168" t="s">
        <v>78</v>
      </c>
      <c r="F168" t="s">
        <v>78</v>
      </c>
      <c r="G168">
        <v>0.28999999999999998</v>
      </c>
      <c r="H168" t="s">
        <v>26</v>
      </c>
      <c r="I168">
        <v>-10</v>
      </c>
      <c r="J168" t="str">
        <f>HYPERLINK("https://www.eliteprospects.com/player/351174/tynan-ewart")</f>
        <v>https://www.eliteprospects.com/player/351174/tynan-ewart</v>
      </c>
      <c r="K168" t="s">
        <v>27</v>
      </c>
      <c r="L168" t="s">
        <v>28</v>
      </c>
      <c r="M168" t="s">
        <v>1296</v>
      </c>
      <c r="N168">
        <v>3</v>
      </c>
      <c r="O168" t="s">
        <v>74</v>
      </c>
      <c r="P168">
        <v>0.06</v>
      </c>
      <c r="Q168" t="s">
        <v>1309</v>
      </c>
      <c r="R168">
        <v>0</v>
      </c>
      <c r="S168">
        <v>20</v>
      </c>
      <c r="T168">
        <v>40</v>
      </c>
      <c r="U168">
        <v>0</v>
      </c>
      <c r="V168">
        <v>40</v>
      </c>
    </row>
    <row r="169" spans="1:22" x14ac:dyDescent="0.25">
      <c r="A169" t="s">
        <v>1455</v>
      </c>
      <c r="B169" t="s">
        <v>161</v>
      </c>
      <c r="C169">
        <v>14</v>
      </c>
      <c r="D169" t="s">
        <v>96</v>
      </c>
      <c r="E169" t="s">
        <v>260</v>
      </c>
      <c r="F169" t="s">
        <v>57</v>
      </c>
      <c r="G169">
        <v>0.43</v>
      </c>
      <c r="H169" t="s">
        <v>57</v>
      </c>
      <c r="I169">
        <v>5</v>
      </c>
      <c r="J169" t="str">
        <f>HYPERLINK("https://www.eliteprospects.com/player/618648/philippe-blais-savoie")</f>
        <v>https://www.eliteprospects.com/player/618648/philippe-blais-savoie</v>
      </c>
      <c r="K169" t="s">
        <v>27</v>
      </c>
      <c r="L169" t="s">
        <v>28</v>
      </c>
      <c r="M169" t="s">
        <v>1296</v>
      </c>
      <c r="N169">
        <v>2</v>
      </c>
      <c r="O169" t="s">
        <v>43</v>
      </c>
      <c r="P169">
        <v>0.08</v>
      </c>
      <c r="Q169" t="s">
        <v>1300</v>
      </c>
      <c r="R169">
        <v>42.9</v>
      </c>
      <c r="S169">
        <v>28.6</v>
      </c>
      <c r="T169">
        <v>28.6</v>
      </c>
      <c r="U169">
        <v>0</v>
      </c>
      <c r="V169">
        <v>0</v>
      </c>
    </row>
    <row r="170" spans="1:22" x14ac:dyDescent="0.25">
      <c r="A170" t="s">
        <v>1456</v>
      </c>
      <c r="B170" t="s">
        <v>174</v>
      </c>
      <c r="C170">
        <v>19</v>
      </c>
      <c r="D170" t="s">
        <v>66</v>
      </c>
      <c r="E170" t="s">
        <v>79</v>
      </c>
      <c r="F170" t="s">
        <v>57</v>
      </c>
      <c r="G170">
        <v>0.32</v>
      </c>
      <c r="H170" t="s">
        <v>57</v>
      </c>
      <c r="I170">
        <v>5</v>
      </c>
      <c r="J170" t="str">
        <f>HYPERLINK("https://www.eliteprospects.com/player/776683/ryan-philbrick")</f>
        <v>https://www.eliteprospects.com/player/776683/ryan-philbrick</v>
      </c>
      <c r="K170" t="s">
        <v>27</v>
      </c>
      <c r="L170" t="s">
        <v>28</v>
      </c>
      <c r="M170" t="s">
        <v>1296</v>
      </c>
      <c r="N170">
        <v>1</v>
      </c>
      <c r="O170" t="s">
        <v>71</v>
      </c>
      <c r="P170">
        <v>0.06</v>
      </c>
      <c r="Q170" t="s">
        <v>1325</v>
      </c>
      <c r="R170">
        <v>18.2</v>
      </c>
      <c r="S170">
        <v>9.1</v>
      </c>
      <c r="T170">
        <v>63.6</v>
      </c>
      <c r="U170">
        <v>0</v>
      </c>
      <c r="V170">
        <v>9.1</v>
      </c>
    </row>
    <row r="171" spans="1:22" x14ac:dyDescent="0.25">
      <c r="A171" t="s">
        <v>1457</v>
      </c>
      <c r="B171" t="s">
        <v>162</v>
      </c>
      <c r="C171">
        <v>20</v>
      </c>
      <c r="D171" t="s">
        <v>140</v>
      </c>
      <c r="E171" t="s">
        <v>140</v>
      </c>
      <c r="F171" t="s">
        <v>57</v>
      </c>
      <c r="G171">
        <v>0.3</v>
      </c>
      <c r="H171" t="s">
        <v>57</v>
      </c>
      <c r="I171">
        <v>10</v>
      </c>
      <c r="J171" t="str">
        <f>HYPERLINK("https://www.eliteprospects.com/player/605379/colton-cameron")</f>
        <v>https://www.eliteprospects.com/player/605379/colton-cameron</v>
      </c>
      <c r="K171" t="s">
        <v>27</v>
      </c>
      <c r="L171" t="s">
        <v>28</v>
      </c>
      <c r="M171" t="s">
        <v>1296</v>
      </c>
      <c r="N171">
        <v>3</v>
      </c>
      <c r="O171" t="s">
        <v>74</v>
      </c>
      <c r="P171">
        <v>0.06</v>
      </c>
      <c r="Q171" t="s">
        <v>1309</v>
      </c>
      <c r="R171">
        <v>14.3</v>
      </c>
      <c r="S171">
        <v>28.6</v>
      </c>
      <c r="T171">
        <v>28.6</v>
      </c>
      <c r="U171">
        <v>0</v>
      </c>
      <c r="V171">
        <v>28.6</v>
      </c>
    </row>
    <row r="172" spans="1:22" x14ac:dyDescent="0.25">
      <c r="A172" t="s">
        <v>1458</v>
      </c>
      <c r="B172" t="s">
        <v>113</v>
      </c>
      <c r="C172">
        <v>21</v>
      </c>
      <c r="D172" t="s">
        <v>140</v>
      </c>
      <c r="E172" t="s">
        <v>140</v>
      </c>
      <c r="F172" t="s">
        <v>57</v>
      </c>
      <c r="G172">
        <v>0.28999999999999998</v>
      </c>
      <c r="H172" t="s">
        <v>66</v>
      </c>
      <c r="I172">
        <v>3</v>
      </c>
      <c r="J172" t="str">
        <f>HYPERLINK("https://www.eliteprospects.com/player/592077/jacob-conrad")</f>
        <v>https://www.eliteprospects.com/player/592077/jacob-conrad</v>
      </c>
      <c r="K172" t="s">
        <v>27</v>
      </c>
      <c r="L172" t="s">
        <v>28</v>
      </c>
      <c r="M172" t="s">
        <v>1296</v>
      </c>
      <c r="N172">
        <v>3</v>
      </c>
      <c r="O172" t="s">
        <v>74</v>
      </c>
      <c r="P172">
        <v>0.06</v>
      </c>
      <c r="Q172" t="s">
        <v>1300</v>
      </c>
      <c r="R172">
        <v>57.1</v>
      </c>
      <c r="S172">
        <v>28.6</v>
      </c>
      <c r="T172">
        <v>0</v>
      </c>
      <c r="U172">
        <v>14.3</v>
      </c>
      <c r="V172">
        <v>0</v>
      </c>
    </row>
    <row r="173" spans="1:22" x14ac:dyDescent="0.25">
      <c r="A173" t="s">
        <v>1459</v>
      </c>
      <c r="B173" t="s">
        <v>83</v>
      </c>
      <c r="C173">
        <v>14</v>
      </c>
      <c r="D173" t="s">
        <v>79</v>
      </c>
      <c r="E173" t="s">
        <v>66</v>
      </c>
      <c r="F173" t="s">
        <v>57</v>
      </c>
      <c r="G173">
        <v>0.43</v>
      </c>
      <c r="H173" t="s">
        <v>132</v>
      </c>
      <c r="I173">
        <v>4</v>
      </c>
      <c r="J173" t="str">
        <f>HYPERLINK("https://www.eliteprospects.com/player/597758/cooper-cleaves")</f>
        <v>https://www.eliteprospects.com/player/597758/cooper-cleaves</v>
      </c>
      <c r="K173" t="s">
        <v>27</v>
      </c>
      <c r="L173" t="s">
        <v>28</v>
      </c>
      <c r="M173" t="s">
        <v>1296</v>
      </c>
      <c r="N173">
        <v>1</v>
      </c>
      <c r="O173" t="s">
        <v>71</v>
      </c>
      <c r="P173">
        <v>0.08</v>
      </c>
      <c r="Q173" t="s">
        <v>1300</v>
      </c>
      <c r="R173">
        <v>42.9</v>
      </c>
      <c r="S173">
        <v>28.6</v>
      </c>
      <c r="T173">
        <v>28.6</v>
      </c>
      <c r="U173">
        <v>0</v>
      </c>
      <c r="V173">
        <v>0</v>
      </c>
    </row>
    <row r="174" spans="1:22" x14ac:dyDescent="0.25">
      <c r="A174" t="s">
        <v>1460</v>
      </c>
      <c r="B174" t="s">
        <v>134</v>
      </c>
      <c r="C174">
        <v>16</v>
      </c>
      <c r="D174" t="s">
        <v>79</v>
      </c>
      <c r="E174" t="s">
        <v>66</v>
      </c>
      <c r="F174" t="s">
        <v>57</v>
      </c>
      <c r="G174">
        <v>0.38</v>
      </c>
      <c r="H174" t="s">
        <v>39</v>
      </c>
      <c r="I174">
        <v>-3</v>
      </c>
      <c r="J174" t="str">
        <f>HYPERLINK("https://www.eliteprospects.com/player/577649/francois-james-buteau")</f>
        <v>https://www.eliteprospects.com/player/577649/francois-james-buteau</v>
      </c>
      <c r="K174" t="s">
        <v>27</v>
      </c>
      <c r="L174" t="s">
        <v>28</v>
      </c>
      <c r="M174" t="s">
        <v>1296</v>
      </c>
      <c r="N174">
        <v>6</v>
      </c>
      <c r="O174" t="s">
        <v>99</v>
      </c>
      <c r="P174">
        <v>7.0000000000000007E-2</v>
      </c>
      <c r="Q174" t="s">
        <v>245</v>
      </c>
      <c r="R174">
        <v>0</v>
      </c>
      <c r="S174">
        <v>44.4</v>
      </c>
      <c r="T174">
        <v>33.299999999999997</v>
      </c>
      <c r="U174">
        <v>0</v>
      </c>
      <c r="V174">
        <v>22.2</v>
      </c>
    </row>
    <row r="175" spans="1:22" x14ac:dyDescent="0.25">
      <c r="A175" t="s">
        <v>1461</v>
      </c>
      <c r="B175" t="s">
        <v>288</v>
      </c>
      <c r="C175">
        <v>19</v>
      </c>
      <c r="D175" t="s">
        <v>79</v>
      </c>
      <c r="E175" t="s">
        <v>66</v>
      </c>
      <c r="F175" t="s">
        <v>57</v>
      </c>
      <c r="G175">
        <v>0.32</v>
      </c>
      <c r="H175" t="s">
        <v>79</v>
      </c>
      <c r="I175">
        <v>-5</v>
      </c>
      <c r="J175" t="str">
        <f>HYPERLINK("https://www.eliteprospects.com/player/738927/jax-wismer")</f>
        <v>https://www.eliteprospects.com/player/738927/jax-wismer</v>
      </c>
      <c r="K175" t="s">
        <v>27</v>
      </c>
      <c r="L175" t="s">
        <v>28</v>
      </c>
      <c r="M175" t="s">
        <v>1296</v>
      </c>
      <c r="N175">
        <v>2</v>
      </c>
      <c r="O175" t="s">
        <v>43</v>
      </c>
      <c r="P175">
        <v>0.06</v>
      </c>
      <c r="Q175" t="s">
        <v>1309</v>
      </c>
      <c r="R175">
        <v>0</v>
      </c>
      <c r="S175">
        <v>20</v>
      </c>
      <c r="T175">
        <v>40</v>
      </c>
      <c r="U175">
        <v>0</v>
      </c>
      <c r="V175">
        <v>40</v>
      </c>
    </row>
    <row r="176" spans="1:22" x14ac:dyDescent="0.25">
      <c r="A176" t="s">
        <v>1462</v>
      </c>
      <c r="B176" t="s">
        <v>195</v>
      </c>
      <c r="C176">
        <v>19</v>
      </c>
      <c r="D176" t="s">
        <v>79</v>
      </c>
      <c r="E176" t="s">
        <v>66</v>
      </c>
      <c r="F176" t="s">
        <v>57</v>
      </c>
      <c r="G176">
        <v>0.32</v>
      </c>
      <c r="H176" t="s">
        <v>32</v>
      </c>
      <c r="I176">
        <v>-10</v>
      </c>
      <c r="J176" t="str">
        <f>HYPERLINK("https://www.eliteprospects.com/player/871078/sascha-boumedienne")</f>
        <v>https://www.eliteprospects.com/player/871078/sascha-boumedienne</v>
      </c>
      <c r="K176" t="s">
        <v>27</v>
      </c>
      <c r="L176" t="s">
        <v>28</v>
      </c>
      <c r="M176" t="s">
        <v>1296</v>
      </c>
      <c r="N176">
        <v>2</v>
      </c>
      <c r="O176" t="s">
        <v>43</v>
      </c>
      <c r="P176">
        <v>0.06</v>
      </c>
      <c r="Q176" t="s">
        <v>1309</v>
      </c>
      <c r="R176">
        <v>0</v>
      </c>
      <c r="S176">
        <v>20</v>
      </c>
      <c r="T176">
        <v>40</v>
      </c>
      <c r="U176">
        <v>0</v>
      </c>
      <c r="V176">
        <v>40</v>
      </c>
    </row>
    <row r="177" spans="1:22" x14ac:dyDescent="0.25">
      <c r="A177" t="s">
        <v>1463</v>
      </c>
      <c r="B177" t="s">
        <v>150</v>
      </c>
      <c r="C177">
        <v>20</v>
      </c>
      <c r="D177" t="s">
        <v>79</v>
      </c>
      <c r="E177" t="s">
        <v>66</v>
      </c>
      <c r="F177" t="s">
        <v>57</v>
      </c>
      <c r="G177">
        <v>0.3</v>
      </c>
      <c r="H177" t="s">
        <v>66</v>
      </c>
      <c r="I177">
        <v>5</v>
      </c>
      <c r="J177" t="str">
        <f>HYPERLINK("https://www.eliteprospects.com/player/566359/nathan-mcbrayer")</f>
        <v>https://www.eliteprospects.com/player/566359/nathan-mcbrayer</v>
      </c>
      <c r="K177" t="s">
        <v>27</v>
      </c>
      <c r="L177" t="s">
        <v>28</v>
      </c>
      <c r="M177" t="s">
        <v>1296</v>
      </c>
      <c r="N177">
        <v>3</v>
      </c>
      <c r="O177" t="s">
        <v>74</v>
      </c>
      <c r="P177">
        <v>0.06</v>
      </c>
      <c r="Q177" t="s">
        <v>1325</v>
      </c>
      <c r="R177">
        <v>18.2</v>
      </c>
      <c r="S177">
        <v>9.1</v>
      </c>
      <c r="T177">
        <v>63.6</v>
      </c>
      <c r="U177">
        <v>0</v>
      </c>
      <c r="V177">
        <v>9.1</v>
      </c>
    </row>
    <row r="178" spans="1:22" x14ac:dyDescent="0.25">
      <c r="A178" t="s">
        <v>1464</v>
      </c>
      <c r="B178" t="s">
        <v>103</v>
      </c>
      <c r="C178">
        <v>20</v>
      </c>
      <c r="D178" t="s">
        <v>79</v>
      </c>
      <c r="E178" t="s">
        <v>66</v>
      </c>
      <c r="F178" t="s">
        <v>57</v>
      </c>
      <c r="G178">
        <v>0.3</v>
      </c>
      <c r="H178" t="s">
        <v>66</v>
      </c>
      <c r="I178">
        <v>-3</v>
      </c>
      <c r="J178" t="str">
        <f>HYPERLINK("https://www.eliteprospects.com/player/603427/larry-keenan")</f>
        <v>https://www.eliteprospects.com/player/603427/larry-keenan</v>
      </c>
      <c r="K178" t="s">
        <v>27</v>
      </c>
      <c r="L178" t="s">
        <v>28</v>
      </c>
      <c r="M178" t="s">
        <v>1296</v>
      </c>
      <c r="N178">
        <v>2</v>
      </c>
      <c r="O178" t="s">
        <v>43</v>
      </c>
      <c r="P178">
        <v>0.06</v>
      </c>
      <c r="Q178" t="s">
        <v>1309</v>
      </c>
      <c r="R178">
        <v>0</v>
      </c>
      <c r="S178">
        <v>20</v>
      </c>
      <c r="T178">
        <v>40</v>
      </c>
      <c r="U178">
        <v>0</v>
      </c>
      <c r="V178">
        <v>40</v>
      </c>
    </row>
    <row r="179" spans="1:22" x14ac:dyDescent="0.25">
      <c r="A179" t="s">
        <v>1465</v>
      </c>
      <c r="B179" t="s">
        <v>224</v>
      </c>
      <c r="C179">
        <v>20</v>
      </c>
      <c r="D179" t="s">
        <v>79</v>
      </c>
      <c r="E179" t="s">
        <v>66</v>
      </c>
      <c r="F179" t="s">
        <v>57</v>
      </c>
      <c r="G179">
        <v>0.3</v>
      </c>
      <c r="H179" t="s">
        <v>57</v>
      </c>
      <c r="I179">
        <v>-10</v>
      </c>
      <c r="J179" t="str">
        <f>HYPERLINK("https://www.eliteprospects.com/player/566428/dominic-elliott")</f>
        <v>https://www.eliteprospects.com/player/566428/dominic-elliott</v>
      </c>
      <c r="K179" t="s">
        <v>27</v>
      </c>
      <c r="L179" t="s">
        <v>28</v>
      </c>
      <c r="M179" t="s">
        <v>1296</v>
      </c>
      <c r="N179">
        <v>2</v>
      </c>
      <c r="O179" t="s">
        <v>43</v>
      </c>
      <c r="P179">
        <v>0.06</v>
      </c>
      <c r="Q179" t="s">
        <v>1309</v>
      </c>
      <c r="R179">
        <v>0</v>
      </c>
      <c r="S179">
        <v>20</v>
      </c>
      <c r="T179">
        <v>40</v>
      </c>
      <c r="U179">
        <v>0</v>
      </c>
      <c r="V179">
        <v>40</v>
      </c>
    </row>
    <row r="180" spans="1:22" x14ac:dyDescent="0.25">
      <c r="A180" t="s">
        <v>1466</v>
      </c>
      <c r="B180" t="s">
        <v>116</v>
      </c>
      <c r="C180">
        <v>21</v>
      </c>
      <c r="D180" t="s">
        <v>79</v>
      </c>
      <c r="E180" t="s">
        <v>66</v>
      </c>
      <c r="F180" t="s">
        <v>57</v>
      </c>
      <c r="G180">
        <v>0.28999999999999998</v>
      </c>
      <c r="H180" t="s">
        <v>66</v>
      </c>
      <c r="I180">
        <v>-13</v>
      </c>
      <c r="J180" t="str">
        <f>HYPERLINK("https://www.eliteprospects.com/player/651908/sam-frandina")</f>
        <v>https://www.eliteprospects.com/player/651908/sam-frandina</v>
      </c>
      <c r="K180" t="s">
        <v>27</v>
      </c>
      <c r="L180" t="s">
        <v>28</v>
      </c>
      <c r="M180" t="s">
        <v>1296</v>
      </c>
      <c r="N180">
        <v>1</v>
      </c>
      <c r="O180" t="s">
        <v>71</v>
      </c>
      <c r="P180">
        <v>0.06</v>
      </c>
      <c r="Q180" t="s">
        <v>1309</v>
      </c>
      <c r="R180">
        <v>0</v>
      </c>
      <c r="S180">
        <v>20</v>
      </c>
      <c r="T180">
        <v>40</v>
      </c>
      <c r="U180">
        <v>0</v>
      </c>
      <c r="V180">
        <v>40</v>
      </c>
    </row>
    <row r="181" spans="1:22" x14ac:dyDescent="0.25">
      <c r="A181" t="s">
        <v>1467</v>
      </c>
      <c r="B181" t="s">
        <v>202</v>
      </c>
      <c r="C181">
        <v>22</v>
      </c>
      <c r="D181" t="s">
        <v>79</v>
      </c>
      <c r="E181" t="s">
        <v>66</v>
      </c>
      <c r="F181" t="s">
        <v>57</v>
      </c>
      <c r="G181">
        <v>0.27</v>
      </c>
      <c r="H181" t="s">
        <v>57</v>
      </c>
      <c r="I181">
        <v>1</v>
      </c>
      <c r="J181" t="str">
        <f>HYPERLINK("https://www.eliteprospects.com/player/551335/jacob-guevin")</f>
        <v>https://www.eliteprospects.com/player/551335/jacob-guevin</v>
      </c>
      <c r="K181" t="s">
        <v>27</v>
      </c>
      <c r="L181" t="s">
        <v>28</v>
      </c>
      <c r="M181" t="s">
        <v>1296</v>
      </c>
      <c r="N181">
        <v>4</v>
      </c>
      <c r="O181" t="s">
        <v>30</v>
      </c>
      <c r="P181">
        <v>0.05</v>
      </c>
      <c r="Q181" t="s">
        <v>1300</v>
      </c>
      <c r="R181">
        <v>57.1</v>
      </c>
      <c r="S181">
        <v>28.6</v>
      </c>
      <c r="T181">
        <v>0</v>
      </c>
      <c r="U181">
        <v>14.3</v>
      </c>
      <c r="V181">
        <v>0</v>
      </c>
    </row>
    <row r="182" spans="1:22" x14ac:dyDescent="0.25">
      <c r="A182" t="s">
        <v>1468</v>
      </c>
      <c r="B182" t="s">
        <v>82</v>
      </c>
      <c r="C182">
        <v>22</v>
      </c>
      <c r="D182" t="s">
        <v>79</v>
      </c>
      <c r="E182" t="s">
        <v>66</v>
      </c>
      <c r="F182" t="s">
        <v>57</v>
      </c>
      <c r="G182">
        <v>0.27</v>
      </c>
      <c r="H182" t="s">
        <v>32</v>
      </c>
      <c r="I182">
        <v>-1</v>
      </c>
      <c r="J182" t="str">
        <f>HYPERLINK("https://www.eliteprospects.com/player/592465/mitchell-wolfe")</f>
        <v>https://www.eliteprospects.com/player/592465/mitchell-wolfe</v>
      </c>
      <c r="K182" t="s">
        <v>27</v>
      </c>
      <c r="L182" t="s">
        <v>28</v>
      </c>
      <c r="M182" t="s">
        <v>1296</v>
      </c>
      <c r="N182">
        <v>4</v>
      </c>
      <c r="O182" t="s">
        <v>30</v>
      </c>
      <c r="P182">
        <v>0.05</v>
      </c>
      <c r="Q182" t="s">
        <v>1300</v>
      </c>
      <c r="R182">
        <v>37.5</v>
      </c>
      <c r="S182">
        <v>37.5</v>
      </c>
      <c r="T182">
        <v>0</v>
      </c>
      <c r="U182">
        <v>12.5</v>
      </c>
      <c r="V182">
        <v>12.5</v>
      </c>
    </row>
    <row r="183" spans="1:22" x14ac:dyDescent="0.25">
      <c r="A183" t="s">
        <v>1469</v>
      </c>
      <c r="B183" t="s">
        <v>130</v>
      </c>
      <c r="C183">
        <v>14</v>
      </c>
      <c r="D183" t="s">
        <v>260</v>
      </c>
      <c r="E183" t="s">
        <v>96</v>
      </c>
      <c r="F183" t="s">
        <v>57</v>
      </c>
      <c r="G183">
        <v>0.43</v>
      </c>
      <c r="H183" t="s">
        <v>55</v>
      </c>
      <c r="I183">
        <v>-7</v>
      </c>
      <c r="J183" t="str">
        <f>HYPERLINK("https://www.eliteprospects.com/player/565754/hunter-mayo")</f>
        <v>https://www.eliteprospects.com/player/565754/hunter-mayo</v>
      </c>
      <c r="K183" t="s">
        <v>27</v>
      </c>
      <c r="L183" t="s">
        <v>28</v>
      </c>
      <c r="M183" t="s">
        <v>1296</v>
      </c>
      <c r="N183">
        <v>6</v>
      </c>
      <c r="O183" t="s">
        <v>193</v>
      </c>
      <c r="P183">
        <v>0.08</v>
      </c>
      <c r="Q183" t="s">
        <v>245</v>
      </c>
      <c r="R183">
        <v>0</v>
      </c>
      <c r="S183">
        <v>44.4</v>
      </c>
      <c r="T183">
        <v>33.299999999999997</v>
      </c>
      <c r="U183">
        <v>0</v>
      </c>
      <c r="V183">
        <v>22.2</v>
      </c>
    </row>
    <row r="184" spans="1:22" x14ac:dyDescent="0.25">
      <c r="A184" t="s">
        <v>1470</v>
      </c>
      <c r="B184" t="s">
        <v>288</v>
      </c>
      <c r="C184">
        <v>16</v>
      </c>
      <c r="D184" t="s">
        <v>260</v>
      </c>
      <c r="E184" t="s">
        <v>96</v>
      </c>
      <c r="F184" t="s">
        <v>57</v>
      </c>
      <c r="G184">
        <v>0.38</v>
      </c>
      <c r="H184" t="s">
        <v>23</v>
      </c>
      <c r="I184">
        <v>2</v>
      </c>
      <c r="J184" t="str">
        <f>HYPERLINK("https://www.eliteprospects.com/player/350707/philip-tornqvist")</f>
        <v>https://www.eliteprospects.com/player/350707/philip-tornqvist</v>
      </c>
      <c r="K184" t="s">
        <v>27</v>
      </c>
      <c r="L184" t="s">
        <v>28</v>
      </c>
      <c r="M184" t="s">
        <v>1296</v>
      </c>
      <c r="N184">
        <v>4</v>
      </c>
      <c r="O184" t="s">
        <v>30</v>
      </c>
      <c r="P184">
        <v>7.0000000000000007E-2</v>
      </c>
      <c r="Q184" t="s">
        <v>1325</v>
      </c>
      <c r="R184">
        <v>33.299999999999997</v>
      </c>
      <c r="S184">
        <v>16.7</v>
      </c>
      <c r="T184">
        <v>33.299999999999997</v>
      </c>
      <c r="U184">
        <v>16.7</v>
      </c>
      <c r="V184">
        <v>0</v>
      </c>
    </row>
    <row r="185" spans="1:22" x14ac:dyDescent="0.25">
      <c r="A185" t="s">
        <v>1471</v>
      </c>
      <c r="B185" t="s">
        <v>120</v>
      </c>
      <c r="C185">
        <v>18</v>
      </c>
      <c r="D185" t="s">
        <v>260</v>
      </c>
      <c r="E185" t="s">
        <v>96</v>
      </c>
      <c r="F185" t="s">
        <v>57</v>
      </c>
      <c r="G185">
        <v>0.33</v>
      </c>
      <c r="H185" t="s">
        <v>55</v>
      </c>
      <c r="I185">
        <v>5</v>
      </c>
      <c r="J185" t="str">
        <f>HYPERLINK("https://www.eliteprospects.com/player/618574/aram-minnetian")</f>
        <v>https://www.eliteprospects.com/player/618574/aram-minnetian</v>
      </c>
      <c r="K185" t="s">
        <v>27</v>
      </c>
      <c r="L185" t="s">
        <v>28</v>
      </c>
      <c r="M185" t="s">
        <v>1296</v>
      </c>
      <c r="N185">
        <v>3</v>
      </c>
      <c r="O185" t="s">
        <v>74</v>
      </c>
      <c r="P185">
        <v>0.06</v>
      </c>
      <c r="Q185" t="s">
        <v>1325</v>
      </c>
      <c r="R185">
        <v>18.2</v>
      </c>
      <c r="S185">
        <v>9.1</v>
      </c>
      <c r="T185">
        <v>63.6</v>
      </c>
      <c r="U185">
        <v>0</v>
      </c>
      <c r="V185">
        <v>9.1</v>
      </c>
    </row>
    <row r="186" spans="1:22" x14ac:dyDescent="0.25">
      <c r="A186" t="s">
        <v>1472</v>
      </c>
      <c r="B186" t="s">
        <v>90</v>
      </c>
      <c r="C186">
        <v>19</v>
      </c>
      <c r="D186" t="s">
        <v>260</v>
      </c>
      <c r="E186" t="s">
        <v>96</v>
      </c>
      <c r="F186" t="s">
        <v>57</v>
      </c>
      <c r="G186">
        <v>0.32</v>
      </c>
      <c r="H186" t="s">
        <v>55</v>
      </c>
      <c r="I186">
        <v>4</v>
      </c>
      <c r="J186" t="str">
        <f>HYPERLINK("https://www.eliteprospects.com/player/620353/aiden-vanrooyan")</f>
        <v>https://www.eliteprospects.com/player/620353/aiden-vanrooyan</v>
      </c>
      <c r="K186" t="s">
        <v>27</v>
      </c>
      <c r="L186" t="s">
        <v>28</v>
      </c>
      <c r="M186" t="s">
        <v>1296</v>
      </c>
      <c r="N186">
        <v>2</v>
      </c>
      <c r="O186" t="s">
        <v>43</v>
      </c>
      <c r="P186">
        <v>0.06</v>
      </c>
      <c r="Q186" t="s">
        <v>1325</v>
      </c>
      <c r="R186">
        <v>18.2</v>
      </c>
      <c r="S186">
        <v>9.1</v>
      </c>
      <c r="T186">
        <v>63.6</v>
      </c>
      <c r="U186">
        <v>0</v>
      </c>
      <c r="V186">
        <v>9.1</v>
      </c>
    </row>
    <row r="187" spans="1:22" x14ac:dyDescent="0.25">
      <c r="A187" t="s">
        <v>1473</v>
      </c>
      <c r="B187" t="s">
        <v>162</v>
      </c>
      <c r="C187">
        <v>20</v>
      </c>
      <c r="D187" t="s">
        <v>260</v>
      </c>
      <c r="E187" t="s">
        <v>96</v>
      </c>
      <c r="F187" t="s">
        <v>57</v>
      </c>
      <c r="G187">
        <v>0.3</v>
      </c>
      <c r="H187" t="s">
        <v>55</v>
      </c>
      <c r="I187">
        <v>8</v>
      </c>
      <c r="J187" t="str">
        <f>HYPERLINK("https://www.eliteprospects.com/player/512096/david-helledy")</f>
        <v>https://www.eliteprospects.com/player/512096/david-helledy</v>
      </c>
      <c r="K187" t="s">
        <v>27</v>
      </c>
      <c r="L187" t="s">
        <v>28</v>
      </c>
      <c r="M187" t="s">
        <v>1296</v>
      </c>
      <c r="N187">
        <v>2</v>
      </c>
      <c r="O187" t="s">
        <v>43</v>
      </c>
      <c r="P187">
        <v>0.06</v>
      </c>
      <c r="Q187" t="s">
        <v>1325</v>
      </c>
      <c r="R187">
        <v>18.2</v>
      </c>
      <c r="S187">
        <v>9.1</v>
      </c>
      <c r="T187">
        <v>63.6</v>
      </c>
      <c r="U187">
        <v>0</v>
      </c>
      <c r="V187">
        <v>9.1</v>
      </c>
    </row>
    <row r="188" spans="1:22" x14ac:dyDescent="0.25">
      <c r="A188" t="s">
        <v>1474</v>
      </c>
      <c r="B188" t="s">
        <v>73</v>
      </c>
      <c r="C188">
        <v>22</v>
      </c>
      <c r="D188" t="s">
        <v>260</v>
      </c>
      <c r="E188" t="s">
        <v>96</v>
      </c>
      <c r="F188" t="s">
        <v>57</v>
      </c>
      <c r="G188">
        <v>0.27</v>
      </c>
      <c r="H188" t="s">
        <v>57</v>
      </c>
      <c r="I188">
        <v>0</v>
      </c>
      <c r="J188" t="str">
        <f>HYPERLINK("https://www.eliteprospects.com/player/413249/josh-zinger")</f>
        <v>https://www.eliteprospects.com/player/413249/josh-zinger</v>
      </c>
      <c r="K188" t="s">
        <v>27</v>
      </c>
      <c r="L188" t="s">
        <v>28</v>
      </c>
      <c r="M188" t="s">
        <v>1296</v>
      </c>
      <c r="N188">
        <v>4</v>
      </c>
      <c r="O188" t="s">
        <v>30</v>
      </c>
      <c r="P188">
        <v>0.05</v>
      </c>
      <c r="Q188" t="s">
        <v>1300</v>
      </c>
      <c r="R188">
        <v>37.5</v>
      </c>
      <c r="S188">
        <v>37.5</v>
      </c>
      <c r="T188">
        <v>0</v>
      </c>
      <c r="U188">
        <v>12.5</v>
      </c>
      <c r="V188">
        <v>12.5</v>
      </c>
    </row>
    <row r="189" spans="1:22" x14ac:dyDescent="0.25">
      <c r="A189" t="s">
        <v>1475</v>
      </c>
      <c r="B189" t="s">
        <v>161</v>
      </c>
      <c r="C189">
        <v>22</v>
      </c>
      <c r="D189" t="s">
        <v>260</v>
      </c>
      <c r="E189" t="s">
        <v>96</v>
      </c>
      <c r="F189" t="s">
        <v>57</v>
      </c>
      <c r="G189">
        <v>0.27</v>
      </c>
      <c r="H189" t="s">
        <v>39</v>
      </c>
      <c r="I189">
        <v>-3</v>
      </c>
      <c r="J189" t="str">
        <f>HYPERLINK("https://www.eliteprospects.com/player/603728/seth-constance")</f>
        <v>https://www.eliteprospects.com/player/603728/seth-constance</v>
      </c>
      <c r="K189" t="s">
        <v>27</v>
      </c>
      <c r="L189" t="s">
        <v>28</v>
      </c>
      <c r="M189" t="s">
        <v>1296</v>
      </c>
      <c r="N189">
        <v>2</v>
      </c>
      <c r="O189" t="s">
        <v>43</v>
      </c>
      <c r="P189">
        <v>0.05</v>
      </c>
      <c r="Q189" t="s">
        <v>1309</v>
      </c>
      <c r="R189">
        <v>0</v>
      </c>
      <c r="S189">
        <v>20</v>
      </c>
      <c r="T189">
        <v>40</v>
      </c>
      <c r="U189">
        <v>0</v>
      </c>
      <c r="V189">
        <v>40</v>
      </c>
    </row>
    <row r="190" spans="1:22" x14ac:dyDescent="0.25">
      <c r="A190" t="s">
        <v>1476</v>
      </c>
      <c r="B190" t="s">
        <v>22</v>
      </c>
      <c r="C190">
        <v>24</v>
      </c>
      <c r="D190" t="s">
        <v>260</v>
      </c>
      <c r="E190" t="s">
        <v>96</v>
      </c>
      <c r="F190" t="s">
        <v>57</v>
      </c>
      <c r="G190">
        <v>0.25</v>
      </c>
      <c r="H190" t="s">
        <v>57</v>
      </c>
      <c r="I190">
        <v>4</v>
      </c>
      <c r="J190" t="str">
        <f>HYPERLINK("https://www.eliteprospects.com/player/566399/joel-kjellberg")</f>
        <v>https://www.eliteprospects.com/player/566399/joel-kjellberg</v>
      </c>
      <c r="K190" t="s">
        <v>27</v>
      </c>
      <c r="L190" t="s">
        <v>28</v>
      </c>
      <c r="M190" t="s">
        <v>1296</v>
      </c>
      <c r="N190">
        <v>2</v>
      </c>
      <c r="O190" t="s">
        <v>43</v>
      </c>
      <c r="P190">
        <v>0.05</v>
      </c>
      <c r="Q190" t="s">
        <v>1300</v>
      </c>
      <c r="R190">
        <v>57.1</v>
      </c>
      <c r="S190">
        <v>28.6</v>
      </c>
      <c r="T190">
        <v>0</v>
      </c>
      <c r="U190">
        <v>14.3</v>
      </c>
      <c r="V190">
        <v>0</v>
      </c>
    </row>
    <row r="191" spans="1:22" x14ac:dyDescent="0.25">
      <c r="A191" t="s">
        <v>1477</v>
      </c>
      <c r="B191" t="s">
        <v>167</v>
      </c>
      <c r="C191">
        <v>14</v>
      </c>
      <c r="D191" t="s">
        <v>132</v>
      </c>
      <c r="E191" t="s">
        <v>57</v>
      </c>
      <c r="F191" t="s">
        <v>57</v>
      </c>
      <c r="G191">
        <v>0.43</v>
      </c>
      <c r="H191" t="s">
        <v>66</v>
      </c>
      <c r="I191">
        <v>3</v>
      </c>
      <c r="J191" t="str">
        <f>HYPERLINK("https://www.eliteprospects.com/player/599383/lucas-st-louis")</f>
        <v>https://www.eliteprospects.com/player/599383/lucas-st-louis</v>
      </c>
      <c r="K191" t="s">
        <v>27</v>
      </c>
      <c r="L191" t="s">
        <v>28</v>
      </c>
      <c r="M191" t="s">
        <v>1296</v>
      </c>
      <c r="N191">
        <v>2</v>
      </c>
      <c r="O191" t="s">
        <v>43</v>
      </c>
      <c r="P191">
        <v>0.08</v>
      </c>
      <c r="Q191" t="s">
        <v>1300</v>
      </c>
      <c r="R191">
        <v>42.9</v>
      </c>
      <c r="S191">
        <v>28.6</v>
      </c>
      <c r="T191">
        <v>28.6</v>
      </c>
      <c r="U191">
        <v>0</v>
      </c>
      <c r="V191">
        <v>0</v>
      </c>
    </row>
    <row r="192" spans="1:22" x14ac:dyDescent="0.25">
      <c r="A192" t="s">
        <v>1478</v>
      </c>
      <c r="B192" t="s">
        <v>222</v>
      </c>
      <c r="C192">
        <v>16</v>
      </c>
      <c r="D192" t="s">
        <v>132</v>
      </c>
      <c r="E192" t="s">
        <v>57</v>
      </c>
      <c r="F192" t="s">
        <v>57</v>
      </c>
      <c r="G192">
        <v>0.38</v>
      </c>
      <c r="H192" t="s">
        <v>26</v>
      </c>
      <c r="I192">
        <v>2</v>
      </c>
      <c r="J192" t="str">
        <f>HYPERLINK("https://www.eliteprospects.com/player/852803/dylan-hunt")</f>
        <v>https://www.eliteprospects.com/player/852803/dylan-hunt</v>
      </c>
      <c r="K192" t="s">
        <v>27</v>
      </c>
      <c r="L192" t="s">
        <v>28</v>
      </c>
      <c r="M192" t="s">
        <v>1296</v>
      </c>
      <c r="N192">
        <v>1</v>
      </c>
      <c r="O192" t="s">
        <v>71</v>
      </c>
      <c r="P192">
        <v>7.0000000000000007E-2</v>
      </c>
      <c r="Q192" t="s">
        <v>1325</v>
      </c>
      <c r="R192">
        <v>33.299999999999997</v>
      </c>
      <c r="S192">
        <v>16.7</v>
      </c>
      <c r="T192">
        <v>33.299999999999997</v>
      </c>
      <c r="U192">
        <v>16.7</v>
      </c>
      <c r="V192">
        <v>0</v>
      </c>
    </row>
    <row r="193" spans="1:22" x14ac:dyDescent="0.25">
      <c r="A193" t="s">
        <v>1479</v>
      </c>
      <c r="B193" t="s">
        <v>312</v>
      </c>
      <c r="C193">
        <v>18</v>
      </c>
      <c r="D193" t="s">
        <v>132</v>
      </c>
      <c r="E193" t="s">
        <v>57</v>
      </c>
      <c r="F193" t="s">
        <v>57</v>
      </c>
      <c r="G193">
        <v>0.33</v>
      </c>
      <c r="H193" t="s">
        <v>132</v>
      </c>
      <c r="I193">
        <v>-5</v>
      </c>
      <c r="J193" t="str">
        <f>HYPERLINK("https://www.eliteprospects.com/player/476537/logan-acheson")</f>
        <v>https://www.eliteprospects.com/player/476537/logan-acheson</v>
      </c>
      <c r="K193" t="s">
        <v>27</v>
      </c>
      <c r="L193" t="s">
        <v>28</v>
      </c>
      <c r="M193" t="s">
        <v>1296</v>
      </c>
      <c r="N193">
        <v>4</v>
      </c>
      <c r="O193" t="s">
        <v>30</v>
      </c>
      <c r="P193">
        <v>0.06</v>
      </c>
      <c r="Q193" t="s">
        <v>1309</v>
      </c>
      <c r="R193">
        <v>0</v>
      </c>
      <c r="S193">
        <v>20</v>
      </c>
      <c r="T193">
        <v>40</v>
      </c>
      <c r="U193">
        <v>0</v>
      </c>
      <c r="V193">
        <v>40</v>
      </c>
    </row>
    <row r="194" spans="1:22" x14ac:dyDescent="0.25">
      <c r="A194" t="s">
        <v>1480</v>
      </c>
      <c r="B194" t="s">
        <v>139</v>
      </c>
      <c r="C194">
        <v>18</v>
      </c>
      <c r="D194" t="s">
        <v>132</v>
      </c>
      <c r="E194" t="s">
        <v>57</v>
      </c>
      <c r="F194" t="s">
        <v>57</v>
      </c>
      <c r="G194">
        <v>0.33</v>
      </c>
      <c r="H194" t="s">
        <v>32</v>
      </c>
      <c r="I194">
        <v>8</v>
      </c>
      <c r="J194" t="str">
        <f>HYPERLINK("https://www.eliteprospects.com/player/574853/jack-phelan")</f>
        <v>https://www.eliteprospects.com/player/574853/jack-phelan</v>
      </c>
      <c r="K194" t="s">
        <v>27</v>
      </c>
      <c r="L194" t="s">
        <v>28</v>
      </c>
      <c r="M194" t="s">
        <v>1296</v>
      </c>
      <c r="N194">
        <v>2</v>
      </c>
      <c r="O194" t="s">
        <v>43</v>
      </c>
      <c r="P194">
        <v>0.06</v>
      </c>
      <c r="Q194" t="s">
        <v>1309</v>
      </c>
      <c r="R194">
        <v>14.3</v>
      </c>
      <c r="S194">
        <v>28.6</v>
      </c>
      <c r="T194">
        <v>28.6</v>
      </c>
      <c r="U194">
        <v>0</v>
      </c>
      <c r="V194">
        <v>28.6</v>
      </c>
    </row>
    <row r="195" spans="1:22" x14ac:dyDescent="0.25">
      <c r="A195" t="s">
        <v>1481</v>
      </c>
      <c r="B195" t="s">
        <v>177</v>
      </c>
      <c r="C195">
        <v>19</v>
      </c>
      <c r="D195" t="s">
        <v>132</v>
      </c>
      <c r="E195" t="s">
        <v>57</v>
      </c>
      <c r="F195" t="s">
        <v>57</v>
      </c>
      <c r="G195">
        <v>0.32</v>
      </c>
      <c r="H195" t="s">
        <v>26</v>
      </c>
      <c r="I195">
        <v>0</v>
      </c>
      <c r="J195" t="str">
        <f>HYPERLINK("https://www.eliteprospects.com/player/444945/mitchell-becker")</f>
        <v>https://www.eliteprospects.com/player/444945/mitchell-becker</v>
      </c>
      <c r="K195" t="s">
        <v>27</v>
      </c>
      <c r="L195" t="s">
        <v>28</v>
      </c>
      <c r="M195" t="s">
        <v>1296</v>
      </c>
      <c r="N195">
        <v>4</v>
      </c>
      <c r="O195" t="s">
        <v>30</v>
      </c>
      <c r="P195">
        <v>0.06</v>
      </c>
      <c r="Q195" t="s">
        <v>1300</v>
      </c>
      <c r="R195">
        <v>37.5</v>
      </c>
      <c r="S195">
        <v>37.5</v>
      </c>
      <c r="T195">
        <v>0</v>
      </c>
      <c r="U195">
        <v>12.5</v>
      </c>
      <c r="V195">
        <v>12.5</v>
      </c>
    </row>
    <row r="196" spans="1:22" x14ac:dyDescent="0.25">
      <c r="A196" t="s">
        <v>1482</v>
      </c>
      <c r="B196" t="s">
        <v>362</v>
      </c>
      <c r="C196">
        <v>19</v>
      </c>
      <c r="D196" t="s">
        <v>132</v>
      </c>
      <c r="E196" t="s">
        <v>57</v>
      </c>
      <c r="F196" t="s">
        <v>57</v>
      </c>
      <c r="G196">
        <v>0.32</v>
      </c>
      <c r="H196" t="s">
        <v>39</v>
      </c>
      <c r="I196">
        <v>-10</v>
      </c>
      <c r="J196" t="str">
        <f>HYPERLINK("https://www.eliteprospects.com/player/600861/jacob-leblanc")</f>
        <v>https://www.eliteprospects.com/player/600861/jacob-leblanc</v>
      </c>
      <c r="K196" t="s">
        <v>27</v>
      </c>
      <c r="L196" t="s">
        <v>28</v>
      </c>
      <c r="M196" t="s">
        <v>1296</v>
      </c>
      <c r="N196">
        <v>5</v>
      </c>
      <c r="O196" t="s">
        <v>147</v>
      </c>
      <c r="P196">
        <v>0.06</v>
      </c>
      <c r="Q196" t="s">
        <v>1309</v>
      </c>
      <c r="R196">
        <v>0</v>
      </c>
      <c r="S196">
        <v>20</v>
      </c>
      <c r="T196">
        <v>40</v>
      </c>
      <c r="U196">
        <v>0</v>
      </c>
      <c r="V196">
        <v>40</v>
      </c>
    </row>
    <row r="197" spans="1:22" x14ac:dyDescent="0.25">
      <c r="A197" t="s">
        <v>1483</v>
      </c>
      <c r="B197" t="s">
        <v>255</v>
      </c>
      <c r="C197">
        <v>20</v>
      </c>
      <c r="D197" t="s">
        <v>132</v>
      </c>
      <c r="E197" t="s">
        <v>57</v>
      </c>
      <c r="F197" t="s">
        <v>57</v>
      </c>
      <c r="G197">
        <v>0.3</v>
      </c>
      <c r="H197" t="s">
        <v>39</v>
      </c>
      <c r="I197">
        <v>-10</v>
      </c>
      <c r="J197" t="str">
        <f>HYPERLINK("https://www.eliteprospects.com/player/466650/charlie-banquier")</f>
        <v>https://www.eliteprospects.com/player/466650/charlie-banquier</v>
      </c>
      <c r="K197" t="s">
        <v>27</v>
      </c>
      <c r="L197" t="s">
        <v>28</v>
      </c>
      <c r="M197" t="s">
        <v>1296</v>
      </c>
      <c r="N197">
        <v>3</v>
      </c>
      <c r="O197" t="s">
        <v>74</v>
      </c>
      <c r="P197">
        <v>0.06</v>
      </c>
      <c r="Q197" t="s">
        <v>1309</v>
      </c>
      <c r="R197">
        <v>0</v>
      </c>
      <c r="S197">
        <v>20</v>
      </c>
      <c r="T197">
        <v>40</v>
      </c>
      <c r="U197">
        <v>0</v>
      </c>
      <c r="V197">
        <v>40</v>
      </c>
    </row>
    <row r="198" spans="1:22" x14ac:dyDescent="0.25">
      <c r="A198" t="s">
        <v>1484</v>
      </c>
      <c r="B198" t="s">
        <v>134</v>
      </c>
      <c r="C198">
        <v>20</v>
      </c>
      <c r="D198" t="s">
        <v>132</v>
      </c>
      <c r="E198" t="s">
        <v>57</v>
      </c>
      <c r="F198" t="s">
        <v>57</v>
      </c>
      <c r="G198">
        <v>0.3</v>
      </c>
      <c r="H198" t="s">
        <v>125</v>
      </c>
      <c r="I198">
        <v>-2</v>
      </c>
      <c r="J198" t="str">
        <f>HYPERLINK("https://www.eliteprospects.com/player/609479/jason-gallucci")</f>
        <v>https://www.eliteprospects.com/player/609479/jason-gallucci</v>
      </c>
      <c r="K198" t="s">
        <v>27</v>
      </c>
      <c r="L198" t="s">
        <v>28</v>
      </c>
      <c r="M198" t="s">
        <v>1296</v>
      </c>
      <c r="N198">
        <v>2</v>
      </c>
      <c r="O198" t="s">
        <v>43</v>
      </c>
      <c r="P198">
        <v>0.06</v>
      </c>
      <c r="Q198" t="s">
        <v>1300</v>
      </c>
      <c r="R198">
        <v>37.5</v>
      </c>
      <c r="S198">
        <v>37.5</v>
      </c>
      <c r="T198">
        <v>0</v>
      </c>
      <c r="U198">
        <v>12.5</v>
      </c>
      <c r="V198">
        <v>12.5</v>
      </c>
    </row>
    <row r="199" spans="1:22" x14ac:dyDescent="0.25">
      <c r="A199" t="s">
        <v>1485</v>
      </c>
      <c r="B199" t="s">
        <v>131</v>
      </c>
      <c r="C199">
        <v>23</v>
      </c>
      <c r="D199" t="s">
        <v>132</v>
      </c>
      <c r="E199" t="s">
        <v>57</v>
      </c>
      <c r="F199" t="s">
        <v>57</v>
      </c>
      <c r="G199">
        <v>0.26</v>
      </c>
      <c r="H199" t="s">
        <v>23</v>
      </c>
      <c r="I199">
        <v>1</v>
      </c>
      <c r="J199" t="str">
        <f>HYPERLINK("https://www.eliteprospects.com/player/658954/samuel-groebner")</f>
        <v>https://www.eliteprospects.com/player/658954/samuel-groebner</v>
      </c>
      <c r="K199" t="s">
        <v>27</v>
      </c>
      <c r="L199" t="s">
        <v>28</v>
      </c>
      <c r="M199" t="s">
        <v>1296</v>
      </c>
      <c r="N199">
        <v>2</v>
      </c>
      <c r="O199" t="s">
        <v>43</v>
      </c>
      <c r="P199">
        <v>0.05</v>
      </c>
      <c r="Q199" t="s">
        <v>1300</v>
      </c>
      <c r="R199">
        <v>57.1</v>
      </c>
      <c r="S199">
        <v>28.6</v>
      </c>
      <c r="T199">
        <v>0</v>
      </c>
      <c r="U199">
        <v>14.3</v>
      </c>
      <c r="V199">
        <v>0</v>
      </c>
    </row>
    <row r="200" spans="1:22" x14ac:dyDescent="0.25">
      <c r="A200" t="s">
        <v>1486</v>
      </c>
      <c r="B200" t="s">
        <v>106</v>
      </c>
      <c r="C200">
        <v>20</v>
      </c>
      <c r="D200" t="s">
        <v>66</v>
      </c>
      <c r="E200" t="s">
        <v>260</v>
      </c>
      <c r="F200" t="s">
        <v>96</v>
      </c>
      <c r="G200">
        <v>0.25</v>
      </c>
      <c r="H200" t="s">
        <v>38</v>
      </c>
      <c r="I200">
        <v>6</v>
      </c>
      <c r="J200" t="str">
        <f>HYPERLINK("https://www.eliteprospects.com/player/640785/matthew-mayich")</f>
        <v>https://www.eliteprospects.com/player/640785/matthew-mayich</v>
      </c>
      <c r="K200" t="s">
        <v>27</v>
      </c>
      <c r="L200" t="s">
        <v>28</v>
      </c>
      <c r="M200" t="s">
        <v>1296</v>
      </c>
      <c r="N200">
        <v>5</v>
      </c>
      <c r="O200" t="s">
        <v>147</v>
      </c>
      <c r="P200">
        <v>0.05</v>
      </c>
      <c r="Q200" t="s">
        <v>1325</v>
      </c>
      <c r="R200">
        <v>18.2</v>
      </c>
      <c r="S200">
        <v>9.1</v>
      </c>
      <c r="T200">
        <v>63.6</v>
      </c>
      <c r="U200">
        <v>0</v>
      </c>
      <c r="V200">
        <v>9.1</v>
      </c>
    </row>
    <row r="201" spans="1:22" x14ac:dyDescent="0.25">
      <c r="A201" t="s">
        <v>1487</v>
      </c>
      <c r="B201" t="s">
        <v>82</v>
      </c>
      <c r="C201">
        <v>22</v>
      </c>
      <c r="D201" t="s">
        <v>66</v>
      </c>
      <c r="E201" t="s">
        <v>260</v>
      </c>
      <c r="F201" t="s">
        <v>96</v>
      </c>
      <c r="G201">
        <v>0.23</v>
      </c>
      <c r="H201" t="s">
        <v>38</v>
      </c>
      <c r="I201">
        <v>13</v>
      </c>
      <c r="J201" t="str">
        <f>HYPERLINK("https://www.eliteprospects.com/player/714715/maxon-vig")</f>
        <v>https://www.eliteprospects.com/player/714715/maxon-vig</v>
      </c>
      <c r="K201" t="s">
        <v>27</v>
      </c>
      <c r="L201" t="s">
        <v>28</v>
      </c>
      <c r="M201" t="s">
        <v>1296</v>
      </c>
      <c r="N201">
        <v>1</v>
      </c>
      <c r="O201" t="s">
        <v>71</v>
      </c>
      <c r="P201">
        <v>0.04</v>
      </c>
      <c r="Q201" t="s">
        <v>1488</v>
      </c>
      <c r="R201">
        <v>0</v>
      </c>
      <c r="S201">
        <v>0</v>
      </c>
      <c r="T201">
        <v>0</v>
      </c>
      <c r="U201">
        <v>0</v>
      </c>
      <c r="V201">
        <v>0</v>
      </c>
    </row>
    <row r="202" spans="1:22" x14ac:dyDescent="0.25">
      <c r="A202" t="s">
        <v>1489</v>
      </c>
      <c r="B202" t="s">
        <v>255</v>
      </c>
      <c r="C202">
        <v>17</v>
      </c>
      <c r="D202" t="s">
        <v>140</v>
      </c>
      <c r="E202" t="s">
        <v>79</v>
      </c>
      <c r="F202" t="s">
        <v>96</v>
      </c>
      <c r="G202">
        <v>0.28999999999999998</v>
      </c>
      <c r="H202" t="s">
        <v>66</v>
      </c>
      <c r="I202">
        <v>-3</v>
      </c>
      <c r="J202" t="str">
        <f>HYPERLINK("https://www.eliteprospects.com/player/512302/justin-gibson")</f>
        <v>https://www.eliteprospects.com/player/512302/justin-gibson</v>
      </c>
      <c r="K202" t="s">
        <v>27</v>
      </c>
      <c r="L202" t="s">
        <v>28</v>
      </c>
      <c r="M202" t="s">
        <v>1296</v>
      </c>
      <c r="N202">
        <v>2</v>
      </c>
      <c r="O202" t="s">
        <v>43</v>
      </c>
      <c r="P202">
        <v>0.06</v>
      </c>
      <c r="Q202" t="s">
        <v>1309</v>
      </c>
      <c r="R202">
        <v>0</v>
      </c>
      <c r="S202">
        <v>20</v>
      </c>
      <c r="T202">
        <v>40</v>
      </c>
      <c r="U202">
        <v>0</v>
      </c>
      <c r="V202">
        <v>40</v>
      </c>
    </row>
    <row r="203" spans="1:22" x14ac:dyDescent="0.25">
      <c r="A203" t="s">
        <v>1490</v>
      </c>
      <c r="B203" t="s">
        <v>113</v>
      </c>
      <c r="C203">
        <v>23</v>
      </c>
      <c r="D203" t="s">
        <v>140</v>
      </c>
      <c r="E203" t="s">
        <v>79</v>
      </c>
      <c r="F203" t="s">
        <v>96</v>
      </c>
      <c r="G203">
        <v>0.22</v>
      </c>
      <c r="H203" t="s">
        <v>57</v>
      </c>
      <c r="I203">
        <v>-4</v>
      </c>
      <c r="J203" t="str">
        <f>HYPERLINK("https://www.eliteprospects.com/player/588309/jakob-stender")</f>
        <v>https://www.eliteprospects.com/player/588309/jakob-stender</v>
      </c>
      <c r="K203" t="s">
        <v>27</v>
      </c>
      <c r="L203" t="s">
        <v>28</v>
      </c>
      <c r="M203" t="s">
        <v>1296</v>
      </c>
      <c r="N203">
        <v>3</v>
      </c>
      <c r="O203" t="s">
        <v>74</v>
      </c>
      <c r="P203">
        <v>0.04</v>
      </c>
      <c r="Q203" t="s">
        <v>1488</v>
      </c>
      <c r="R203">
        <v>0</v>
      </c>
      <c r="S203">
        <v>0</v>
      </c>
      <c r="T203">
        <v>0</v>
      </c>
      <c r="U203">
        <v>0</v>
      </c>
      <c r="V203">
        <v>0</v>
      </c>
    </row>
    <row r="204" spans="1:22" x14ac:dyDescent="0.25">
      <c r="A204" t="s">
        <v>1491</v>
      </c>
      <c r="B204" t="s">
        <v>85</v>
      </c>
      <c r="C204">
        <v>16</v>
      </c>
      <c r="D204" t="s">
        <v>79</v>
      </c>
      <c r="E204" t="s">
        <v>140</v>
      </c>
      <c r="F204" t="s">
        <v>96</v>
      </c>
      <c r="G204">
        <v>0.31</v>
      </c>
      <c r="H204" t="s">
        <v>132</v>
      </c>
      <c r="I204">
        <v>2</v>
      </c>
      <c r="J204" t="str">
        <f>HYPERLINK("https://www.eliteprospects.com/player/201889/nick-marciano")</f>
        <v>https://www.eliteprospects.com/player/201889/nick-marciano</v>
      </c>
      <c r="K204" t="s">
        <v>27</v>
      </c>
      <c r="L204" t="s">
        <v>28</v>
      </c>
      <c r="M204" t="s">
        <v>1296</v>
      </c>
      <c r="N204">
        <v>4</v>
      </c>
      <c r="O204" t="s">
        <v>30</v>
      </c>
      <c r="P204">
        <v>0.06</v>
      </c>
      <c r="Q204" t="s">
        <v>1300</v>
      </c>
      <c r="R204">
        <v>57.1</v>
      </c>
      <c r="S204">
        <v>28.6</v>
      </c>
      <c r="T204">
        <v>0</v>
      </c>
      <c r="U204">
        <v>14.3</v>
      </c>
      <c r="V204">
        <v>0</v>
      </c>
    </row>
    <row r="205" spans="1:22" x14ac:dyDescent="0.25">
      <c r="A205" t="s">
        <v>1492</v>
      </c>
      <c r="B205" t="s">
        <v>131</v>
      </c>
      <c r="C205">
        <v>17</v>
      </c>
      <c r="D205" t="s">
        <v>79</v>
      </c>
      <c r="E205" t="s">
        <v>140</v>
      </c>
      <c r="F205" t="s">
        <v>96</v>
      </c>
      <c r="G205">
        <v>0.28999999999999998</v>
      </c>
      <c r="H205" t="s">
        <v>39</v>
      </c>
      <c r="I205">
        <v>-3</v>
      </c>
      <c r="J205" t="str">
        <f>HYPERLINK("https://www.eliteprospects.com/player/603230/lukas-mccloskey")</f>
        <v>https://www.eliteprospects.com/player/603230/lukas-mccloskey</v>
      </c>
      <c r="K205" t="s">
        <v>27</v>
      </c>
      <c r="L205" t="s">
        <v>28</v>
      </c>
      <c r="M205" t="s">
        <v>1296</v>
      </c>
      <c r="N205">
        <v>2</v>
      </c>
      <c r="O205" t="s">
        <v>267</v>
      </c>
      <c r="P205">
        <v>0.06</v>
      </c>
      <c r="Q205" t="s">
        <v>1309</v>
      </c>
      <c r="R205">
        <v>0</v>
      </c>
      <c r="S205">
        <v>20</v>
      </c>
      <c r="T205">
        <v>40</v>
      </c>
      <c r="U205">
        <v>0</v>
      </c>
      <c r="V205">
        <v>40</v>
      </c>
    </row>
    <row r="206" spans="1:22" x14ac:dyDescent="0.25">
      <c r="A206" t="s">
        <v>1493</v>
      </c>
      <c r="B206" t="s">
        <v>162</v>
      </c>
      <c r="C206">
        <v>19</v>
      </c>
      <c r="D206" t="s">
        <v>79</v>
      </c>
      <c r="E206" t="s">
        <v>140</v>
      </c>
      <c r="F206" t="s">
        <v>96</v>
      </c>
      <c r="G206">
        <v>0.26</v>
      </c>
      <c r="H206" t="s">
        <v>23</v>
      </c>
      <c r="I206">
        <v>3</v>
      </c>
      <c r="J206" t="str">
        <f>HYPERLINK("https://www.eliteprospects.com/player/614376/alec-leonard")</f>
        <v>https://www.eliteprospects.com/player/614376/alec-leonard</v>
      </c>
      <c r="K206" t="s">
        <v>27</v>
      </c>
      <c r="L206" t="s">
        <v>28</v>
      </c>
      <c r="M206" t="s">
        <v>1296</v>
      </c>
      <c r="N206">
        <v>5</v>
      </c>
      <c r="O206" t="s">
        <v>147</v>
      </c>
      <c r="P206">
        <v>0.05</v>
      </c>
      <c r="Q206" t="s">
        <v>1300</v>
      </c>
      <c r="R206">
        <v>57.1</v>
      </c>
      <c r="S206">
        <v>28.6</v>
      </c>
      <c r="T206">
        <v>0</v>
      </c>
      <c r="U206">
        <v>14.3</v>
      </c>
      <c r="V206">
        <v>0</v>
      </c>
    </row>
    <row r="207" spans="1:22" x14ac:dyDescent="0.25">
      <c r="A207" t="s">
        <v>1494</v>
      </c>
      <c r="B207" t="s">
        <v>101</v>
      </c>
      <c r="C207">
        <v>19</v>
      </c>
      <c r="D207" t="s">
        <v>79</v>
      </c>
      <c r="E207" t="s">
        <v>140</v>
      </c>
      <c r="F207" t="s">
        <v>96</v>
      </c>
      <c r="G207">
        <v>0.26</v>
      </c>
      <c r="H207" t="s">
        <v>23</v>
      </c>
      <c r="I207">
        <v>6</v>
      </c>
      <c r="J207" t="str">
        <f>HYPERLINK("https://www.eliteprospects.com/player/512169/austen-may")</f>
        <v>https://www.eliteprospects.com/player/512169/austen-may</v>
      </c>
      <c r="K207" t="s">
        <v>27</v>
      </c>
      <c r="L207" t="s">
        <v>28</v>
      </c>
      <c r="M207" t="s">
        <v>1296</v>
      </c>
      <c r="N207">
        <v>4</v>
      </c>
      <c r="O207" t="s">
        <v>30</v>
      </c>
      <c r="P207">
        <v>0.05</v>
      </c>
      <c r="Q207" t="s">
        <v>1325</v>
      </c>
      <c r="R207">
        <v>18.2</v>
      </c>
      <c r="S207">
        <v>9.1</v>
      </c>
      <c r="T207">
        <v>63.6</v>
      </c>
      <c r="U207">
        <v>0</v>
      </c>
      <c r="V207">
        <v>9.1</v>
      </c>
    </row>
    <row r="208" spans="1:22" x14ac:dyDescent="0.25">
      <c r="A208" t="s">
        <v>1495</v>
      </c>
      <c r="B208" t="s">
        <v>158</v>
      </c>
      <c r="C208">
        <v>19</v>
      </c>
      <c r="D208" t="s">
        <v>79</v>
      </c>
      <c r="E208" t="s">
        <v>140</v>
      </c>
      <c r="F208" t="s">
        <v>96</v>
      </c>
      <c r="G208">
        <v>0.26</v>
      </c>
      <c r="H208" t="s">
        <v>46</v>
      </c>
      <c r="I208">
        <v>-4</v>
      </c>
      <c r="J208" t="str">
        <f>HYPERLINK("https://www.eliteprospects.com/player/716951/william-fleet")</f>
        <v>https://www.eliteprospects.com/player/716951/william-fleet</v>
      </c>
      <c r="K208" t="s">
        <v>27</v>
      </c>
      <c r="L208" t="s">
        <v>28</v>
      </c>
      <c r="M208" t="s">
        <v>1296</v>
      </c>
      <c r="N208">
        <v>1</v>
      </c>
      <c r="O208" t="s">
        <v>71</v>
      </c>
      <c r="P208">
        <v>0.05</v>
      </c>
      <c r="Q208" t="s">
        <v>1309</v>
      </c>
      <c r="R208">
        <v>0</v>
      </c>
      <c r="S208">
        <v>20</v>
      </c>
      <c r="T208">
        <v>40</v>
      </c>
      <c r="U208">
        <v>0</v>
      </c>
      <c r="V208">
        <v>40</v>
      </c>
    </row>
    <row r="209" spans="1:22" x14ac:dyDescent="0.25">
      <c r="A209" t="s">
        <v>1496</v>
      </c>
      <c r="B209" t="s">
        <v>184</v>
      </c>
      <c r="C209">
        <v>20</v>
      </c>
      <c r="D209" t="s">
        <v>79</v>
      </c>
      <c r="E209" t="s">
        <v>140</v>
      </c>
      <c r="F209" t="s">
        <v>96</v>
      </c>
      <c r="G209">
        <v>0.25</v>
      </c>
      <c r="H209" t="s">
        <v>26</v>
      </c>
      <c r="I209">
        <v>8</v>
      </c>
      <c r="J209" t="str">
        <f>HYPERLINK("https://www.eliteprospects.com/player/763720/brendan-dunphy")</f>
        <v>https://www.eliteprospects.com/player/763720/brendan-dunphy</v>
      </c>
      <c r="K209" t="s">
        <v>27</v>
      </c>
      <c r="L209" t="s">
        <v>28</v>
      </c>
      <c r="M209" t="s">
        <v>1296</v>
      </c>
      <c r="N209">
        <v>2</v>
      </c>
      <c r="O209" t="s">
        <v>267</v>
      </c>
      <c r="P209">
        <v>0.05</v>
      </c>
      <c r="Q209" t="s">
        <v>1325</v>
      </c>
      <c r="R209">
        <v>18.2</v>
      </c>
      <c r="S209">
        <v>9.1</v>
      </c>
      <c r="T209">
        <v>63.6</v>
      </c>
      <c r="U209">
        <v>0</v>
      </c>
      <c r="V209">
        <v>9.1</v>
      </c>
    </row>
    <row r="210" spans="1:22" x14ac:dyDescent="0.25">
      <c r="A210" t="s">
        <v>1497</v>
      </c>
      <c r="B210" t="s">
        <v>139</v>
      </c>
      <c r="C210">
        <v>20</v>
      </c>
      <c r="D210" t="s">
        <v>79</v>
      </c>
      <c r="E210" t="s">
        <v>140</v>
      </c>
      <c r="F210" t="s">
        <v>96</v>
      </c>
      <c r="G210">
        <v>0.25</v>
      </c>
      <c r="H210" t="s">
        <v>26</v>
      </c>
      <c r="I210">
        <v>9</v>
      </c>
      <c r="J210" t="str">
        <f>HYPERLINK("https://www.eliteprospects.com/player/526089/aiden-dubinsky")</f>
        <v>https://www.eliteprospects.com/player/526089/aiden-dubinsky</v>
      </c>
      <c r="K210" t="s">
        <v>27</v>
      </c>
      <c r="L210" t="s">
        <v>28</v>
      </c>
      <c r="M210" t="s">
        <v>1296</v>
      </c>
      <c r="N210">
        <v>4</v>
      </c>
      <c r="O210" t="s">
        <v>30</v>
      </c>
      <c r="P210">
        <v>0.05</v>
      </c>
      <c r="Q210" t="s">
        <v>1309</v>
      </c>
      <c r="R210">
        <v>14.3</v>
      </c>
      <c r="S210">
        <v>28.6</v>
      </c>
      <c r="T210">
        <v>28.6</v>
      </c>
      <c r="U210">
        <v>0</v>
      </c>
      <c r="V210">
        <v>28.6</v>
      </c>
    </row>
    <row r="211" spans="1:22" x14ac:dyDescent="0.25">
      <c r="A211" t="s">
        <v>1498</v>
      </c>
      <c r="B211" t="s">
        <v>88</v>
      </c>
      <c r="C211">
        <v>20</v>
      </c>
      <c r="D211" t="s">
        <v>79</v>
      </c>
      <c r="E211" t="s">
        <v>140</v>
      </c>
      <c r="F211" t="s">
        <v>96</v>
      </c>
      <c r="G211">
        <v>0.25</v>
      </c>
      <c r="H211" t="s">
        <v>32</v>
      </c>
      <c r="I211">
        <v>-3</v>
      </c>
      <c r="J211" t="str">
        <f>HYPERLINK("https://www.eliteprospects.com/player/671132/ren-morque")</f>
        <v>https://www.eliteprospects.com/player/671132/ren-morque</v>
      </c>
      <c r="K211" t="s">
        <v>27</v>
      </c>
      <c r="L211" t="s">
        <v>28</v>
      </c>
      <c r="M211" t="s">
        <v>1296</v>
      </c>
      <c r="N211">
        <v>2</v>
      </c>
      <c r="O211" t="s">
        <v>43</v>
      </c>
      <c r="P211">
        <v>0.05</v>
      </c>
      <c r="Q211" t="s">
        <v>1309</v>
      </c>
      <c r="R211">
        <v>0</v>
      </c>
      <c r="S211">
        <v>20</v>
      </c>
      <c r="T211">
        <v>40</v>
      </c>
      <c r="U211">
        <v>0</v>
      </c>
      <c r="V211">
        <v>40</v>
      </c>
    </row>
    <row r="212" spans="1:22" x14ac:dyDescent="0.25">
      <c r="A212" t="s">
        <v>1499</v>
      </c>
      <c r="B212" t="s">
        <v>163</v>
      </c>
      <c r="C212">
        <v>20</v>
      </c>
      <c r="D212" t="s">
        <v>79</v>
      </c>
      <c r="E212" t="s">
        <v>140</v>
      </c>
      <c r="F212" t="s">
        <v>96</v>
      </c>
      <c r="G212">
        <v>0.25</v>
      </c>
      <c r="H212" t="s">
        <v>23</v>
      </c>
      <c r="I212">
        <v>7</v>
      </c>
      <c r="J212" t="str">
        <f>HYPERLINK("https://www.eliteprospects.com/player/603571/quinn-mantei")</f>
        <v>https://www.eliteprospects.com/player/603571/quinn-mantei</v>
      </c>
      <c r="K212" t="s">
        <v>27</v>
      </c>
      <c r="L212" t="s">
        <v>28</v>
      </c>
      <c r="M212" t="s">
        <v>1296</v>
      </c>
      <c r="N212">
        <v>5</v>
      </c>
      <c r="O212" t="s">
        <v>152</v>
      </c>
      <c r="P212">
        <v>0.05</v>
      </c>
      <c r="Q212" t="s">
        <v>1325</v>
      </c>
      <c r="R212">
        <v>18.2</v>
      </c>
      <c r="S212">
        <v>9.1</v>
      </c>
      <c r="T212">
        <v>63.6</v>
      </c>
      <c r="U212">
        <v>0</v>
      </c>
      <c r="V212">
        <v>9.1</v>
      </c>
    </row>
    <row r="213" spans="1:22" x14ac:dyDescent="0.25">
      <c r="A213" t="s">
        <v>1500</v>
      </c>
      <c r="B213" t="s">
        <v>146</v>
      </c>
      <c r="C213">
        <v>20</v>
      </c>
      <c r="D213" t="s">
        <v>79</v>
      </c>
      <c r="E213" t="s">
        <v>140</v>
      </c>
      <c r="F213" t="s">
        <v>96</v>
      </c>
      <c r="G213">
        <v>0.25</v>
      </c>
      <c r="H213" t="s">
        <v>24</v>
      </c>
      <c r="I213">
        <v>-7</v>
      </c>
      <c r="J213" t="str">
        <f>HYPERLINK("https://www.eliteprospects.com/player/417572/john-druskinis")</f>
        <v>https://www.eliteprospects.com/player/417572/john-druskinis</v>
      </c>
      <c r="K213" t="s">
        <v>27</v>
      </c>
      <c r="L213" t="s">
        <v>28</v>
      </c>
      <c r="M213" t="s">
        <v>1296</v>
      </c>
      <c r="N213">
        <v>3</v>
      </c>
      <c r="O213" t="s">
        <v>74</v>
      </c>
      <c r="P213">
        <v>0.05</v>
      </c>
      <c r="Q213" t="s">
        <v>1309</v>
      </c>
      <c r="R213">
        <v>0</v>
      </c>
      <c r="S213">
        <v>20</v>
      </c>
      <c r="T213">
        <v>40</v>
      </c>
      <c r="U213">
        <v>0</v>
      </c>
      <c r="V213">
        <v>40</v>
      </c>
    </row>
    <row r="214" spans="1:22" x14ac:dyDescent="0.25">
      <c r="A214" t="s">
        <v>1501</v>
      </c>
      <c r="B214" t="s">
        <v>109</v>
      </c>
      <c r="C214">
        <v>20</v>
      </c>
      <c r="D214" t="s">
        <v>79</v>
      </c>
      <c r="E214" t="s">
        <v>140</v>
      </c>
      <c r="F214" t="s">
        <v>96</v>
      </c>
      <c r="G214">
        <v>0.25</v>
      </c>
      <c r="H214" t="s">
        <v>81</v>
      </c>
      <c r="I214">
        <v>7</v>
      </c>
      <c r="J214" t="str">
        <f>HYPERLINK("https://www.eliteprospects.com/player/618957/ej-emery")</f>
        <v>https://www.eliteprospects.com/player/618957/ej-emery</v>
      </c>
      <c r="K214" t="s">
        <v>27</v>
      </c>
      <c r="L214" t="s">
        <v>28</v>
      </c>
      <c r="M214" t="s">
        <v>1296</v>
      </c>
      <c r="N214">
        <v>2</v>
      </c>
      <c r="O214" t="s">
        <v>43</v>
      </c>
      <c r="P214">
        <v>0.05</v>
      </c>
      <c r="Q214" t="s">
        <v>1325</v>
      </c>
      <c r="R214">
        <v>18.2</v>
      </c>
      <c r="S214">
        <v>9.1</v>
      </c>
      <c r="T214">
        <v>63.6</v>
      </c>
      <c r="U214">
        <v>0</v>
      </c>
      <c r="V214">
        <v>9.1</v>
      </c>
    </row>
    <row r="215" spans="1:22" x14ac:dyDescent="0.25">
      <c r="A215" t="s">
        <v>1502</v>
      </c>
      <c r="B215" t="s">
        <v>37</v>
      </c>
      <c r="C215">
        <v>22</v>
      </c>
      <c r="D215" t="s">
        <v>79</v>
      </c>
      <c r="E215" t="s">
        <v>140</v>
      </c>
      <c r="F215" t="s">
        <v>96</v>
      </c>
      <c r="G215">
        <v>0.23</v>
      </c>
      <c r="H215" t="s">
        <v>65</v>
      </c>
      <c r="I215">
        <v>14</v>
      </c>
      <c r="J215" t="str">
        <f>HYPERLINK("https://www.eliteprospects.com/player/597574/adam-kleber")</f>
        <v>https://www.eliteprospects.com/player/597574/adam-kleber</v>
      </c>
      <c r="K215" t="s">
        <v>27</v>
      </c>
      <c r="L215" t="s">
        <v>28</v>
      </c>
      <c r="M215" t="s">
        <v>1296</v>
      </c>
      <c r="N215">
        <v>2</v>
      </c>
      <c r="O215" t="s">
        <v>43</v>
      </c>
      <c r="P215">
        <v>0.04</v>
      </c>
      <c r="Q215" t="s">
        <v>1488</v>
      </c>
      <c r="R215">
        <v>0</v>
      </c>
      <c r="S215">
        <v>0</v>
      </c>
      <c r="T215">
        <v>0</v>
      </c>
      <c r="U215">
        <v>0</v>
      </c>
      <c r="V215">
        <v>0</v>
      </c>
    </row>
    <row r="216" spans="1:22" x14ac:dyDescent="0.25">
      <c r="A216" t="s">
        <v>1503</v>
      </c>
      <c r="B216" t="s">
        <v>73</v>
      </c>
      <c r="C216">
        <v>22</v>
      </c>
      <c r="D216" t="s">
        <v>79</v>
      </c>
      <c r="E216" t="s">
        <v>140</v>
      </c>
      <c r="F216" t="s">
        <v>96</v>
      </c>
      <c r="G216">
        <v>0.23</v>
      </c>
      <c r="H216" t="s">
        <v>65</v>
      </c>
      <c r="I216">
        <v>4</v>
      </c>
      <c r="J216" t="str">
        <f>HYPERLINK("https://www.eliteprospects.com/player/494423/mason-reiners")</f>
        <v>https://www.eliteprospects.com/player/494423/mason-reiners</v>
      </c>
      <c r="K216" t="s">
        <v>27</v>
      </c>
      <c r="L216" t="s">
        <v>28</v>
      </c>
      <c r="M216" t="s">
        <v>1296</v>
      </c>
      <c r="N216">
        <v>4</v>
      </c>
      <c r="O216" t="s">
        <v>30</v>
      </c>
      <c r="P216">
        <v>0.04</v>
      </c>
      <c r="Q216" t="s">
        <v>1488</v>
      </c>
      <c r="R216">
        <v>0</v>
      </c>
      <c r="S216">
        <v>0</v>
      </c>
      <c r="T216">
        <v>0</v>
      </c>
      <c r="U216">
        <v>0</v>
      </c>
      <c r="V216">
        <v>0</v>
      </c>
    </row>
    <row r="217" spans="1:22" x14ac:dyDescent="0.25">
      <c r="A217" t="s">
        <v>1504</v>
      </c>
      <c r="B217" t="s">
        <v>222</v>
      </c>
      <c r="C217">
        <v>14</v>
      </c>
      <c r="D217" t="s">
        <v>260</v>
      </c>
      <c r="E217" t="s">
        <v>66</v>
      </c>
      <c r="F217" t="s">
        <v>96</v>
      </c>
      <c r="G217">
        <v>0.36</v>
      </c>
      <c r="H217" t="s">
        <v>79</v>
      </c>
      <c r="I217">
        <v>-18</v>
      </c>
      <c r="J217" t="str">
        <f>HYPERLINK("https://www.eliteprospects.com/player/483439/hughie-hooker")</f>
        <v>https://www.eliteprospects.com/player/483439/hughie-hooker</v>
      </c>
      <c r="K217" t="s">
        <v>27</v>
      </c>
      <c r="L217" t="s">
        <v>28</v>
      </c>
      <c r="M217" t="s">
        <v>1296</v>
      </c>
      <c r="N217">
        <v>2</v>
      </c>
      <c r="O217" t="s">
        <v>43</v>
      </c>
      <c r="P217">
        <v>7.0000000000000007E-2</v>
      </c>
      <c r="Q217" t="s">
        <v>245</v>
      </c>
      <c r="R217">
        <v>0</v>
      </c>
      <c r="S217">
        <v>44.4</v>
      </c>
      <c r="T217">
        <v>33.299999999999997</v>
      </c>
      <c r="U217">
        <v>0</v>
      </c>
      <c r="V217">
        <v>22.2</v>
      </c>
    </row>
    <row r="218" spans="1:22" x14ac:dyDescent="0.25">
      <c r="A218" t="s">
        <v>1505</v>
      </c>
      <c r="B218" t="s">
        <v>200</v>
      </c>
      <c r="C218">
        <v>15</v>
      </c>
      <c r="D218" t="s">
        <v>260</v>
      </c>
      <c r="E218" t="s">
        <v>66</v>
      </c>
      <c r="F218" t="s">
        <v>96</v>
      </c>
      <c r="G218">
        <v>0.33</v>
      </c>
      <c r="H218" t="s">
        <v>79</v>
      </c>
      <c r="I218">
        <v>11</v>
      </c>
      <c r="J218" t="str">
        <f>HYPERLINK("https://www.eliteprospects.com/player/643357/luke-ashton")</f>
        <v>https://www.eliteprospects.com/player/643357/luke-ashton</v>
      </c>
      <c r="K218" t="s">
        <v>27</v>
      </c>
      <c r="L218" t="s">
        <v>28</v>
      </c>
      <c r="M218" t="s">
        <v>1296</v>
      </c>
      <c r="N218">
        <v>2</v>
      </c>
      <c r="O218" t="s">
        <v>43</v>
      </c>
      <c r="P218">
        <v>0.06</v>
      </c>
      <c r="Q218" t="s">
        <v>1309</v>
      </c>
      <c r="R218">
        <v>14.3</v>
      </c>
      <c r="S218">
        <v>28.6</v>
      </c>
      <c r="T218">
        <v>28.6</v>
      </c>
      <c r="U218">
        <v>0</v>
      </c>
      <c r="V218">
        <v>28.6</v>
      </c>
    </row>
    <row r="219" spans="1:22" x14ac:dyDescent="0.25">
      <c r="A219" t="s">
        <v>1506</v>
      </c>
      <c r="B219" t="s">
        <v>177</v>
      </c>
      <c r="C219">
        <v>16</v>
      </c>
      <c r="D219" t="s">
        <v>260</v>
      </c>
      <c r="E219" t="s">
        <v>66</v>
      </c>
      <c r="F219" t="s">
        <v>96</v>
      </c>
      <c r="G219">
        <v>0.31</v>
      </c>
      <c r="H219" t="s">
        <v>32</v>
      </c>
      <c r="I219">
        <v>-3</v>
      </c>
      <c r="J219" t="str">
        <f>HYPERLINK("https://www.eliteprospects.com/player/369859/jonathan-ziskie")</f>
        <v>https://www.eliteprospects.com/player/369859/jonathan-ziskie</v>
      </c>
      <c r="K219" t="s">
        <v>27</v>
      </c>
      <c r="L219" t="s">
        <v>28</v>
      </c>
      <c r="M219" t="s">
        <v>1296</v>
      </c>
      <c r="N219">
        <v>4</v>
      </c>
      <c r="O219" t="s">
        <v>30</v>
      </c>
      <c r="P219">
        <v>0.06</v>
      </c>
      <c r="Q219" t="s">
        <v>1309</v>
      </c>
      <c r="R219">
        <v>0</v>
      </c>
      <c r="S219">
        <v>20</v>
      </c>
      <c r="T219">
        <v>40</v>
      </c>
      <c r="U219">
        <v>0</v>
      </c>
      <c r="V219">
        <v>40</v>
      </c>
    </row>
    <row r="220" spans="1:22" x14ac:dyDescent="0.25">
      <c r="A220" t="s">
        <v>1507</v>
      </c>
      <c r="B220" t="s">
        <v>234</v>
      </c>
      <c r="C220">
        <v>17</v>
      </c>
      <c r="D220" t="s">
        <v>260</v>
      </c>
      <c r="E220" t="s">
        <v>66</v>
      </c>
      <c r="F220" t="s">
        <v>96</v>
      </c>
      <c r="G220">
        <v>0.28999999999999998</v>
      </c>
      <c r="H220" t="s">
        <v>69</v>
      </c>
      <c r="I220">
        <v>3</v>
      </c>
      <c r="J220" t="str">
        <f>HYPERLINK("https://www.eliteprospects.com/player/562137/alex-pineau")</f>
        <v>https://www.eliteprospects.com/player/562137/alex-pineau</v>
      </c>
      <c r="K220" t="s">
        <v>27</v>
      </c>
      <c r="L220" t="s">
        <v>28</v>
      </c>
      <c r="M220" t="s">
        <v>1296</v>
      </c>
      <c r="N220">
        <v>3</v>
      </c>
      <c r="O220" t="s">
        <v>74</v>
      </c>
      <c r="P220">
        <v>0.06</v>
      </c>
      <c r="Q220" t="s">
        <v>1325</v>
      </c>
      <c r="R220">
        <v>18.2</v>
      </c>
      <c r="S220">
        <v>9.1</v>
      </c>
      <c r="T220">
        <v>63.6</v>
      </c>
      <c r="U220">
        <v>0</v>
      </c>
      <c r="V220">
        <v>9.1</v>
      </c>
    </row>
    <row r="221" spans="1:22" x14ac:dyDescent="0.25">
      <c r="A221" t="s">
        <v>1508</v>
      </c>
      <c r="B221" t="s">
        <v>82</v>
      </c>
      <c r="C221">
        <v>18</v>
      </c>
      <c r="D221" t="s">
        <v>260</v>
      </c>
      <c r="E221" t="s">
        <v>66</v>
      </c>
      <c r="F221" t="s">
        <v>96</v>
      </c>
      <c r="G221">
        <v>0.28000000000000003</v>
      </c>
      <c r="H221" t="s">
        <v>57</v>
      </c>
      <c r="I221">
        <v>0</v>
      </c>
      <c r="J221" t="str">
        <f>HYPERLINK("https://www.eliteprospects.com/player/376336/vincent-corcoran")</f>
        <v>https://www.eliteprospects.com/player/376336/vincent-corcoran</v>
      </c>
      <c r="K221" t="s">
        <v>27</v>
      </c>
      <c r="L221" t="s">
        <v>28</v>
      </c>
      <c r="M221" t="s">
        <v>1296</v>
      </c>
      <c r="N221">
        <v>4</v>
      </c>
      <c r="O221" t="s">
        <v>30</v>
      </c>
      <c r="P221">
        <v>0.05</v>
      </c>
      <c r="Q221" t="s">
        <v>1300</v>
      </c>
      <c r="R221">
        <v>37.5</v>
      </c>
      <c r="S221">
        <v>37.5</v>
      </c>
      <c r="T221">
        <v>0</v>
      </c>
      <c r="U221">
        <v>12.5</v>
      </c>
      <c r="V221">
        <v>12.5</v>
      </c>
    </row>
    <row r="222" spans="1:22" x14ac:dyDescent="0.25">
      <c r="A222" t="s">
        <v>1509</v>
      </c>
      <c r="B222" t="s">
        <v>288</v>
      </c>
      <c r="C222">
        <v>18</v>
      </c>
      <c r="D222" t="s">
        <v>260</v>
      </c>
      <c r="E222" t="s">
        <v>66</v>
      </c>
      <c r="F222" t="s">
        <v>96</v>
      </c>
      <c r="G222">
        <v>0.28000000000000003</v>
      </c>
      <c r="H222" t="s">
        <v>32</v>
      </c>
      <c r="I222">
        <v>-10</v>
      </c>
      <c r="J222" t="str">
        <f>HYPERLINK("https://www.eliteprospects.com/player/691831/caeden-herrington")</f>
        <v>https://www.eliteprospects.com/player/691831/caeden-herrington</v>
      </c>
      <c r="K222" t="s">
        <v>27</v>
      </c>
      <c r="L222" t="s">
        <v>28</v>
      </c>
      <c r="M222" t="s">
        <v>1296</v>
      </c>
      <c r="N222">
        <v>1</v>
      </c>
      <c r="O222" t="s">
        <v>71</v>
      </c>
      <c r="P222">
        <v>0.05</v>
      </c>
      <c r="Q222" t="s">
        <v>1309</v>
      </c>
      <c r="R222">
        <v>0</v>
      </c>
      <c r="S222">
        <v>20</v>
      </c>
      <c r="T222">
        <v>40</v>
      </c>
      <c r="U222">
        <v>0</v>
      </c>
      <c r="V222">
        <v>40</v>
      </c>
    </row>
    <row r="223" spans="1:22" x14ac:dyDescent="0.25">
      <c r="A223" t="s">
        <v>1510</v>
      </c>
      <c r="B223" t="s">
        <v>103</v>
      </c>
      <c r="C223">
        <v>18</v>
      </c>
      <c r="D223" t="s">
        <v>260</v>
      </c>
      <c r="E223" t="s">
        <v>66</v>
      </c>
      <c r="F223" t="s">
        <v>96</v>
      </c>
      <c r="G223">
        <v>0.28000000000000003</v>
      </c>
      <c r="H223" t="s">
        <v>23</v>
      </c>
      <c r="I223">
        <v>1</v>
      </c>
      <c r="J223" t="str">
        <f>HYPERLINK("https://www.eliteprospects.com/player/408607/owen-murray")</f>
        <v>https://www.eliteprospects.com/player/408607/owen-murray</v>
      </c>
      <c r="K223" t="s">
        <v>27</v>
      </c>
      <c r="L223" t="s">
        <v>28</v>
      </c>
      <c r="M223" t="s">
        <v>1296</v>
      </c>
      <c r="N223">
        <v>4</v>
      </c>
      <c r="O223" t="s">
        <v>30</v>
      </c>
      <c r="P223">
        <v>0.05</v>
      </c>
      <c r="Q223" t="s">
        <v>1300</v>
      </c>
      <c r="R223">
        <v>57.1</v>
      </c>
      <c r="S223">
        <v>28.6</v>
      </c>
      <c r="T223">
        <v>0</v>
      </c>
      <c r="U223">
        <v>14.3</v>
      </c>
      <c r="V223">
        <v>0</v>
      </c>
    </row>
    <row r="224" spans="1:22" x14ac:dyDescent="0.25">
      <c r="A224" t="s">
        <v>1511</v>
      </c>
      <c r="B224" t="s">
        <v>127</v>
      </c>
      <c r="C224">
        <v>19</v>
      </c>
      <c r="D224" t="s">
        <v>260</v>
      </c>
      <c r="E224" t="s">
        <v>66</v>
      </c>
      <c r="F224" t="s">
        <v>96</v>
      </c>
      <c r="G224">
        <v>0.26</v>
      </c>
      <c r="H224" t="s">
        <v>66</v>
      </c>
      <c r="I224">
        <v>3</v>
      </c>
      <c r="J224" t="str">
        <f>HYPERLINK("https://www.eliteprospects.com/player/407657/brody-gagno")</f>
        <v>https://www.eliteprospects.com/player/407657/brody-gagno</v>
      </c>
      <c r="K224" t="s">
        <v>27</v>
      </c>
      <c r="L224" t="s">
        <v>28</v>
      </c>
      <c r="M224" t="s">
        <v>1296</v>
      </c>
      <c r="N224">
        <v>3</v>
      </c>
      <c r="O224" t="s">
        <v>74</v>
      </c>
      <c r="P224">
        <v>0.05</v>
      </c>
      <c r="Q224" t="s">
        <v>1300</v>
      </c>
      <c r="R224">
        <v>57.1</v>
      </c>
      <c r="S224">
        <v>28.6</v>
      </c>
      <c r="T224">
        <v>0</v>
      </c>
      <c r="U224">
        <v>14.3</v>
      </c>
      <c r="V224">
        <v>0</v>
      </c>
    </row>
    <row r="225" spans="1:22" x14ac:dyDescent="0.25">
      <c r="A225" t="s">
        <v>1512</v>
      </c>
      <c r="B225" t="s">
        <v>195</v>
      </c>
      <c r="C225">
        <v>19</v>
      </c>
      <c r="D225" t="s">
        <v>260</v>
      </c>
      <c r="E225" t="s">
        <v>66</v>
      </c>
      <c r="F225" t="s">
        <v>96</v>
      </c>
      <c r="G225">
        <v>0.26</v>
      </c>
      <c r="H225" t="s">
        <v>60</v>
      </c>
      <c r="I225">
        <v>2</v>
      </c>
      <c r="J225" t="str">
        <f>HYPERLINK("https://www.eliteprospects.com/player/577173/charlie-trethewey")</f>
        <v>https://www.eliteprospects.com/player/577173/charlie-trethewey</v>
      </c>
      <c r="K225" t="s">
        <v>27</v>
      </c>
      <c r="L225" t="s">
        <v>28</v>
      </c>
      <c r="M225" t="s">
        <v>1296</v>
      </c>
      <c r="N225">
        <v>1</v>
      </c>
      <c r="O225" t="s">
        <v>71</v>
      </c>
      <c r="P225">
        <v>0.05</v>
      </c>
      <c r="Q225" t="s">
        <v>1300</v>
      </c>
      <c r="R225">
        <v>57.1</v>
      </c>
      <c r="S225">
        <v>28.6</v>
      </c>
      <c r="T225">
        <v>0</v>
      </c>
      <c r="U225">
        <v>14.3</v>
      </c>
      <c r="V225">
        <v>0</v>
      </c>
    </row>
    <row r="226" spans="1:22" x14ac:dyDescent="0.25">
      <c r="A226" t="s">
        <v>1513</v>
      </c>
      <c r="B226" t="s">
        <v>131</v>
      </c>
      <c r="C226">
        <v>19</v>
      </c>
      <c r="D226" t="s">
        <v>260</v>
      </c>
      <c r="E226" t="s">
        <v>66</v>
      </c>
      <c r="F226" t="s">
        <v>96</v>
      </c>
      <c r="G226">
        <v>0.26</v>
      </c>
      <c r="H226" t="s">
        <v>34</v>
      </c>
      <c r="I226">
        <v>10</v>
      </c>
      <c r="J226" t="str">
        <f>HYPERLINK("https://www.eliteprospects.com/player/481296/easton-zueger")</f>
        <v>https://www.eliteprospects.com/player/481296/easton-zueger</v>
      </c>
      <c r="K226" t="s">
        <v>27</v>
      </c>
      <c r="L226" t="s">
        <v>28</v>
      </c>
      <c r="M226" t="s">
        <v>1296</v>
      </c>
      <c r="N226">
        <v>3</v>
      </c>
      <c r="O226" t="s">
        <v>74</v>
      </c>
      <c r="P226">
        <v>0.05</v>
      </c>
      <c r="Q226" t="s">
        <v>1309</v>
      </c>
      <c r="R226">
        <v>14.3</v>
      </c>
      <c r="S226">
        <v>28.6</v>
      </c>
      <c r="T226">
        <v>28.6</v>
      </c>
      <c r="U226">
        <v>0</v>
      </c>
      <c r="V226">
        <v>28.6</v>
      </c>
    </row>
    <row r="227" spans="1:22" x14ac:dyDescent="0.25">
      <c r="A227" t="s">
        <v>1514</v>
      </c>
      <c r="B227" t="s">
        <v>130</v>
      </c>
      <c r="C227">
        <v>20</v>
      </c>
      <c r="D227" t="s">
        <v>260</v>
      </c>
      <c r="E227" t="s">
        <v>66</v>
      </c>
      <c r="F227" t="s">
        <v>96</v>
      </c>
      <c r="G227">
        <v>0.25</v>
      </c>
      <c r="H227" t="s">
        <v>79</v>
      </c>
      <c r="I227">
        <v>4</v>
      </c>
      <c r="J227" t="str">
        <f>HYPERLINK("https://www.eliteprospects.com/player/512296/austin-oravetz")</f>
        <v>https://www.eliteprospects.com/player/512296/austin-oravetz</v>
      </c>
      <c r="K227" t="s">
        <v>27</v>
      </c>
      <c r="L227" t="s">
        <v>28</v>
      </c>
      <c r="M227" t="s">
        <v>1296</v>
      </c>
      <c r="N227">
        <v>3</v>
      </c>
      <c r="O227" t="s">
        <v>74</v>
      </c>
      <c r="P227">
        <v>0.05</v>
      </c>
      <c r="Q227" t="s">
        <v>1325</v>
      </c>
      <c r="R227">
        <v>18.2</v>
      </c>
      <c r="S227">
        <v>9.1</v>
      </c>
      <c r="T227">
        <v>63.6</v>
      </c>
      <c r="U227">
        <v>0</v>
      </c>
      <c r="V227">
        <v>9.1</v>
      </c>
    </row>
    <row r="228" spans="1:22" x14ac:dyDescent="0.25">
      <c r="A228" t="s">
        <v>1515</v>
      </c>
      <c r="B228" t="s">
        <v>134</v>
      </c>
      <c r="C228">
        <v>20</v>
      </c>
      <c r="D228" t="s">
        <v>260</v>
      </c>
      <c r="E228" t="s">
        <v>66</v>
      </c>
      <c r="F228" t="s">
        <v>96</v>
      </c>
      <c r="G228">
        <v>0.25</v>
      </c>
      <c r="H228" t="s">
        <v>66</v>
      </c>
      <c r="I228">
        <v>0</v>
      </c>
      <c r="J228" t="str">
        <f>HYPERLINK("https://www.eliteprospects.com/player/476025/robert-kincaid")</f>
        <v>https://www.eliteprospects.com/player/476025/robert-kincaid</v>
      </c>
      <c r="K228" t="s">
        <v>27</v>
      </c>
      <c r="L228" t="s">
        <v>28</v>
      </c>
      <c r="M228" t="s">
        <v>1296</v>
      </c>
      <c r="N228">
        <v>4</v>
      </c>
      <c r="O228" t="s">
        <v>30</v>
      </c>
      <c r="P228">
        <v>0.05</v>
      </c>
      <c r="Q228" t="s">
        <v>1300</v>
      </c>
      <c r="R228">
        <v>37.5</v>
      </c>
      <c r="S228">
        <v>37.5</v>
      </c>
      <c r="T228">
        <v>0</v>
      </c>
      <c r="U228">
        <v>12.5</v>
      </c>
      <c r="V228">
        <v>12.5</v>
      </c>
    </row>
    <row r="229" spans="1:22" x14ac:dyDescent="0.25">
      <c r="A229" t="s">
        <v>1516</v>
      </c>
      <c r="B229" t="s">
        <v>224</v>
      </c>
      <c r="C229">
        <v>20</v>
      </c>
      <c r="D229" t="s">
        <v>260</v>
      </c>
      <c r="E229" t="s">
        <v>66</v>
      </c>
      <c r="F229" t="s">
        <v>96</v>
      </c>
      <c r="G229">
        <v>0.25</v>
      </c>
      <c r="H229" t="s">
        <v>66</v>
      </c>
      <c r="I229">
        <v>-6</v>
      </c>
      <c r="J229" t="str">
        <f>HYPERLINK("https://www.eliteprospects.com/player/539638/john-babcock")</f>
        <v>https://www.eliteprospects.com/player/539638/john-babcock</v>
      </c>
      <c r="K229" t="s">
        <v>27</v>
      </c>
      <c r="L229" t="s">
        <v>28</v>
      </c>
      <c r="M229" t="s">
        <v>1296</v>
      </c>
      <c r="N229">
        <v>6</v>
      </c>
      <c r="O229" t="s">
        <v>193</v>
      </c>
      <c r="P229">
        <v>0.05</v>
      </c>
      <c r="Q229" t="s">
        <v>1309</v>
      </c>
      <c r="R229">
        <v>0</v>
      </c>
      <c r="S229">
        <v>20</v>
      </c>
      <c r="T229">
        <v>40</v>
      </c>
      <c r="U229">
        <v>0</v>
      </c>
      <c r="V229">
        <v>40</v>
      </c>
    </row>
    <row r="230" spans="1:22" x14ac:dyDescent="0.25">
      <c r="A230" t="s">
        <v>1517</v>
      </c>
      <c r="B230" t="s">
        <v>82</v>
      </c>
      <c r="C230">
        <v>20</v>
      </c>
      <c r="D230" t="s">
        <v>260</v>
      </c>
      <c r="E230" t="s">
        <v>66</v>
      </c>
      <c r="F230" t="s">
        <v>96</v>
      </c>
      <c r="G230">
        <v>0.25</v>
      </c>
      <c r="H230" t="s">
        <v>32</v>
      </c>
      <c r="I230">
        <v>2</v>
      </c>
      <c r="J230" t="str">
        <f>HYPERLINK("https://www.eliteprospects.com/player/606970/luke-roelofs")</f>
        <v>https://www.eliteprospects.com/player/606970/luke-roelofs</v>
      </c>
      <c r="K230" t="s">
        <v>27</v>
      </c>
      <c r="L230" t="s">
        <v>28</v>
      </c>
      <c r="M230" t="s">
        <v>1296</v>
      </c>
      <c r="N230">
        <v>2</v>
      </c>
      <c r="O230" t="s">
        <v>43</v>
      </c>
      <c r="P230">
        <v>0.05</v>
      </c>
      <c r="Q230" t="s">
        <v>1300</v>
      </c>
      <c r="R230">
        <v>57.1</v>
      </c>
      <c r="S230">
        <v>28.6</v>
      </c>
      <c r="T230">
        <v>0</v>
      </c>
      <c r="U230">
        <v>14.3</v>
      </c>
      <c r="V230">
        <v>0</v>
      </c>
    </row>
    <row r="231" spans="1:22" x14ac:dyDescent="0.25">
      <c r="A231" t="s">
        <v>1518</v>
      </c>
      <c r="B231" t="s">
        <v>103</v>
      </c>
      <c r="C231">
        <v>20</v>
      </c>
      <c r="D231" t="s">
        <v>260</v>
      </c>
      <c r="E231" t="s">
        <v>66</v>
      </c>
      <c r="F231" t="s">
        <v>96</v>
      </c>
      <c r="G231">
        <v>0.25</v>
      </c>
      <c r="H231" t="s">
        <v>23</v>
      </c>
      <c r="I231">
        <v>-3</v>
      </c>
      <c r="J231" t="str">
        <f>HYPERLINK("https://www.eliteprospects.com/player/494784/lucas-olvestad")</f>
        <v>https://www.eliteprospects.com/player/494784/lucas-olvestad</v>
      </c>
      <c r="K231" t="s">
        <v>27</v>
      </c>
      <c r="L231" t="s">
        <v>28</v>
      </c>
      <c r="M231" t="s">
        <v>1296</v>
      </c>
      <c r="N231">
        <v>4</v>
      </c>
      <c r="O231" t="s">
        <v>30</v>
      </c>
      <c r="P231">
        <v>0.05</v>
      </c>
      <c r="Q231" t="s">
        <v>1309</v>
      </c>
      <c r="R231">
        <v>0</v>
      </c>
      <c r="S231">
        <v>20</v>
      </c>
      <c r="T231">
        <v>40</v>
      </c>
      <c r="U231">
        <v>0</v>
      </c>
      <c r="V231">
        <v>40</v>
      </c>
    </row>
    <row r="232" spans="1:22" x14ac:dyDescent="0.25">
      <c r="A232" t="s">
        <v>1519</v>
      </c>
      <c r="B232" t="s">
        <v>50</v>
      </c>
      <c r="C232">
        <v>20</v>
      </c>
      <c r="D232" t="s">
        <v>260</v>
      </c>
      <c r="E232" t="s">
        <v>66</v>
      </c>
      <c r="F232" t="s">
        <v>96</v>
      </c>
      <c r="G232">
        <v>0.25</v>
      </c>
      <c r="H232" t="s">
        <v>47</v>
      </c>
      <c r="I232">
        <v>2</v>
      </c>
      <c r="J232" t="str">
        <f>HYPERLINK("https://www.eliteprospects.com/player/750590/drew-schock")</f>
        <v>https://www.eliteprospects.com/player/750590/drew-schock</v>
      </c>
      <c r="K232" t="s">
        <v>27</v>
      </c>
      <c r="L232" t="s">
        <v>28</v>
      </c>
      <c r="M232" t="s">
        <v>1296</v>
      </c>
      <c r="N232">
        <v>1</v>
      </c>
      <c r="O232" t="s">
        <v>71</v>
      </c>
      <c r="P232">
        <v>0.05</v>
      </c>
      <c r="Q232" t="s">
        <v>1300</v>
      </c>
      <c r="R232">
        <v>57.1</v>
      </c>
      <c r="S232">
        <v>28.6</v>
      </c>
      <c r="T232">
        <v>0</v>
      </c>
      <c r="U232">
        <v>14.3</v>
      </c>
      <c r="V232">
        <v>0</v>
      </c>
    </row>
    <row r="233" spans="1:22" x14ac:dyDescent="0.25">
      <c r="A233" t="s">
        <v>1520</v>
      </c>
      <c r="B233" t="s">
        <v>68</v>
      </c>
      <c r="C233">
        <v>21</v>
      </c>
      <c r="D233" t="s">
        <v>260</v>
      </c>
      <c r="E233" t="s">
        <v>66</v>
      </c>
      <c r="F233" t="s">
        <v>96</v>
      </c>
      <c r="G233">
        <v>0.24</v>
      </c>
      <c r="H233" t="s">
        <v>32</v>
      </c>
      <c r="I233">
        <v>14</v>
      </c>
      <c r="J233" t="str">
        <f>HYPERLINK("https://www.eliteprospects.com/player/526226/charlie-leddy")</f>
        <v>https://www.eliteprospects.com/player/526226/charlie-leddy</v>
      </c>
      <c r="K233" t="s">
        <v>27</v>
      </c>
      <c r="L233" t="s">
        <v>28</v>
      </c>
      <c r="M233" t="s">
        <v>1296</v>
      </c>
      <c r="N233">
        <v>4</v>
      </c>
      <c r="O233" t="s">
        <v>30</v>
      </c>
      <c r="P233">
        <v>0.05</v>
      </c>
      <c r="Q233" t="s">
        <v>1309</v>
      </c>
      <c r="R233">
        <v>14.3</v>
      </c>
      <c r="S233">
        <v>28.6</v>
      </c>
      <c r="T233">
        <v>28.6</v>
      </c>
      <c r="U233">
        <v>0</v>
      </c>
      <c r="V233">
        <v>28.6</v>
      </c>
    </row>
    <row r="234" spans="1:22" x14ac:dyDescent="0.25">
      <c r="A234" t="s">
        <v>1521</v>
      </c>
      <c r="B234" t="s">
        <v>64</v>
      </c>
      <c r="C234">
        <v>21</v>
      </c>
      <c r="D234" t="s">
        <v>260</v>
      </c>
      <c r="E234" t="s">
        <v>66</v>
      </c>
      <c r="F234" t="s">
        <v>96</v>
      </c>
      <c r="G234">
        <v>0.24</v>
      </c>
      <c r="H234" t="s">
        <v>23</v>
      </c>
      <c r="I234">
        <v>4</v>
      </c>
      <c r="J234" t="str">
        <f>HYPERLINK("https://www.eliteprospects.com/player/720101/bauer-berry")</f>
        <v>https://www.eliteprospects.com/player/720101/bauer-berry</v>
      </c>
      <c r="K234" t="s">
        <v>27</v>
      </c>
      <c r="L234" t="s">
        <v>28</v>
      </c>
      <c r="M234" t="s">
        <v>1296</v>
      </c>
      <c r="N234">
        <v>1</v>
      </c>
      <c r="O234" t="s">
        <v>71</v>
      </c>
      <c r="P234">
        <v>0.05</v>
      </c>
      <c r="Q234" t="s">
        <v>1325</v>
      </c>
      <c r="R234">
        <v>18.2</v>
      </c>
      <c r="S234">
        <v>9.1</v>
      </c>
      <c r="T234">
        <v>63.6</v>
      </c>
      <c r="U234">
        <v>0</v>
      </c>
      <c r="V234">
        <v>9.1</v>
      </c>
    </row>
    <row r="235" spans="1:22" x14ac:dyDescent="0.25">
      <c r="A235" t="s">
        <v>1522</v>
      </c>
      <c r="B235" t="s">
        <v>161</v>
      </c>
      <c r="C235">
        <v>22</v>
      </c>
      <c r="D235" t="s">
        <v>260</v>
      </c>
      <c r="E235" t="s">
        <v>66</v>
      </c>
      <c r="F235" t="s">
        <v>96</v>
      </c>
      <c r="G235">
        <v>0.23</v>
      </c>
      <c r="H235" t="s">
        <v>57</v>
      </c>
      <c r="I235">
        <v>7</v>
      </c>
      <c r="J235" t="str">
        <f>HYPERLINK("https://www.eliteprospects.com/player/670268/ryan-koering")</f>
        <v>https://www.eliteprospects.com/player/670268/ryan-koering</v>
      </c>
      <c r="K235" t="s">
        <v>27</v>
      </c>
      <c r="L235" t="s">
        <v>28</v>
      </c>
      <c r="M235" t="s">
        <v>1296</v>
      </c>
      <c r="N235">
        <v>2</v>
      </c>
      <c r="O235" t="s">
        <v>43</v>
      </c>
      <c r="P235">
        <v>0.04</v>
      </c>
      <c r="Q235" t="s">
        <v>1488</v>
      </c>
      <c r="R235">
        <v>0</v>
      </c>
      <c r="S235">
        <v>0</v>
      </c>
      <c r="T235">
        <v>0</v>
      </c>
      <c r="U235">
        <v>0</v>
      </c>
      <c r="V235">
        <v>0</v>
      </c>
    </row>
    <row r="236" spans="1:22" x14ac:dyDescent="0.25">
      <c r="A236" t="s">
        <v>1523</v>
      </c>
      <c r="B236" t="s">
        <v>202</v>
      </c>
      <c r="C236">
        <v>22</v>
      </c>
      <c r="D236" t="s">
        <v>260</v>
      </c>
      <c r="E236" t="s">
        <v>66</v>
      </c>
      <c r="F236" t="s">
        <v>96</v>
      </c>
      <c r="G236">
        <v>0.23</v>
      </c>
      <c r="H236" t="s">
        <v>57</v>
      </c>
      <c r="I236">
        <v>-7</v>
      </c>
      <c r="J236" t="str">
        <f>HYPERLINK("https://www.eliteprospects.com/player/470901/marcus-broberg")</f>
        <v>https://www.eliteprospects.com/player/470901/marcus-broberg</v>
      </c>
      <c r="K236" t="s">
        <v>27</v>
      </c>
      <c r="L236" t="s">
        <v>28</v>
      </c>
      <c r="M236" t="s">
        <v>1296</v>
      </c>
      <c r="N236">
        <v>2</v>
      </c>
      <c r="O236" t="s">
        <v>43</v>
      </c>
      <c r="P236">
        <v>0.04</v>
      </c>
      <c r="Q236" t="s">
        <v>1488</v>
      </c>
      <c r="R236">
        <v>0</v>
      </c>
      <c r="S236">
        <v>0</v>
      </c>
      <c r="T236">
        <v>0</v>
      </c>
      <c r="U236">
        <v>0</v>
      </c>
      <c r="V236">
        <v>0</v>
      </c>
    </row>
    <row r="237" spans="1:22" x14ac:dyDescent="0.25">
      <c r="A237" t="s">
        <v>1524</v>
      </c>
      <c r="B237" t="s">
        <v>205</v>
      </c>
      <c r="C237">
        <v>22</v>
      </c>
      <c r="D237" t="s">
        <v>260</v>
      </c>
      <c r="E237" t="s">
        <v>66</v>
      </c>
      <c r="F237" t="s">
        <v>96</v>
      </c>
      <c r="G237">
        <v>0.23</v>
      </c>
      <c r="H237" t="s">
        <v>38</v>
      </c>
      <c r="I237">
        <v>6</v>
      </c>
      <c r="J237" t="str">
        <f>HYPERLINK("https://www.eliteprospects.com/player/641761/mason-croucher")</f>
        <v>https://www.eliteprospects.com/player/641761/mason-croucher</v>
      </c>
      <c r="K237" t="s">
        <v>27</v>
      </c>
      <c r="L237" t="s">
        <v>28</v>
      </c>
      <c r="M237" t="s">
        <v>1296</v>
      </c>
      <c r="N237">
        <v>2</v>
      </c>
      <c r="O237" t="s">
        <v>43</v>
      </c>
      <c r="P237">
        <v>0.04</v>
      </c>
      <c r="Q237" t="s">
        <v>1488</v>
      </c>
      <c r="R237">
        <v>0</v>
      </c>
      <c r="S237">
        <v>0</v>
      </c>
      <c r="T237">
        <v>0</v>
      </c>
      <c r="U237">
        <v>0</v>
      </c>
      <c r="V237">
        <v>0</v>
      </c>
    </row>
    <row r="238" spans="1:22" x14ac:dyDescent="0.25">
      <c r="A238" t="s">
        <v>1525</v>
      </c>
      <c r="B238" t="s">
        <v>184</v>
      </c>
      <c r="C238">
        <v>13</v>
      </c>
      <c r="D238" t="s">
        <v>132</v>
      </c>
      <c r="E238" t="s">
        <v>96</v>
      </c>
      <c r="F238" t="s">
        <v>96</v>
      </c>
      <c r="G238">
        <v>0.38</v>
      </c>
      <c r="H238" t="s">
        <v>79</v>
      </c>
      <c r="I238">
        <v>2</v>
      </c>
      <c r="J238" t="str">
        <f>HYPERLINK("https://www.eliteprospects.com/player/714973/trey-scott")</f>
        <v>https://www.eliteprospects.com/player/714973/trey-scott</v>
      </c>
      <c r="K238" t="s">
        <v>27</v>
      </c>
      <c r="L238" t="s">
        <v>28</v>
      </c>
      <c r="M238" t="s">
        <v>1296</v>
      </c>
      <c r="N238">
        <v>2</v>
      </c>
      <c r="O238" t="s">
        <v>43</v>
      </c>
      <c r="P238">
        <v>7.0000000000000007E-2</v>
      </c>
      <c r="Q238" t="s">
        <v>1325</v>
      </c>
      <c r="R238">
        <v>33.299999999999997</v>
      </c>
      <c r="S238">
        <v>16.7</v>
      </c>
      <c r="T238">
        <v>33.299999999999997</v>
      </c>
      <c r="U238">
        <v>16.7</v>
      </c>
      <c r="V238">
        <v>0</v>
      </c>
    </row>
    <row r="239" spans="1:22" x14ac:dyDescent="0.25">
      <c r="A239" t="s">
        <v>1526</v>
      </c>
      <c r="B239" t="s">
        <v>167</v>
      </c>
      <c r="C239">
        <v>13</v>
      </c>
      <c r="D239" t="s">
        <v>132</v>
      </c>
      <c r="E239" t="s">
        <v>96</v>
      </c>
      <c r="F239" t="s">
        <v>96</v>
      </c>
      <c r="G239">
        <v>0.38</v>
      </c>
      <c r="H239" t="s">
        <v>26</v>
      </c>
      <c r="I239">
        <v>-3</v>
      </c>
      <c r="J239" t="str">
        <f>HYPERLINK("https://www.eliteprospects.com/player/616229/mason-langenbrunner")</f>
        <v>https://www.eliteprospects.com/player/616229/mason-langenbrunner</v>
      </c>
      <c r="K239" t="s">
        <v>27</v>
      </c>
      <c r="L239" t="s">
        <v>28</v>
      </c>
      <c r="M239" t="s">
        <v>1296</v>
      </c>
      <c r="N239">
        <v>4</v>
      </c>
      <c r="O239" t="s">
        <v>30</v>
      </c>
      <c r="P239">
        <v>7.0000000000000007E-2</v>
      </c>
      <c r="Q239" t="s">
        <v>245</v>
      </c>
      <c r="R239">
        <v>0</v>
      </c>
      <c r="S239">
        <v>44.4</v>
      </c>
      <c r="T239">
        <v>33.299999999999997</v>
      </c>
      <c r="U239">
        <v>0</v>
      </c>
      <c r="V239">
        <v>22.2</v>
      </c>
    </row>
    <row r="240" spans="1:22" x14ac:dyDescent="0.25">
      <c r="A240" t="s">
        <v>1527</v>
      </c>
      <c r="B240" t="s">
        <v>167</v>
      </c>
      <c r="C240">
        <v>14</v>
      </c>
      <c r="D240" t="s">
        <v>132</v>
      </c>
      <c r="E240" t="s">
        <v>96</v>
      </c>
      <c r="F240" t="s">
        <v>96</v>
      </c>
      <c r="G240">
        <v>0.36</v>
      </c>
      <c r="H240" t="s">
        <v>51</v>
      </c>
      <c r="I240">
        <v>0</v>
      </c>
      <c r="J240" t="str">
        <f>HYPERLINK("https://www.eliteprospects.com/player/599271/matthew-morden")</f>
        <v>https://www.eliteprospects.com/player/599271/matthew-morden</v>
      </c>
      <c r="K240" t="s">
        <v>27</v>
      </c>
      <c r="L240" t="s">
        <v>28</v>
      </c>
      <c r="M240" t="s">
        <v>1296</v>
      </c>
      <c r="N240">
        <v>3</v>
      </c>
      <c r="O240" t="s">
        <v>74</v>
      </c>
      <c r="P240">
        <v>7.0000000000000007E-2</v>
      </c>
      <c r="Q240" t="s">
        <v>1300</v>
      </c>
      <c r="R240">
        <v>33.299999999999997</v>
      </c>
      <c r="S240">
        <v>22.2</v>
      </c>
      <c r="T240">
        <v>22.2</v>
      </c>
      <c r="U240">
        <v>11.1</v>
      </c>
      <c r="V240">
        <v>11.1</v>
      </c>
    </row>
    <row r="241" spans="1:22" x14ac:dyDescent="0.25">
      <c r="A241" t="s">
        <v>1528</v>
      </c>
      <c r="B241" t="s">
        <v>200</v>
      </c>
      <c r="C241">
        <v>15</v>
      </c>
      <c r="D241" t="s">
        <v>132</v>
      </c>
      <c r="E241" t="s">
        <v>96</v>
      </c>
      <c r="F241" t="s">
        <v>96</v>
      </c>
      <c r="G241">
        <v>0.33</v>
      </c>
      <c r="H241" t="s">
        <v>79</v>
      </c>
      <c r="I241">
        <v>11</v>
      </c>
      <c r="J241" t="str">
        <f>HYPERLINK("https://www.eliteprospects.com/player/477411/jack-o-brien")</f>
        <v>https://www.eliteprospects.com/player/477411/jack-o-brien</v>
      </c>
      <c r="K241" t="s">
        <v>27</v>
      </c>
      <c r="L241" t="s">
        <v>28</v>
      </c>
      <c r="M241" t="s">
        <v>1296</v>
      </c>
      <c r="N241">
        <v>6</v>
      </c>
      <c r="O241" t="s">
        <v>1529</v>
      </c>
      <c r="P241">
        <v>0.06</v>
      </c>
      <c r="Q241" t="s">
        <v>1309</v>
      </c>
      <c r="R241">
        <v>14.3</v>
      </c>
      <c r="S241">
        <v>28.6</v>
      </c>
      <c r="T241">
        <v>28.6</v>
      </c>
      <c r="U241">
        <v>0</v>
      </c>
      <c r="V241">
        <v>28.6</v>
      </c>
    </row>
    <row r="242" spans="1:22" x14ac:dyDescent="0.25">
      <c r="A242" t="s">
        <v>1530</v>
      </c>
      <c r="B242" t="s">
        <v>127</v>
      </c>
      <c r="C242">
        <v>16</v>
      </c>
      <c r="D242" t="s">
        <v>132</v>
      </c>
      <c r="E242" t="s">
        <v>96</v>
      </c>
      <c r="F242" t="s">
        <v>96</v>
      </c>
      <c r="G242">
        <v>0.31</v>
      </c>
      <c r="H242" t="s">
        <v>75</v>
      </c>
      <c r="I242">
        <v>8</v>
      </c>
      <c r="J242" t="str">
        <f>HYPERLINK("https://www.eliteprospects.com/player/418276/lachlan-getz")</f>
        <v>https://www.eliteprospects.com/player/418276/lachlan-getz</v>
      </c>
      <c r="K242" t="s">
        <v>27</v>
      </c>
      <c r="L242" t="s">
        <v>28</v>
      </c>
      <c r="M242" t="s">
        <v>1296</v>
      </c>
      <c r="N242">
        <v>4</v>
      </c>
      <c r="O242" t="s">
        <v>30</v>
      </c>
      <c r="P242">
        <v>0.06</v>
      </c>
      <c r="Q242" t="s">
        <v>1309</v>
      </c>
      <c r="R242">
        <v>14.3</v>
      </c>
      <c r="S242">
        <v>28.6</v>
      </c>
      <c r="T242">
        <v>28.6</v>
      </c>
      <c r="U242">
        <v>0</v>
      </c>
      <c r="V242">
        <v>28.6</v>
      </c>
    </row>
    <row r="243" spans="1:22" x14ac:dyDescent="0.25">
      <c r="A243" t="s">
        <v>1531</v>
      </c>
      <c r="B243" t="s">
        <v>174</v>
      </c>
      <c r="C243">
        <v>17</v>
      </c>
      <c r="D243" t="s">
        <v>132</v>
      </c>
      <c r="E243" t="s">
        <v>96</v>
      </c>
      <c r="F243" t="s">
        <v>96</v>
      </c>
      <c r="G243">
        <v>0.28999999999999998</v>
      </c>
      <c r="H243" t="s">
        <v>79</v>
      </c>
      <c r="I243">
        <v>-1</v>
      </c>
      <c r="J243" t="str">
        <f>HYPERLINK("https://www.eliteprospects.com/player/704631/conner-de-haro")</f>
        <v>https://www.eliteprospects.com/player/704631/conner-de-haro</v>
      </c>
      <c r="K243" t="s">
        <v>27</v>
      </c>
      <c r="L243" t="s">
        <v>28</v>
      </c>
      <c r="M243" t="s">
        <v>1296</v>
      </c>
      <c r="N243">
        <v>1</v>
      </c>
      <c r="O243" t="s">
        <v>71</v>
      </c>
      <c r="P243">
        <v>0.06</v>
      </c>
      <c r="Q243" t="s">
        <v>1300</v>
      </c>
      <c r="R243">
        <v>37.5</v>
      </c>
      <c r="S243">
        <v>37.5</v>
      </c>
      <c r="T243">
        <v>0</v>
      </c>
      <c r="U243">
        <v>12.5</v>
      </c>
      <c r="V243">
        <v>12.5</v>
      </c>
    </row>
    <row r="244" spans="1:22" x14ac:dyDescent="0.25">
      <c r="A244" t="s">
        <v>1532</v>
      </c>
      <c r="B244" t="s">
        <v>234</v>
      </c>
      <c r="C244">
        <v>17</v>
      </c>
      <c r="D244" t="s">
        <v>132</v>
      </c>
      <c r="E244" t="s">
        <v>96</v>
      </c>
      <c r="F244" t="s">
        <v>96</v>
      </c>
      <c r="G244">
        <v>0.28999999999999998</v>
      </c>
      <c r="H244" t="s">
        <v>57</v>
      </c>
      <c r="I244">
        <v>6</v>
      </c>
      <c r="J244" t="str">
        <f>HYPERLINK("https://www.eliteprospects.com/player/617863/ethan-mistry")</f>
        <v>https://www.eliteprospects.com/player/617863/ethan-mistry</v>
      </c>
      <c r="K244" t="s">
        <v>27</v>
      </c>
      <c r="L244" t="s">
        <v>28</v>
      </c>
      <c r="M244" t="s">
        <v>1296</v>
      </c>
      <c r="N244">
        <v>3</v>
      </c>
      <c r="O244" t="s">
        <v>74</v>
      </c>
      <c r="P244">
        <v>0.06</v>
      </c>
      <c r="Q244" t="s">
        <v>1325</v>
      </c>
      <c r="R244">
        <v>18.2</v>
      </c>
      <c r="S244">
        <v>9.1</v>
      </c>
      <c r="T244">
        <v>63.6</v>
      </c>
      <c r="U244">
        <v>0</v>
      </c>
      <c r="V244">
        <v>9.1</v>
      </c>
    </row>
    <row r="245" spans="1:22" x14ac:dyDescent="0.25">
      <c r="A245" t="s">
        <v>1533</v>
      </c>
      <c r="B245" t="s">
        <v>22</v>
      </c>
      <c r="C245">
        <v>18</v>
      </c>
      <c r="D245" t="s">
        <v>132</v>
      </c>
      <c r="E245" t="s">
        <v>96</v>
      </c>
      <c r="F245" t="s">
        <v>96</v>
      </c>
      <c r="G245">
        <v>0.28000000000000003</v>
      </c>
      <c r="H245" t="s">
        <v>57</v>
      </c>
      <c r="I245">
        <v>2</v>
      </c>
      <c r="J245" t="str">
        <f>HYPERLINK("https://www.eliteprospects.com/player/623741/brasen-boser")</f>
        <v>https://www.eliteprospects.com/player/623741/brasen-boser</v>
      </c>
      <c r="K245" t="s">
        <v>27</v>
      </c>
      <c r="L245" t="s">
        <v>28</v>
      </c>
      <c r="M245" t="s">
        <v>1296</v>
      </c>
      <c r="N245">
        <v>2</v>
      </c>
      <c r="O245" t="s">
        <v>43</v>
      </c>
      <c r="P245">
        <v>0.05</v>
      </c>
      <c r="Q245" t="s">
        <v>1300</v>
      </c>
      <c r="R245">
        <v>57.1</v>
      </c>
      <c r="S245">
        <v>28.6</v>
      </c>
      <c r="T245">
        <v>0</v>
      </c>
      <c r="U245">
        <v>14.3</v>
      </c>
      <c r="V245">
        <v>0</v>
      </c>
    </row>
    <row r="246" spans="1:22" x14ac:dyDescent="0.25">
      <c r="A246" t="s">
        <v>1534</v>
      </c>
      <c r="B246" t="s">
        <v>195</v>
      </c>
      <c r="C246">
        <v>19</v>
      </c>
      <c r="D246" t="s">
        <v>132</v>
      </c>
      <c r="E246" t="s">
        <v>96</v>
      </c>
      <c r="F246" t="s">
        <v>96</v>
      </c>
      <c r="G246">
        <v>0.26</v>
      </c>
      <c r="H246" t="s">
        <v>66</v>
      </c>
      <c r="I246">
        <v>-1</v>
      </c>
      <c r="J246" t="str">
        <f>HYPERLINK("https://www.eliteprospects.com/player/635383/aiden-celebrini")</f>
        <v>https://www.eliteprospects.com/player/635383/aiden-celebrini</v>
      </c>
      <c r="K246" t="s">
        <v>27</v>
      </c>
      <c r="L246" t="s">
        <v>28</v>
      </c>
      <c r="M246" t="s">
        <v>1296</v>
      </c>
      <c r="N246">
        <v>3</v>
      </c>
      <c r="O246" t="s">
        <v>74</v>
      </c>
      <c r="P246">
        <v>0.05</v>
      </c>
      <c r="Q246" t="s">
        <v>1300</v>
      </c>
      <c r="R246">
        <v>37.5</v>
      </c>
      <c r="S246">
        <v>37.5</v>
      </c>
      <c r="T246">
        <v>0</v>
      </c>
      <c r="U246">
        <v>12.5</v>
      </c>
      <c r="V246">
        <v>12.5</v>
      </c>
    </row>
    <row r="247" spans="1:22" x14ac:dyDescent="0.25">
      <c r="A247" t="s">
        <v>1535</v>
      </c>
      <c r="B247" t="s">
        <v>130</v>
      </c>
      <c r="C247">
        <v>19</v>
      </c>
      <c r="D247" t="s">
        <v>132</v>
      </c>
      <c r="E247" t="s">
        <v>96</v>
      </c>
      <c r="F247" t="s">
        <v>96</v>
      </c>
      <c r="G247">
        <v>0.26</v>
      </c>
      <c r="H247" t="s">
        <v>235</v>
      </c>
      <c r="I247">
        <v>-4</v>
      </c>
      <c r="J247" t="str">
        <f>HYPERLINK("https://www.eliteprospects.com/player/643091/filip-nordberg")</f>
        <v>https://www.eliteprospects.com/player/643091/filip-nordberg</v>
      </c>
      <c r="K247" t="s">
        <v>27</v>
      </c>
      <c r="L247" t="s">
        <v>28</v>
      </c>
      <c r="M247" t="s">
        <v>1296</v>
      </c>
      <c r="N247">
        <v>1</v>
      </c>
      <c r="O247" t="s">
        <v>71</v>
      </c>
      <c r="P247">
        <v>0.05</v>
      </c>
      <c r="Q247" t="s">
        <v>1309</v>
      </c>
      <c r="R247">
        <v>0</v>
      </c>
      <c r="S247">
        <v>20</v>
      </c>
      <c r="T247">
        <v>40</v>
      </c>
      <c r="U247">
        <v>0</v>
      </c>
      <c r="V247">
        <v>40</v>
      </c>
    </row>
    <row r="248" spans="1:22" x14ac:dyDescent="0.25">
      <c r="A248" t="s">
        <v>1536</v>
      </c>
      <c r="B248" t="s">
        <v>162</v>
      </c>
      <c r="C248">
        <v>20</v>
      </c>
      <c r="D248" t="s">
        <v>132</v>
      </c>
      <c r="E248" t="s">
        <v>96</v>
      </c>
      <c r="F248" t="s">
        <v>96</v>
      </c>
      <c r="G248">
        <v>0.25</v>
      </c>
      <c r="H248" t="s">
        <v>32</v>
      </c>
      <c r="I248">
        <v>-4</v>
      </c>
      <c r="J248" t="str">
        <f>HYPERLINK("https://www.eliteprospects.com/player/535855/tobias-bjercke-larsen")</f>
        <v>https://www.eliteprospects.com/player/535855/tobias-bjercke-larsen</v>
      </c>
      <c r="K248" t="s">
        <v>27</v>
      </c>
      <c r="L248" t="s">
        <v>28</v>
      </c>
      <c r="M248" t="s">
        <v>1296</v>
      </c>
      <c r="N248">
        <v>2</v>
      </c>
      <c r="O248" t="s">
        <v>43</v>
      </c>
      <c r="P248">
        <v>0.05</v>
      </c>
      <c r="Q248" t="s">
        <v>1309</v>
      </c>
      <c r="R248">
        <v>0</v>
      </c>
      <c r="S248">
        <v>20</v>
      </c>
      <c r="T248">
        <v>40</v>
      </c>
      <c r="U248">
        <v>0</v>
      </c>
      <c r="V248">
        <v>40</v>
      </c>
    </row>
    <row r="249" spans="1:22" x14ac:dyDescent="0.25">
      <c r="A249" t="s">
        <v>1537</v>
      </c>
      <c r="B249" t="s">
        <v>171</v>
      </c>
      <c r="C249">
        <v>21</v>
      </c>
      <c r="D249" t="s">
        <v>132</v>
      </c>
      <c r="E249" t="s">
        <v>96</v>
      </c>
      <c r="F249" t="s">
        <v>96</v>
      </c>
      <c r="G249">
        <v>0.24</v>
      </c>
      <c r="H249" t="s">
        <v>66</v>
      </c>
      <c r="I249">
        <v>-3</v>
      </c>
      <c r="J249" t="str">
        <f>HYPERLINK("https://www.eliteprospects.com/player/692461/dominic-payne")</f>
        <v>https://www.eliteprospects.com/player/692461/dominic-payne</v>
      </c>
      <c r="K249" t="s">
        <v>27</v>
      </c>
      <c r="L249" t="s">
        <v>28</v>
      </c>
      <c r="M249" t="s">
        <v>1296</v>
      </c>
      <c r="N249">
        <v>2</v>
      </c>
      <c r="O249" t="s">
        <v>43</v>
      </c>
      <c r="P249">
        <v>0.05</v>
      </c>
      <c r="Q249" t="s">
        <v>1309</v>
      </c>
      <c r="R249">
        <v>0</v>
      </c>
      <c r="S249">
        <v>20</v>
      </c>
      <c r="T249">
        <v>40</v>
      </c>
      <c r="U249">
        <v>0</v>
      </c>
      <c r="V249">
        <v>40</v>
      </c>
    </row>
    <row r="250" spans="1:22" x14ac:dyDescent="0.25">
      <c r="A250" t="s">
        <v>1538</v>
      </c>
      <c r="B250" t="s">
        <v>184</v>
      </c>
      <c r="C250">
        <v>21</v>
      </c>
      <c r="D250" t="s">
        <v>132</v>
      </c>
      <c r="E250" t="s">
        <v>96</v>
      </c>
      <c r="F250" t="s">
        <v>96</v>
      </c>
      <c r="G250">
        <v>0.24</v>
      </c>
      <c r="H250" t="s">
        <v>66</v>
      </c>
      <c r="I250">
        <v>-2</v>
      </c>
      <c r="J250" t="str">
        <f>HYPERLINK("https://www.eliteprospects.com/player/806151/anthony-allain-samake")</f>
        <v>https://www.eliteprospects.com/player/806151/anthony-allain-samake</v>
      </c>
      <c r="K250" t="s">
        <v>27</v>
      </c>
      <c r="L250" t="s">
        <v>28</v>
      </c>
      <c r="M250" t="s">
        <v>1296</v>
      </c>
      <c r="N250">
        <v>1</v>
      </c>
      <c r="O250" t="s">
        <v>71</v>
      </c>
      <c r="P250">
        <v>0.05</v>
      </c>
      <c r="Q250" t="s">
        <v>1300</v>
      </c>
      <c r="R250">
        <v>37.5</v>
      </c>
      <c r="S250">
        <v>37.5</v>
      </c>
      <c r="T250">
        <v>0</v>
      </c>
      <c r="U250">
        <v>12.5</v>
      </c>
      <c r="V250">
        <v>12.5</v>
      </c>
    </row>
    <row r="251" spans="1:22" x14ac:dyDescent="0.25">
      <c r="A251" t="s">
        <v>1539</v>
      </c>
      <c r="B251" t="s">
        <v>184</v>
      </c>
      <c r="C251">
        <v>21</v>
      </c>
      <c r="D251" t="s">
        <v>132</v>
      </c>
      <c r="E251" t="s">
        <v>96</v>
      </c>
      <c r="F251" t="s">
        <v>96</v>
      </c>
      <c r="G251">
        <v>0.24</v>
      </c>
      <c r="H251" t="s">
        <v>23</v>
      </c>
      <c r="I251">
        <v>19</v>
      </c>
      <c r="J251" t="str">
        <f>HYPERLINK("https://www.eliteprospects.com/player/574619/viking-gustafsson-nyberg")</f>
        <v>https://www.eliteprospects.com/player/574619/viking-gustafsson-nyberg</v>
      </c>
      <c r="K251" t="s">
        <v>27</v>
      </c>
      <c r="L251" t="s">
        <v>28</v>
      </c>
      <c r="M251" t="s">
        <v>1296</v>
      </c>
      <c r="N251">
        <v>3</v>
      </c>
      <c r="O251" t="s">
        <v>74</v>
      </c>
      <c r="P251">
        <v>0.05</v>
      </c>
      <c r="Q251" t="s">
        <v>1309</v>
      </c>
      <c r="R251">
        <v>14.3</v>
      </c>
      <c r="S251">
        <v>28.6</v>
      </c>
      <c r="T251">
        <v>28.6</v>
      </c>
      <c r="U251">
        <v>0</v>
      </c>
      <c r="V251">
        <v>28.6</v>
      </c>
    </row>
    <row r="252" spans="1:22" x14ac:dyDescent="0.25">
      <c r="A252" t="s">
        <v>1540</v>
      </c>
      <c r="B252" t="s">
        <v>121</v>
      </c>
      <c r="C252">
        <v>21</v>
      </c>
      <c r="D252" t="s">
        <v>132</v>
      </c>
      <c r="E252" t="s">
        <v>96</v>
      </c>
      <c r="F252" t="s">
        <v>96</v>
      </c>
      <c r="G252">
        <v>0.24</v>
      </c>
      <c r="H252" t="s">
        <v>84</v>
      </c>
      <c r="I252">
        <v>0</v>
      </c>
      <c r="J252" t="str">
        <f>HYPERLINK("https://www.eliteprospects.com/player/518275/nate-benoit")</f>
        <v>https://www.eliteprospects.com/player/518275/nate-benoit</v>
      </c>
      <c r="K252" t="s">
        <v>27</v>
      </c>
      <c r="L252" t="s">
        <v>28</v>
      </c>
      <c r="M252" t="s">
        <v>1296</v>
      </c>
      <c r="N252">
        <v>3</v>
      </c>
      <c r="O252" t="s">
        <v>74</v>
      </c>
      <c r="P252">
        <v>0.05</v>
      </c>
      <c r="Q252" t="s">
        <v>1300</v>
      </c>
      <c r="R252">
        <v>37.5</v>
      </c>
      <c r="S252">
        <v>37.5</v>
      </c>
      <c r="T252">
        <v>0</v>
      </c>
      <c r="U252">
        <v>12.5</v>
      </c>
      <c r="V252">
        <v>12.5</v>
      </c>
    </row>
    <row r="253" spans="1:22" x14ac:dyDescent="0.25">
      <c r="A253" t="s">
        <v>1541</v>
      </c>
      <c r="B253" t="s">
        <v>37</v>
      </c>
      <c r="C253">
        <v>22</v>
      </c>
      <c r="D253" t="s">
        <v>132</v>
      </c>
      <c r="E253" t="s">
        <v>96</v>
      </c>
      <c r="F253" t="s">
        <v>96</v>
      </c>
      <c r="G253">
        <v>0.23</v>
      </c>
      <c r="H253" t="s">
        <v>79</v>
      </c>
      <c r="I253">
        <v>-5</v>
      </c>
      <c r="J253" t="str">
        <f>HYPERLINK("https://www.eliteprospects.com/player/658117/aaron-pionk")</f>
        <v>https://www.eliteprospects.com/player/658117/aaron-pionk</v>
      </c>
      <c r="K253" t="s">
        <v>27</v>
      </c>
      <c r="L253" t="s">
        <v>28</v>
      </c>
      <c r="M253" t="s">
        <v>1296</v>
      </c>
      <c r="N253">
        <v>3</v>
      </c>
      <c r="O253" t="s">
        <v>74</v>
      </c>
      <c r="P253">
        <v>0.04</v>
      </c>
      <c r="Q253" t="s">
        <v>1488</v>
      </c>
      <c r="R253">
        <v>0</v>
      </c>
      <c r="S253">
        <v>0</v>
      </c>
      <c r="T253">
        <v>0</v>
      </c>
      <c r="U253">
        <v>0</v>
      </c>
      <c r="V253">
        <v>0</v>
      </c>
    </row>
    <row r="254" spans="1:22" x14ac:dyDescent="0.25">
      <c r="A254" t="s">
        <v>1542</v>
      </c>
      <c r="B254" t="s">
        <v>113</v>
      </c>
      <c r="C254">
        <v>23</v>
      </c>
      <c r="D254" t="s">
        <v>132</v>
      </c>
      <c r="E254" t="s">
        <v>96</v>
      </c>
      <c r="F254" t="s">
        <v>96</v>
      </c>
      <c r="G254">
        <v>0.22</v>
      </c>
      <c r="H254" t="s">
        <v>26</v>
      </c>
      <c r="I254">
        <v>0</v>
      </c>
      <c r="J254" t="str">
        <f>HYPERLINK("https://www.eliteprospects.com/player/487153/mason-wheeler")</f>
        <v>https://www.eliteprospects.com/player/487153/mason-wheeler</v>
      </c>
      <c r="K254" t="s">
        <v>27</v>
      </c>
      <c r="L254" t="s">
        <v>28</v>
      </c>
      <c r="M254" t="s">
        <v>1296</v>
      </c>
      <c r="N254">
        <v>4</v>
      </c>
      <c r="O254" t="s">
        <v>30</v>
      </c>
      <c r="P254">
        <v>0.04</v>
      </c>
      <c r="Q254" t="s">
        <v>1488</v>
      </c>
      <c r="R254">
        <v>0</v>
      </c>
      <c r="S254">
        <v>0</v>
      </c>
      <c r="T254">
        <v>0</v>
      </c>
      <c r="U254">
        <v>0</v>
      </c>
      <c r="V254">
        <v>0</v>
      </c>
    </row>
    <row r="255" spans="1:22" x14ac:dyDescent="0.25">
      <c r="A255" t="s">
        <v>1543</v>
      </c>
      <c r="B255" t="s">
        <v>148</v>
      </c>
      <c r="C255">
        <v>11</v>
      </c>
      <c r="D255" t="s">
        <v>79</v>
      </c>
      <c r="E255" t="s">
        <v>79</v>
      </c>
      <c r="F255" t="s">
        <v>66</v>
      </c>
      <c r="G255">
        <v>0.36</v>
      </c>
      <c r="H255" t="s">
        <v>79</v>
      </c>
      <c r="I255">
        <v>2</v>
      </c>
      <c r="J255" t="str">
        <f>HYPERLINK("https://www.eliteprospects.com/player/724888/landon-fandel")</f>
        <v>https://www.eliteprospects.com/player/724888/landon-fandel</v>
      </c>
      <c r="K255" t="s">
        <v>27</v>
      </c>
      <c r="L255" t="s">
        <v>28</v>
      </c>
      <c r="M255" t="s">
        <v>1296</v>
      </c>
      <c r="N255">
        <v>1</v>
      </c>
      <c r="O255" t="s">
        <v>71</v>
      </c>
      <c r="P255">
        <v>7.0000000000000007E-2</v>
      </c>
      <c r="Q255" t="s">
        <v>1300</v>
      </c>
      <c r="R255">
        <v>42.9</v>
      </c>
      <c r="S255">
        <v>28.6</v>
      </c>
      <c r="T255">
        <v>28.6</v>
      </c>
      <c r="U255">
        <v>0</v>
      </c>
      <c r="V255">
        <v>0</v>
      </c>
    </row>
    <row r="256" spans="1:22" x14ac:dyDescent="0.25">
      <c r="A256" t="s">
        <v>1544</v>
      </c>
      <c r="B256" t="s">
        <v>130</v>
      </c>
      <c r="C256">
        <v>14</v>
      </c>
      <c r="D256" t="s">
        <v>79</v>
      </c>
      <c r="E256" t="s">
        <v>79</v>
      </c>
      <c r="F256" t="s">
        <v>66</v>
      </c>
      <c r="G256">
        <v>0.28999999999999998</v>
      </c>
      <c r="H256" t="s">
        <v>79</v>
      </c>
      <c r="I256">
        <v>9</v>
      </c>
      <c r="J256" t="str">
        <f>HYPERLINK("https://www.eliteprospects.com/player/641151/nathan-king")</f>
        <v>https://www.eliteprospects.com/player/641151/nathan-king</v>
      </c>
      <c r="K256" t="s">
        <v>27</v>
      </c>
      <c r="L256" t="s">
        <v>28</v>
      </c>
      <c r="M256" t="s">
        <v>1296</v>
      </c>
      <c r="N256">
        <v>2</v>
      </c>
      <c r="O256" t="s">
        <v>43</v>
      </c>
      <c r="P256">
        <v>0.06</v>
      </c>
      <c r="Q256" t="s">
        <v>1309</v>
      </c>
      <c r="R256">
        <v>14.3</v>
      </c>
      <c r="S256">
        <v>28.6</v>
      </c>
      <c r="T256">
        <v>28.6</v>
      </c>
      <c r="U256">
        <v>0</v>
      </c>
      <c r="V256">
        <v>28.6</v>
      </c>
    </row>
    <row r="257" spans="1:22" x14ac:dyDescent="0.25">
      <c r="A257" t="s">
        <v>1545</v>
      </c>
      <c r="B257" t="s">
        <v>85</v>
      </c>
      <c r="C257">
        <v>14</v>
      </c>
      <c r="D257" t="s">
        <v>79</v>
      </c>
      <c r="E257" t="s">
        <v>79</v>
      </c>
      <c r="F257" t="s">
        <v>66</v>
      </c>
      <c r="G257">
        <v>0.28999999999999998</v>
      </c>
      <c r="H257" t="s">
        <v>66</v>
      </c>
      <c r="I257">
        <v>8</v>
      </c>
      <c r="J257" t="str">
        <f>HYPERLINK("https://www.eliteprospects.com/player/478381/jayden-sison")</f>
        <v>https://www.eliteprospects.com/player/478381/jayden-sison</v>
      </c>
      <c r="K257" t="s">
        <v>27</v>
      </c>
      <c r="L257" t="s">
        <v>28</v>
      </c>
      <c r="M257" t="s">
        <v>1546</v>
      </c>
      <c r="N257">
        <v>4</v>
      </c>
      <c r="O257" t="s">
        <v>30</v>
      </c>
      <c r="P257">
        <v>0.06</v>
      </c>
      <c r="Q257" t="s">
        <v>1309</v>
      </c>
      <c r="R257">
        <v>14.3</v>
      </c>
      <c r="S257">
        <v>28.6</v>
      </c>
      <c r="T257">
        <v>28.6</v>
      </c>
      <c r="U257">
        <v>0</v>
      </c>
      <c r="V257">
        <v>28.6</v>
      </c>
    </row>
    <row r="258" spans="1:22" x14ac:dyDescent="0.25">
      <c r="A258" t="s">
        <v>1547</v>
      </c>
      <c r="B258" t="s">
        <v>215</v>
      </c>
      <c r="C258">
        <v>18</v>
      </c>
      <c r="D258" t="s">
        <v>79</v>
      </c>
      <c r="E258" t="s">
        <v>79</v>
      </c>
      <c r="F258" t="s">
        <v>66</v>
      </c>
      <c r="G258">
        <v>0.22</v>
      </c>
      <c r="H258" t="s">
        <v>66</v>
      </c>
      <c r="I258">
        <v>-17</v>
      </c>
      <c r="J258" t="str">
        <f>HYPERLINK("https://www.eliteprospects.com/player/664651/joe-schiller")</f>
        <v>https://www.eliteprospects.com/player/664651/joe-schiller</v>
      </c>
      <c r="K258" t="s">
        <v>27</v>
      </c>
      <c r="L258" t="s">
        <v>28</v>
      </c>
      <c r="M258" t="s">
        <v>1296</v>
      </c>
      <c r="N258">
        <v>2</v>
      </c>
      <c r="O258" t="s">
        <v>43</v>
      </c>
      <c r="P258">
        <v>0.04</v>
      </c>
      <c r="Q258" t="s">
        <v>1488</v>
      </c>
      <c r="R258">
        <v>0</v>
      </c>
      <c r="S258">
        <v>0</v>
      </c>
      <c r="T258">
        <v>0</v>
      </c>
      <c r="U258">
        <v>0</v>
      </c>
      <c r="V258">
        <v>0</v>
      </c>
    </row>
    <row r="259" spans="1:22" x14ac:dyDescent="0.25">
      <c r="A259" t="s">
        <v>1548</v>
      </c>
      <c r="B259" t="s">
        <v>146</v>
      </c>
      <c r="C259">
        <v>19</v>
      </c>
      <c r="D259" t="s">
        <v>79</v>
      </c>
      <c r="E259" t="s">
        <v>79</v>
      </c>
      <c r="F259" t="s">
        <v>66</v>
      </c>
      <c r="G259">
        <v>0.21</v>
      </c>
      <c r="H259" t="s">
        <v>23</v>
      </c>
      <c r="I259">
        <v>6</v>
      </c>
      <c r="J259" t="str">
        <f>HYPERLINK("https://www.eliteprospects.com/player/561361/samuel-belanger")</f>
        <v>https://www.eliteprospects.com/player/561361/samuel-belanger</v>
      </c>
      <c r="K259" t="s">
        <v>27</v>
      </c>
      <c r="L259" t="s">
        <v>28</v>
      </c>
      <c r="M259" t="s">
        <v>1296</v>
      </c>
      <c r="N259">
        <v>1</v>
      </c>
      <c r="O259" t="s">
        <v>71</v>
      </c>
      <c r="P259">
        <v>0.04</v>
      </c>
      <c r="Q259" t="s">
        <v>1488</v>
      </c>
      <c r="R259">
        <v>0</v>
      </c>
      <c r="S259">
        <v>0</v>
      </c>
      <c r="T259">
        <v>0</v>
      </c>
      <c r="U259">
        <v>0</v>
      </c>
      <c r="V259">
        <v>0</v>
      </c>
    </row>
    <row r="260" spans="1:22" x14ac:dyDescent="0.25">
      <c r="A260" t="s">
        <v>1549</v>
      </c>
      <c r="B260" t="s">
        <v>362</v>
      </c>
      <c r="C260">
        <v>19</v>
      </c>
      <c r="D260" t="s">
        <v>79</v>
      </c>
      <c r="E260" t="s">
        <v>79</v>
      </c>
      <c r="F260" t="s">
        <v>66</v>
      </c>
      <c r="G260">
        <v>0.21</v>
      </c>
      <c r="H260" t="s">
        <v>39</v>
      </c>
      <c r="I260">
        <v>-9</v>
      </c>
      <c r="J260" t="str">
        <f>HYPERLINK("https://www.eliteprospects.com/player/478661/tyler-desrochers")</f>
        <v>https://www.eliteprospects.com/player/478661/tyler-desrochers</v>
      </c>
      <c r="K260" t="s">
        <v>27</v>
      </c>
      <c r="L260" t="s">
        <v>28</v>
      </c>
      <c r="M260" t="s">
        <v>1296</v>
      </c>
      <c r="N260">
        <v>3</v>
      </c>
      <c r="O260" t="s">
        <v>74</v>
      </c>
      <c r="P260">
        <v>0.04</v>
      </c>
      <c r="Q260" t="s">
        <v>1488</v>
      </c>
      <c r="R260">
        <v>0</v>
      </c>
      <c r="S260">
        <v>0</v>
      </c>
      <c r="T260">
        <v>0</v>
      </c>
      <c r="U260">
        <v>0</v>
      </c>
      <c r="V260">
        <v>0</v>
      </c>
    </row>
    <row r="261" spans="1:22" x14ac:dyDescent="0.25">
      <c r="A261" t="s">
        <v>1550</v>
      </c>
      <c r="B261" t="s">
        <v>114</v>
      </c>
      <c r="C261">
        <v>20</v>
      </c>
      <c r="D261" t="s">
        <v>79</v>
      </c>
      <c r="E261" t="s">
        <v>79</v>
      </c>
      <c r="F261" t="s">
        <v>66</v>
      </c>
      <c r="G261">
        <v>0.2</v>
      </c>
      <c r="H261" t="s">
        <v>57</v>
      </c>
      <c r="I261">
        <v>-6</v>
      </c>
      <c r="J261" t="str">
        <f>HYPERLINK("https://www.eliteprospects.com/player/703233/connor-gengle")</f>
        <v>https://www.eliteprospects.com/player/703233/connor-gengle</v>
      </c>
      <c r="K261" t="s">
        <v>27</v>
      </c>
      <c r="L261" t="s">
        <v>28</v>
      </c>
      <c r="M261" t="s">
        <v>1296</v>
      </c>
      <c r="N261">
        <v>1</v>
      </c>
      <c r="O261" t="s">
        <v>71</v>
      </c>
      <c r="P261">
        <v>0.04</v>
      </c>
      <c r="Q261" t="s">
        <v>1488</v>
      </c>
      <c r="R261">
        <v>0</v>
      </c>
      <c r="S261">
        <v>0</v>
      </c>
      <c r="T261">
        <v>0</v>
      </c>
      <c r="U261">
        <v>0</v>
      </c>
      <c r="V261">
        <v>0</v>
      </c>
    </row>
    <row r="262" spans="1:22" x14ac:dyDescent="0.25">
      <c r="A262" t="s">
        <v>1551</v>
      </c>
      <c r="B262" t="s">
        <v>150</v>
      </c>
      <c r="C262">
        <v>20</v>
      </c>
      <c r="D262" t="s">
        <v>79</v>
      </c>
      <c r="E262" t="s">
        <v>79</v>
      </c>
      <c r="F262" t="s">
        <v>66</v>
      </c>
      <c r="G262">
        <v>0.2</v>
      </c>
      <c r="H262" t="s">
        <v>32</v>
      </c>
      <c r="I262">
        <v>-3</v>
      </c>
      <c r="J262" t="str">
        <f>HYPERLINK("https://www.eliteprospects.com/player/538399/william-smith")</f>
        <v>https://www.eliteprospects.com/player/538399/william-smith</v>
      </c>
      <c r="K262" t="s">
        <v>27</v>
      </c>
      <c r="L262" t="s">
        <v>28</v>
      </c>
      <c r="M262" t="s">
        <v>1296</v>
      </c>
      <c r="N262">
        <v>3</v>
      </c>
      <c r="O262" t="s">
        <v>74</v>
      </c>
      <c r="P262">
        <v>0.04</v>
      </c>
      <c r="Q262" t="s">
        <v>1488</v>
      </c>
      <c r="R262">
        <v>0</v>
      </c>
      <c r="S262">
        <v>0</v>
      </c>
      <c r="T262">
        <v>0</v>
      </c>
      <c r="U262">
        <v>0</v>
      </c>
      <c r="V262">
        <v>0</v>
      </c>
    </row>
    <row r="263" spans="1:22" x14ac:dyDescent="0.25">
      <c r="A263" t="s">
        <v>1552</v>
      </c>
      <c r="B263" t="s">
        <v>184</v>
      </c>
      <c r="C263">
        <v>21</v>
      </c>
      <c r="D263" t="s">
        <v>79</v>
      </c>
      <c r="E263" t="s">
        <v>79</v>
      </c>
      <c r="F263" t="s">
        <v>66</v>
      </c>
      <c r="G263">
        <v>0.19</v>
      </c>
      <c r="H263" t="s">
        <v>57</v>
      </c>
      <c r="I263">
        <v>7</v>
      </c>
      <c r="J263" t="str">
        <f>HYPERLINK("https://www.eliteprospects.com/player/511516/thomas-messineo")</f>
        <v>https://www.eliteprospects.com/player/511516/thomas-messineo</v>
      </c>
      <c r="K263" t="s">
        <v>27</v>
      </c>
      <c r="L263" t="s">
        <v>28</v>
      </c>
      <c r="M263" t="s">
        <v>1296</v>
      </c>
      <c r="N263">
        <v>4</v>
      </c>
      <c r="O263" t="s">
        <v>30</v>
      </c>
      <c r="P263">
        <v>0.04</v>
      </c>
      <c r="Q263" t="s">
        <v>1488</v>
      </c>
      <c r="R263">
        <v>0</v>
      </c>
      <c r="S263">
        <v>0</v>
      </c>
      <c r="T263">
        <v>0</v>
      </c>
      <c r="U263">
        <v>0</v>
      </c>
      <c r="V263">
        <v>0</v>
      </c>
    </row>
    <row r="264" spans="1:22" x14ac:dyDescent="0.25">
      <c r="A264" t="s">
        <v>1553</v>
      </c>
      <c r="B264" t="s">
        <v>222</v>
      </c>
      <c r="C264">
        <v>10</v>
      </c>
      <c r="D264" t="s">
        <v>260</v>
      </c>
      <c r="E264" t="s">
        <v>140</v>
      </c>
      <c r="F264" t="s">
        <v>66</v>
      </c>
      <c r="G264">
        <v>0.4</v>
      </c>
      <c r="H264" t="s">
        <v>23</v>
      </c>
      <c r="I264">
        <v>2</v>
      </c>
      <c r="J264" t="str">
        <f>HYPERLINK("https://www.eliteprospects.com/player/651955/owen-forester")</f>
        <v>https://www.eliteprospects.com/player/651955/owen-forester</v>
      </c>
      <c r="K264" t="s">
        <v>27</v>
      </c>
      <c r="L264" t="s">
        <v>28</v>
      </c>
      <c r="M264" t="s">
        <v>1296</v>
      </c>
      <c r="N264">
        <v>3</v>
      </c>
      <c r="O264" t="s">
        <v>74</v>
      </c>
      <c r="P264">
        <v>0.08</v>
      </c>
      <c r="Q264" t="s">
        <v>1300</v>
      </c>
      <c r="R264">
        <v>42.9</v>
      </c>
      <c r="S264">
        <v>28.6</v>
      </c>
      <c r="T264">
        <v>28.6</v>
      </c>
      <c r="U264">
        <v>0</v>
      </c>
      <c r="V264">
        <v>0</v>
      </c>
    </row>
    <row r="265" spans="1:22" x14ac:dyDescent="0.25">
      <c r="A265" t="s">
        <v>1554</v>
      </c>
      <c r="B265" t="s">
        <v>106</v>
      </c>
      <c r="C265">
        <v>15</v>
      </c>
      <c r="D265" t="s">
        <v>260</v>
      </c>
      <c r="E265" t="s">
        <v>140</v>
      </c>
      <c r="F265" t="s">
        <v>66</v>
      </c>
      <c r="G265">
        <v>0.27</v>
      </c>
      <c r="H265" t="s">
        <v>39</v>
      </c>
      <c r="I265">
        <v>3</v>
      </c>
      <c r="J265" t="str">
        <f>HYPERLINK("https://www.eliteprospects.com/player/573195/william-charles-bishop")</f>
        <v>https://www.eliteprospects.com/player/573195/william-charles-bishop</v>
      </c>
      <c r="K265" t="s">
        <v>27</v>
      </c>
      <c r="L265" t="s">
        <v>28</v>
      </c>
      <c r="M265" t="s">
        <v>1296</v>
      </c>
      <c r="N265">
        <v>5</v>
      </c>
      <c r="O265" t="s">
        <v>207</v>
      </c>
      <c r="P265">
        <v>0.05</v>
      </c>
      <c r="Q265" t="s">
        <v>1325</v>
      </c>
      <c r="R265">
        <v>18.2</v>
      </c>
      <c r="S265">
        <v>9.1</v>
      </c>
      <c r="T265">
        <v>63.6</v>
      </c>
      <c r="U265">
        <v>0</v>
      </c>
      <c r="V265">
        <v>9.1</v>
      </c>
    </row>
    <row r="266" spans="1:22" x14ac:dyDescent="0.25">
      <c r="A266" t="s">
        <v>1555</v>
      </c>
      <c r="B266" t="s">
        <v>86</v>
      </c>
      <c r="C266">
        <v>16</v>
      </c>
      <c r="D266" t="s">
        <v>260</v>
      </c>
      <c r="E266" t="s">
        <v>140</v>
      </c>
      <c r="F266" t="s">
        <v>66</v>
      </c>
      <c r="G266">
        <v>0.25</v>
      </c>
      <c r="H266" t="s">
        <v>57</v>
      </c>
      <c r="I266">
        <v>7</v>
      </c>
      <c r="J266" t="str">
        <f>HYPERLINK("https://www.eliteprospects.com/player/566403/owen-west")</f>
        <v>https://www.eliteprospects.com/player/566403/owen-west</v>
      </c>
      <c r="K266" t="s">
        <v>27</v>
      </c>
      <c r="L266" t="s">
        <v>28</v>
      </c>
      <c r="M266" t="s">
        <v>1296</v>
      </c>
      <c r="N266">
        <v>2</v>
      </c>
      <c r="O266" t="s">
        <v>43</v>
      </c>
      <c r="P266">
        <v>0.05</v>
      </c>
      <c r="Q266" t="s">
        <v>1309</v>
      </c>
      <c r="R266">
        <v>14.3</v>
      </c>
      <c r="S266">
        <v>28.6</v>
      </c>
      <c r="T266">
        <v>28.6</v>
      </c>
      <c r="U266">
        <v>0</v>
      </c>
      <c r="V266">
        <v>28.6</v>
      </c>
    </row>
    <row r="267" spans="1:22" x14ac:dyDescent="0.25">
      <c r="A267" t="s">
        <v>1556</v>
      </c>
      <c r="B267" t="s">
        <v>80</v>
      </c>
      <c r="C267">
        <v>16</v>
      </c>
      <c r="D267" t="s">
        <v>260</v>
      </c>
      <c r="E267" t="s">
        <v>140</v>
      </c>
      <c r="F267" t="s">
        <v>66</v>
      </c>
      <c r="G267">
        <v>0.25</v>
      </c>
      <c r="H267" t="s">
        <v>32</v>
      </c>
      <c r="I267">
        <v>1</v>
      </c>
      <c r="J267" t="str">
        <f>HYPERLINK("https://www.eliteprospects.com/player/603218/nicholas-fascia")</f>
        <v>https://www.eliteprospects.com/player/603218/nicholas-fascia</v>
      </c>
      <c r="K267" t="s">
        <v>27</v>
      </c>
      <c r="L267" t="s">
        <v>28</v>
      </c>
      <c r="M267" t="s">
        <v>1296</v>
      </c>
      <c r="N267">
        <v>2</v>
      </c>
      <c r="O267" t="s">
        <v>43</v>
      </c>
      <c r="P267">
        <v>0.05</v>
      </c>
      <c r="Q267" t="s">
        <v>1300</v>
      </c>
      <c r="R267">
        <v>57.1</v>
      </c>
      <c r="S267">
        <v>28.6</v>
      </c>
      <c r="T267">
        <v>0</v>
      </c>
      <c r="U267">
        <v>14.3</v>
      </c>
      <c r="V267">
        <v>0</v>
      </c>
    </row>
    <row r="268" spans="1:22" x14ac:dyDescent="0.25">
      <c r="A268" t="s">
        <v>1557</v>
      </c>
      <c r="B268" t="s">
        <v>83</v>
      </c>
      <c r="C268">
        <v>17</v>
      </c>
      <c r="D268" t="s">
        <v>260</v>
      </c>
      <c r="E268" t="s">
        <v>140</v>
      </c>
      <c r="F268" t="s">
        <v>66</v>
      </c>
      <c r="G268">
        <v>0.24</v>
      </c>
      <c r="H268" t="s">
        <v>66</v>
      </c>
      <c r="I268">
        <v>9</v>
      </c>
      <c r="J268" t="str">
        <f>HYPERLINK("https://www.eliteprospects.com/player/655344/tim-busconi")</f>
        <v>https://www.eliteprospects.com/player/655344/tim-busconi</v>
      </c>
      <c r="K268" t="s">
        <v>27</v>
      </c>
      <c r="L268" t="s">
        <v>28</v>
      </c>
      <c r="M268" t="s">
        <v>1296</v>
      </c>
      <c r="N268">
        <v>2</v>
      </c>
      <c r="O268" t="s">
        <v>43</v>
      </c>
      <c r="P268">
        <v>0.05</v>
      </c>
      <c r="Q268" t="s">
        <v>1309</v>
      </c>
      <c r="R268">
        <v>14.3</v>
      </c>
      <c r="S268">
        <v>28.6</v>
      </c>
      <c r="T268">
        <v>28.6</v>
      </c>
      <c r="U268">
        <v>0</v>
      </c>
      <c r="V268">
        <v>28.6</v>
      </c>
    </row>
    <row r="269" spans="1:22" x14ac:dyDescent="0.25">
      <c r="A269" t="s">
        <v>1558</v>
      </c>
      <c r="B269" t="s">
        <v>150</v>
      </c>
      <c r="C269">
        <v>17</v>
      </c>
      <c r="D269" t="s">
        <v>260</v>
      </c>
      <c r="E269" t="s">
        <v>140</v>
      </c>
      <c r="F269" t="s">
        <v>66</v>
      </c>
      <c r="G269">
        <v>0.24</v>
      </c>
      <c r="H269" t="s">
        <v>23</v>
      </c>
      <c r="I269">
        <v>-2</v>
      </c>
      <c r="J269" t="str">
        <f>HYPERLINK("https://www.eliteprospects.com/player/475289/samuel-mcginley")</f>
        <v>https://www.eliteprospects.com/player/475289/samuel-mcginley</v>
      </c>
      <c r="K269" t="s">
        <v>27</v>
      </c>
      <c r="L269" t="s">
        <v>28</v>
      </c>
      <c r="M269" t="s">
        <v>1296</v>
      </c>
      <c r="N269">
        <v>6</v>
      </c>
      <c r="O269" t="s">
        <v>263</v>
      </c>
      <c r="P269">
        <v>0.05</v>
      </c>
      <c r="Q269" t="s">
        <v>1300</v>
      </c>
      <c r="R269">
        <v>37.5</v>
      </c>
      <c r="S269">
        <v>37.5</v>
      </c>
      <c r="T269">
        <v>0</v>
      </c>
      <c r="U269">
        <v>12.5</v>
      </c>
      <c r="V269">
        <v>12.5</v>
      </c>
    </row>
    <row r="270" spans="1:22" x14ac:dyDescent="0.25">
      <c r="A270" t="s">
        <v>1559</v>
      </c>
      <c r="B270" t="s">
        <v>158</v>
      </c>
      <c r="C270">
        <v>18</v>
      </c>
      <c r="D270" t="s">
        <v>260</v>
      </c>
      <c r="E270" t="s">
        <v>140</v>
      </c>
      <c r="F270" t="s">
        <v>66</v>
      </c>
      <c r="G270">
        <v>0.22</v>
      </c>
      <c r="H270" t="s">
        <v>66</v>
      </c>
      <c r="I270">
        <v>-8</v>
      </c>
      <c r="J270" t="str">
        <f>HYPERLINK("https://www.eliteprospects.com/player/623763/carson-reed")</f>
        <v>https://www.eliteprospects.com/player/623763/carson-reed</v>
      </c>
      <c r="K270" t="s">
        <v>27</v>
      </c>
      <c r="L270" t="s">
        <v>28</v>
      </c>
      <c r="M270" t="s">
        <v>1296</v>
      </c>
      <c r="N270">
        <v>2</v>
      </c>
      <c r="O270" t="s">
        <v>43</v>
      </c>
      <c r="P270">
        <v>0.04</v>
      </c>
      <c r="Q270" t="s">
        <v>1488</v>
      </c>
      <c r="R270">
        <v>0</v>
      </c>
      <c r="S270">
        <v>0</v>
      </c>
      <c r="T270">
        <v>0</v>
      </c>
      <c r="U270">
        <v>0</v>
      </c>
      <c r="V270">
        <v>0</v>
      </c>
    </row>
    <row r="271" spans="1:22" x14ac:dyDescent="0.25">
      <c r="A271" t="s">
        <v>1560</v>
      </c>
      <c r="B271" t="s">
        <v>95</v>
      </c>
      <c r="C271">
        <v>18</v>
      </c>
      <c r="D271" t="s">
        <v>260</v>
      </c>
      <c r="E271" t="s">
        <v>140</v>
      </c>
      <c r="F271" t="s">
        <v>66</v>
      </c>
      <c r="G271">
        <v>0.22</v>
      </c>
      <c r="H271" t="s">
        <v>66</v>
      </c>
      <c r="I271">
        <v>8</v>
      </c>
      <c r="J271" t="str">
        <f>HYPERLINK("https://www.eliteprospects.com/player/586596/colby-woogk")</f>
        <v>https://www.eliteprospects.com/player/586596/colby-woogk</v>
      </c>
      <c r="K271" t="s">
        <v>27</v>
      </c>
      <c r="L271" t="s">
        <v>28</v>
      </c>
      <c r="M271" t="s">
        <v>1296</v>
      </c>
      <c r="N271">
        <v>1</v>
      </c>
      <c r="O271" t="s">
        <v>71</v>
      </c>
      <c r="P271">
        <v>0.04</v>
      </c>
      <c r="Q271" t="s">
        <v>1488</v>
      </c>
      <c r="R271">
        <v>0</v>
      </c>
      <c r="S271">
        <v>0</v>
      </c>
      <c r="T271">
        <v>0</v>
      </c>
      <c r="U271">
        <v>0</v>
      </c>
      <c r="V271">
        <v>0</v>
      </c>
    </row>
    <row r="272" spans="1:22" x14ac:dyDescent="0.25">
      <c r="A272" t="s">
        <v>1561</v>
      </c>
      <c r="B272" t="s">
        <v>119</v>
      </c>
      <c r="C272">
        <v>18</v>
      </c>
      <c r="D272" t="s">
        <v>260</v>
      </c>
      <c r="E272" t="s">
        <v>140</v>
      </c>
      <c r="F272" t="s">
        <v>66</v>
      </c>
      <c r="G272">
        <v>0.22</v>
      </c>
      <c r="H272" t="s">
        <v>26</v>
      </c>
      <c r="I272">
        <v>-3</v>
      </c>
      <c r="J272" t="str">
        <f>HYPERLINK("https://www.eliteprospects.com/player/574743/leo-gruba")</f>
        <v>https://www.eliteprospects.com/player/574743/leo-gruba</v>
      </c>
      <c r="K272" t="s">
        <v>27</v>
      </c>
      <c r="L272" t="s">
        <v>28</v>
      </c>
      <c r="M272" t="s">
        <v>1296</v>
      </c>
      <c r="N272">
        <v>2</v>
      </c>
      <c r="O272" t="s">
        <v>43</v>
      </c>
      <c r="P272">
        <v>0.04</v>
      </c>
      <c r="Q272" t="s">
        <v>1488</v>
      </c>
      <c r="R272">
        <v>0</v>
      </c>
      <c r="S272">
        <v>0</v>
      </c>
      <c r="T272">
        <v>0</v>
      </c>
      <c r="U272">
        <v>0</v>
      </c>
      <c r="V272">
        <v>0</v>
      </c>
    </row>
    <row r="273" spans="1:22" x14ac:dyDescent="0.25">
      <c r="A273" t="s">
        <v>1562</v>
      </c>
      <c r="B273" t="s">
        <v>255</v>
      </c>
      <c r="C273">
        <v>18</v>
      </c>
      <c r="D273" t="s">
        <v>260</v>
      </c>
      <c r="E273" t="s">
        <v>140</v>
      </c>
      <c r="F273" t="s">
        <v>66</v>
      </c>
      <c r="G273">
        <v>0.22</v>
      </c>
      <c r="H273" t="s">
        <v>33</v>
      </c>
      <c r="I273">
        <v>-1</v>
      </c>
      <c r="J273" t="str">
        <f>HYPERLINK("https://www.eliteprospects.com/player/630042/matthew-rafalski")</f>
        <v>https://www.eliteprospects.com/player/630042/matthew-rafalski</v>
      </c>
      <c r="K273" t="s">
        <v>27</v>
      </c>
      <c r="L273" t="s">
        <v>28</v>
      </c>
      <c r="M273" t="s">
        <v>1296</v>
      </c>
      <c r="N273">
        <v>1</v>
      </c>
      <c r="O273" t="s">
        <v>71</v>
      </c>
      <c r="P273">
        <v>0.04</v>
      </c>
      <c r="Q273" t="s">
        <v>1488</v>
      </c>
      <c r="R273">
        <v>0</v>
      </c>
      <c r="S273">
        <v>0</v>
      </c>
      <c r="T273">
        <v>0</v>
      </c>
      <c r="U273">
        <v>0</v>
      </c>
      <c r="V273">
        <v>0</v>
      </c>
    </row>
    <row r="274" spans="1:22" x14ac:dyDescent="0.25">
      <c r="A274" t="s">
        <v>1563</v>
      </c>
      <c r="B274" t="s">
        <v>22</v>
      </c>
      <c r="C274">
        <v>19</v>
      </c>
      <c r="D274" t="s">
        <v>260</v>
      </c>
      <c r="E274" t="s">
        <v>140</v>
      </c>
      <c r="F274" t="s">
        <v>66</v>
      </c>
      <c r="G274">
        <v>0.21</v>
      </c>
      <c r="H274" t="s">
        <v>66</v>
      </c>
      <c r="I274">
        <v>-2</v>
      </c>
      <c r="J274" t="str">
        <f>HYPERLINK("https://www.eliteprospects.com/player/572087/sam-court")</f>
        <v>https://www.eliteprospects.com/player/572087/sam-court</v>
      </c>
      <c r="K274" t="s">
        <v>27</v>
      </c>
      <c r="L274" t="s">
        <v>28</v>
      </c>
      <c r="M274" t="s">
        <v>1296</v>
      </c>
      <c r="N274">
        <v>2</v>
      </c>
      <c r="O274" t="s">
        <v>43</v>
      </c>
      <c r="P274">
        <v>0.04</v>
      </c>
      <c r="Q274" t="s">
        <v>1488</v>
      </c>
      <c r="R274">
        <v>0</v>
      </c>
      <c r="S274">
        <v>0</v>
      </c>
      <c r="T274">
        <v>0</v>
      </c>
      <c r="U274">
        <v>0</v>
      </c>
      <c r="V274">
        <v>0</v>
      </c>
    </row>
    <row r="275" spans="1:22" x14ac:dyDescent="0.25">
      <c r="A275" t="s">
        <v>1564</v>
      </c>
      <c r="B275" t="s">
        <v>255</v>
      </c>
      <c r="C275">
        <v>19</v>
      </c>
      <c r="D275" t="s">
        <v>260</v>
      </c>
      <c r="E275" t="s">
        <v>140</v>
      </c>
      <c r="F275" t="s">
        <v>66</v>
      </c>
      <c r="G275">
        <v>0.21</v>
      </c>
      <c r="H275" t="s">
        <v>66</v>
      </c>
      <c r="I275">
        <v>-4</v>
      </c>
      <c r="J275" t="str">
        <f>HYPERLINK("https://www.eliteprospects.com/player/417479/dominick-campione")</f>
        <v>https://www.eliteprospects.com/player/417479/dominick-campione</v>
      </c>
      <c r="K275" t="s">
        <v>27</v>
      </c>
      <c r="L275" t="s">
        <v>28</v>
      </c>
      <c r="M275" t="s">
        <v>1296</v>
      </c>
      <c r="N275">
        <v>3</v>
      </c>
      <c r="O275" t="s">
        <v>74</v>
      </c>
      <c r="P275">
        <v>0.04</v>
      </c>
      <c r="Q275" t="s">
        <v>1488</v>
      </c>
      <c r="R275">
        <v>0</v>
      </c>
      <c r="S275">
        <v>0</v>
      </c>
      <c r="T275">
        <v>0</v>
      </c>
      <c r="U275">
        <v>0</v>
      </c>
      <c r="V275">
        <v>0</v>
      </c>
    </row>
    <row r="276" spans="1:22" x14ac:dyDescent="0.25">
      <c r="A276" t="s">
        <v>1565</v>
      </c>
      <c r="B276" t="s">
        <v>171</v>
      </c>
      <c r="C276">
        <v>20</v>
      </c>
      <c r="D276" t="s">
        <v>260</v>
      </c>
      <c r="E276" t="s">
        <v>140</v>
      </c>
      <c r="F276" t="s">
        <v>66</v>
      </c>
      <c r="G276">
        <v>0.2</v>
      </c>
      <c r="H276" t="s">
        <v>66</v>
      </c>
      <c r="I276">
        <v>5</v>
      </c>
      <c r="J276" t="str">
        <f>HYPERLINK("https://www.eliteprospects.com/player/478512/sean-kilcullen")</f>
        <v>https://www.eliteprospects.com/player/478512/sean-kilcullen</v>
      </c>
      <c r="K276" t="s">
        <v>27</v>
      </c>
      <c r="L276" t="s">
        <v>28</v>
      </c>
      <c r="M276" t="s">
        <v>1296</v>
      </c>
      <c r="N276">
        <v>3</v>
      </c>
      <c r="O276" t="s">
        <v>74</v>
      </c>
      <c r="P276">
        <v>0.04</v>
      </c>
      <c r="Q276" t="s">
        <v>1488</v>
      </c>
      <c r="R276">
        <v>0</v>
      </c>
      <c r="S276">
        <v>0</v>
      </c>
      <c r="T276">
        <v>0</v>
      </c>
      <c r="U276">
        <v>0</v>
      </c>
      <c r="V276">
        <v>0</v>
      </c>
    </row>
    <row r="277" spans="1:22" x14ac:dyDescent="0.25">
      <c r="A277" t="s">
        <v>1566</v>
      </c>
      <c r="B277" t="s">
        <v>68</v>
      </c>
      <c r="C277">
        <v>20</v>
      </c>
      <c r="D277" t="s">
        <v>260</v>
      </c>
      <c r="E277" t="s">
        <v>140</v>
      </c>
      <c r="F277" t="s">
        <v>66</v>
      </c>
      <c r="G277">
        <v>0.2</v>
      </c>
      <c r="H277" t="s">
        <v>66</v>
      </c>
      <c r="I277">
        <v>0</v>
      </c>
      <c r="J277" t="str">
        <f>HYPERLINK("https://www.eliteprospects.com/player/526086/nate-tivey")</f>
        <v>https://www.eliteprospects.com/player/526086/nate-tivey</v>
      </c>
      <c r="K277" t="s">
        <v>27</v>
      </c>
      <c r="L277" t="s">
        <v>28</v>
      </c>
      <c r="M277" t="s">
        <v>1296</v>
      </c>
      <c r="N277">
        <v>4</v>
      </c>
      <c r="O277" t="s">
        <v>62</v>
      </c>
      <c r="P277">
        <v>0.04</v>
      </c>
      <c r="Q277" t="s">
        <v>1488</v>
      </c>
      <c r="R277">
        <v>0</v>
      </c>
      <c r="S277">
        <v>0</v>
      </c>
      <c r="T277">
        <v>0</v>
      </c>
      <c r="U277">
        <v>0</v>
      </c>
      <c r="V277">
        <v>0</v>
      </c>
    </row>
    <row r="278" spans="1:22" x14ac:dyDescent="0.25">
      <c r="A278" t="s">
        <v>1567</v>
      </c>
      <c r="B278" t="s">
        <v>127</v>
      </c>
      <c r="C278">
        <v>20</v>
      </c>
      <c r="D278" t="s">
        <v>260</v>
      </c>
      <c r="E278" t="s">
        <v>140</v>
      </c>
      <c r="F278" t="s">
        <v>66</v>
      </c>
      <c r="G278">
        <v>0.2</v>
      </c>
      <c r="H278" t="s">
        <v>38</v>
      </c>
      <c r="I278">
        <v>-5</v>
      </c>
      <c r="J278" t="str">
        <f>HYPERLINK("https://www.eliteprospects.com/player/637623/quinn-mccall")</f>
        <v>https://www.eliteprospects.com/player/637623/quinn-mccall</v>
      </c>
      <c r="K278" t="s">
        <v>27</v>
      </c>
      <c r="L278" t="s">
        <v>28</v>
      </c>
      <c r="M278" t="s">
        <v>1296</v>
      </c>
      <c r="N278">
        <v>2</v>
      </c>
      <c r="O278" t="s">
        <v>217</v>
      </c>
      <c r="P278">
        <v>0.04</v>
      </c>
      <c r="Q278" t="s">
        <v>1488</v>
      </c>
      <c r="R278">
        <v>0</v>
      </c>
      <c r="S278">
        <v>0</v>
      </c>
      <c r="T278">
        <v>0</v>
      </c>
      <c r="U278">
        <v>0</v>
      </c>
      <c r="V278">
        <v>0</v>
      </c>
    </row>
    <row r="279" spans="1:22" x14ac:dyDescent="0.25">
      <c r="A279" t="s">
        <v>1568</v>
      </c>
      <c r="B279" t="s">
        <v>134</v>
      </c>
      <c r="C279">
        <v>20</v>
      </c>
      <c r="D279" t="s">
        <v>260</v>
      </c>
      <c r="E279" t="s">
        <v>140</v>
      </c>
      <c r="F279" t="s">
        <v>66</v>
      </c>
      <c r="G279">
        <v>0.2</v>
      </c>
      <c r="H279" t="s">
        <v>24</v>
      </c>
      <c r="I279">
        <v>2</v>
      </c>
      <c r="J279" t="str">
        <f>HYPERLINK("https://www.eliteprospects.com/player/568367/carter-patterson")</f>
        <v>https://www.eliteprospects.com/player/568367/carter-patterson</v>
      </c>
      <c r="K279" t="s">
        <v>27</v>
      </c>
      <c r="L279" t="s">
        <v>28</v>
      </c>
      <c r="M279" t="s">
        <v>1296</v>
      </c>
      <c r="N279">
        <v>2</v>
      </c>
      <c r="O279" t="s">
        <v>43</v>
      </c>
      <c r="P279">
        <v>0.04</v>
      </c>
      <c r="Q279" t="s">
        <v>1488</v>
      </c>
      <c r="R279">
        <v>0</v>
      </c>
      <c r="S279">
        <v>0</v>
      </c>
      <c r="T279">
        <v>0</v>
      </c>
      <c r="U279">
        <v>0</v>
      </c>
      <c r="V279">
        <v>0</v>
      </c>
    </row>
    <row r="280" spans="1:22" x14ac:dyDescent="0.25">
      <c r="A280" t="s">
        <v>1569</v>
      </c>
      <c r="B280" t="s">
        <v>121</v>
      </c>
      <c r="C280">
        <v>20</v>
      </c>
      <c r="D280" t="s">
        <v>260</v>
      </c>
      <c r="E280" t="s">
        <v>140</v>
      </c>
      <c r="F280" t="s">
        <v>66</v>
      </c>
      <c r="G280">
        <v>0.2</v>
      </c>
      <c r="H280" t="s">
        <v>52</v>
      </c>
      <c r="I280">
        <v>1</v>
      </c>
      <c r="J280" t="str">
        <f>HYPERLINK("https://www.eliteprospects.com/player/201809/garrett-valk")</f>
        <v>https://www.eliteprospects.com/player/201809/garrett-valk</v>
      </c>
      <c r="K280" t="s">
        <v>27</v>
      </c>
      <c r="L280" t="s">
        <v>28</v>
      </c>
      <c r="M280" t="s">
        <v>1296</v>
      </c>
      <c r="N280">
        <v>3</v>
      </c>
      <c r="O280" t="s">
        <v>74</v>
      </c>
      <c r="P280">
        <v>0.04</v>
      </c>
      <c r="Q280" t="s">
        <v>1488</v>
      </c>
      <c r="R280">
        <v>0</v>
      </c>
      <c r="S280">
        <v>0</v>
      </c>
      <c r="T280">
        <v>0</v>
      </c>
      <c r="U280">
        <v>0</v>
      </c>
      <c r="V280">
        <v>0</v>
      </c>
    </row>
    <row r="281" spans="1:22" x14ac:dyDescent="0.25">
      <c r="A281" t="s">
        <v>1570</v>
      </c>
      <c r="B281" t="s">
        <v>171</v>
      </c>
      <c r="C281">
        <v>21</v>
      </c>
      <c r="D281" t="s">
        <v>260</v>
      </c>
      <c r="E281" t="s">
        <v>140</v>
      </c>
      <c r="F281" t="s">
        <v>66</v>
      </c>
      <c r="G281">
        <v>0.19</v>
      </c>
      <c r="H281" t="s">
        <v>32</v>
      </c>
      <c r="I281">
        <v>-9</v>
      </c>
      <c r="J281" t="str">
        <f>HYPERLINK("https://www.eliteprospects.com/player/647080/nate-misskey")</f>
        <v>https://www.eliteprospects.com/player/647080/nate-misskey</v>
      </c>
      <c r="K281" t="s">
        <v>27</v>
      </c>
      <c r="L281" t="s">
        <v>28</v>
      </c>
      <c r="M281" t="s">
        <v>1296</v>
      </c>
      <c r="N281">
        <v>5</v>
      </c>
      <c r="O281" t="s">
        <v>152</v>
      </c>
      <c r="P281">
        <v>0.04</v>
      </c>
      <c r="Q281" t="s">
        <v>1488</v>
      </c>
      <c r="R281">
        <v>0</v>
      </c>
      <c r="S281">
        <v>0</v>
      </c>
      <c r="T281">
        <v>0</v>
      </c>
      <c r="U281">
        <v>0</v>
      </c>
      <c r="V281">
        <v>0</v>
      </c>
    </row>
    <row r="282" spans="1:22" x14ac:dyDescent="0.25">
      <c r="A282" t="s">
        <v>1571</v>
      </c>
      <c r="B282" t="s">
        <v>171</v>
      </c>
      <c r="C282">
        <v>21</v>
      </c>
      <c r="D282" t="s">
        <v>260</v>
      </c>
      <c r="E282" t="s">
        <v>140</v>
      </c>
      <c r="F282" t="s">
        <v>66</v>
      </c>
      <c r="G282">
        <v>0.19</v>
      </c>
      <c r="H282" t="s">
        <v>38</v>
      </c>
      <c r="I282">
        <v>-1</v>
      </c>
      <c r="J282" t="str">
        <f>HYPERLINK("https://www.eliteprospects.com/player/529804/josh-mori")</f>
        <v>https://www.eliteprospects.com/player/529804/josh-mori</v>
      </c>
      <c r="K282" t="s">
        <v>27</v>
      </c>
      <c r="L282" t="s">
        <v>28</v>
      </c>
      <c r="M282" t="s">
        <v>1296</v>
      </c>
      <c r="N282">
        <v>5</v>
      </c>
      <c r="O282" t="s">
        <v>152</v>
      </c>
      <c r="P282">
        <v>0.04</v>
      </c>
      <c r="Q282" t="s">
        <v>1488</v>
      </c>
      <c r="R282">
        <v>0</v>
      </c>
      <c r="S282">
        <v>0</v>
      </c>
      <c r="T282">
        <v>0</v>
      </c>
      <c r="U282">
        <v>0</v>
      </c>
      <c r="V282">
        <v>0</v>
      </c>
    </row>
    <row r="283" spans="1:22" x14ac:dyDescent="0.25">
      <c r="A283" t="s">
        <v>1572</v>
      </c>
      <c r="B283" t="s">
        <v>64</v>
      </c>
      <c r="C283">
        <v>22</v>
      </c>
      <c r="D283" t="s">
        <v>260</v>
      </c>
      <c r="E283" t="s">
        <v>140</v>
      </c>
      <c r="F283" t="s">
        <v>66</v>
      </c>
      <c r="G283">
        <v>0.18</v>
      </c>
      <c r="H283" t="s">
        <v>66</v>
      </c>
      <c r="I283">
        <v>6</v>
      </c>
      <c r="J283" t="str">
        <f>HYPERLINK("https://www.eliteprospects.com/player/613145/mason-poolman")</f>
        <v>https://www.eliteprospects.com/player/613145/mason-poolman</v>
      </c>
      <c r="K283" t="s">
        <v>27</v>
      </c>
      <c r="L283" t="s">
        <v>28</v>
      </c>
      <c r="M283" t="s">
        <v>1296</v>
      </c>
      <c r="N283">
        <v>3</v>
      </c>
      <c r="O283" t="s">
        <v>74</v>
      </c>
      <c r="P283">
        <v>0.03</v>
      </c>
      <c r="Q283" t="s">
        <v>1488</v>
      </c>
      <c r="R283">
        <v>0</v>
      </c>
      <c r="S283">
        <v>0</v>
      </c>
      <c r="T283">
        <v>0</v>
      </c>
      <c r="U283">
        <v>0</v>
      </c>
      <c r="V283">
        <v>0</v>
      </c>
    </row>
    <row r="284" spans="1:22" x14ac:dyDescent="0.25">
      <c r="A284" t="s">
        <v>1573</v>
      </c>
      <c r="B284" t="s">
        <v>215</v>
      </c>
      <c r="C284">
        <v>23</v>
      </c>
      <c r="D284" t="s">
        <v>260</v>
      </c>
      <c r="E284" t="s">
        <v>140</v>
      </c>
      <c r="F284" t="s">
        <v>66</v>
      </c>
      <c r="G284">
        <v>0.17</v>
      </c>
      <c r="H284" t="s">
        <v>57</v>
      </c>
      <c r="I284">
        <v>-8</v>
      </c>
      <c r="J284" t="str">
        <f>HYPERLINK("https://www.eliteprospects.com/player/640818/warren-clark")</f>
        <v>https://www.eliteprospects.com/player/640818/warren-clark</v>
      </c>
      <c r="K284" t="s">
        <v>27</v>
      </c>
      <c r="L284" t="s">
        <v>28</v>
      </c>
      <c r="M284" t="s">
        <v>1296</v>
      </c>
      <c r="N284">
        <v>3</v>
      </c>
      <c r="O284" t="s">
        <v>74</v>
      </c>
      <c r="P284">
        <v>0.03</v>
      </c>
      <c r="Q284" t="s">
        <v>1488</v>
      </c>
      <c r="R284">
        <v>0</v>
      </c>
      <c r="S284">
        <v>0</v>
      </c>
      <c r="T284">
        <v>0</v>
      </c>
      <c r="U284">
        <v>0</v>
      </c>
      <c r="V284">
        <v>0</v>
      </c>
    </row>
    <row r="285" spans="1:22" x14ac:dyDescent="0.25">
      <c r="A285" t="s">
        <v>1574</v>
      </c>
      <c r="B285" t="s">
        <v>116</v>
      </c>
      <c r="C285">
        <v>14</v>
      </c>
      <c r="D285" t="s">
        <v>132</v>
      </c>
      <c r="E285" t="s">
        <v>66</v>
      </c>
      <c r="F285" t="s">
        <v>66</v>
      </c>
      <c r="G285">
        <v>0.28999999999999998</v>
      </c>
      <c r="H285" t="s">
        <v>132</v>
      </c>
      <c r="I285">
        <v>-4</v>
      </c>
      <c r="J285" t="str">
        <f>HYPERLINK("https://www.eliteprospects.com/player/363840/jack-babbage")</f>
        <v>https://www.eliteprospects.com/player/363840/jack-babbage</v>
      </c>
      <c r="K285" t="s">
        <v>27</v>
      </c>
      <c r="L285" t="s">
        <v>28</v>
      </c>
      <c r="M285" t="s">
        <v>1296</v>
      </c>
      <c r="N285">
        <v>5</v>
      </c>
      <c r="O285" t="s">
        <v>67</v>
      </c>
      <c r="P285">
        <v>0.06</v>
      </c>
      <c r="Q285" t="s">
        <v>1309</v>
      </c>
      <c r="R285">
        <v>0</v>
      </c>
      <c r="S285">
        <v>20</v>
      </c>
      <c r="T285">
        <v>40</v>
      </c>
      <c r="U285">
        <v>0</v>
      </c>
      <c r="V285">
        <v>40</v>
      </c>
    </row>
    <row r="286" spans="1:22" x14ac:dyDescent="0.25">
      <c r="A286" t="s">
        <v>1575</v>
      </c>
      <c r="B286" t="s">
        <v>167</v>
      </c>
      <c r="C286">
        <v>14</v>
      </c>
      <c r="D286" t="s">
        <v>132</v>
      </c>
      <c r="E286" t="s">
        <v>66</v>
      </c>
      <c r="F286" t="s">
        <v>66</v>
      </c>
      <c r="G286">
        <v>0.28999999999999998</v>
      </c>
      <c r="H286" t="s">
        <v>132</v>
      </c>
      <c r="I286">
        <v>-1</v>
      </c>
      <c r="J286" t="str">
        <f>HYPERLINK("https://www.eliteprospects.com/player/679634/drake-murray")</f>
        <v>https://www.eliteprospects.com/player/679634/drake-murray</v>
      </c>
      <c r="K286" t="s">
        <v>27</v>
      </c>
      <c r="L286" t="s">
        <v>28</v>
      </c>
      <c r="M286" t="s">
        <v>1296</v>
      </c>
      <c r="N286">
        <v>1</v>
      </c>
      <c r="O286" t="s">
        <v>71</v>
      </c>
      <c r="P286">
        <v>0.06</v>
      </c>
      <c r="Q286" t="s">
        <v>1300</v>
      </c>
      <c r="R286">
        <v>37.5</v>
      </c>
      <c r="S286">
        <v>37.5</v>
      </c>
      <c r="T286">
        <v>0</v>
      </c>
      <c r="U286">
        <v>12.5</v>
      </c>
      <c r="V286">
        <v>12.5</v>
      </c>
    </row>
    <row r="287" spans="1:22" x14ac:dyDescent="0.25">
      <c r="A287" t="s">
        <v>1576</v>
      </c>
      <c r="B287" t="s">
        <v>131</v>
      </c>
      <c r="C287">
        <v>14</v>
      </c>
      <c r="D287" t="s">
        <v>132</v>
      </c>
      <c r="E287" t="s">
        <v>66</v>
      </c>
      <c r="F287" t="s">
        <v>66</v>
      </c>
      <c r="G287">
        <v>0.28999999999999998</v>
      </c>
      <c r="H287" t="s">
        <v>66</v>
      </c>
      <c r="I287">
        <v>1</v>
      </c>
      <c r="J287" t="str">
        <f>HYPERLINK("https://www.eliteprospects.com/player/656169/pierce-patterson")</f>
        <v>https://www.eliteprospects.com/player/656169/pierce-patterson</v>
      </c>
      <c r="K287" t="s">
        <v>27</v>
      </c>
      <c r="L287" t="s">
        <v>28</v>
      </c>
      <c r="M287" t="s">
        <v>1296</v>
      </c>
      <c r="N287">
        <v>3</v>
      </c>
      <c r="O287" t="s">
        <v>74</v>
      </c>
      <c r="P287">
        <v>0.06</v>
      </c>
      <c r="Q287" t="s">
        <v>1300</v>
      </c>
      <c r="R287">
        <v>57.1</v>
      </c>
      <c r="S287">
        <v>28.6</v>
      </c>
      <c r="T287">
        <v>0</v>
      </c>
      <c r="U287">
        <v>14.3</v>
      </c>
      <c r="V287">
        <v>0</v>
      </c>
    </row>
    <row r="288" spans="1:22" x14ac:dyDescent="0.25">
      <c r="A288" t="s">
        <v>1577</v>
      </c>
      <c r="B288" t="s">
        <v>200</v>
      </c>
      <c r="C288">
        <v>15</v>
      </c>
      <c r="D288" t="s">
        <v>132</v>
      </c>
      <c r="E288" t="s">
        <v>66</v>
      </c>
      <c r="F288" t="s">
        <v>66</v>
      </c>
      <c r="G288">
        <v>0.27</v>
      </c>
      <c r="H288" t="s">
        <v>57</v>
      </c>
      <c r="I288">
        <v>9</v>
      </c>
      <c r="J288" t="str">
        <f>HYPERLINK("https://www.eliteprospects.com/player/655167/michael-fisher")</f>
        <v>https://www.eliteprospects.com/player/655167/michael-fisher</v>
      </c>
      <c r="K288" t="s">
        <v>27</v>
      </c>
      <c r="L288" t="s">
        <v>28</v>
      </c>
      <c r="M288" t="s">
        <v>1296</v>
      </c>
      <c r="N288">
        <v>2</v>
      </c>
      <c r="O288" t="s">
        <v>43</v>
      </c>
      <c r="P288">
        <v>0.05</v>
      </c>
      <c r="Q288" t="s">
        <v>1309</v>
      </c>
      <c r="R288">
        <v>14.3</v>
      </c>
      <c r="S288">
        <v>28.6</v>
      </c>
      <c r="T288">
        <v>28.6</v>
      </c>
      <c r="U288">
        <v>0</v>
      </c>
      <c r="V288">
        <v>28.6</v>
      </c>
    </row>
    <row r="289" spans="1:22" x14ac:dyDescent="0.25">
      <c r="A289" t="s">
        <v>1578</v>
      </c>
      <c r="B289" t="s">
        <v>120</v>
      </c>
      <c r="C289">
        <v>15</v>
      </c>
      <c r="D289" t="s">
        <v>132</v>
      </c>
      <c r="E289" t="s">
        <v>66</v>
      </c>
      <c r="F289" t="s">
        <v>66</v>
      </c>
      <c r="G289">
        <v>0.27</v>
      </c>
      <c r="H289" t="s">
        <v>57</v>
      </c>
      <c r="I289">
        <v>0</v>
      </c>
      <c r="J289" t="str">
        <f>HYPERLINK("https://www.eliteprospects.com/player/599378/michael-hagens")</f>
        <v>https://www.eliteprospects.com/player/599378/michael-hagens</v>
      </c>
      <c r="K289" t="s">
        <v>27</v>
      </c>
      <c r="L289" t="s">
        <v>28</v>
      </c>
      <c r="M289" t="s">
        <v>1296</v>
      </c>
      <c r="N289">
        <v>2</v>
      </c>
      <c r="O289" t="s">
        <v>43</v>
      </c>
      <c r="P289">
        <v>0.05</v>
      </c>
      <c r="Q289" t="s">
        <v>1300</v>
      </c>
      <c r="R289">
        <v>37.5</v>
      </c>
      <c r="S289">
        <v>37.5</v>
      </c>
      <c r="T289">
        <v>0</v>
      </c>
      <c r="U289">
        <v>12.5</v>
      </c>
      <c r="V289">
        <v>12.5</v>
      </c>
    </row>
    <row r="290" spans="1:22" x14ac:dyDescent="0.25">
      <c r="A290" t="s">
        <v>1579</v>
      </c>
      <c r="B290" t="s">
        <v>119</v>
      </c>
      <c r="C290">
        <v>16</v>
      </c>
      <c r="D290" t="s">
        <v>132</v>
      </c>
      <c r="E290" t="s">
        <v>66</v>
      </c>
      <c r="F290" t="s">
        <v>66</v>
      </c>
      <c r="G290">
        <v>0.25</v>
      </c>
      <c r="H290" t="s">
        <v>79</v>
      </c>
      <c r="I290">
        <v>-2</v>
      </c>
      <c r="J290" t="str">
        <f>HYPERLINK("https://www.eliteprospects.com/player/616255/cal-thomas")</f>
        <v>https://www.eliteprospects.com/player/616255/cal-thomas</v>
      </c>
      <c r="K290" t="s">
        <v>27</v>
      </c>
      <c r="L290" t="s">
        <v>28</v>
      </c>
      <c r="M290" t="s">
        <v>1296</v>
      </c>
      <c r="N290">
        <v>4</v>
      </c>
      <c r="O290" t="s">
        <v>30</v>
      </c>
      <c r="P290">
        <v>0.05</v>
      </c>
      <c r="Q290" t="s">
        <v>1309</v>
      </c>
      <c r="R290">
        <v>0</v>
      </c>
      <c r="S290">
        <v>20</v>
      </c>
      <c r="T290">
        <v>40</v>
      </c>
      <c r="U290">
        <v>0</v>
      </c>
      <c r="V290">
        <v>40</v>
      </c>
    </row>
    <row r="291" spans="1:22" x14ac:dyDescent="0.25">
      <c r="A291" t="s">
        <v>1580</v>
      </c>
      <c r="B291" t="s">
        <v>85</v>
      </c>
      <c r="C291">
        <v>16</v>
      </c>
      <c r="D291" t="s">
        <v>132</v>
      </c>
      <c r="E291" t="s">
        <v>66</v>
      </c>
      <c r="F291" t="s">
        <v>66</v>
      </c>
      <c r="G291">
        <v>0.25</v>
      </c>
      <c r="H291" t="s">
        <v>66</v>
      </c>
      <c r="I291">
        <v>10</v>
      </c>
      <c r="J291" t="str">
        <f>HYPERLINK("https://www.eliteprospects.com/player/537548/ian-devlin")</f>
        <v>https://www.eliteprospects.com/player/537548/ian-devlin</v>
      </c>
      <c r="K291" t="s">
        <v>27</v>
      </c>
      <c r="L291" t="s">
        <v>28</v>
      </c>
      <c r="M291" t="s">
        <v>1296</v>
      </c>
      <c r="N291">
        <v>3</v>
      </c>
      <c r="O291" t="s">
        <v>74</v>
      </c>
      <c r="P291">
        <v>0.05</v>
      </c>
      <c r="Q291" t="s">
        <v>1309</v>
      </c>
      <c r="R291">
        <v>14.3</v>
      </c>
      <c r="S291">
        <v>28.6</v>
      </c>
      <c r="T291">
        <v>28.6</v>
      </c>
      <c r="U291">
        <v>0</v>
      </c>
      <c r="V291">
        <v>28.6</v>
      </c>
    </row>
    <row r="292" spans="1:22" x14ac:dyDescent="0.25">
      <c r="A292" t="s">
        <v>1581</v>
      </c>
      <c r="B292" t="s">
        <v>98</v>
      </c>
      <c r="C292">
        <v>17</v>
      </c>
      <c r="D292" t="s">
        <v>132</v>
      </c>
      <c r="E292" t="s">
        <v>66</v>
      </c>
      <c r="F292" t="s">
        <v>66</v>
      </c>
      <c r="G292">
        <v>0.24</v>
      </c>
      <c r="H292" t="s">
        <v>79</v>
      </c>
      <c r="I292">
        <v>2</v>
      </c>
      <c r="J292" t="str">
        <f>HYPERLINK("https://www.eliteprospects.com/player/551982/cal-mell")</f>
        <v>https://www.eliteprospects.com/player/551982/cal-mell</v>
      </c>
      <c r="K292" t="s">
        <v>27</v>
      </c>
      <c r="L292" t="s">
        <v>28</v>
      </c>
      <c r="M292" t="s">
        <v>1296</v>
      </c>
      <c r="N292">
        <v>4</v>
      </c>
      <c r="O292" t="s">
        <v>30</v>
      </c>
      <c r="P292">
        <v>0.05</v>
      </c>
      <c r="Q292" t="s">
        <v>1300</v>
      </c>
      <c r="R292">
        <v>57.1</v>
      </c>
      <c r="S292">
        <v>28.6</v>
      </c>
      <c r="T292">
        <v>0</v>
      </c>
      <c r="U292">
        <v>14.3</v>
      </c>
      <c r="V292">
        <v>0</v>
      </c>
    </row>
    <row r="293" spans="1:22" x14ac:dyDescent="0.25">
      <c r="A293" t="s">
        <v>1582</v>
      </c>
      <c r="B293" t="s">
        <v>146</v>
      </c>
      <c r="C293">
        <v>17</v>
      </c>
      <c r="D293" t="s">
        <v>132</v>
      </c>
      <c r="E293" t="s">
        <v>66</v>
      </c>
      <c r="F293" t="s">
        <v>66</v>
      </c>
      <c r="G293">
        <v>0.24</v>
      </c>
      <c r="H293" t="s">
        <v>57</v>
      </c>
      <c r="I293">
        <v>1</v>
      </c>
      <c r="J293" t="str">
        <f>HYPERLINK("https://www.eliteprospects.com/player/397851/bryan-huggins")</f>
        <v>https://www.eliteprospects.com/player/397851/bryan-huggins</v>
      </c>
      <c r="K293" t="s">
        <v>27</v>
      </c>
      <c r="L293" t="s">
        <v>28</v>
      </c>
      <c r="M293" t="s">
        <v>1296</v>
      </c>
      <c r="N293">
        <v>4</v>
      </c>
      <c r="O293" t="s">
        <v>30</v>
      </c>
      <c r="P293">
        <v>0.05</v>
      </c>
      <c r="Q293" t="s">
        <v>1300</v>
      </c>
      <c r="R293">
        <v>57.1</v>
      </c>
      <c r="S293">
        <v>28.6</v>
      </c>
      <c r="T293">
        <v>0</v>
      </c>
      <c r="U293">
        <v>14.3</v>
      </c>
      <c r="V293">
        <v>0</v>
      </c>
    </row>
    <row r="294" spans="1:22" x14ac:dyDescent="0.25">
      <c r="A294" t="s">
        <v>1583</v>
      </c>
      <c r="B294" t="s">
        <v>22</v>
      </c>
      <c r="C294">
        <v>18</v>
      </c>
      <c r="D294" t="s">
        <v>132</v>
      </c>
      <c r="E294" t="s">
        <v>66</v>
      </c>
      <c r="F294" t="s">
        <v>66</v>
      </c>
      <c r="G294">
        <v>0.22</v>
      </c>
      <c r="H294" t="s">
        <v>57</v>
      </c>
      <c r="I294">
        <v>-4</v>
      </c>
      <c r="J294" t="str">
        <f>HYPERLINK("https://www.eliteprospects.com/player/599134/anthony-dowd")</f>
        <v>https://www.eliteprospects.com/player/599134/anthony-dowd</v>
      </c>
      <c r="K294" t="s">
        <v>27</v>
      </c>
      <c r="L294" t="s">
        <v>28</v>
      </c>
      <c r="M294" t="s">
        <v>1296</v>
      </c>
      <c r="N294">
        <v>3</v>
      </c>
      <c r="O294" t="s">
        <v>74</v>
      </c>
      <c r="P294">
        <v>0.04</v>
      </c>
      <c r="Q294" t="s">
        <v>1488</v>
      </c>
      <c r="R294">
        <v>0</v>
      </c>
      <c r="S294">
        <v>0</v>
      </c>
      <c r="T294">
        <v>0</v>
      </c>
      <c r="U294">
        <v>0</v>
      </c>
      <c r="V294">
        <v>0</v>
      </c>
    </row>
    <row r="295" spans="1:22" x14ac:dyDescent="0.25">
      <c r="A295" t="s">
        <v>1584</v>
      </c>
      <c r="B295" t="s">
        <v>59</v>
      </c>
      <c r="C295">
        <v>18</v>
      </c>
      <c r="D295" t="s">
        <v>132</v>
      </c>
      <c r="E295" t="s">
        <v>66</v>
      </c>
      <c r="F295" t="s">
        <v>66</v>
      </c>
      <c r="G295">
        <v>0.22</v>
      </c>
      <c r="H295" t="s">
        <v>57</v>
      </c>
      <c r="I295">
        <v>-3</v>
      </c>
      <c r="J295" t="str">
        <f>HYPERLINK("https://www.eliteprospects.com/player/576334/loic-usereau")</f>
        <v>https://www.eliteprospects.com/player/576334/loic-usereau</v>
      </c>
      <c r="K295" t="s">
        <v>27</v>
      </c>
      <c r="L295" t="s">
        <v>28</v>
      </c>
      <c r="M295" t="s">
        <v>1296</v>
      </c>
      <c r="N295">
        <v>5</v>
      </c>
      <c r="O295" t="s">
        <v>207</v>
      </c>
      <c r="P295">
        <v>0.04</v>
      </c>
      <c r="Q295" t="s">
        <v>1488</v>
      </c>
      <c r="R295">
        <v>0</v>
      </c>
      <c r="S295">
        <v>0</v>
      </c>
      <c r="T295">
        <v>0</v>
      </c>
      <c r="U295">
        <v>0</v>
      </c>
      <c r="V295">
        <v>0</v>
      </c>
    </row>
    <row r="296" spans="1:22" x14ac:dyDescent="0.25">
      <c r="A296" t="s">
        <v>1585</v>
      </c>
      <c r="B296" t="s">
        <v>109</v>
      </c>
      <c r="C296">
        <v>18</v>
      </c>
      <c r="D296" t="s">
        <v>132</v>
      </c>
      <c r="E296" t="s">
        <v>66</v>
      </c>
      <c r="F296" t="s">
        <v>66</v>
      </c>
      <c r="G296">
        <v>0.22</v>
      </c>
      <c r="H296" t="s">
        <v>33</v>
      </c>
      <c r="I296">
        <v>2</v>
      </c>
      <c r="J296" t="str">
        <f>HYPERLINK("https://www.eliteprospects.com/player/786910/sam-laurila")</f>
        <v>https://www.eliteprospects.com/player/786910/sam-laurila</v>
      </c>
      <c r="K296" t="s">
        <v>27</v>
      </c>
      <c r="L296" t="s">
        <v>28</v>
      </c>
      <c r="M296" t="s">
        <v>1296</v>
      </c>
      <c r="N296">
        <v>1</v>
      </c>
      <c r="O296" t="s">
        <v>71</v>
      </c>
      <c r="P296">
        <v>0.04</v>
      </c>
      <c r="Q296" t="s">
        <v>1488</v>
      </c>
      <c r="R296">
        <v>0</v>
      </c>
      <c r="S296">
        <v>0</v>
      </c>
      <c r="T296">
        <v>0</v>
      </c>
      <c r="U296">
        <v>0</v>
      </c>
      <c r="V296">
        <v>0</v>
      </c>
    </row>
    <row r="297" spans="1:22" x14ac:dyDescent="0.25">
      <c r="A297" t="s">
        <v>1586</v>
      </c>
      <c r="B297" t="s">
        <v>165</v>
      </c>
      <c r="C297">
        <v>19</v>
      </c>
      <c r="D297" t="s">
        <v>132</v>
      </c>
      <c r="E297" t="s">
        <v>66</v>
      </c>
      <c r="F297" t="s">
        <v>66</v>
      </c>
      <c r="G297">
        <v>0.21</v>
      </c>
      <c r="H297" t="s">
        <v>57</v>
      </c>
      <c r="I297">
        <v>1</v>
      </c>
      <c r="J297" t="str">
        <f>HYPERLINK("https://www.eliteprospects.com/player/705612/luke-malboeuf")</f>
        <v>https://www.eliteprospects.com/player/705612/luke-malboeuf</v>
      </c>
      <c r="K297" t="s">
        <v>27</v>
      </c>
      <c r="L297" t="s">
        <v>28</v>
      </c>
      <c r="M297" t="s">
        <v>1296</v>
      </c>
      <c r="N297">
        <v>1</v>
      </c>
      <c r="O297" t="s">
        <v>71</v>
      </c>
      <c r="P297">
        <v>0.04</v>
      </c>
      <c r="Q297" t="s">
        <v>1488</v>
      </c>
      <c r="R297">
        <v>0</v>
      </c>
      <c r="S297">
        <v>0</v>
      </c>
      <c r="T297">
        <v>0</v>
      </c>
      <c r="U297">
        <v>0</v>
      </c>
      <c r="V297">
        <v>0</v>
      </c>
    </row>
    <row r="298" spans="1:22" x14ac:dyDescent="0.25">
      <c r="A298" t="s">
        <v>1587</v>
      </c>
      <c r="B298" t="s">
        <v>134</v>
      </c>
      <c r="C298">
        <v>20</v>
      </c>
      <c r="D298" t="s">
        <v>132</v>
      </c>
      <c r="E298" t="s">
        <v>66</v>
      </c>
      <c r="F298" t="s">
        <v>66</v>
      </c>
      <c r="G298">
        <v>0.2</v>
      </c>
      <c r="H298" t="s">
        <v>39</v>
      </c>
      <c r="I298">
        <v>-10</v>
      </c>
      <c r="J298" t="str">
        <f>HYPERLINK("https://www.eliteprospects.com/player/622358/jack-pascucci")</f>
        <v>https://www.eliteprospects.com/player/622358/jack-pascucci</v>
      </c>
      <c r="K298" t="s">
        <v>27</v>
      </c>
      <c r="L298" t="s">
        <v>28</v>
      </c>
      <c r="M298" t="s">
        <v>1296</v>
      </c>
      <c r="N298">
        <v>4</v>
      </c>
      <c r="O298" t="s">
        <v>30</v>
      </c>
      <c r="P298">
        <v>0.04</v>
      </c>
      <c r="Q298" t="s">
        <v>1488</v>
      </c>
      <c r="R298">
        <v>0</v>
      </c>
      <c r="S298">
        <v>0</v>
      </c>
      <c r="T298">
        <v>0</v>
      </c>
      <c r="U298">
        <v>0</v>
      </c>
      <c r="V298">
        <v>0</v>
      </c>
    </row>
    <row r="299" spans="1:22" x14ac:dyDescent="0.25">
      <c r="A299" t="s">
        <v>1588</v>
      </c>
      <c r="B299" t="s">
        <v>116</v>
      </c>
      <c r="C299">
        <v>21</v>
      </c>
      <c r="D299" t="s">
        <v>132</v>
      </c>
      <c r="E299" t="s">
        <v>66</v>
      </c>
      <c r="F299" t="s">
        <v>66</v>
      </c>
      <c r="G299">
        <v>0.19</v>
      </c>
      <c r="H299" t="s">
        <v>38</v>
      </c>
      <c r="I299">
        <v>-16</v>
      </c>
      <c r="J299" t="str">
        <f>HYPERLINK("https://www.eliteprospects.com/player/726219/andrew-brown")</f>
        <v>https://www.eliteprospects.com/player/726219/andrew-brown</v>
      </c>
      <c r="K299" t="s">
        <v>27</v>
      </c>
      <c r="L299" t="s">
        <v>28</v>
      </c>
      <c r="M299" t="s">
        <v>1296</v>
      </c>
      <c r="N299">
        <v>2</v>
      </c>
      <c r="O299" t="s">
        <v>303</v>
      </c>
      <c r="P299">
        <v>0.04</v>
      </c>
      <c r="Q299" t="s">
        <v>1488</v>
      </c>
      <c r="R299">
        <v>0</v>
      </c>
      <c r="S299">
        <v>0</v>
      </c>
      <c r="T299">
        <v>0</v>
      </c>
      <c r="U299">
        <v>0</v>
      </c>
      <c r="V299">
        <v>0</v>
      </c>
    </row>
    <row r="300" spans="1:22" x14ac:dyDescent="0.25">
      <c r="A300" t="s">
        <v>1589</v>
      </c>
      <c r="B300" t="s">
        <v>106</v>
      </c>
      <c r="C300">
        <v>22</v>
      </c>
      <c r="D300" t="s">
        <v>132</v>
      </c>
      <c r="E300" t="s">
        <v>66</v>
      </c>
      <c r="F300" t="s">
        <v>66</v>
      </c>
      <c r="G300">
        <v>0.18</v>
      </c>
      <c r="H300" t="s">
        <v>61</v>
      </c>
      <c r="I300">
        <v>-2</v>
      </c>
      <c r="J300" t="str">
        <f>HYPERLINK("https://www.eliteprospects.com/player/881837/bryce-sookro")</f>
        <v>https://www.eliteprospects.com/player/881837/bryce-sookro</v>
      </c>
      <c r="K300" t="s">
        <v>27</v>
      </c>
      <c r="L300" t="s">
        <v>28</v>
      </c>
      <c r="M300" t="s">
        <v>1296</v>
      </c>
      <c r="N300">
        <v>1</v>
      </c>
      <c r="O300" t="s">
        <v>71</v>
      </c>
      <c r="P300">
        <v>0.03</v>
      </c>
      <c r="Q300" t="s">
        <v>1488</v>
      </c>
      <c r="R300">
        <v>0</v>
      </c>
      <c r="S300">
        <v>0</v>
      </c>
      <c r="T300">
        <v>0</v>
      </c>
      <c r="U300">
        <v>0</v>
      </c>
      <c r="V300">
        <v>0</v>
      </c>
    </row>
    <row r="301" spans="1:22" x14ac:dyDescent="0.25">
      <c r="A301" t="s">
        <v>1590</v>
      </c>
      <c r="B301" t="s">
        <v>128</v>
      </c>
      <c r="C301">
        <v>11</v>
      </c>
      <c r="D301" t="s">
        <v>140</v>
      </c>
      <c r="E301" t="s">
        <v>132</v>
      </c>
      <c r="F301" t="s">
        <v>140</v>
      </c>
      <c r="G301">
        <v>0.27</v>
      </c>
      <c r="H301" t="s">
        <v>125</v>
      </c>
      <c r="I301">
        <v>4</v>
      </c>
      <c r="J301" t="str">
        <f>HYPERLINK("https://www.eliteprospects.com/player/515083/gustav-stjernberg")</f>
        <v>https://www.eliteprospects.com/player/515083/gustav-stjernberg</v>
      </c>
      <c r="K301" t="s">
        <v>27</v>
      </c>
      <c r="L301" t="s">
        <v>28</v>
      </c>
      <c r="M301" t="s">
        <v>1296</v>
      </c>
      <c r="N301">
        <v>3</v>
      </c>
      <c r="O301" t="s">
        <v>74</v>
      </c>
      <c r="P301">
        <v>0.05</v>
      </c>
      <c r="Q301" t="s">
        <v>1325</v>
      </c>
      <c r="R301">
        <v>18.2</v>
      </c>
      <c r="S301">
        <v>9.1</v>
      </c>
      <c r="T301">
        <v>63.6</v>
      </c>
      <c r="U301">
        <v>0</v>
      </c>
      <c r="V301">
        <v>9.1</v>
      </c>
    </row>
    <row r="302" spans="1:22" x14ac:dyDescent="0.25">
      <c r="A302" t="s">
        <v>1591</v>
      </c>
      <c r="B302" t="s">
        <v>37</v>
      </c>
      <c r="C302">
        <v>22</v>
      </c>
      <c r="D302" t="s">
        <v>140</v>
      </c>
      <c r="E302" t="s">
        <v>132</v>
      </c>
      <c r="F302" t="s">
        <v>140</v>
      </c>
      <c r="G302">
        <v>0.14000000000000001</v>
      </c>
      <c r="H302" t="s">
        <v>66</v>
      </c>
      <c r="I302">
        <v>-6</v>
      </c>
      <c r="J302" t="str">
        <f>HYPERLINK("https://www.eliteprospects.com/player/495514/joseph-pierce")</f>
        <v>https://www.eliteprospects.com/player/495514/joseph-pierce</v>
      </c>
      <c r="K302" t="s">
        <v>27</v>
      </c>
      <c r="L302" t="s">
        <v>28</v>
      </c>
      <c r="M302" t="s">
        <v>1296</v>
      </c>
      <c r="N302">
        <v>4</v>
      </c>
      <c r="O302" t="s">
        <v>30</v>
      </c>
      <c r="P302">
        <v>0.03</v>
      </c>
      <c r="Q302" t="s">
        <v>1488</v>
      </c>
      <c r="R302">
        <v>0</v>
      </c>
      <c r="S302">
        <v>0</v>
      </c>
      <c r="T302">
        <v>0</v>
      </c>
      <c r="U302">
        <v>0</v>
      </c>
      <c r="V302">
        <v>0</v>
      </c>
    </row>
    <row r="303" spans="1:22" x14ac:dyDescent="0.25">
      <c r="A303" t="s">
        <v>1592</v>
      </c>
      <c r="B303" t="s">
        <v>44</v>
      </c>
      <c r="C303">
        <v>14</v>
      </c>
      <c r="D303" t="s">
        <v>79</v>
      </c>
      <c r="E303" t="s">
        <v>260</v>
      </c>
      <c r="F303" t="s">
        <v>140</v>
      </c>
      <c r="G303">
        <v>0.21</v>
      </c>
      <c r="H303" t="s">
        <v>57</v>
      </c>
      <c r="I303">
        <v>3</v>
      </c>
      <c r="J303" t="str">
        <f>HYPERLINK("https://www.eliteprospects.com/player/628754/luca-fasciano")</f>
        <v>https://www.eliteprospects.com/player/628754/luca-fasciano</v>
      </c>
      <c r="K303" t="s">
        <v>27</v>
      </c>
      <c r="L303" t="s">
        <v>28</v>
      </c>
      <c r="M303" t="s">
        <v>1296</v>
      </c>
      <c r="N303">
        <v>1</v>
      </c>
      <c r="O303" t="s">
        <v>71</v>
      </c>
      <c r="P303">
        <v>0.04</v>
      </c>
      <c r="Q303" t="s">
        <v>1488</v>
      </c>
      <c r="R303">
        <v>0</v>
      </c>
      <c r="S303">
        <v>0</v>
      </c>
      <c r="T303">
        <v>0</v>
      </c>
      <c r="U303">
        <v>0</v>
      </c>
      <c r="V303">
        <v>0</v>
      </c>
    </row>
    <row r="304" spans="1:22" x14ac:dyDescent="0.25">
      <c r="A304" t="s">
        <v>1593</v>
      </c>
      <c r="B304" t="s">
        <v>163</v>
      </c>
      <c r="C304">
        <v>17</v>
      </c>
      <c r="D304" t="s">
        <v>79</v>
      </c>
      <c r="E304" t="s">
        <v>260</v>
      </c>
      <c r="F304" t="s">
        <v>140</v>
      </c>
      <c r="G304">
        <v>0.18</v>
      </c>
      <c r="H304" t="s">
        <v>57</v>
      </c>
      <c r="I304">
        <v>3</v>
      </c>
      <c r="J304" t="str">
        <f>HYPERLINK("https://www.eliteprospects.com/player/779966/alexander-rybakov")</f>
        <v>https://www.eliteprospects.com/player/779966/alexander-rybakov</v>
      </c>
      <c r="K304" t="s">
        <v>27</v>
      </c>
      <c r="L304" t="s">
        <v>28</v>
      </c>
      <c r="M304" t="s">
        <v>1296</v>
      </c>
      <c r="N304">
        <v>1</v>
      </c>
      <c r="O304" t="s">
        <v>71</v>
      </c>
      <c r="P304">
        <v>0.03</v>
      </c>
      <c r="Q304" t="s">
        <v>1488</v>
      </c>
      <c r="R304">
        <v>0</v>
      </c>
      <c r="S304">
        <v>0</v>
      </c>
      <c r="T304">
        <v>0</v>
      </c>
      <c r="U304">
        <v>0</v>
      </c>
      <c r="V304">
        <v>0</v>
      </c>
    </row>
    <row r="305" spans="1:22" x14ac:dyDescent="0.25">
      <c r="A305" t="s">
        <v>1594</v>
      </c>
      <c r="B305" t="s">
        <v>162</v>
      </c>
      <c r="C305">
        <v>17</v>
      </c>
      <c r="D305" t="s">
        <v>79</v>
      </c>
      <c r="E305" t="s">
        <v>260</v>
      </c>
      <c r="F305" t="s">
        <v>140</v>
      </c>
      <c r="G305">
        <v>0.18</v>
      </c>
      <c r="H305" t="s">
        <v>57</v>
      </c>
      <c r="I305">
        <v>2</v>
      </c>
      <c r="J305" t="str">
        <f>HYPERLINK("https://www.eliteprospects.com/player/499295/pat-lawn")</f>
        <v>https://www.eliteprospects.com/player/499295/pat-lawn</v>
      </c>
      <c r="K305" t="s">
        <v>27</v>
      </c>
      <c r="L305" t="s">
        <v>28</v>
      </c>
      <c r="M305" t="s">
        <v>1296</v>
      </c>
      <c r="N305">
        <v>4</v>
      </c>
      <c r="O305" t="s">
        <v>30</v>
      </c>
      <c r="P305">
        <v>0.03</v>
      </c>
      <c r="Q305" t="s">
        <v>1488</v>
      </c>
      <c r="R305">
        <v>0</v>
      </c>
      <c r="S305">
        <v>0</v>
      </c>
      <c r="T305">
        <v>0</v>
      </c>
      <c r="U305">
        <v>0</v>
      </c>
      <c r="V305">
        <v>0</v>
      </c>
    </row>
    <row r="306" spans="1:22" x14ac:dyDescent="0.25">
      <c r="A306" t="s">
        <v>1595</v>
      </c>
      <c r="B306" t="s">
        <v>101</v>
      </c>
      <c r="C306">
        <v>19</v>
      </c>
      <c r="D306" t="s">
        <v>79</v>
      </c>
      <c r="E306" t="s">
        <v>260</v>
      </c>
      <c r="F306" t="s">
        <v>140</v>
      </c>
      <c r="G306">
        <v>0.16</v>
      </c>
      <c r="H306" t="s">
        <v>26</v>
      </c>
      <c r="I306">
        <v>-1</v>
      </c>
      <c r="J306" t="str">
        <f>HYPERLINK("https://www.eliteprospects.com/player/603583/dylan-compton")</f>
        <v>https://www.eliteprospects.com/player/603583/dylan-compton</v>
      </c>
      <c r="K306" t="s">
        <v>27</v>
      </c>
      <c r="L306" t="s">
        <v>28</v>
      </c>
      <c r="M306" t="s">
        <v>1296</v>
      </c>
      <c r="N306">
        <v>1</v>
      </c>
      <c r="O306" t="s">
        <v>71</v>
      </c>
      <c r="P306">
        <v>0.03</v>
      </c>
      <c r="Q306" t="s">
        <v>1488</v>
      </c>
      <c r="R306">
        <v>0</v>
      </c>
      <c r="S306">
        <v>0</v>
      </c>
      <c r="T306">
        <v>0</v>
      </c>
      <c r="U306">
        <v>0</v>
      </c>
      <c r="V306">
        <v>0</v>
      </c>
    </row>
    <row r="307" spans="1:22" x14ac:dyDescent="0.25">
      <c r="A307" t="s">
        <v>1596</v>
      </c>
      <c r="B307" t="s">
        <v>177</v>
      </c>
      <c r="C307">
        <v>19</v>
      </c>
      <c r="D307" t="s">
        <v>79</v>
      </c>
      <c r="E307" t="s">
        <v>260</v>
      </c>
      <c r="F307" t="s">
        <v>140</v>
      </c>
      <c r="G307">
        <v>0.16</v>
      </c>
      <c r="H307" t="s">
        <v>23</v>
      </c>
      <c r="I307">
        <v>-11</v>
      </c>
      <c r="J307" t="str">
        <f>HYPERLINK("https://www.eliteprospects.com/player/412357/ethan-lund")</f>
        <v>https://www.eliteprospects.com/player/412357/ethan-lund</v>
      </c>
      <c r="K307" t="s">
        <v>27</v>
      </c>
      <c r="L307" t="s">
        <v>28</v>
      </c>
      <c r="M307" t="s">
        <v>1296</v>
      </c>
      <c r="N307">
        <v>4</v>
      </c>
      <c r="O307" t="s">
        <v>30</v>
      </c>
      <c r="P307">
        <v>0.03</v>
      </c>
      <c r="Q307" t="s">
        <v>1488</v>
      </c>
      <c r="R307">
        <v>0</v>
      </c>
      <c r="S307">
        <v>0</v>
      </c>
      <c r="T307">
        <v>0</v>
      </c>
      <c r="U307">
        <v>0</v>
      </c>
      <c r="V307">
        <v>0</v>
      </c>
    </row>
    <row r="308" spans="1:22" x14ac:dyDescent="0.25">
      <c r="A308" t="s">
        <v>1597</v>
      </c>
      <c r="B308" t="s">
        <v>238</v>
      </c>
      <c r="C308">
        <v>20</v>
      </c>
      <c r="D308" t="s">
        <v>79</v>
      </c>
      <c r="E308" t="s">
        <v>260</v>
      </c>
      <c r="F308" t="s">
        <v>140</v>
      </c>
      <c r="G308">
        <v>0.15</v>
      </c>
      <c r="H308" t="s">
        <v>39</v>
      </c>
      <c r="I308">
        <v>1</v>
      </c>
      <c r="J308" t="str">
        <f>HYPERLINK("https://www.eliteprospects.com/player/352473/trevor-russell")</f>
        <v>https://www.eliteprospects.com/player/352473/trevor-russell</v>
      </c>
      <c r="K308" t="s">
        <v>27</v>
      </c>
      <c r="L308" t="s">
        <v>28</v>
      </c>
      <c r="M308" t="s">
        <v>1296</v>
      </c>
      <c r="N308">
        <v>5</v>
      </c>
      <c r="O308" t="s">
        <v>67</v>
      </c>
      <c r="P308">
        <v>0.03</v>
      </c>
      <c r="Q308" t="s">
        <v>1488</v>
      </c>
      <c r="R308">
        <v>0</v>
      </c>
      <c r="S308">
        <v>0</v>
      </c>
      <c r="T308">
        <v>0</v>
      </c>
      <c r="U308">
        <v>0</v>
      </c>
      <c r="V308">
        <v>0</v>
      </c>
    </row>
    <row r="309" spans="1:22" x14ac:dyDescent="0.25">
      <c r="A309" t="s">
        <v>1598</v>
      </c>
      <c r="B309" t="s">
        <v>184</v>
      </c>
      <c r="C309">
        <v>13</v>
      </c>
      <c r="D309" t="s">
        <v>260</v>
      </c>
      <c r="E309" t="s">
        <v>79</v>
      </c>
      <c r="F309" t="s">
        <v>140</v>
      </c>
      <c r="G309">
        <v>0.23</v>
      </c>
      <c r="H309" t="s">
        <v>79</v>
      </c>
      <c r="I309">
        <v>-2</v>
      </c>
      <c r="J309" t="str">
        <f>HYPERLINK("https://www.eliteprospects.com/player/620273/kevin-fitzgerald")</f>
        <v>https://www.eliteprospects.com/player/620273/kevin-fitzgerald</v>
      </c>
      <c r="K309" t="s">
        <v>27</v>
      </c>
      <c r="L309" t="s">
        <v>28</v>
      </c>
      <c r="M309" t="s">
        <v>1296</v>
      </c>
      <c r="N309">
        <v>2</v>
      </c>
      <c r="O309" t="s">
        <v>43</v>
      </c>
      <c r="P309">
        <v>0.04</v>
      </c>
      <c r="Q309" t="s">
        <v>1488</v>
      </c>
      <c r="R309">
        <v>0</v>
      </c>
      <c r="S309">
        <v>0</v>
      </c>
      <c r="T309">
        <v>0</v>
      </c>
      <c r="U309">
        <v>0</v>
      </c>
      <c r="V309">
        <v>0</v>
      </c>
    </row>
    <row r="310" spans="1:22" x14ac:dyDescent="0.25">
      <c r="A310" t="s">
        <v>1599</v>
      </c>
      <c r="B310" t="s">
        <v>180</v>
      </c>
      <c r="C310">
        <v>16</v>
      </c>
      <c r="D310" t="s">
        <v>260</v>
      </c>
      <c r="E310" t="s">
        <v>79</v>
      </c>
      <c r="F310" t="s">
        <v>140</v>
      </c>
      <c r="G310">
        <v>0.19</v>
      </c>
      <c r="H310" t="s">
        <v>491</v>
      </c>
      <c r="I310">
        <v>-5</v>
      </c>
      <c r="J310" t="str">
        <f>HYPERLINK("https://www.eliteprospects.com/player/646161/caeden-carlisle")</f>
        <v>https://www.eliteprospects.com/player/646161/caeden-carlisle</v>
      </c>
      <c r="K310" t="s">
        <v>27</v>
      </c>
      <c r="L310" t="s">
        <v>28</v>
      </c>
      <c r="M310" t="s">
        <v>1296</v>
      </c>
      <c r="N310">
        <v>7</v>
      </c>
      <c r="O310" t="s">
        <v>159</v>
      </c>
      <c r="P310">
        <v>0.04</v>
      </c>
      <c r="Q310" t="s">
        <v>1488</v>
      </c>
      <c r="R310">
        <v>0</v>
      </c>
      <c r="S310">
        <v>0</v>
      </c>
      <c r="T310">
        <v>0</v>
      </c>
      <c r="U310">
        <v>0</v>
      </c>
      <c r="V310">
        <v>0</v>
      </c>
    </row>
    <row r="311" spans="1:22" x14ac:dyDescent="0.25">
      <c r="A311" t="s">
        <v>1600</v>
      </c>
      <c r="B311" t="s">
        <v>312</v>
      </c>
      <c r="C311">
        <v>17</v>
      </c>
      <c r="D311" t="s">
        <v>260</v>
      </c>
      <c r="E311" t="s">
        <v>79</v>
      </c>
      <c r="F311" t="s">
        <v>140</v>
      </c>
      <c r="G311">
        <v>0.18</v>
      </c>
      <c r="H311" t="s">
        <v>66</v>
      </c>
      <c r="I311">
        <v>-15</v>
      </c>
      <c r="J311" t="str">
        <f>HYPERLINK("https://www.eliteprospects.com/player/558798/camden-shasby")</f>
        <v>https://www.eliteprospects.com/player/558798/camden-shasby</v>
      </c>
      <c r="K311" t="s">
        <v>27</v>
      </c>
      <c r="L311" t="s">
        <v>28</v>
      </c>
      <c r="M311" t="s">
        <v>1296</v>
      </c>
      <c r="N311">
        <v>1</v>
      </c>
      <c r="O311" t="s">
        <v>71</v>
      </c>
      <c r="P311">
        <v>0.03</v>
      </c>
      <c r="Q311" t="s">
        <v>1488</v>
      </c>
      <c r="R311">
        <v>0</v>
      </c>
      <c r="S311">
        <v>0</v>
      </c>
      <c r="T311">
        <v>0</v>
      </c>
      <c r="U311">
        <v>0</v>
      </c>
      <c r="V311">
        <v>0</v>
      </c>
    </row>
    <row r="312" spans="1:22" x14ac:dyDescent="0.25">
      <c r="A312" t="s">
        <v>1601</v>
      </c>
      <c r="B312" t="s">
        <v>120</v>
      </c>
      <c r="C312">
        <v>17</v>
      </c>
      <c r="D312" t="s">
        <v>260</v>
      </c>
      <c r="E312" t="s">
        <v>79</v>
      </c>
      <c r="F312" t="s">
        <v>140</v>
      </c>
      <c r="G312">
        <v>0.18</v>
      </c>
      <c r="H312" t="s">
        <v>57</v>
      </c>
      <c r="I312">
        <v>4</v>
      </c>
      <c r="J312" t="str">
        <f>HYPERLINK("https://www.eliteprospects.com/player/617529/nolan-joyce")</f>
        <v>https://www.eliteprospects.com/player/617529/nolan-joyce</v>
      </c>
      <c r="K312" t="s">
        <v>27</v>
      </c>
      <c r="L312" t="s">
        <v>28</v>
      </c>
      <c r="M312" t="s">
        <v>1296</v>
      </c>
      <c r="N312">
        <v>3</v>
      </c>
      <c r="O312" t="s">
        <v>74</v>
      </c>
      <c r="P312">
        <v>0.03</v>
      </c>
      <c r="Q312" t="s">
        <v>1488</v>
      </c>
      <c r="R312">
        <v>0</v>
      </c>
      <c r="S312">
        <v>0</v>
      </c>
      <c r="T312">
        <v>0</v>
      </c>
      <c r="U312">
        <v>0</v>
      </c>
      <c r="V312">
        <v>0</v>
      </c>
    </row>
    <row r="313" spans="1:22" x14ac:dyDescent="0.25">
      <c r="A313" t="s">
        <v>1602</v>
      </c>
      <c r="B313" t="s">
        <v>195</v>
      </c>
      <c r="C313">
        <v>17</v>
      </c>
      <c r="D313" t="s">
        <v>260</v>
      </c>
      <c r="E313" t="s">
        <v>79</v>
      </c>
      <c r="F313" t="s">
        <v>140</v>
      </c>
      <c r="G313">
        <v>0.18</v>
      </c>
      <c r="H313" t="s">
        <v>26</v>
      </c>
      <c r="I313">
        <v>0</v>
      </c>
      <c r="J313" t="str">
        <f>HYPERLINK("https://www.eliteprospects.com/player/695245/mick-frechette")</f>
        <v>https://www.eliteprospects.com/player/695245/mick-frechette</v>
      </c>
      <c r="K313" t="s">
        <v>27</v>
      </c>
      <c r="L313" t="s">
        <v>28</v>
      </c>
      <c r="M313" t="s">
        <v>1296</v>
      </c>
      <c r="N313">
        <v>3</v>
      </c>
      <c r="O313" t="s">
        <v>74</v>
      </c>
      <c r="P313">
        <v>0.03</v>
      </c>
      <c r="Q313" t="s">
        <v>1488</v>
      </c>
      <c r="R313">
        <v>0</v>
      </c>
      <c r="S313">
        <v>0</v>
      </c>
      <c r="T313">
        <v>0</v>
      </c>
      <c r="U313">
        <v>0</v>
      </c>
      <c r="V313">
        <v>0</v>
      </c>
    </row>
    <row r="314" spans="1:22" x14ac:dyDescent="0.25">
      <c r="A314" t="s">
        <v>1603</v>
      </c>
      <c r="B314" t="s">
        <v>109</v>
      </c>
      <c r="C314">
        <v>18</v>
      </c>
      <c r="D314" t="s">
        <v>260</v>
      </c>
      <c r="E314" t="s">
        <v>79</v>
      </c>
      <c r="F314" t="s">
        <v>140</v>
      </c>
      <c r="G314">
        <v>0.17</v>
      </c>
      <c r="H314" t="s">
        <v>26</v>
      </c>
      <c r="I314">
        <v>9</v>
      </c>
      <c r="J314" t="str">
        <f>HYPERLINK("https://www.eliteprospects.com/player/592454/bennett-zmolek")</f>
        <v>https://www.eliteprospects.com/player/592454/bennett-zmolek</v>
      </c>
      <c r="K314" t="s">
        <v>27</v>
      </c>
      <c r="L314" t="s">
        <v>28</v>
      </c>
      <c r="M314" t="s">
        <v>1296</v>
      </c>
      <c r="N314">
        <v>5</v>
      </c>
      <c r="O314" t="s">
        <v>67</v>
      </c>
      <c r="P314">
        <v>0.03</v>
      </c>
      <c r="Q314" t="s">
        <v>1488</v>
      </c>
      <c r="R314">
        <v>0</v>
      </c>
      <c r="S314">
        <v>0</v>
      </c>
      <c r="T314">
        <v>0</v>
      </c>
      <c r="U314">
        <v>0</v>
      </c>
      <c r="V314">
        <v>0</v>
      </c>
    </row>
    <row r="315" spans="1:22" x14ac:dyDescent="0.25">
      <c r="A315" t="s">
        <v>1604</v>
      </c>
      <c r="B315" t="s">
        <v>90</v>
      </c>
      <c r="C315">
        <v>19</v>
      </c>
      <c r="D315" t="s">
        <v>260</v>
      </c>
      <c r="E315" t="s">
        <v>79</v>
      </c>
      <c r="F315" t="s">
        <v>140</v>
      </c>
      <c r="G315">
        <v>0.16</v>
      </c>
      <c r="H315" t="s">
        <v>66</v>
      </c>
      <c r="I315">
        <v>4</v>
      </c>
      <c r="J315" t="str">
        <f>HYPERLINK("https://www.eliteprospects.com/player/478439/michael-rubin")</f>
        <v>https://www.eliteprospects.com/player/478439/michael-rubin</v>
      </c>
      <c r="K315" t="s">
        <v>27</v>
      </c>
      <c r="L315" t="s">
        <v>28</v>
      </c>
      <c r="M315" t="s">
        <v>1296</v>
      </c>
      <c r="N315">
        <v>2</v>
      </c>
      <c r="O315" t="s">
        <v>43</v>
      </c>
      <c r="P315">
        <v>0.03</v>
      </c>
      <c r="Q315" t="s">
        <v>1488</v>
      </c>
      <c r="R315">
        <v>0</v>
      </c>
      <c r="S315">
        <v>0</v>
      </c>
      <c r="T315">
        <v>0</v>
      </c>
      <c r="U315">
        <v>0</v>
      </c>
      <c r="V315">
        <v>0</v>
      </c>
    </row>
    <row r="316" spans="1:22" x14ac:dyDescent="0.25">
      <c r="A316" t="s">
        <v>1605</v>
      </c>
      <c r="B316" t="s">
        <v>130</v>
      </c>
      <c r="C316">
        <v>19</v>
      </c>
      <c r="D316" t="s">
        <v>260</v>
      </c>
      <c r="E316" t="s">
        <v>79</v>
      </c>
      <c r="F316" t="s">
        <v>140</v>
      </c>
      <c r="G316">
        <v>0.16</v>
      </c>
      <c r="H316" t="s">
        <v>57</v>
      </c>
      <c r="I316">
        <v>-2</v>
      </c>
      <c r="J316" t="str">
        <f>HYPERLINK("https://www.eliteprospects.com/player/571894/ethan-beyer")</f>
        <v>https://www.eliteprospects.com/player/571894/ethan-beyer</v>
      </c>
      <c r="K316" t="s">
        <v>27</v>
      </c>
      <c r="L316" t="s">
        <v>28</v>
      </c>
      <c r="M316" t="s">
        <v>1296</v>
      </c>
      <c r="N316">
        <v>1</v>
      </c>
      <c r="O316" t="s">
        <v>71</v>
      </c>
      <c r="P316">
        <v>0.03</v>
      </c>
      <c r="Q316" t="s">
        <v>1488</v>
      </c>
      <c r="R316">
        <v>0</v>
      </c>
      <c r="S316">
        <v>0</v>
      </c>
      <c r="T316">
        <v>0</v>
      </c>
      <c r="U316">
        <v>0</v>
      </c>
      <c r="V316">
        <v>0</v>
      </c>
    </row>
    <row r="317" spans="1:22" x14ac:dyDescent="0.25">
      <c r="A317" t="s">
        <v>1606</v>
      </c>
      <c r="B317" t="s">
        <v>224</v>
      </c>
      <c r="C317">
        <v>19</v>
      </c>
      <c r="D317" t="s">
        <v>260</v>
      </c>
      <c r="E317" t="s">
        <v>79</v>
      </c>
      <c r="F317" t="s">
        <v>140</v>
      </c>
      <c r="G317">
        <v>0.16</v>
      </c>
      <c r="H317" t="s">
        <v>26</v>
      </c>
      <c r="I317">
        <v>-9</v>
      </c>
      <c r="J317" t="str">
        <f>HYPERLINK("https://www.eliteprospects.com/player/511962/gabriel-lunn")</f>
        <v>https://www.eliteprospects.com/player/511962/gabriel-lunn</v>
      </c>
      <c r="K317" t="s">
        <v>27</v>
      </c>
      <c r="L317" t="s">
        <v>28</v>
      </c>
      <c r="M317" t="s">
        <v>1296</v>
      </c>
      <c r="N317">
        <v>3</v>
      </c>
      <c r="O317" t="s">
        <v>74</v>
      </c>
      <c r="P317">
        <v>0.03</v>
      </c>
      <c r="Q317" t="s">
        <v>1488</v>
      </c>
      <c r="R317">
        <v>0</v>
      </c>
      <c r="S317">
        <v>0</v>
      </c>
      <c r="T317">
        <v>0</v>
      </c>
      <c r="U317">
        <v>0</v>
      </c>
      <c r="V317">
        <v>0</v>
      </c>
    </row>
    <row r="318" spans="1:22" x14ac:dyDescent="0.25">
      <c r="A318" t="s">
        <v>1607</v>
      </c>
      <c r="B318" t="s">
        <v>73</v>
      </c>
      <c r="C318">
        <v>20</v>
      </c>
      <c r="D318" t="s">
        <v>260</v>
      </c>
      <c r="E318" t="s">
        <v>79</v>
      </c>
      <c r="F318" t="s">
        <v>140</v>
      </c>
      <c r="G318">
        <v>0.15</v>
      </c>
      <c r="H318" t="s">
        <v>132</v>
      </c>
      <c r="I318">
        <v>-6</v>
      </c>
      <c r="J318" t="str">
        <f>HYPERLINK("https://www.eliteprospects.com/player/616231/thor-byfuglien")</f>
        <v>https://www.eliteprospects.com/player/616231/thor-byfuglien</v>
      </c>
      <c r="K318" t="s">
        <v>27</v>
      </c>
      <c r="L318" t="s">
        <v>28</v>
      </c>
      <c r="M318" t="s">
        <v>1296</v>
      </c>
      <c r="N318">
        <v>2</v>
      </c>
      <c r="O318" t="s">
        <v>43</v>
      </c>
      <c r="P318">
        <v>0.03</v>
      </c>
      <c r="Q318" t="s">
        <v>1488</v>
      </c>
      <c r="R318">
        <v>0</v>
      </c>
      <c r="S318">
        <v>0</v>
      </c>
      <c r="T318">
        <v>0</v>
      </c>
      <c r="U318">
        <v>0</v>
      </c>
      <c r="V318">
        <v>0</v>
      </c>
    </row>
    <row r="319" spans="1:22" x14ac:dyDescent="0.25">
      <c r="A319" t="s">
        <v>1608</v>
      </c>
      <c r="B319" t="s">
        <v>238</v>
      </c>
      <c r="C319">
        <v>20</v>
      </c>
      <c r="D319" t="s">
        <v>260</v>
      </c>
      <c r="E319" t="s">
        <v>79</v>
      </c>
      <c r="F319" t="s">
        <v>140</v>
      </c>
      <c r="G319">
        <v>0.15</v>
      </c>
      <c r="H319" t="s">
        <v>79</v>
      </c>
      <c r="I319">
        <v>-7</v>
      </c>
      <c r="J319" t="str">
        <f>HYPERLINK("https://www.eliteprospects.com/player/556659/gustavs-ozolins")</f>
        <v>https://www.eliteprospects.com/player/556659/gustavs-ozolins</v>
      </c>
      <c r="K319" t="s">
        <v>27</v>
      </c>
      <c r="L319" t="s">
        <v>28</v>
      </c>
      <c r="M319" t="s">
        <v>1296</v>
      </c>
      <c r="N319">
        <v>2</v>
      </c>
      <c r="O319" t="s">
        <v>43</v>
      </c>
      <c r="P319">
        <v>0.03</v>
      </c>
      <c r="Q319" t="s">
        <v>1488</v>
      </c>
      <c r="R319">
        <v>0</v>
      </c>
      <c r="S319">
        <v>0</v>
      </c>
      <c r="T319">
        <v>0</v>
      </c>
      <c r="U319">
        <v>0</v>
      </c>
      <c r="V319">
        <v>0</v>
      </c>
    </row>
    <row r="320" spans="1:22" x14ac:dyDescent="0.25">
      <c r="A320" t="s">
        <v>1609</v>
      </c>
      <c r="B320" t="s">
        <v>165</v>
      </c>
      <c r="C320">
        <v>20</v>
      </c>
      <c r="D320" t="s">
        <v>260</v>
      </c>
      <c r="E320" t="s">
        <v>79</v>
      </c>
      <c r="F320" t="s">
        <v>140</v>
      </c>
      <c r="G320">
        <v>0.15</v>
      </c>
      <c r="H320" t="s">
        <v>66</v>
      </c>
      <c r="I320">
        <v>2</v>
      </c>
      <c r="J320" t="str">
        <f>HYPERLINK("https://www.eliteprospects.com/player/527201/jacob-napier")</f>
        <v>https://www.eliteprospects.com/player/527201/jacob-napier</v>
      </c>
      <c r="K320" t="s">
        <v>27</v>
      </c>
      <c r="L320" t="s">
        <v>28</v>
      </c>
      <c r="M320" t="s">
        <v>1296</v>
      </c>
      <c r="N320">
        <v>3</v>
      </c>
      <c r="O320" t="s">
        <v>74</v>
      </c>
      <c r="P320">
        <v>0.03</v>
      </c>
      <c r="Q320" t="s">
        <v>1488</v>
      </c>
      <c r="R320">
        <v>0</v>
      </c>
      <c r="S320">
        <v>0</v>
      </c>
      <c r="T320">
        <v>0</v>
      </c>
      <c r="U320">
        <v>0</v>
      </c>
      <c r="V320">
        <v>0</v>
      </c>
    </row>
    <row r="321" spans="1:22" x14ac:dyDescent="0.25">
      <c r="A321" t="s">
        <v>1610</v>
      </c>
      <c r="B321" t="s">
        <v>362</v>
      </c>
      <c r="C321">
        <v>20</v>
      </c>
      <c r="D321" t="s">
        <v>260</v>
      </c>
      <c r="E321" t="s">
        <v>79</v>
      </c>
      <c r="F321" t="s">
        <v>140</v>
      </c>
      <c r="G321">
        <v>0.15</v>
      </c>
      <c r="H321" t="s">
        <v>39</v>
      </c>
      <c r="I321">
        <v>-18</v>
      </c>
      <c r="J321" t="str">
        <f>HYPERLINK("https://www.eliteprospects.com/player/295806/john-larkin")</f>
        <v>https://www.eliteprospects.com/player/295806/john-larkin</v>
      </c>
      <c r="K321" t="s">
        <v>27</v>
      </c>
      <c r="L321" t="s">
        <v>28</v>
      </c>
      <c r="M321" t="s">
        <v>1296</v>
      </c>
      <c r="N321">
        <v>4</v>
      </c>
      <c r="O321" t="s">
        <v>30</v>
      </c>
      <c r="P321">
        <v>0.03</v>
      </c>
      <c r="Q321" t="s">
        <v>1488</v>
      </c>
      <c r="R321">
        <v>0</v>
      </c>
      <c r="S321">
        <v>0</v>
      </c>
      <c r="T321">
        <v>0</v>
      </c>
      <c r="U321">
        <v>0</v>
      </c>
      <c r="V321">
        <v>0</v>
      </c>
    </row>
    <row r="322" spans="1:22" x14ac:dyDescent="0.25">
      <c r="A322" t="s">
        <v>1611</v>
      </c>
      <c r="B322" t="s">
        <v>98</v>
      </c>
      <c r="C322">
        <v>21</v>
      </c>
      <c r="D322" t="s">
        <v>260</v>
      </c>
      <c r="E322" t="s">
        <v>79</v>
      </c>
      <c r="F322" t="s">
        <v>140</v>
      </c>
      <c r="G322">
        <v>0.14000000000000001</v>
      </c>
      <c r="H322" t="s">
        <v>24</v>
      </c>
      <c r="I322">
        <v>4</v>
      </c>
      <c r="J322" t="str">
        <f>HYPERLINK("https://www.eliteprospects.com/player/294577/nick-young")</f>
        <v>https://www.eliteprospects.com/player/294577/nick-young</v>
      </c>
      <c r="K322" t="s">
        <v>27</v>
      </c>
      <c r="L322" t="s">
        <v>28</v>
      </c>
      <c r="M322" t="s">
        <v>1296</v>
      </c>
      <c r="N322">
        <v>4</v>
      </c>
      <c r="O322" t="s">
        <v>30</v>
      </c>
      <c r="P322">
        <v>0.03</v>
      </c>
      <c r="Q322" t="s">
        <v>1488</v>
      </c>
      <c r="R322">
        <v>0</v>
      </c>
      <c r="S322">
        <v>0</v>
      </c>
      <c r="T322">
        <v>0</v>
      </c>
      <c r="U322">
        <v>0</v>
      </c>
      <c r="V322">
        <v>0</v>
      </c>
    </row>
    <row r="323" spans="1:22" x14ac:dyDescent="0.25">
      <c r="A323" t="s">
        <v>1612</v>
      </c>
      <c r="B323" t="s">
        <v>131</v>
      </c>
      <c r="C323">
        <v>21</v>
      </c>
      <c r="D323" t="s">
        <v>260</v>
      </c>
      <c r="E323" t="s">
        <v>79</v>
      </c>
      <c r="F323" t="s">
        <v>140</v>
      </c>
      <c r="G323">
        <v>0.14000000000000001</v>
      </c>
      <c r="H323" t="s">
        <v>81</v>
      </c>
      <c r="I323">
        <v>-5</v>
      </c>
      <c r="J323" t="str">
        <f>HYPERLINK("https://www.eliteprospects.com/player/467448/sean-vlasich")</f>
        <v>https://www.eliteprospects.com/player/467448/sean-vlasich</v>
      </c>
      <c r="K323" t="s">
        <v>27</v>
      </c>
      <c r="L323" t="s">
        <v>28</v>
      </c>
      <c r="M323" t="s">
        <v>1296</v>
      </c>
      <c r="N323">
        <v>4</v>
      </c>
      <c r="O323" t="s">
        <v>30</v>
      </c>
      <c r="P323">
        <v>0.03</v>
      </c>
      <c r="Q323" t="s">
        <v>1488</v>
      </c>
      <c r="R323">
        <v>0</v>
      </c>
      <c r="S323">
        <v>0</v>
      </c>
      <c r="T323">
        <v>0</v>
      </c>
      <c r="U323">
        <v>0</v>
      </c>
      <c r="V323">
        <v>0</v>
      </c>
    </row>
    <row r="324" spans="1:22" x14ac:dyDescent="0.25">
      <c r="A324" t="s">
        <v>1613</v>
      </c>
      <c r="B324" t="s">
        <v>88</v>
      </c>
      <c r="C324">
        <v>22</v>
      </c>
      <c r="D324" t="s">
        <v>260</v>
      </c>
      <c r="E324" t="s">
        <v>79</v>
      </c>
      <c r="F324" t="s">
        <v>140</v>
      </c>
      <c r="G324">
        <v>0.14000000000000001</v>
      </c>
      <c r="H324" t="s">
        <v>66</v>
      </c>
      <c r="I324">
        <v>-5</v>
      </c>
      <c r="J324" t="str">
        <f>HYPERLINK("https://www.eliteprospects.com/player/669850/beau-janzig")</f>
        <v>https://www.eliteprospects.com/player/669850/beau-janzig</v>
      </c>
      <c r="K324" t="s">
        <v>27</v>
      </c>
      <c r="L324" t="s">
        <v>28</v>
      </c>
      <c r="M324" t="s">
        <v>1296</v>
      </c>
      <c r="N324">
        <v>2</v>
      </c>
      <c r="O324" t="s">
        <v>43</v>
      </c>
      <c r="P324">
        <v>0.03</v>
      </c>
      <c r="Q324" t="s">
        <v>1488</v>
      </c>
      <c r="R324">
        <v>0</v>
      </c>
      <c r="S324">
        <v>0</v>
      </c>
      <c r="T324">
        <v>0</v>
      </c>
      <c r="U324">
        <v>0</v>
      </c>
      <c r="V324">
        <v>0</v>
      </c>
    </row>
    <row r="325" spans="1:22" x14ac:dyDescent="0.25">
      <c r="A325" t="s">
        <v>1614</v>
      </c>
      <c r="B325" t="s">
        <v>189</v>
      </c>
      <c r="C325">
        <v>24</v>
      </c>
      <c r="D325" t="s">
        <v>260</v>
      </c>
      <c r="E325" t="s">
        <v>79</v>
      </c>
      <c r="F325" t="s">
        <v>140</v>
      </c>
      <c r="G325">
        <v>0.13</v>
      </c>
      <c r="H325" t="s">
        <v>564</v>
      </c>
      <c r="I325">
        <v>-7</v>
      </c>
      <c r="J325" t="str">
        <f>HYPERLINK("https://www.eliteprospects.com/player/567352/trevor-taulien")</f>
        <v>https://www.eliteprospects.com/player/567352/trevor-taulien</v>
      </c>
      <c r="K325" t="s">
        <v>27</v>
      </c>
      <c r="L325" t="s">
        <v>28</v>
      </c>
      <c r="M325" t="s">
        <v>1296</v>
      </c>
      <c r="N325">
        <v>3</v>
      </c>
      <c r="O325" t="s">
        <v>74</v>
      </c>
      <c r="P325">
        <v>0.03</v>
      </c>
      <c r="Q325" t="s">
        <v>1488</v>
      </c>
      <c r="R325">
        <v>0</v>
      </c>
      <c r="S325">
        <v>0</v>
      </c>
      <c r="T325">
        <v>0</v>
      </c>
      <c r="U325">
        <v>0</v>
      </c>
      <c r="V325">
        <v>0</v>
      </c>
    </row>
    <row r="326" spans="1:22" x14ac:dyDescent="0.25">
      <c r="A326" t="s">
        <v>1615</v>
      </c>
      <c r="B326" t="s">
        <v>139</v>
      </c>
      <c r="C326">
        <v>12</v>
      </c>
      <c r="D326" t="s">
        <v>132</v>
      </c>
      <c r="E326" t="s">
        <v>140</v>
      </c>
      <c r="F326" t="s">
        <v>140</v>
      </c>
      <c r="G326">
        <v>0.25</v>
      </c>
      <c r="H326" t="s">
        <v>23</v>
      </c>
      <c r="I326">
        <v>8</v>
      </c>
      <c r="J326" t="str">
        <f>HYPERLINK("https://www.eliteprospects.com/player/603138/zach-schulz")</f>
        <v>https://www.eliteprospects.com/player/603138/zach-schulz</v>
      </c>
      <c r="K326" t="s">
        <v>27</v>
      </c>
      <c r="L326" t="s">
        <v>28</v>
      </c>
      <c r="M326" t="s">
        <v>1296</v>
      </c>
      <c r="N326">
        <v>3</v>
      </c>
      <c r="O326" t="s">
        <v>74</v>
      </c>
      <c r="P326">
        <v>0.05</v>
      </c>
      <c r="Q326" t="s">
        <v>1309</v>
      </c>
      <c r="R326">
        <v>14.3</v>
      </c>
      <c r="S326">
        <v>28.6</v>
      </c>
      <c r="T326">
        <v>28.6</v>
      </c>
      <c r="U326">
        <v>0</v>
      </c>
      <c r="V326">
        <v>28.6</v>
      </c>
    </row>
    <row r="327" spans="1:22" x14ac:dyDescent="0.25">
      <c r="A327" t="s">
        <v>1616</v>
      </c>
      <c r="B327" t="s">
        <v>195</v>
      </c>
      <c r="C327">
        <v>14</v>
      </c>
      <c r="D327" t="s">
        <v>132</v>
      </c>
      <c r="E327" t="s">
        <v>140</v>
      </c>
      <c r="F327" t="s">
        <v>140</v>
      </c>
      <c r="G327">
        <v>0.21</v>
      </c>
      <c r="H327" t="s">
        <v>66</v>
      </c>
      <c r="I327">
        <v>-4</v>
      </c>
      <c r="J327" t="str">
        <f>HYPERLINK("https://www.eliteprospects.com/player/863767/malte-vass")</f>
        <v>https://www.eliteprospects.com/player/863767/malte-vass</v>
      </c>
      <c r="K327" t="s">
        <v>27</v>
      </c>
      <c r="L327" t="s">
        <v>28</v>
      </c>
      <c r="M327" t="s">
        <v>1296</v>
      </c>
      <c r="N327">
        <v>1</v>
      </c>
      <c r="O327" t="s">
        <v>71</v>
      </c>
      <c r="P327">
        <v>0.04</v>
      </c>
      <c r="Q327" t="s">
        <v>1488</v>
      </c>
      <c r="R327">
        <v>0</v>
      </c>
      <c r="S327">
        <v>0</v>
      </c>
      <c r="T327">
        <v>0</v>
      </c>
      <c r="U327">
        <v>0</v>
      </c>
      <c r="V327">
        <v>0</v>
      </c>
    </row>
    <row r="328" spans="1:22" x14ac:dyDescent="0.25">
      <c r="A328" t="s">
        <v>1617</v>
      </c>
      <c r="B328" t="s">
        <v>98</v>
      </c>
      <c r="C328">
        <v>14</v>
      </c>
      <c r="D328" t="s">
        <v>132</v>
      </c>
      <c r="E328" t="s">
        <v>140</v>
      </c>
      <c r="F328" t="s">
        <v>140</v>
      </c>
      <c r="G328">
        <v>0.21</v>
      </c>
      <c r="H328" t="s">
        <v>55</v>
      </c>
      <c r="I328">
        <v>-1</v>
      </c>
      <c r="J328" t="str">
        <f>HYPERLINK("https://www.eliteprospects.com/player/201886/d.j.-hart")</f>
        <v>https://www.eliteprospects.com/player/201886/d.j.-hart</v>
      </c>
      <c r="K328" t="s">
        <v>27</v>
      </c>
      <c r="L328" t="s">
        <v>28</v>
      </c>
      <c r="M328" t="s">
        <v>1296</v>
      </c>
      <c r="N328">
        <v>3</v>
      </c>
      <c r="O328" t="s">
        <v>74</v>
      </c>
      <c r="P328">
        <v>0.04</v>
      </c>
      <c r="Q328" t="s">
        <v>1488</v>
      </c>
      <c r="R328">
        <v>0</v>
      </c>
      <c r="S328">
        <v>0</v>
      </c>
      <c r="T328">
        <v>0</v>
      </c>
      <c r="U328">
        <v>0</v>
      </c>
      <c r="V328">
        <v>0</v>
      </c>
    </row>
    <row r="329" spans="1:22" x14ac:dyDescent="0.25">
      <c r="A329" t="s">
        <v>1618</v>
      </c>
      <c r="B329" t="s">
        <v>362</v>
      </c>
      <c r="C329">
        <v>16</v>
      </c>
      <c r="D329" t="s">
        <v>132</v>
      </c>
      <c r="E329" t="s">
        <v>140</v>
      </c>
      <c r="F329" t="s">
        <v>140</v>
      </c>
      <c r="G329">
        <v>0.19</v>
      </c>
      <c r="H329" t="s">
        <v>79</v>
      </c>
      <c r="I329">
        <v>-8</v>
      </c>
      <c r="J329" t="str">
        <f>HYPERLINK("https://www.eliteprospects.com/player/201957/trent-sambrook")</f>
        <v>https://www.eliteprospects.com/player/201957/trent-sambrook</v>
      </c>
      <c r="K329" t="s">
        <v>27</v>
      </c>
      <c r="L329" t="s">
        <v>28</v>
      </c>
      <c r="M329" t="s">
        <v>1296</v>
      </c>
      <c r="N329">
        <v>3</v>
      </c>
      <c r="O329" t="s">
        <v>74</v>
      </c>
      <c r="P329">
        <v>0.04</v>
      </c>
      <c r="Q329" t="s">
        <v>1488</v>
      </c>
      <c r="R329">
        <v>0</v>
      </c>
      <c r="S329">
        <v>0</v>
      </c>
      <c r="T329">
        <v>0</v>
      </c>
      <c r="U329">
        <v>0</v>
      </c>
      <c r="V329">
        <v>0</v>
      </c>
    </row>
    <row r="330" spans="1:22" x14ac:dyDescent="0.25">
      <c r="A330" t="s">
        <v>1619</v>
      </c>
      <c r="B330" t="s">
        <v>234</v>
      </c>
      <c r="C330">
        <v>16</v>
      </c>
      <c r="D330" t="s">
        <v>132</v>
      </c>
      <c r="E330" t="s">
        <v>140</v>
      </c>
      <c r="F330" t="s">
        <v>140</v>
      </c>
      <c r="G330">
        <v>0.19</v>
      </c>
      <c r="H330" t="s">
        <v>57</v>
      </c>
      <c r="I330">
        <v>-9</v>
      </c>
      <c r="J330" t="str">
        <f>HYPERLINK("https://www.eliteprospects.com/player/526478/owen-dyer")</f>
        <v>https://www.eliteprospects.com/player/526478/owen-dyer</v>
      </c>
      <c r="K330" t="s">
        <v>27</v>
      </c>
      <c r="L330" t="s">
        <v>28</v>
      </c>
      <c r="M330" t="s">
        <v>1296</v>
      </c>
      <c r="N330">
        <v>1</v>
      </c>
      <c r="O330" t="s">
        <v>71</v>
      </c>
      <c r="P330">
        <v>0.04</v>
      </c>
      <c r="Q330" t="s">
        <v>1488</v>
      </c>
      <c r="R330">
        <v>0</v>
      </c>
      <c r="S330">
        <v>0</v>
      </c>
      <c r="T330">
        <v>0</v>
      </c>
      <c r="U330">
        <v>0</v>
      </c>
      <c r="V330">
        <v>0</v>
      </c>
    </row>
    <row r="331" spans="1:22" x14ac:dyDescent="0.25">
      <c r="A331" t="s">
        <v>1620</v>
      </c>
      <c r="B331" t="s">
        <v>103</v>
      </c>
      <c r="C331">
        <v>17</v>
      </c>
      <c r="D331" t="s">
        <v>132</v>
      </c>
      <c r="E331" t="s">
        <v>140</v>
      </c>
      <c r="F331" t="s">
        <v>140</v>
      </c>
      <c r="G331">
        <v>0.18</v>
      </c>
      <c r="H331" t="s">
        <v>79</v>
      </c>
      <c r="I331">
        <v>-2</v>
      </c>
      <c r="J331" t="str">
        <f>HYPERLINK("https://www.eliteprospects.com/player/623146/charlie-lieberman")</f>
        <v>https://www.eliteprospects.com/player/623146/charlie-lieberman</v>
      </c>
      <c r="K331" t="s">
        <v>27</v>
      </c>
      <c r="L331" t="s">
        <v>28</v>
      </c>
      <c r="M331" t="s">
        <v>1296</v>
      </c>
      <c r="N331">
        <v>2</v>
      </c>
      <c r="O331" t="s">
        <v>43</v>
      </c>
      <c r="P331">
        <v>0.03</v>
      </c>
      <c r="Q331" t="s">
        <v>1488</v>
      </c>
      <c r="R331">
        <v>0</v>
      </c>
      <c r="S331">
        <v>0</v>
      </c>
      <c r="T331">
        <v>0</v>
      </c>
      <c r="U331">
        <v>0</v>
      </c>
      <c r="V331">
        <v>0</v>
      </c>
    </row>
    <row r="332" spans="1:22" x14ac:dyDescent="0.25">
      <c r="A332" t="s">
        <v>1621</v>
      </c>
      <c r="B332" t="s">
        <v>150</v>
      </c>
      <c r="C332">
        <v>17</v>
      </c>
      <c r="D332" t="s">
        <v>132</v>
      </c>
      <c r="E332" t="s">
        <v>140</v>
      </c>
      <c r="F332" t="s">
        <v>140</v>
      </c>
      <c r="G332">
        <v>0.18</v>
      </c>
      <c r="H332" t="s">
        <v>79</v>
      </c>
      <c r="I332">
        <v>-2</v>
      </c>
      <c r="J332" t="str">
        <f>HYPERLINK("https://www.eliteprospects.com/player/526476/chris-able")</f>
        <v>https://www.eliteprospects.com/player/526476/chris-able</v>
      </c>
      <c r="K332" t="s">
        <v>27</v>
      </c>
      <c r="L332" t="s">
        <v>28</v>
      </c>
      <c r="M332" t="s">
        <v>1296</v>
      </c>
      <c r="N332">
        <v>2</v>
      </c>
      <c r="O332" t="s">
        <v>43</v>
      </c>
      <c r="P332">
        <v>0.03</v>
      </c>
      <c r="Q332" t="s">
        <v>1488</v>
      </c>
      <c r="R332">
        <v>0</v>
      </c>
      <c r="S332">
        <v>0</v>
      </c>
      <c r="T332">
        <v>0</v>
      </c>
      <c r="U332">
        <v>0</v>
      </c>
      <c r="V332">
        <v>0</v>
      </c>
    </row>
    <row r="333" spans="1:22" x14ac:dyDescent="0.25">
      <c r="A333" t="s">
        <v>1622</v>
      </c>
      <c r="B333" t="s">
        <v>158</v>
      </c>
      <c r="C333">
        <v>17</v>
      </c>
      <c r="D333" t="s">
        <v>132</v>
      </c>
      <c r="E333" t="s">
        <v>140</v>
      </c>
      <c r="F333" t="s">
        <v>140</v>
      </c>
      <c r="G333">
        <v>0.18</v>
      </c>
      <c r="H333" t="s">
        <v>79</v>
      </c>
      <c r="I333">
        <v>2</v>
      </c>
      <c r="J333" t="str">
        <f>HYPERLINK("https://www.eliteprospects.com/player/414965/noah-barlage")</f>
        <v>https://www.eliteprospects.com/player/414965/noah-barlage</v>
      </c>
      <c r="K333" t="s">
        <v>27</v>
      </c>
      <c r="L333" t="s">
        <v>28</v>
      </c>
      <c r="M333" t="s">
        <v>1296</v>
      </c>
      <c r="N333">
        <v>2</v>
      </c>
      <c r="O333" t="s">
        <v>43</v>
      </c>
      <c r="P333">
        <v>0.03</v>
      </c>
      <c r="Q333" t="s">
        <v>1488</v>
      </c>
      <c r="R333">
        <v>0</v>
      </c>
      <c r="S333">
        <v>0</v>
      </c>
      <c r="T333">
        <v>0</v>
      </c>
      <c r="U333">
        <v>0</v>
      </c>
      <c r="V333">
        <v>0</v>
      </c>
    </row>
    <row r="334" spans="1:22" x14ac:dyDescent="0.25">
      <c r="A334" t="s">
        <v>1623</v>
      </c>
      <c r="B334" t="s">
        <v>86</v>
      </c>
      <c r="C334">
        <v>17</v>
      </c>
      <c r="D334" t="s">
        <v>132</v>
      </c>
      <c r="E334" t="s">
        <v>140</v>
      </c>
      <c r="F334" t="s">
        <v>140</v>
      </c>
      <c r="G334">
        <v>0.18</v>
      </c>
      <c r="H334" t="s">
        <v>66</v>
      </c>
      <c r="I334">
        <v>5</v>
      </c>
      <c r="J334" t="str">
        <f>HYPERLINK("https://www.eliteprospects.com/player/201772/travis-shoudy")</f>
        <v>https://www.eliteprospects.com/player/201772/travis-shoudy</v>
      </c>
      <c r="K334" t="s">
        <v>27</v>
      </c>
      <c r="L334" t="s">
        <v>28</v>
      </c>
      <c r="M334" t="s">
        <v>1296</v>
      </c>
      <c r="N334">
        <v>4</v>
      </c>
      <c r="O334" t="s">
        <v>30</v>
      </c>
      <c r="P334">
        <v>0.03</v>
      </c>
      <c r="Q334" t="s">
        <v>1488</v>
      </c>
      <c r="R334">
        <v>0</v>
      </c>
      <c r="S334">
        <v>0</v>
      </c>
      <c r="T334">
        <v>0</v>
      </c>
      <c r="U334">
        <v>0</v>
      </c>
      <c r="V334">
        <v>0</v>
      </c>
    </row>
    <row r="335" spans="1:22" x14ac:dyDescent="0.25">
      <c r="A335" t="s">
        <v>1624</v>
      </c>
      <c r="B335" t="s">
        <v>150</v>
      </c>
      <c r="C335">
        <v>17</v>
      </c>
      <c r="D335" t="s">
        <v>132</v>
      </c>
      <c r="E335" t="s">
        <v>140</v>
      </c>
      <c r="F335" t="s">
        <v>140</v>
      </c>
      <c r="G335">
        <v>0.18</v>
      </c>
      <c r="H335" t="s">
        <v>66</v>
      </c>
      <c r="I335">
        <v>-5</v>
      </c>
      <c r="J335" t="str">
        <f>HYPERLINK("https://www.eliteprospects.com/player/538374/ethan-straky")</f>
        <v>https://www.eliteprospects.com/player/538374/ethan-straky</v>
      </c>
      <c r="K335" t="s">
        <v>27</v>
      </c>
      <c r="L335" t="s">
        <v>28</v>
      </c>
      <c r="M335" t="s">
        <v>1296</v>
      </c>
      <c r="N335">
        <v>4</v>
      </c>
      <c r="O335" t="s">
        <v>30</v>
      </c>
      <c r="P335">
        <v>0.03</v>
      </c>
      <c r="Q335" t="s">
        <v>1488</v>
      </c>
      <c r="R335">
        <v>0</v>
      </c>
      <c r="S335">
        <v>0</v>
      </c>
      <c r="T335">
        <v>0</v>
      </c>
      <c r="U335">
        <v>0</v>
      </c>
      <c r="V335">
        <v>0</v>
      </c>
    </row>
    <row r="336" spans="1:22" x14ac:dyDescent="0.25">
      <c r="A336" t="s">
        <v>1625</v>
      </c>
      <c r="B336" t="s">
        <v>189</v>
      </c>
      <c r="C336">
        <v>17</v>
      </c>
      <c r="D336" t="s">
        <v>132</v>
      </c>
      <c r="E336" t="s">
        <v>140</v>
      </c>
      <c r="F336" t="s">
        <v>140</v>
      </c>
      <c r="G336">
        <v>0.18</v>
      </c>
      <c r="H336" t="s">
        <v>57</v>
      </c>
      <c r="I336">
        <v>-6</v>
      </c>
      <c r="J336" t="str">
        <f>HYPERLINK("https://www.eliteprospects.com/player/336953/nic-belpedio")</f>
        <v>https://www.eliteprospects.com/player/336953/nic-belpedio</v>
      </c>
      <c r="K336" t="s">
        <v>27</v>
      </c>
      <c r="L336" t="s">
        <v>28</v>
      </c>
      <c r="M336" t="s">
        <v>1296</v>
      </c>
      <c r="N336">
        <v>5</v>
      </c>
      <c r="O336" t="s">
        <v>67</v>
      </c>
      <c r="P336">
        <v>0.03</v>
      </c>
      <c r="Q336" t="s">
        <v>1488</v>
      </c>
      <c r="R336">
        <v>0</v>
      </c>
      <c r="S336">
        <v>0</v>
      </c>
      <c r="T336">
        <v>0</v>
      </c>
      <c r="U336">
        <v>0</v>
      </c>
      <c r="V336">
        <v>0</v>
      </c>
    </row>
    <row r="337" spans="1:22" x14ac:dyDescent="0.25">
      <c r="A337" t="s">
        <v>1626</v>
      </c>
      <c r="B337" t="s">
        <v>163</v>
      </c>
      <c r="C337">
        <v>17</v>
      </c>
      <c r="D337" t="s">
        <v>132</v>
      </c>
      <c r="E337" t="s">
        <v>140</v>
      </c>
      <c r="F337" t="s">
        <v>140</v>
      </c>
      <c r="G337">
        <v>0.18</v>
      </c>
      <c r="H337" t="s">
        <v>32</v>
      </c>
      <c r="I337">
        <v>5</v>
      </c>
      <c r="J337" t="str">
        <f>HYPERLINK("https://www.eliteprospects.com/player/597873/alexander-bales")</f>
        <v>https://www.eliteprospects.com/player/597873/alexander-bales</v>
      </c>
      <c r="K337" t="s">
        <v>27</v>
      </c>
      <c r="L337" t="s">
        <v>28</v>
      </c>
      <c r="M337" t="s">
        <v>1296</v>
      </c>
      <c r="N337">
        <v>2</v>
      </c>
      <c r="O337" t="s">
        <v>43</v>
      </c>
      <c r="P337">
        <v>0.03</v>
      </c>
      <c r="Q337" t="s">
        <v>1488</v>
      </c>
      <c r="R337">
        <v>0</v>
      </c>
      <c r="S337">
        <v>0</v>
      </c>
      <c r="T337">
        <v>0</v>
      </c>
      <c r="U337">
        <v>0</v>
      </c>
      <c r="V337">
        <v>0</v>
      </c>
    </row>
    <row r="338" spans="1:22" x14ac:dyDescent="0.25">
      <c r="A338" t="s">
        <v>1627</v>
      </c>
      <c r="B338" t="s">
        <v>158</v>
      </c>
      <c r="C338">
        <v>17</v>
      </c>
      <c r="D338" t="s">
        <v>132</v>
      </c>
      <c r="E338" t="s">
        <v>140</v>
      </c>
      <c r="F338" t="s">
        <v>140</v>
      </c>
      <c r="G338">
        <v>0.18</v>
      </c>
      <c r="H338" t="s">
        <v>55</v>
      </c>
      <c r="I338">
        <v>-5</v>
      </c>
      <c r="J338" t="str">
        <f>HYPERLINK("https://www.eliteprospects.com/player/485084/adam-cardona")</f>
        <v>https://www.eliteprospects.com/player/485084/adam-cardona</v>
      </c>
      <c r="K338" t="s">
        <v>27</v>
      </c>
      <c r="L338" t="s">
        <v>28</v>
      </c>
      <c r="M338" t="s">
        <v>1296</v>
      </c>
      <c r="N338">
        <v>3</v>
      </c>
      <c r="O338" t="s">
        <v>74</v>
      </c>
      <c r="P338">
        <v>0.03</v>
      </c>
      <c r="Q338" t="s">
        <v>1488</v>
      </c>
      <c r="R338">
        <v>0</v>
      </c>
      <c r="S338">
        <v>0</v>
      </c>
      <c r="T338">
        <v>0</v>
      </c>
      <c r="U338">
        <v>0</v>
      </c>
      <c r="V338">
        <v>0</v>
      </c>
    </row>
    <row r="339" spans="1:22" x14ac:dyDescent="0.25">
      <c r="A339" t="s">
        <v>1628</v>
      </c>
      <c r="B339" t="s">
        <v>101</v>
      </c>
      <c r="C339">
        <v>18</v>
      </c>
      <c r="D339" t="s">
        <v>132</v>
      </c>
      <c r="E339" t="s">
        <v>140</v>
      </c>
      <c r="F339" t="s">
        <v>140</v>
      </c>
      <c r="G339">
        <v>0.17</v>
      </c>
      <c r="H339" t="s">
        <v>66</v>
      </c>
      <c r="I339">
        <v>-1</v>
      </c>
      <c r="J339" t="str">
        <f>HYPERLINK("https://www.eliteprospects.com/player/626727/jack-henry")</f>
        <v>https://www.eliteprospects.com/player/626727/jack-henry</v>
      </c>
      <c r="K339" t="s">
        <v>27</v>
      </c>
      <c r="L339" t="s">
        <v>28</v>
      </c>
      <c r="M339" t="s">
        <v>1296</v>
      </c>
      <c r="N339">
        <v>2</v>
      </c>
      <c r="O339" t="s">
        <v>43</v>
      </c>
      <c r="P339">
        <v>0.03</v>
      </c>
      <c r="Q339" t="s">
        <v>1488</v>
      </c>
      <c r="R339">
        <v>0</v>
      </c>
      <c r="S339">
        <v>0</v>
      </c>
      <c r="T339">
        <v>0</v>
      </c>
      <c r="U339">
        <v>0</v>
      </c>
      <c r="V339">
        <v>0</v>
      </c>
    </row>
    <row r="340" spans="1:22" x14ac:dyDescent="0.25">
      <c r="A340" t="s">
        <v>1629</v>
      </c>
      <c r="B340" t="s">
        <v>312</v>
      </c>
      <c r="C340">
        <v>18</v>
      </c>
      <c r="D340" t="s">
        <v>132</v>
      </c>
      <c r="E340" t="s">
        <v>140</v>
      </c>
      <c r="F340" t="s">
        <v>140</v>
      </c>
      <c r="G340">
        <v>0.17</v>
      </c>
      <c r="H340" t="s">
        <v>32</v>
      </c>
      <c r="I340">
        <v>-13</v>
      </c>
      <c r="J340" t="str">
        <f>HYPERLINK("https://www.eliteprospects.com/player/537564/david-jesus")</f>
        <v>https://www.eliteprospects.com/player/537564/david-jesus</v>
      </c>
      <c r="K340" t="s">
        <v>27</v>
      </c>
      <c r="L340" t="s">
        <v>28</v>
      </c>
      <c r="M340" t="s">
        <v>1296</v>
      </c>
      <c r="N340">
        <v>5</v>
      </c>
      <c r="O340" t="s">
        <v>182</v>
      </c>
      <c r="P340">
        <v>0.03</v>
      </c>
      <c r="Q340" t="s">
        <v>1488</v>
      </c>
      <c r="R340">
        <v>0</v>
      </c>
      <c r="S340">
        <v>0</v>
      </c>
      <c r="T340">
        <v>0</v>
      </c>
      <c r="U340">
        <v>0</v>
      </c>
      <c r="V340">
        <v>0</v>
      </c>
    </row>
    <row r="341" spans="1:22" x14ac:dyDescent="0.25">
      <c r="A341" t="s">
        <v>1630</v>
      </c>
      <c r="B341" t="s">
        <v>174</v>
      </c>
      <c r="C341">
        <v>19</v>
      </c>
      <c r="D341" t="s">
        <v>132</v>
      </c>
      <c r="E341" t="s">
        <v>140</v>
      </c>
      <c r="F341" t="s">
        <v>140</v>
      </c>
      <c r="G341">
        <v>0.16</v>
      </c>
      <c r="H341" t="s">
        <v>79</v>
      </c>
      <c r="I341">
        <v>-6</v>
      </c>
      <c r="J341" t="str">
        <f>HYPERLINK("https://www.eliteprospects.com/player/526057/nicholas-de-angelis")</f>
        <v>https://www.eliteprospects.com/player/526057/nicholas-de-angelis</v>
      </c>
      <c r="K341" t="s">
        <v>27</v>
      </c>
      <c r="L341" t="s">
        <v>28</v>
      </c>
      <c r="M341" t="s">
        <v>1296</v>
      </c>
      <c r="N341">
        <v>5</v>
      </c>
      <c r="O341" t="s">
        <v>147</v>
      </c>
      <c r="P341">
        <v>0.03</v>
      </c>
      <c r="Q341" t="s">
        <v>1488</v>
      </c>
      <c r="R341">
        <v>0</v>
      </c>
      <c r="S341">
        <v>0</v>
      </c>
      <c r="T341">
        <v>0</v>
      </c>
      <c r="U341">
        <v>0</v>
      </c>
      <c r="V341">
        <v>0</v>
      </c>
    </row>
    <row r="342" spans="1:22" x14ac:dyDescent="0.25">
      <c r="A342" t="s">
        <v>1631</v>
      </c>
      <c r="B342" t="s">
        <v>80</v>
      </c>
      <c r="C342">
        <v>19</v>
      </c>
      <c r="D342" t="s">
        <v>132</v>
      </c>
      <c r="E342" t="s">
        <v>140</v>
      </c>
      <c r="F342" t="s">
        <v>140</v>
      </c>
      <c r="G342">
        <v>0.16</v>
      </c>
      <c r="H342" t="s">
        <v>26</v>
      </c>
      <c r="I342">
        <v>-1</v>
      </c>
      <c r="J342" t="str">
        <f>HYPERLINK("https://www.eliteprospects.com/player/512294/casey-aman")</f>
        <v>https://www.eliteprospects.com/player/512294/casey-aman</v>
      </c>
      <c r="K342" t="s">
        <v>27</v>
      </c>
      <c r="L342" t="s">
        <v>28</v>
      </c>
      <c r="M342" t="s">
        <v>1296</v>
      </c>
      <c r="N342">
        <v>3</v>
      </c>
      <c r="O342" t="s">
        <v>74</v>
      </c>
      <c r="P342">
        <v>0.03</v>
      </c>
      <c r="Q342" t="s">
        <v>1488</v>
      </c>
      <c r="R342">
        <v>0</v>
      </c>
      <c r="S342">
        <v>0</v>
      </c>
      <c r="T342">
        <v>0</v>
      </c>
      <c r="U342">
        <v>0</v>
      </c>
      <c r="V342">
        <v>0</v>
      </c>
    </row>
    <row r="343" spans="1:22" x14ac:dyDescent="0.25">
      <c r="A343" t="s">
        <v>1632</v>
      </c>
      <c r="B343" t="s">
        <v>174</v>
      </c>
      <c r="C343">
        <v>19</v>
      </c>
      <c r="D343" t="s">
        <v>132</v>
      </c>
      <c r="E343" t="s">
        <v>140</v>
      </c>
      <c r="F343" t="s">
        <v>140</v>
      </c>
      <c r="G343">
        <v>0.16</v>
      </c>
      <c r="H343" t="s">
        <v>32</v>
      </c>
      <c r="I343">
        <v>1</v>
      </c>
      <c r="J343" t="str">
        <f>HYPERLINK("https://www.eliteprospects.com/player/563118/alex-carr")</f>
        <v>https://www.eliteprospects.com/player/563118/alex-carr</v>
      </c>
      <c r="K343" t="s">
        <v>27</v>
      </c>
      <c r="L343" t="s">
        <v>28</v>
      </c>
      <c r="M343" t="s">
        <v>1296</v>
      </c>
      <c r="N343">
        <v>6</v>
      </c>
      <c r="O343" t="s">
        <v>99</v>
      </c>
      <c r="P343">
        <v>0.03</v>
      </c>
      <c r="Q343" t="s">
        <v>1488</v>
      </c>
      <c r="R343">
        <v>0</v>
      </c>
      <c r="S343">
        <v>0</v>
      </c>
      <c r="T343">
        <v>0</v>
      </c>
      <c r="U343">
        <v>0</v>
      </c>
      <c r="V343">
        <v>0</v>
      </c>
    </row>
    <row r="344" spans="1:22" x14ac:dyDescent="0.25">
      <c r="A344" t="s">
        <v>1633</v>
      </c>
      <c r="B344" t="s">
        <v>86</v>
      </c>
      <c r="C344">
        <v>20</v>
      </c>
      <c r="D344" t="s">
        <v>132</v>
      </c>
      <c r="E344" t="s">
        <v>140</v>
      </c>
      <c r="F344" t="s">
        <v>140</v>
      </c>
      <c r="G344">
        <v>0.15</v>
      </c>
      <c r="H344" t="s">
        <v>39</v>
      </c>
      <c r="I344">
        <v>8</v>
      </c>
      <c r="J344" t="str">
        <f>HYPERLINK("https://www.eliteprospects.com/player/815013/sean-barnhill")</f>
        <v>https://www.eliteprospects.com/player/815013/sean-barnhill</v>
      </c>
      <c r="K344" t="s">
        <v>27</v>
      </c>
      <c r="L344" t="s">
        <v>28</v>
      </c>
      <c r="M344" t="s">
        <v>1296</v>
      </c>
      <c r="N344">
        <v>1</v>
      </c>
      <c r="O344" t="s">
        <v>71</v>
      </c>
      <c r="P344">
        <v>0.03</v>
      </c>
      <c r="Q344" t="s">
        <v>1488</v>
      </c>
      <c r="R344">
        <v>0</v>
      </c>
      <c r="S344">
        <v>0</v>
      </c>
      <c r="T344">
        <v>0</v>
      </c>
      <c r="U344">
        <v>0</v>
      </c>
      <c r="V344">
        <v>0</v>
      </c>
    </row>
    <row r="345" spans="1:22" x14ac:dyDescent="0.25">
      <c r="A345" t="s">
        <v>1634</v>
      </c>
      <c r="B345" t="s">
        <v>80</v>
      </c>
      <c r="C345">
        <v>20</v>
      </c>
      <c r="D345" t="s">
        <v>132</v>
      </c>
      <c r="E345" t="s">
        <v>140</v>
      </c>
      <c r="F345" t="s">
        <v>140</v>
      </c>
      <c r="G345">
        <v>0.15</v>
      </c>
      <c r="H345" t="s">
        <v>25</v>
      </c>
      <c r="I345">
        <v>3</v>
      </c>
      <c r="J345" t="str">
        <f>HYPERLINK("https://www.eliteprospects.com/player/661584/nolan-collins")</f>
        <v>https://www.eliteprospects.com/player/661584/nolan-collins</v>
      </c>
      <c r="K345" t="s">
        <v>27</v>
      </c>
      <c r="L345" t="s">
        <v>28</v>
      </c>
      <c r="M345" t="s">
        <v>1296</v>
      </c>
      <c r="N345">
        <v>5</v>
      </c>
      <c r="O345" t="s">
        <v>147</v>
      </c>
      <c r="P345">
        <v>0.03</v>
      </c>
      <c r="Q345" t="s">
        <v>1488</v>
      </c>
      <c r="R345">
        <v>0</v>
      </c>
      <c r="S345">
        <v>0</v>
      </c>
      <c r="T345">
        <v>0</v>
      </c>
      <c r="U345">
        <v>0</v>
      </c>
      <c r="V345">
        <v>0</v>
      </c>
    </row>
    <row r="346" spans="1:22" x14ac:dyDescent="0.25">
      <c r="A346" t="s">
        <v>1635</v>
      </c>
      <c r="B346" t="s">
        <v>119</v>
      </c>
      <c r="C346">
        <v>21</v>
      </c>
      <c r="D346" t="s">
        <v>132</v>
      </c>
      <c r="E346" t="s">
        <v>140</v>
      </c>
      <c r="F346" t="s">
        <v>140</v>
      </c>
      <c r="G346">
        <v>0.14000000000000001</v>
      </c>
      <c r="H346" t="s">
        <v>26</v>
      </c>
      <c r="I346">
        <v>7</v>
      </c>
      <c r="J346" t="str">
        <f>HYPERLINK("https://www.eliteprospects.com/player/785527/jacob-rombach")</f>
        <v>https://www.eliteprospects.com/player/785527/jacob-rombach</v>
      </c>
      <c r="K346" t="s">
        <v>27</v>
      </c>
      <c r="L346" t="s">
        <v>28</v>
      </c>
      <c r="M346" t="s">
        <v>1296</v>
      </c>
      <c r="N346">
        <v>1</v>
      </c>
      <c r="O346" t="s">
        <v>71</v>
      </c>
      <c r="P346">
        <v>0.03</v>
      </c>
      <c r="Q346" t="s">
        <v>1488</v>
      </c>
      <c r="R346">
        <v>0</v>
      </c>
      <c r="S346">
        <v>0</v>
      </c>
      <c r="T346">
        <v>0</v>
      </c>
      <c r="U346">
        <v>0</v>
      </c>
      <c r="V346">
        <v>0</v>
      </c>
    </row>
    <row r="347" spans="1:22" x14ac:dyDescent="0.25">
      <c r="A347" t="s">
        <v>1636</v>
      </c>
      <c r="B347" t="s">
        <v>124</v>
      </c>
      <c r="C347">
        <v>21</v>
      </c>
      <c r="D347" t="s">
        <v>132</v>
      </c>
      <c r="E347" t="s">
        <v>140</v>
      </c>
      <c r="F347" t="s">
        <v>140</v>
      </c>
      <c r="G347">
        <v>0.14000000000000001</v>
      </c>
      <c r="H347" t="s">
        <v>39</v>
      </c>
      <c r="I347">
        <v>-2</v>
      </c>
      <c r="J347" t="str">
        <f>HYPERLINK("https://www.eliteprospects.com/player/617842/shaun-mcewen")</f>
        <v>https://www.eliteprospects.com/player/617842/shaun-mcewen</v>
      </c>
      <c r="K347" t="s">
        <v>27</v>
      </c>
      <c r="L347" t="s">
        <v>28</v>
      </c>
      <c r="M347" t="s">
        <v>1296</v>
      </c>
      <c r="N347">
        <v>1</v>
      </c>
      <c r="O347" t="s">
        <v>71</v>
      </c>
      <c r="P347">
        <v>0.03</v>
      </c>
      <c r="Q347" t="s">
        <v>1488</v>
      </c>
      <c r="R347">
        <v>0</v>
      </c>
      <c r="S347">
        <v>0</v>
      </c>
      <c r="T347">
        <v>0</v>
      </c>
      <c r="U347">
        <v>0</v>
      </c>
      <c r="V347">
        <v>0</v>
      </c>
    </row>
    <row r="348" spans="1:22" x14ac:dyDescent="0.25">
      <c r="A348" t="s">
        <v>1637</v>
      </c>
      <c r="B348" t="s">
        <v>146</v>
      </c>
      <c r="C348">
        <v>22</v>
      </c>
      <c r="D348" t="s">
        <v>132</v>
      </c>
      <c r="E348" t="s">
        <v>140</v>
      </c>
      <c r="F348" t="s">
        <v>140</v>
      </c>
      <c r="G348">
        <v>0.14000000000000001</v>
      </c>
      <c r="H348" t="s">
        <v>26</v>
      </c>
      <c r="I348">
        <v>8</v>
      </c>
      <c r="J348" t="str">
        <f>HYPERLINK("https://www.eliteprospects.com/player/498731/mike-brown")</f>
        <v>https://www.eliteprospects.com/player/498731/mike-brown</v>
      </c>
      <c r="K348" t="s">
        <v>27</v>
      </c>
      <c r="L348" t="s">
        <v>28</v>
      </c>
      <c r="M348" t="s">
        <v>1296</v>
      </c>
      <c r="N348">
        <v>5</v>
      </c>
      <c r="O348" t="s">
        <v>67</v>
      </c>
      <c r="P348">
        <v>0.03</v>
      </c>
      <c r="Q348" t="s">
        <v>1488</v>
      </c>
      <c r="R348">
        <v>0</v>
      </c>
      <c r="S348">
        <v>0</v>
      </c>
      <c r="T348">
        <v>0</v>
      </c>
      <c r="U348">
        <v>0</v>
      </c>
      <c r="V348">
        <v>0</v>
      </c>
    </row>
    <row r="349" spans="1:22" x14ac:dyDescent="0.25">
      <c r="A349" t="s">
        <v>1638</v>
      </c>
      <c r="B349" t="s">
        <v>116</v>
      </c>
      <c r="C349">
        <v>22</v>
      </c>
      <c r="D349" t="s">
        <v>132</v>
      </c>
      <c r="E349" t="s">
        <v>140</v>
      </c>
      <c r="F349" t="s">
        <v>140</v>
      </c>
      <c r="G349">
        <v>0.14000000000000001</v>
      </c>
      <c r="H349" t="s">
        <v>38</v>
      </c>
      <c r="I349">
        <v>-15</v>
      </c>
      <c r="J349" t="str">
        <f>HYPERLINK("https://www.eliteprospects.com/player/639683/luke-santilli")</f>
        <v>https://www.eliteprospects.com/player/639683/luke-santilli</v>
      </c>
      <c r="K349" t="s">
        <v>27</v>
      </c>
      <c r="L349" t="s">
        <v>28</v>
      </c>
      <c r="M349" t="s">
        <v>1296</v>
      </c>
      <c r="N349">
        <v>1</v>
      </c>
      <c r="O349" t="s">
        <v>71</v>
      </c>
      <c r="P349">
        <v>0.03</v>
      </c>
      <c r="Q349" t="s">
        <v>1488</v>
      </c>
      <c r="R349">
        <v>0</v>
      </c>
      <c r="S349">
        <v>0</v>
      </c>
      <c r="T349">
        <v>0</v>
      </c>
      <c r="U349">
        <v>0</v>
      </c>
      <c r="V349">
        <v>0</v>
      </c>
    </row>
    <row r="350" spans="1:22" x14ac:dyDescent="0.25">
      <c r="A350" t="s">
        <v>1639</v>
      </c>
      <c r="B350" t="s">
        <v>189</v>
      </c>
      <c r="C350">
        <v>22</v>
      </c>
      <c r="D350" t="s">
        <v>132</v>
      </c>
      <c r="E350" t="s">
        <v>140</v>
      </c>
      <c r="F350" t="s">
        <v>140</v>
      </c>
      <c r="G350">
        <v>0.14000000000000001</v>
      </c>
      <c r="H350" t="s">
        <v>55</v>
      </c>
      <c r="I350">
        <v>0</v>
      </c>
      <c r="J350" t="str">
        <f>HYPERLINK("https://www.eliteprospects.com/player/553206/logan-heroux")</f>
        <v>https://www.eliteprospects.com/player/553206/logan-heroux</v>
      </c>
      <c r="K350" t="s">
        <v>27</v>
      </c>
      <c r="L350" t="s">
        <v>28</v>
      </c>
      <c r="M350" t="s">
        <v>1296</v>
      </c>
      <c r="N350">
        <v>2</v>
      </c>
      <c r="O350" t="s">
        <v>43</v>
      </c>
      <c r="P350">
        <v>0.03</v>
      </c>
      <c r="Q350" t="s">
        <v>1488</v>
      </c>
      <c r="R350">
        <v>0</v>
      </c>
      <c r="S350">
        <v>0</v>
      </c>
      <c r="T350">
        <v>0</v>
      </c>
      <c r="U350">
        <v>0</v>
      </c>
      <c r="V350">
        <v>0</v>
      </c>
    </row>
    <row r="351" spans="1:22" x14ac:dyDescent="0.25">
      <c r="A351" t="s">
        <v>1640</v>
      </c>
      <c r="B351" t="s">
        <v>64</v>
      </c>
      <c r="C351">
        <v>22</v>
      </c>
      <c r="D351" t="s">
        <v>132</v>
      </c>
      <c r="E351" t="s">
        <v>140</v>
      </c>
      <c r="F351" t="s">
        <v>140</v>
      </c>
      <c r="G351">
        <v>0.14000000000000001</v>
      </c>
      <c r="H351" t="s">
        <v>125</v>
      </c>
      <c r="I351">
        <v>0</v>
      </c>
      <c r="J351" t="str">
        <f>HYPERLINK("https://www.eliteprospects.com/player/417351/cole-miller")</f>
        <v>https://www.eliteprospects.com/player/417351/cole-miller</v>
      </c>
      <c r="K351" t="s">
        <v>27</v>
      </c>
      <c r="L351" t="s">
        <v>28</v>
      </c>
      <c r="M351" t="s">
        <v>1296</v>
      </c>
      <c r="N351">
        <v>3</v>
      </c>
      <c r="O351" t="s">
        <v>74</v>
      </c>
      <c r="P351">
        <v>0.03</v>
      </c>
      <c r="Q351" t="s">
        <v>1488</v>
      </c>
      <c r="R351">
        <v>0</v>
      </c>
      <c r="S351">
        <v>0</v>
      </c>
      <c r="T351">
        <v>0</v>
      </c>
      <c r="U351">
        <v>0</v>
      </c>
      <c r="V351">
        <v>0</v>
      </c>
    </row>
    <row r="352" spans="1:22" x14ac:dyDescent="0.25">
      <c r="A352" t="s">
        <v>1641</v>
      </c>
      <c r="B352" t="s">
        <v>145</v>
      </c>
      <c r="C352">
        <v>23</v>
      </c>
      <c r="D352" t="s">
        <v>132</v>
      </c>
      <c r="E352" t="s">
        <v>140</v>
      </c>
      <c r="F352" t="s">
        <v>140</v>
      </c>
      <c r="G352">
        <v>0.13</v>
      </c>
      <c r="H352" t="s">
        <v>66</v>
      </c>
      <c r="I352">
        <v>5</v>
      </c>
      <c r="J352" t="str">
        <f>HYPERLINK("https://www.eliteprospects.com/player/535715/cale-ashcroft")</f>
        <v>https://www.eliteprospects.com/player/535715/cale-ashcroft</v>
      </c>
      <c r="K352" t="s">
        <v>27</v>
      </c>
      <c r="L352" t="s">
        <v>28</v>
      </c>
      <c r="M352" t="s">
        <v>1296</v>
      </c>
      <c r="N352">
        <v>3</v>
      </c>
      <c r="O352" t="s">
        <v>74</v>
      </c>
      <c r="P352">
        <v>0.03</v>
      </c>
      <c r="Q352" t="s">
        <v>1488</v>
      </c>
      <c r="R352">
        <v>0</v>
      </c>
      <c r="S352">
        <v>0</v>
      </c>
      <c r="T352">
        <v>0</v>
      </c>
      <c r="U352">
        <v>0</v>
      </c>
      <c r="V352">
        <v>0</v>
      </c>
    </row>
    <row r="353" spans="1:22" x14ac:dyDescent="0.25">
      <c r="A353" t="s">
        <v>1642</v>
      </c>
      <c r="B353" t="s">
        <v>22</v>
      </c>
      <c r="C353">
        <v>24</v>
      </c>
      <c r="D353" t="s">
        <v>132</v>
      </c>
      <c r="E353" t="s">
        <v>140</v>
      </c>
      <c r="F353" t="s">
        <v>140</v>
      </c>
      <c r="G353">
        <v>0.13</v>
      </c>
      <c r="H353" t="s">
        <v>24</v>
      </c>
      <c r="I353">
        <v>-4</v>
      </c>
      <c r="J353" t="str">
        <f>HYPERLINK("https://www.eliteprospects.com/player/794994/richard-baran")</f>
        <v>https://www.eliteprospects.com/player/794994/richard-baran</v>
      </c>
      <c r="K353" t="s">
        <v>27</v>
      </c>
      <c r="L353" t="s">
        <v>28</v>
      </c>
      <c r="M353" t="s">
        <v>1296</v>
      </c>
      <c r="N353">
        <v>1</v>
      </c>
      <c r="O353" t="s">
        <v>71</v>
      </c>
      <c r="P353">
        <v>0.03</v>
      </c>
      <c r="Q353" t="s">
        <v>1488</v>
      </c>
      <c r="R353">
        <v>0</v>
      </c>
      <c r="S353">
        <v>0</v>
      </c>
      <c r="T353">
        <v>0</v>
      </c>
      <c r="U353">
        <v>0</v>
      </c>
      <c r="V353">
        <v>0</v>
      </c>
    </row>
    <row r="354" spans="1:22" x14ac:dyDescent="0.25">
      <c r="A354" t="s">
        <v>1643</v>
      </c>
      <c r="B354" t="s">
        <v>83</v>
      </c>
      <c r="C354">
        <v>14</v>
      </c>
      <c r="D354" t="s">
        <v>79</v>
      </c>
      <c r="E354" t="s">
        <v>132</v>
      </c>
      <c r="F354" t="s">
        <v>79</v>
      </c>
      <c r="G354">
        <v>0.14000000000000001</v>
      </c>
      <c r="H354" t="s">
        <v>132</v>
      </c>
      <c r="I354">
        <v>0</v>
      </c>
      <c r="J354" t="str">
        <f>HYPERLINK("https://www.eliteprospects.com/player/586609/matthew-fusco")</f>
        <v>https://www.eliteprospects.com/player/586609/matthew-fusco</v>
      </c>
      <c r="K354" t="s">
        <v>27</v>
      </c>
      <c r="L354" t="s">
        <v>28</v>
      </c>
      <c r="M354" t="s">
        <v>1296</v>
      </c>
      <c r="N354">
        <v>3</v>
      </c>
      <c r="O354" t="s">
        <v>74</v>
      </c>
      <c r="P354">
        <v>0.03</v>
      </c>
      <c r="Q354" t="s">
        <v>1488</v>
      </c>
      <c r="R354">
        <v>0</v>
      </c>
      <c r="S354">
        <v>0</v>
      </c>
      <c r="T354">
        <v>0</v>
      </c>
      <c r="U354">
        <v>0</v>
      </c>
      <c r="V354">
        <v>0</v>
      </c>
    </row>
    <row r="355" spans="1:22" x14ac:dyDescent="0.25">
      <c r="A355" t="s">
        <v>1644</v>
      </c>
      <c r="B355" t="s">
        <v>312</v>
      </c>
      <c r="C355">
        <v>17</v>
      </c>
      <c r="D355" t="s">
        <v>79</v>
      </c>
      <c r="E355" t="s">
        <v>132</v>
      </c>
      <c r="F355" t="s">
        <v>79</v>
      </c>
      <c r="G355">
        <v>0.12</v>
      </c>
      <c r="H355" t="s">
        <v>57</v>
      </c>
      <c r="I355">
        <v>-11</v>
      </c>
      <c r="J355" t="str">
        <f>HYPERLINK("https://www.eliteprospects.com/player/506461/ethan-warrener")</f>
        <v>https://www.eliteprospects.com/player/506461/ethan-warrener</v>
      </c>
      <c r="K355" t="s">
        <v>27</v>
      </c>
      <c r="L355" t="s">
        <v>28</v>
      </c>
      <c r="M355" t="s">
        <v>1296</v>
      </c>
      <c r="N355">
        <v>2</v>
      </c>
      <c r="O355" t="s">
        <v>43</v>
      </c>
      <c r="P355">
        <v>0.02</v>
      </c>
      <c r="Q355" t="s">
        <v>1488</v>
      </c>
      <c r="R355">
        <v>0</v>
      </c>
      <c r="S355">
        <v>0</v>
      </c>
      <c r="T355">
        <v>0</v>
      </c>
      <c r="U355">
        <v>0</v>
      </c>
      <c r="V355">
        <v>0</v>
      </c>
    </row>
    <row r="356" spans="1:22" x14ac:dyDescent="0.25">
      <c r="A356" t="s">
        <v>1645</v>
      </c>
      <c r="B356" t="s">
        <v>165</v>
      </c>
      <c r="C356">
        <v>17</v>
      </c>
      <c r="D356" t="s">
        <v>79</v>
      </c>
      <c r="E356" t="s">
        <v>132</v>
      </c>
      <c r="F356" t="s">
        <v>79</v>
      </c>
      <c r="G356">
        <v>0.12</v>
      </c>
      <c r="H356" t="s">
        <v>23</v>
      </c>
      <c r="I356">
        <v>-1</v>
      </c>
      <c r="J356" t="str">
        <f>HYPERLINK("https://www.eliteprospects.com/player/481351/antonio-fernandez")</f>
        <v>https://www.eliteprospects.com/player/481351/antonio-fernandez</v>
      </c>
      <c r="K356" t="s">
        <v>27</v>
      </c>
      <c r="L356" t="s">
        <v>28</v>
      </c>
      <c r="M356" t="s">
        <v>1296</v>
      </c>
      <c r="N356">
        <v>3</v>
      </c>
      <c r="O356" t="s">
        <v>74</v>
      </c>
      <c r="P356">
        <v>0.02</v>
      </c>
      <c r="Q356" t="s">
        <v>1488</v>
      </c>
      <c r="R356">
        <v>0</v>
      </c>
      <c r="S356">
        <v>0</v>
      </c>
      <c r="T356">
        <v>0</v>
      </c>
      <c r="U356">
        <v>0</v>
      </c>
      <c r="V356">
        <v>0</v>
      </c>
    </row>
    <row r="357" spans="1:22" x14ac:dyDescent="0.25">
      <c r="A357" t="s">
        <v>1646</v>
      </c>
      <c r="B357" t="s">
        <v>148</v>
      </c>
      <c r="C357">
        <v>23</v>
      </c>
      <c r="D357" t="s">
        <v>79</v>
      </c>
      <c r="E357" t="s">
        <v>132</v>
      </c>
      <c r="F357" t="s">
        <v>79</v>
      </c>
      <c r="G357">
        <v>0.09</v>
      </c>
      <c r="H357" t="s">
        <v>32</v>
      </c>
      <c r="I357">
        <v>-3</v>
      </c>
      <c r="J357" t="str">
        <f>HYPERLINK("https://www.eliteprospects.com/player/628578/samo-meritahti")</f>
        <v>https://www.eliteprospects.com/player/628578/samo-meritahti</v>
      </c>
      <c r="K357" t="s">
        <v>27</v>
      </c>
      <c r="L357" t="s">
        <v>28</v>
      </c>
      <c r="M357" t="s">
        <v>1296</v>
      </c>
      <c r="N357">
        <v>2</v>
      </c>
      <c r="O357" t="s">
        <v>43</v>
      </c>
      <c r="P357">
        <v>0.02</v>
      </c>
      <c r="Q357" t="s">
        <v>1488</v>
      </c>
      <c r="R357">
        <v>0</v>
      </c>
      <c r="S357">
        <v>0</v>
      </c>
      <c r="T357">
        <v>0</v>
      </c>
      <c r="U357">
        <v>0</v>
      </c>
      <c r="V357">
        <v>0</v>
      </c>
    </row>
    <row r="358" spans="1:22" x14ac:dyDescent="0.25">
      <c r="A358" t="s">
        <v>1647</v>
      </c>
      <c r="B358" t="s">
        <v>82</v>
      </c>
      <c r="C358">
        <v>12</v>
      </c>
      <c r="D358" t="s">
        <v>260</v>
      </c>
      <c r="E358" t="s">
        <v>260</v>
      </c>
      <c r="F358" t="s">
        <v>79</v>
      </c>
      <c r="G358">
        <v>0.17</v>
      </c>
      <c r="H358" t="s">
        <v>132</v>
      </c>
      <c r="I358">
        <v>1</v>
      </c>
      <c r="J358" t="str">
        <f>HYPERLINK("https://www.eliteprospects.com/player/428800/patrik-satosaari")</f>
        <v>https://www.eliteprospects.com/player/428800/patrik-satosaari</v>
      </c>
      <c r="K358" t="s">
        <v>27</v>
      </c>
      <c r="L358" t="s">
        <v>28</v>
      </c>
      <c r="M358" t="s">
        <v>1296</v>
      </c>
      <c r="N358">
        <v>4</v>
      </c>
      <c r="O358" t="s">
        <v>30</v>
      </c>
      <c r="P358">
        <v>0.03</v>
      </c>
      <c r="Q358" t="s">
        <v>1488</v>
      </c>
      <c r="R358">
        <v>0</v>
      </c>
      <c r="S358">
        <v>0</v>
      </c>
      <c r="T358">
        <v>0</v>
      </c>
      <c r="U358">
        <v>0</v>
      </c>
      <c r="V358">
        <v>0</v>
      </c>
    </row>
    <row r="359" spans="1:22" x14ac:dyDescent="0.25">
      <c r="A359" t="s">
        <v>1648</v>
      </c>
      <c r="B359" t="s">
        <v>114</v>
      </c>
      <c r="C359">
        <v>12</v>
      </c>
      <c r="D359" t="s">
        <v>260</v>
      </c>
      <c r="E359" t="s">
        <v>260</v>
      </c>
      <c r="F359" t="s">
        <v>79</v>
      </c>
      <c r="G359">
        <v>0.17</v>
      </c>
      <c r="H359" t="s">
        <v>51</v>
      </c>
      <c r="I359">
        <v>-2</v>
      </c>
      <c r="J359" t="str">
        <f>HYPERLINK("https://www.eliteprospects.com/player/565770/brody-mortensen")</f>
        <v>https://www.eliteprospects.com/player/565770/brody-mortensen</v>
      </c>
      <c r="K359" t="s">
        <v>27</v>
      </c>
      <c r="L359" t="s">
        <v>28</v>
      </c>
      <c r="M359" t="s">
        <v>1296</v>
      </c>
      <c r="N359">
        <v>2</v>
      </c>
      <c r="O359" t="s">
        <v>43</v>
      </c>
      <c r="P359">
        <v>0.03</v>
      </c>
      <c r="Q359" t="s">
        <v>1488</v>
      </c>
      <c r="R359">
        <v>0</v>
      </c>
      <c r="S359">
        <v>0</v>
      </c>
      <c r="T359">
        <v>0</v>
      </c>
      <c r="U359">
        <v>0</v>
      </c>
      <c r="V359">
        <v>0</v>
      </c>
    </row>
    <row r="360" spans="1:22" x14ac:dyDescent="0.25">
      <c r="A360" t="s">
        <v>1649</v>
      </c>
      <c r="B360" t="s">
        <v>165</v>
      </c>
      <c r="C360">
        <v>13</v>
      </c>
      <c r="D360" t="s">
        <v>260</v>
      </c>
      <c r="E360" t="s">
        <v>260</v>
      </c>
      <c r="F360" t="s">
        <v>79</v>
      </c>
      <c r="G360">
        <v>0.15</v>
      </c>
      <c r="H360" t="s">
        <v>132</v>
      </c>
      <c r="I360">
        <v>2</v>
      </c>
      <c r="J360" t="str">
        <f>HYPERLINK("https://www.eliteprospects.com/player/290047/bobby-metz")</f>
        <v>https://www.eliteprospects.com/player/290047/bobby-metz</v>
      </c>
      <c r="K360" t="s">
        <v>27</v>
      </c>
      <c r="L360" t="s">
        <v>28</v>
      </c>
      <c r="M360" t="s">
        <v>1296</v>
      </c>
      <c r="N360">
        <v>4</v>
      </c>
      <c r="O360" t="s">
        <v>30</v>
      </c>
      <c r="P360">
        <v>0.03</v>
      </c>
      <c r="Q360" t="s">
        <v>1488</v>
      </c>
      <c r="R360">
        <v>0</v>
      </c>
      <c r="S360">
        <v>0</v>
      </c>
      <c r="T360">
        <v>0</v>
      </c>
      <c r="U360">
        <v>0</v>
      </c>
      <c r="V360">
        <v>0</v>
      </c>
    </row>
    <row r="361" spans="1:22" x14ac:dyDescent="0.25">
      <c r="A361" t="s">
        <v>1650</v>
      </c>
      <c r="B361" t="s">
        <v>146</v>
      </c>
      <c r="C361">
        <v>13</v>
      </c>
      <c r="D361" t="s">
        <v>260</v>
      </c>
      <c r="E361" t="s">
        <v>260</v>
      </c>
      <c r="F361" t="s">
        <v>79</v>
      </c>
      <c r="G361">
        <v>0.15</v>
      </c>
      <c r="H361" t="s">
        <v>79</v>
      </c>
      <c r="I361">
        <v>-2</v>
      </c>
      <c r="J361" t="str">
        <f>HYPERLINK("https://www.eliteprospects.com/player/556515/tyson-galloway")</f>
        <v>https://www.eliteprospects.com/player/556515/tyson-galloway</v>
      </c>
      <c r="K361" t="s">
        <v>27</v>
      </c>
      <c r="L361" t="s">
        <v>28</v>
      </c>
      <c r="M361" t="s">
        <v>1296</v>
      </c>
      <c r="N361">
        <v>6</v>
      </c>
      <c r="O361" t="s">
        <v>193</v>
      </c>
      <c r="P361">
        <v>0.03</v>
      </c>
      <c r="Q361" t="s">
        <v>1488</v>
      </c>
      <c r="R361">
        <v>0</v>
      </c>
      <c r="S361">
        <v>0</v>
      </c>
      <c r="T361">
        <v>0</v>
      </c>
      <c r="U361">
        <v>0</v>
      </c>
      <c r="V361">
        <v>0</v>
      </c>
    </row>
    <row r="362" spans="1:22" x14ac:dyDescent="0.25">
      <c r="A362" t="s">
        <v>1651</v>
      </c>
      <c r="B362" t="s">
        <v>362</v>
      </c>
      <c r="C362">
        <v>13</v>
      </c>
      <c r="D362" t="s">
        <v>260</v>
      </c>
      <c r="E362" t="s">
        <v>260</v>
      </c>
      <c r="F362" t="s">
        <v>79</v>
      </c>
      <c r="G362">
        <v>0.15</v>
      </c>
      <c r="H362" t="s">
        <v>32</v>
      </c>
      <c r="I362">
        <v>-9</v>
      </c>
      <c r="J362" t="str">
        <f>HYPERLINK("https://www.eliteprospects.com/player/570743/francesco-iasenza")</f>
        <v>https://www.eliteprospects.com/player/570743/francesco-iasenza</v>
      </c>
      <c r="K362" t="s">
        <v>27</v>
      </c>
      <c r="L362" t="s">
        <v>28</v>
      </c>
      <c r="M362" t="s">
        <v>1296</v>
      </c>
      <c r="N362">
        <v>6</v>
      </c>
      <c r="O362" t="s">
        <v>99</v>
      </c>
      <c r="P362">
        <v>0.03</v>
      </c>
      <c r="Q362" t="s">
        <v>1488</v>
      </c>
      <c r="R362">
        <v>0</v>
      </c>
      <c r="S362">
        <v>0</v>
      </c>
      <c r="T362">
        <v>0</v>
      </c>
      <c r="U362">
        <v>0</v>
      </c>
      <c r="V362">
        <v>0</v>
      </c>
    </row>
    <row r="363" spans="1:22" x14ac:dyDescent="0.25">
      <c r="A363" t="s">
        <v>1652</v>
      </c>
      <c r="B363" t="s">
        <v>174</v>
      </c>
      <c r="C363">
        <v>14</v>
      </c>
      <c r="D363" t="s">
        <v>260</v>
      </c>
      <c r="E363" t="s">
        <v>260</v>
      </c>
      <c r="F363" t="s">
        <v>79</v>
      </c>
      <c r="G363">
        <v>0.14000000000000001</v>
      </c>
      <c r="H363" t="s">
        <v>79</v>
      </c>
      <c r="I363">
        <v>0</v>
      </c>
      <c r="J363" t="str">
        <f>HYPERLINK("https://www.eliteprospects.com/player/603202/josh-player")</f>
        <v>https://www.eliteprospects.com/player/603202/josh-player</v>
      </c>
      <c r="K363" t="s">
        <v>27</v>
      </c>
      <c r="L363" t="s">
        <v>28</v>
      </c>
      <c r="M363" t="s">
        <v>1296</v>
      </c>
      <c r="N363">
        <v>2</v>
      </c>
      <c r="O363" t="s">
        <v>43</v>
      </c>
      <c r="P363">
        <v>0.03</v>
      </c>
      <c r="Q363" t="s">
        <v>1488</v>
      </c>
      <c r="R363">
        <v>0</v>
      </c>
      <c r="S363">
        <v>0</v>
      </c>
      <c r="T363">
        <v>0</v>
      </c>
      <c r="U363">
        <v>0</v>
      </c>
      <c r="V363">
        <v>0</v>
      </c>
    </row>
    <row r="364" spans="1:22" x14ac:dyDescent="0.25">
      <c r="A364" t="s">
        <v>1653</v>
      </c>
      <c r="B364" t="s">
        <v>114</v>
      </c>
      <c r="C364">
        <v>14</v>
      </c>
      <c r="D364" t="s">
        <v>260</v>
      </c>
      <c r="E364" t="s">
        <v>260</v>
      </c>
      <c r="F364" t="s">
        <v>79</v>
      </c>
      <c r="G364">
        <v>0.14000000000000001</v>
      </c>
      <c r="H364" t="s">
        <v>26</v>
      </c>
      <c r="I364">
        <v>-2</v>
      </c>
      <c r="J364" t="str">
        <f>HYPERLINK("https://www.eliteprospects.com/player/613836/jacob-delaney")</f>
        <v>https://www.eliteprospects.com/player/613836/jacob-delaney</v>
      </c>
      <c r="K364" t="s">
        <v>27</v>
      </c>
      <c r="L364" t="s">
        <v>28</v>
      </c>
      <c r="M364" t="s">
        <v>1296</v>
      </c>
      <c r="N364">
        <v>1</v>
      </c>
      <c r="O364" t="s">
        <v>71</v>
      </c>
      <c r="P364">
        <v>0.03</v>
      </c>
      <c r="Q364" t="s">
        <v>1488</v>
      </c>
      <c r="R364">
        <v>0</v>
      </c>
      <c r="S364">
        <v>0</v>
      </c>
      <c r="T364">
        <v>0</v>
      </c>
      <c r="U364">
        <v>0</v>
      </c>
      <c r="V364">
        <v>0</v>
      </c>
    </row>
    <row r="365" spans="1:22" x14ac:dyDescent="0.25">
      <c r="A365" t="s">
        <v>1654</v>
      </c>
      <c r="B365" t="s">
        <v>222</v>
      </c>
      <c r="C365">
        <v>16</v>
      </c>
      <c r="D365" t="s">
        <v>260</v>
      </c>
      <c r="E365" t="s">
        <v>260</v>
      </c>
      <c r="F365" t="s">
        <v>79</v>
      </c>
      <c r="G365">
        <v>0.13</v>
      </c>
      <c r="H365" t="s">
        <v>39</v>
      </c>
      <c r="I365">
        <v>-6</v>
      </c>
      <c r="J365" t="str">
        <f>HYPERLINK("https://www.eliteprospects.com/player/675843/hudson-miller")</f>
        <v>https://www.eliteprospects.com/player/675843/hudson-miller</v>
      </c>
      <c r="K365" t="s">
        <v>27</v>
      </c>
      <c r="L365" t="s">
        <v>28</v>
      </c>
      <c r="M365" t="s">
        <v>1296</v>
      </c>
      <c r="N365">
        <v>1</v>
      </c>
      <c r="O365" t="s">
        <v>71</v>
      </c>
      <c r="P365">
        <v>0.03</v>
      </c>
      <c r="Q365" t="s">
        <v>1488</v>
      </c>
      <c r="R365">
        <v>0</v>
      </c>
      <c r="S365">
        <v>0</v>
      </c>
      <c r="T365">
        <v>0</v>
      </c>
      <c r="U365">
        <v>0</v>
      </c>
      <c r="V365">
        <v>0</v>
      </c>
    </row>
    <row r="366" spans="1:22" x14ac:dyDescent="0.25">
      <c r="A366" t="s">
        <v>1655</v>
      </c>
      <c r="B366" t="s">
        <v>119</v>
      </c>
      <c r="C366">
        <v>17</v>
      </c>
      <c r="D366" t="s">
        <v>260</v>
      </c>
      <c r="E366" t="s">
        <v>260</v>
      </c>
      <c r="F366" t="s">
        <v>79</v>
      </c>
      <c r="G366">
        <v>0.12</v>
      </c>
      <c r="H366" t="s">
        <v>132</v>
      </c>
      <c r="I366">
        <v>-2</v>
      </c>
      <c r="J366" t="str">
        <f>HYPERLINK("https://www.eliteprospects.com/player/623764/max-rud")</f>
        <v>https://www.eliteprospects.com/player/623764/max-rud</v>
      </c>
      <c r="K366" t="s">
        <v>27</v>
      </c>
      <c r="L366" t="s">
        <v>28</v>
      </c>
      <c r="M366" t="s">
        <v>1296</v>
      </c>
      <c r="N366">
        <v>3</v>
      </c>
      <c r="O366" t="s">
        <v>74</v>
      </c>
      <c r="P366">
        <v>0.02</v>
      </c>
      <c r="Q366" t="s">
        <v>1488</v>
      </c>
      <c r="R366">
        <v>0</v>
      </c>
      <c r="S366">
        <v>0</v>
      </c>
      <c r="T366">
        <v>0</v>
      </c>
      <c r="U366">
        <v>0</v>
      </c>
      <c r="V366">
        <v>0</v>
      </c>
    </row>
    <row r="367" spans="1:22" x14ac:dyDescent="0.25">
      <c r="A367" t="s">
        <v>1656</v>
      </c>
      <c r="B367" t="s">
        <v>128</v>
      </c>
      <c r="C367">
        <v>17</v>
      </c>
      <c r="D367" t="s">
        <v>260</v>
      </c>
      <c r="E367" t="s">
        <v>260</v>
      </c>
      <c r="F367" t="s">
        <v>79</v>
      </c>
      <c r="G367">
        <v>0.12</v>
      </c>
      <c r="H367" t="s">
        <v>84</v>
      </c>
      <c r="I367">
        <v>-2</v>
      </c>
      <c r="J367" t="str">
        <f>HYPERLINK("https://www.eliteprospects.com/player/717246/ivan-korodiuk")</f>
        <v>https://www.eliteprospects.com/player/717246/ivan-korodiuk</v>
      </c>
      <c r="K367" t="s">
        <v>27</v>
      </c>
      <c r="L367" t="s">
        <v>28</v>
      </c>
      <c r="M367" t="s">
        <v>1296</v>
      </c>
      <c r="N367">
        <v>2</v>
      </c>
      <c r="O367" t="s">
        <v>43</v>
      </c>
      <c r="P367">
        <v>0.02</v>
      </c>
      <c r="Q367" t="s">
        <v>1488</v>
      </c>
      <c r="R367">
        <v>0</v>
      </c>
      <c r="S367">
        <v>0</v>
      </c>
      <c r="T367">
        <v>0</v>
      </c>
      <c r="U367">
        <v>0</v>
      </c>
      <c r="V367">
        <v>0</v>
      </c>
    </row>
    <row r="368" spans="1:22" x14ac:dyDescent="0.25">
      <c r="A368" t="s">
        <v>1657</v>
      </c>
      <c r="B368" t="s">
        <v>238</v>
      </c>
      <c r="C368">
        <v>17</v>
      </c>
      <c r="D368" t="s">
        <v>260</v>
      </c>
      <c r="E368" t="s">
        <v>260</v>
      </c>
      <c r="F368" t="s">
        <v>79</v>
      </c>
      <c r="G368">
        <v>0.12</v>
      </c>
      <c r="H368" t="s">
        <v>84</v>
      </c>
      <c r="I368">
        <v>-7</v>
      </c>
      <c r="J368" t="str">
        <f>HYPERLINK("https://www.eliteprospects.com/player/478259/james-goffredo")</f>
        <v>https://www.eliteprospects.com/player/478259/james-goffredo</v>
      </c>
      <c r="K368" t="s">
        <v>27</v>
      </c>
      <c r="L368" t="s">
        <v>28</v>
      </c>
      <c r="M368" t="s">
        <v>1296</v>
      </c>
      <c r="N368">
        <v>3</v>
      </c>
      <c r="O368" t="s">
        <v>74</v>
      </c>
      <c r="P368">
        <v>0.02</v>
      </c>
      <c r="Q368" t="s">
        <v>1488</v>
      </c>
      <c r="R368">
        <v>0</v>
      </c>
      <c r="S368">
        <v>0</v>
      </c>
      <c r="T368">
        <v>0</v>
      </c>
      <c r="U368">
        <v>0</v>
      </c>
      <c r="V368">
        <v>0</v>
      </c>
    </row>
    <row r="369" spans="1:22" x14ac:dyDescent="0.25">
      <c r="A369" t="s">
        <v>1658</v>
      </c>
      <c r="B369" t="s">
        <v>116</v>
      </c>
      <c r="C369">
        <v>18</v>
      </c>
      <c r="D369" t="s">
        <v>260</v>
      </c>
      <c r="E369" t="s">
        <v>260</v>
      </c>
      <c r="F369" t="s">
        <v>79</v>
      </c>
      <c r="G369">
        <v>0.11</v>
      </c>
      <c r="H369" t="s">
        <v>132</v>
      </c>
      <c r="I369">
        <v>-4</v>
      </c>
      <c r="J369" t="str">
        <f>HYPERLINK("https://www.eliteprospects.com/player/478559/jake-lammens")</f>
        <v>https://www.eliteprospects.com/player/478559/jake-lammens</v>
      </c>
      <c r="K369" t="s">
        <v>27</v>
      </c>
      <c r="L369" t="s">
        <v>28</v>
      </c>
      <c r="M369" t="s">
        <v>1296</v>
      </c>
      <c r="N369">
        <v>3</v>
      </c>
      <c r="O369" t="s">
        <v>74</v>
      </c>
      <c r="P369">
        <v>0.02</v>
      </c>
      <c r="Q369" t="s">
        <v>1488</v>
      </c>
      <c r="R369">
        <v>0</v>
      </c>
      <c r="S369">
        <v>0</v>
      </c>
      <c r="T369">
        <v>0</v>
      </c>
      <c r="U369">
        <v>0</v>
      </c>
      <c r="V369">
        <v>0</v>
      </c>
    </row>
    <row r="370" spans="1:22" x14ac:dyDescent="0.25">
      <c r="A370" t="s">
        <v>1659</v>
      </c>
      <c r="B370" t="s">
        <v>189</v>
      </c>
      <c r="C370">
        <v>18</v>
      </c>
      <c r="D370" t="s">
        <v>260</v>
      </c>
      <c r="E370" t="s">
        <v>260</v>
      </c>
      <c r="F370" t="s">
        <v>79</v>
      </c>
      <c r="G370">
        <v>0.11</v>
      </c>
      <c r="H370" t="s">
        <v>23</v>
      </c>
      <c r="I370">
        <v>-10</v>
      </c>
      <c r="J370" t="str">
        <f>HYPERLINK("https://www.eliteprospects.com/player/395047/valtteri-piironen")</f>
        <v>https://www.eliteprospects.com/player/395047/valtteri-piironen</v>
      </c>
      <c r="K370" t="s">
        <v>27</v>
      </c>
      <c r="L370" t="s">
        <v>28</v>
      </c>
      <c r="M370" t="s">
        <v>1296</v>
      </c>
      <c r="N370">
        <v>4</v>
      </c>
      <c r="O370" t="s">
        <v>30</v>
      </c>
      <c r="P370">
        <v>0.02</v>
      </c>
      <c r="Q370" t="s">
        <v>1488</v>
      </c>
      <c r="R370">
        <v>0</v>
      </c>
      <c r="S370">
        <v>0</v>
      </c>
      <c r="T370">
        <v>0</v>
      </c>
      <c r="U370">
        <v>0</v>
      </c>
      <c r="V370">
        <v>0</v>
      </c>
    </row>
    <row r="371" spans="1:22" x14ac:dyDescent="0.25">
      <c r="A371" t="s">
        <v>1660</v>
      </c>
      <c r="B371" t="s">
        <v>224</v>
      </c>
      <c r="C371">
        <v>19</v>
      </c>
      <c r="D371" t="s">
        <v>260</v>
      </c>
      <c r="E371" t="s">
        <v>260</v>
      </c>
      <c r="F371" t="s">
        <v>79</v>
      </c>
      <c r="G371">
        <v>0.11</v>
      </c>
      <c r="H371" t="s">
        <v>26</v>
      </c>
      <c r="I371">
        <v>-4</v>
      </c>
      <c r="J371" t="str">
        <f>HYPERLINK("https://www.eliteprospects.com/player/385677/greg-japchen")</f>
        <v>https://www.eliteprospects.com/player/385677/greg-japchen</v>
      </c>
      <c r="K371" t="s">
        <v>27</v>
      </c>
      <c r="L371" t="s">
        <v>28</v>
      </c>
      <c r="M371" t="s">
        <v>1296</v>
      </c>
      <c r="N371">
        <v>4</v>
      </c>
      <c r="O371" t="s">
        <v>30</v>
      </c>
      <c r="P371">
        <v>0.02</v>
      </c>
      <c r="Q371" t="s">
        <v>1488</v>
      </c>
      <c r="R371">
        <v>0</v>
      </c>
      <c r="S371">
        <v>0</v>
      </c>
      <c r="T371">
        <v>0</v>
      </c>
      <c r="U371">
        <v>0</v>
      </c>
      <c r="V371">
        <v>0</v>
      </c>
    </row>
    <row r="372" spans="1:22" x14ac:dyDescent="0.25">
      <c r="A372" t="s">
        <v>1661</v>
      </c>
      <c r="B372" t="s">
        <v>163</v>
      </c>
      <c r="C372">
        <v>19</v>
      </c>
      <c r="D372" t="s">
        <v>260</v>
      </c>
      <c r="E372" t="s">
        <v>260</v>
      </c>
      <c r="F372" t="s">
        <v>79</v>
      </c>
      <c r="G372">
        <v>0.11</v>
      </c>
      <c r="H372" t="s">
        <v>26</v>
      </c>
      <c r="I372">
        <v>6</v>
      </c>
      <c r="J372" t="str">
        <f>HYPERLINK("https://www.eliteprospects.com/player/626540/donovan-mccoy")</f>
        <v>https://www.eliteprospects.com/player/626540/donovan-mccoy</v>
      </c>
      <c r="K372" t="s">
        <v>27</v>
      </c>
      <c r="L372" t="s">
        <v>28</v>
      </c>
      <c r="M372" t="s">
        <v>1296</v>
      </c>
      <c r="N372">
        <v>7</v>
      </c>
      <c r="O372" t="s">
        <v>159</v>
      </c>
      <c r="P372">
        <v>0.02</v>
      </c>
      <c r="Q372" t="s">
        <v>1488</v>
      </c>
      <c r="R372">
        <v>0</v>
      </c>
      <c r="S372">
        <v>0</v>
      </c>
      <c r="T372">
        <v>0</v>
      </c>
      <c r="U372">
        <v>0</v>
      </c>
      <c r="V372">
        <v>0</v>
      </c>
    </row>
    <row r="373" spans="1:22" x14ac:dyDescent="0.25">
      <c r="A373" t="s">
        <v>1662</v>
      </c>
      <c r="B373" t="s">
        <v>103</v>
      </c>
      <c r="C373">
        <v>20</v>
      </c>
      <c r="D373" t="s">
        <v>260</v>
      </c>
      <c r="E373" t="s">
        <v>260</v>
      </c>
      <c r="F373" t="s">
        <v>79</v>
      </c>
      <c r="G373">
        <v>0.1</v>
      </c>
      <c r="H373" t="s">
        <v>132</v>
      </c>
      <c r="I373">
        <v>-4</v>
      </c>
      <c r="J373" t="str">
        <f>HYPERLINK("https://www.eliteprospects.com/player/822279/landon-nycz")</f>
        <v>https://www.eliteprospects.com/player/822279/landon-nycz</v>
      </c>
      <c r="K373" t="s">
        <v>27</v>
      </c>
      <c r="L373" t="s">
        <v>28</v>
      </c>
      <c r="M373" t="s">
        <v>1296</v>
      </c>
      <c r="N373">
        <v>1</v>
      </c>
      <c r="O373" t="s">
        <v>71</v>
      </c>
      <c r="P373">
        <v>0.02</v>
      </c>
      <c r="Q373" t="s">
        <v>1488</v>
      </c>
      <c r="R373">
        <v>0</v>
      </c>
      <c r="S373">
        <v>0</v>
      </c>
      <c r="T373">
        <v>0</v>
      </c>
      <c r="U373">
        <v>0</v>
      </c>
      <c r="V373">
        <v>0</v>
      </c>
    </row>
    <row r="374" spans="1:22" x14ac:dyDescent="0.25">
      <c r="A374" t="s">
        <v>1663</v>
      </c>
      <c r="B374" t="s">
        <v>119</v>
      </c>
      <c r="C374">
        <v>21</v>
      </c>
      <c r="D374" t="s">
        <v>260</v>
      </c>
      <c r="E374" t="s">
        <v>260</v>
      </c>
      <c r="F374" t="s">
        <v>79</v>
      </c>
      <c r="G374">
        <v>0.1</v>
      </c>
      <c r="H374" t="s">
        <v>26</v>
      </c>
      <c r="I374">
        <v>5</v>
      </c>
      <c r="J374" t="str">
        <f>HYPERLINK("https://www.eliteprospects.com/player/597751/john-whipple")</f>
        <v>https://www.eliteprospects.com/player/597751/john-whipple</v>
      </c>
      <c r="K374" t="s">
        <v>27</v>
      </c>
      <c r="L374" t="s">
        <v>28</v>
      </c>
      <c r="M374" t="s">
        <v>1296</v>
      </c>
      <c r="N374">
        <v>2</v>
      </c>
      <c r="O374" t="s">
        <v>43</v>
      </c>
      <c r="P374">
        <v>0.02</v>
      </c>
      <c r="Q374" t="s">
        <v>1488</v>
      </c>
      <c r="R374">
        <v>0</v>
      </c>
      <c r="S374">
        <v>0</v>
      </c>
      <c r="T374">
        <v>0</v>
      </c>
      <c r="U374">
        <v>0</v>
      </c>
      <c r="V374">
        <v>0</v>
      </c>
    </row>
    <row r="375" spans="1:22" x14ac:dyDescent="0.25">
      <c r="A375" t="s">
        <v>1664</v>
      </c>
      <c r="B375" t="s">
        <v>59</v>
      </c>
      <c r="C375">
        <v>10</v>
      </c>
      <c r="D375" t="s">
        <v>132</v>
      </c>
      <c r="E375" t="s">
        <v>79</v>
      </c>
      <c r="F375" t="s">
        <v>79</v>
      </c>
      <c r="G375">
        <v>0.2</v>
      </c>
      <c r="H375" t="s">
        <v>132</v>
      </c>
      <c r="I375">
        <v>0</v>
      </c>
      <c r="J375" t="str">
        <f>HYPERLINK("https://www.eliteprospects.com/player/649021/luke-coughlin")</f>
        <v>https://www.eliteprospects.com/player/649021/luke-coughlin</v>
      </c>
      <c r="K375" t="s">
        <v>27</v>
      </c>
      <c r="L375" t="s">
        <v>28</v>
      </c>
      <c r="M375" t="s">
        <v>1296</v>
      </c>
      <c r="N375">
        <v>5</v>
      </c>
      <c r="O375" t="s">
        <v>207</v>
      </c>
      <c r="P375">
        <v>0.04</v>
      </c>
      <c r="Q375" t="s">
        <v>1488</v>
      </c>
      <c r="R375">
        <v>0</v>
      </c>
      <c r="S375">
        <v>0</v>
      </c>
      <c r="T375">
        <v>0</v>
      </c>
      <c r="U375">
        <v>0</v>
      </c>
      <c r="V375">
        <v>0</v>
      </c>
    </row>
    <row r="376" spans="1:22" x14ac:dyDescent="0.25">
      <c r="A376" t="s">
        <v>1665</v>
      </c>
      <c r="B376" t="s">
        <v>59</v>
      </c>
      <c r="C376">
        <v>10</v>
      </c>
      <c r="D376" t="s">
        <v>132</v>
      </c>
      <c r="E376" t="s">
        <v>79</v>
      </c>
      <c r="F376" t="s">
        <v>79</v>
      </c>
      <c r="G376">
        <v>0.2</v>
      </c>
      <c r="H376" t="s">
        <v>66</v>
      </c>
      <c r="I376">
        <v>-1</v>
      </c>
      <c r="J376" t="str">
        <f>HYPERLINK("https://www.eliteprospects.com/player/464784/simon-motew")</f>
        <v>https://www.eliteprospects.com/player/464784/simon-motew</v>
      </c>
      <c r="K376" t="s">
        <v>27</v>
      </c>
      <c r="L376" t="s">
        <v>28</v>
      </c>
      <c r="M376" t="s">
        <v>1296</v>
      </c>
      <c r="N376">
        <v>5</v>
      </c>
      <c r="O376" t="s">
        <v>147</v>
      </c>
      <c r="P376">
        <v>0.04</v>
      </c>
      <c r="Q376" t="s">
        <v>1488</v>
      </c>
      <c r="R376">
        <v>0</v>
      </c>
      <c r="S376">
        <v>0</v>
      </c>
      <c r="T376">
        <v>0</v>
      </c>
      <c r="U376">
        <v>0</v>
      </c>
      <c r="V376">
        <v>0</v>
      </c>
    </row>
    <row r="377" spans="1:22" x14ac:dyDescent="0.25">
      <c r="A377" t="s">
        <v>1666</v>
      </c>
      <c r="B377" t="s">
        <v>90</v>
      </c>
      <c r="C377">
        <v>10</v>
      </c>
      <c r="D377" t="s">
        <v>132</v>
      </c>
      <c r="E377" t="s">
        <v>79</v>
      </c>
      <c r="F377" t="s">
        <v>79</v>
      </c>
      <c r="G377">
        <v>0.2</v>
      </c>
      <c r="H377" t="s">
        <v>32</v>
      </c>
      <c r="I377">
        <v>2</v>
      </c>
      <c r="J377" t="str">
        <f>HYPERLINK("https://www.eliteprospects.com/player/651961/noah-van-vliet")</f>
        <v>https://www.eliteprospects.com/player/651961/noah-van-vliet</v>
      </c>
      <c r="K377" t="s">
        <v>27</v>
      </c>
      <c r="L377" t="s">
        <v>28</v>
      </c>
      <c r="M377" t="s">
        <v>1296</v>
      </c>
      <c r="N377">
        <v>5</v>
      </c>
      <c r="O377" t="s">
        <v>147</v>
      </c>
      <c r="P377">
        <v>0.04</v>
      </c>
      <c r="Q377" t="s">
        <v>1488</v>
      </c>
      <c r="R377">
        <v>0</v>
      </c>
      <c r="S377">
        <v>0</v>
      </c>
      <c r="T377">
        <v>0</v>
      </c>
      <c r="U377">
        <v>0</v>
      </c>
      <c r="V377">
        <v>0</v>
      </c>
    </row>
    <row r="378" spans="1:22" x14ac:dyDescent="0.25">
      <c r="A378" t="s">
        <v>1667</v>
      </c>
      <c r="B378" t="s">
        <v>128</v>
      </c>
      <c r="C378">
        <v>11</v>
      </c>
      <c r="D378" t="s">
        <v>132</v>
      </c>
      <c r="E378" t="s">
        <v>79</v>
      </c>
      <c r="F378" t="s">
        <v>79</v>
      </c>
      <c r="G378">
        <v>0.18</v>
      </c>
      <c r="H378" t="s">
        <v>66</v>
      </c>
      <c r="I378">
        <v>0</v>
      </c>
      <c r="J378" t="str">
        <f>HYPERLINK("https://www.eliteprospects.com/player/279769/jack-blake")</f>
        <v>https://www.eliteprospects.com/player/279769/jack-blake</v>
      </c>
      <c r="K378" t="s">
        <v>27</v>
      </c>
      <c r="L378" t="s">
        <v>28</v>
      </c>
      <c r="M378" t="s">
        <v>1296</v>
      </c>
      <c r="N378">
        <v>4</v>
      </c>
      <c r="O378" t="s">
        <v>30</v>
      </c>
      <c r="P378">
        <v>0.03</v>
      </c>
      <c r="Q378" t="s">
        <v>1488</v>
      </c>
      <c r="R378">
        <v>0</v>
      </c>
      <c r="S378">
        <v>0</v>
      </c>
      <c r="T378">
        <v>0</v>
      </c>
      <c r="U378">
        <v>0</v>
      </c>
      <c r="V378">
        <v>0</v>
      </c>
    </row>
    <row r="379" spans="1:22" x14ac:dyDescent="0.25">
      <c r="A379" t="s">
        <v>1668</v>
      </c>
      <c r="B379" t="s">
        <v>134</v>
      </c>
      <c r="C379">
        <v>12</v>
      </c>
      <c r="D379" t="s">
        <v>132</v>
      </c>
      <c r="E379" t="s">
        <v>79</v>
      </c>
      <c r="F379" t="s">
        <v>79</v>
      </c>
      <c r="G379">
        <v>0.17</v>
      </c>
      <c r="H379" t="s">
        <v>132</v>
      </c>
      <c r="I379">
        <v>3</v>
      </c>
      <c r="J379" t="str">
        <f>HYPERLINK("https://www.eliteprospects.com/player/565736/luke-marshall")</f>
        <v>https://www.eliteprospects.com/player/565736/luke-marshall</v>
      </c>
      <c r="K379" t="s">
        <v>27</v>
      </c>
      <c r="L379" t="s">
        <v>28</v>
      </c>
      <c r="M379" t="s">
        <v>1296</v>
      </c>
      <c r="N379">
        <v>2</v>
      </c>
      <c r="O379" t="s">
        <v>43</v>
      </c>
      <c r="P379">
        <v>0.03</v>
      </c>
      <c r="Q379" t="s">
        <v>1488</v>
      </c>
      <c r="R379">
        <v>0</v>
      </c>
      <c r="S379">
        <v>0</v>
      </c>
      <c r="T379">
        <v>0</v>
      </c>
      <c r="U379">
        <v>0</v>
      </c>
      <c r="V379">
        <v>0</v>
      </c>
    </row>
    <row r="380" spans="1:22" x14ac:dyDescent="0.25">
      <c r="A380" t="s">
        <v>1669</v>
      </c>
      <c r="B380" t="s">
        <v>109</v>
      </c>
      <c r="C380">
        <v>12</v>
      </c>
      <c r="D380" t="s">
        <v>132</v>
      </c>
      <c r="E380" t="s">
        <v>79</v>
      </c>
      <c r="F380" t="s">
        <v>79</v>
      </c>
      <c r="G380">
        <v>0.17</v>
      </c>
      <c r="H380" t="s">
        <v>55</v>
      </c>
      <c r="I380">
        <v>4</v>
      </c>
      <c r="J380" t="str">
        <f>HYPERLINK("https://www.eliteprospects.com/player/483485/jayden-jubenvill")</f>
        <v>https://www.eliteprospects.com/player/483485/jayden-jubenvill</v>
      </c>
      <c r="K380" t="s">
        <v>27</v>
      </c>
      <c r="L380" t="s">
        <v>28</v>
      </c>
      <c r="M380" t="s">
        <v>1296</v>
      </c>
      <c r="N380">
        <v>2</v>
      </c>
      <c r="O380" t="s">
        <v>43</v>
      </c>
      <c r="P380">
        <v>0.03</v>
      </c>
      <c r="Q380" t="s">
        <v>1488</v>
      </c>
      <c r="R380">
        <v>0</v>
      </c>
      <c r="S380">
        <v>0</v>
      </c>
      <c r="T380">
        <v>0</v>
      </c>
      <c r="U380">
        <v>0</v>
      </c>
      <c r="V380">
        <v>0</v>
      </c>
    </row>
    <row r="381" spans="1:22" x14ac:dyDescent="0.25">
      <c r="A381" t="s">
        <v>1670</v>
      </c>
      <c r="B381" t="s">
        <v>163</v>
      </c>
      <c r="C381">
        <v>13</v>
      </c>
      <c r="D381" t="s">
        <v>132</v>
      </c>
      <c r="E381" t="s">
        <v>79</v>
      </c>
      <c r="F381" t="s">
        <v>79</v>
      </c>
      <c r="G381">
        <v>0.15</v>
      </c>
      <c r="H381" t="s">
        <v>132</v>
      </c>
      <c r="I381">
        <v>2</v>
      </c>
      <c r="J381" t="str">
        <f>HYPERLINK("https://www.eliteprospects.com/player/657771/martin-masa")</f>
        <v>https://www.eliteprospects.com/player/657771/martin-masa</v>
      </c>
      <c r="K381" t="s">
        <v>27</v>
      </c>
      <c r="L381" t="s">
        <v>28</v>
      </c>
      <c r="M381" t="s">
        <v>1296</v>
      </c>
      <c r="N381">
        <v>1</v>
      </c>
      <c r="O381" t="s">
        <v>71</v>
      </c>
      <c r="P381">
        <v>0.03</v>
      </c>
      <c r="Q381" t="s">
        <v>1488</v>
      </c>
      <c r="R381">
        <v>0</v>
      </c>
      <c r="S381">
        <v>0</v>
      </c>
      <c r="T381">
        <v>0</v>
      </c>
      <c r="U381">
        <v>0</v>
      </c>
      <c r="V381">
        <v>0</v>
      </c>
    </row>
    <row r="382" spans="1:22" x14ac:dyDescent="0.25">
      <c r="A382" t="s">
        <v>1671</v>
      </c>
      <c r="B382" t="s">
        <v>148</v>
      </c>
      <c r="C382">
        <v>13</v>
      </c>
      <c r="D382" t="s">
        <v>132</v>
      </c>
      <c r="E382" t="s">
        <v>79</v>
      </c>
      <c r="F382" t="s">
        <v>79</v>
      </c>
      <c r="G382">
        <v>0.15</v>
      </c>
      <c r="H382" t="s">
        <v>66</v>
      </c>
      <c r="I382">
        <v>2</v>
      </c>
      <c r="J382" t="str">
        <f>HYPERLINK("https://www.eliteprospects.com/player/623769/carter-theissen")</f>
        <v>https://www.eliteprospects.com/player/623769/carter-theissen</v>
      </c>
      <c r="K382" t="s">
        <v>27</v>
      </c>
      <c r="L382" t="s">
        <v>28</v>
      </c>
      <c r="M382" t="s">
        <v>1296</v>
      </c>
      <c r="N382">
        <v>2</v>
      </c>
      <c r="O382" t="s">
        <v>43</v>
      </c>
      <c r="P382">
        <v>0.03</v>
      </c>
      <c r="Q382" t="s">
        <v>1488</v>
      </c>
      <c r="R382">
        <v>0</v>
      </c>
      <c r="S382">
        <v>0</v>
      </c>
      <c r="T382">
        <v>0</v>
      </c>
      <c r="U382">
        <v>0</v>
      </c>
      <c r="V382">
        <v>0</v>
      </c>
    </row>
    <row r="383" spans="1:22" x14ac:dyDescent="0.25">
      <c r="A383" t="s">
        <v>1672</v>
      </c>
      <c r="B383" t="s">
        <v>121</v>
      </c>
      <c r="C383">
        <v>14</v>
      </c>
      <c r="D383" t="s">
        <v>132</v>
      </c>
      <c r="E383" t="s">
        <v>79</v>
      </c>
      <c r="F383" t="s">
        <v>79</v>
      </c>
      <c r="G383">
        <v>0.14000000000000001</v>
      </c>
      <c r="H383" t="s">
        <v>79</v>
      </c>
      <c r="I383">
        <v>-4</v>
      </c>
      <c r="J383" t="str">
        <f>HYPERLINK("https://www.eliteprospects.com/player/467132/blake-matheson")</f>
        <v>https://www.eliteprospects.com/player/467132/blake-matheson</v>
      </c>
      <c r="K383" t="s">
        <v>27</v>
      </c>
      <c r="L383" t="s">
        <v>28</v>
      </c>
      <c r="M383" t="s">
        <v>1296</v>
      </c>
      <c r="N383">
        <v>1</v>
      </c>
      <c r="O383" t="s">
        <v>71</v>
      </c>
      <c r="P383">
        <v>0.03</v>
      </c>
      <c r="Q383" t="s">
        <v>1488</v>
      </c>
      <c r="R383">
        <v>0</v>
      </c>
      <c r="S383">
        <v>0</v>
      </c>
      <c r="T383">
        <v>0</v>
      </c>
      <c r="U383">
        <v>0</v>
      </c>
      <c r="V383">
        <v>0</v>
      </c>
    </row>
    <row r="384" spans="1:22" x14ac:dyDescent="0.25">
      <c r="A384" t="s">
        <v>1673</v>
      </c>
      <c r="B384" t="s">
        <v>362</v>
      </c>
      <c r="C384">
        <v>14</v>
      </c>
      <c r="D384" t="s">
        <v>132</v>
      </c>
      <c r="E384" t="s">
        <v>79</v>
      </c>
      <c r="F384" t="s">
        <v>79</v>
      </c>
      <c r="G384">
        <v>0.14000000000000001</v>
      </c>
      <c r="H384" t="s">
        <v>26</v>
      </c>
      <c r="I384">
        <v>-8</v>
      </c>
      <c r="J384" t="str">
        <f>HYPERLINK("https://www.eliteprospects.com/player/420027/lukas-klemm")</f>
        <v>https://www.eliteprospects.com/player/420027/lukas-klemm</v>
      </c>
      <c r="K384" t="s">
        <v>27</v>
      </c>
      <c r="L384" t="s">
        <v>28</v>
      </c>
      <c r="M384" t="s">
        <v>1296</v>
      </c>
      <c r="N384">
        <v>1</v>
      </c>
      <c r="O384" t="s">
        <v>71</v>
      </c>
      <c r="P384">
        <v>0.03</v>
      </c>
      <c r="Q384" t="s">
        <v>1488</v>
      </c>
      <c r="R384">
        <v>0</v>
      </c>
      <c r="S384">
        <v>0</v>
      </c>
      <c r="T384">
        <v>0</v>
      </c>
      <c r="U384">
        <v>0</v>
      </c>
      <c r="V384">
        <v>0</v>
      </c>
    </row>
    <row r="385" spans="1:22" x14ac:dyDescent="0.25">
      <c r="A385" t="s">
        <v>1674</v>
      </c>
      <c r="B385" t="s">
        <v>150</v>
      </c>
      <c r="C385">
        <v>16</v>
      </c>
      <c r="D385" t="s">
        <v>132</v>
      </c>
      <c r="E385" t="s">
        <v>79</v>
      </c>
      <c r="F385" t="s">
        <v>79</v>
      </c>
      <c r="G385">
        <v>0.13</v>
      </c>
      <c r="H385" t="s">
        <v>57</v>
      </c>
      <c r="I385">
        <v>1</v>
      </c>
      <c r="J385" t="str">
        <f>HYPERLINK("https://www.eliteprospects.com/player/704503/bryce-ingles")</f>
        <v>https://www.eliteprospects.com/player/704503/bryce-ingles</v>
      </c>
      <c r="K385" t="s">
        <v>27</v>
      </c>
      <c r="L385" t="s">
        <v>28</v>
      </c>
      <c r="M385" t="s">
        <v>1296</v>
      </c>
      <c r="N385">
        <v>1</v>
      </c>
      <c r="O385" t="s">
        <v>71</v>
      </c>
      <c r="P385">
        <v>0.03</v>
      </c>
      <c r="Q385" t="s">
        <v>1488</v>
      </c>
      <c r="R385">
        <v>0</v>
      </c>
      <c r="S385">
        <v>0</v>
      </c>
      <c r="T385">
        <v>0</v>
      </c>
      <c r="U385">
        <v>0</v>
      </c>
      <c r="V385">
        <v>0</v>
      </c>
    </row>
    <row r="386" spans="1:22" x14ac:dyDescent="0.25">
      <c r="A386" t="s">
        <v>1675</v>
      </c>
      <c r="B386" t="s">
        <v>288</v>
      </c>
      <c r="C386">
        <v>16</v>
      </c>
      <c r="D386" t="s">
        <v>132</v>
      </c>
      <c r="E386" t="s">
        <v>79</v>
      </c>
      <c r="F386" t="s">
        <v>79</v>
      </c>
      <c r="G386">
        <v>0.13</v>
      </c>
      <c r="H386" t="s">
        <v>57</v>
      </c>
      <c r="I386">
        <v>-4</v>
      </c>
      <c r="J386" t="str">
        <f>HYPERLINK("https://www.eliteprospects.com/player/563125/duncan-ramsay")</f>
        <v>https://www.eliteprospects.com/player/563125/duncan-ramsay</v>
      </c>
      <c r="K386" t="s">
        <v>27</v>
      </c>
      <c r="L386" t="s">
        <v>28</v>
      </c>
      <c r="M386" t="s">
        <v>1296</v>
      </c>
      <c r="N386">
        <v>3</v>
      </c>
      <c r="O386" t="s">
        <v>74</v>
      </c>
      <c r="P386">
        <v>0.03</v>
      </c>
      <c r="Q386" t="s">
        <v>1488</v>
      </c>
      <c r="R386">
        <v>0</v>
      </c>
      <c r="S386">
        <v>0</v>
      </c>
      <c r="T386">
        <v>0</v>
      </c>
      <c r="U386">
        <v>0</v>
      </c>
      <c r="V386">
        <v>0</v>
      </c>
    </row>
    <row r="387" spans="1:22" x14ac:dyDescent="0.25">
      <c r="A387" t="s">
        <v>1676</v>
      </c>
      <c r="B387" t="s">
        <v>85</v>
      </c>
      <c r="C387">
        <v>16</v>
      </c>
      <c r="D387" t="s">
        <v>132</v>
      </c>
      <c r="E387" t="s">
        <v>79</v>
      </c>
      <c r="F387" t="s">
        <v>79</v>
      </c>
      <c r="G387">
        <v>0.13</v>
      </c>
      <c r="H387" t="s">
        <v>60</v>
      </c>
      <c r="I387">
        <v>1</v>
      </c>
      <c r="J387" t="str">
        <f>HYPERLINK("https://www.eliteprospects.com/player/470021/david-ma")</f>
        <v>https://www.eliteprospects.com/player/470021/david-ma</v>
      </c>
      <c r="K387" t="s">
        <v>27</v>
      </c>
      <c r="L387" t="s">
        <v>28</v>
      </c>
      <c r="M387" t="s">
        <v>1296</v>
      </c>
      <c r="N387">
        <v>5</v>
      </c>
      <c r="O387" t="s">
        <v>67</v>
      </c>
      <c r="P387">
        <v>0.03</v>
      </c>
      <c r="Q387" t="s">
        <v>1488</v>
      </c>
      <c r="R387">
        <v>0</v>
      </c>
      <c r="S387">
        <v>0</v>
      </c>
      <c r="T387">
        <v>0</v>
      </c>
      <c r="U387">
        <v>0</v>
      </c>
      <c r="V387">
        <v>0</v>
      </c>
    </row>
    <row r="388" spans="1:22" x14ac:dyDescent="0.25">
      <c r="A388" t="s">
        <v>1677</v>
      </c>
      <c r="B388" t="s">
        <v>80</v>
      </c>
      <c r="C388">
        <v>17</v>
      </c>
      <c r="D388" t="s">
        <v>132</v>
      </c>
      <c r="E388" t="s">
        <v>79</v>
      </c>
      <c r="F388" t="s">
        <v>79</v>
      </c>
      <c r="G388">
        <v>0.12</v>
      </c>
      <c r="H388" t="s">
        <v>55</v>
      </c>
      <c r="I388">
        <v>-2</v>
      </c>
      <c r="J388" t="str">
        <f>HYPERLINK("https://www.eliteprospects.com/player/512291/carter-schade")</f>
        <v>https://www.eliteprospects.com/player/512291/carter-schade</v>
      </c>
      <c r="K388" t="s">
        <v>27</v>
      </c>
      <c r="L388" t="s">
        <v>28</v>
      </c>
      <c r="M388" t="s">
        <v>1296</v>
      </c>
      <c r="N388">
        <v>4</v>
      </c>
      <c r="O388" t="s">
        <v>30</v>
      </c>
      <c r="P388">
        <v>0.02</v>
      </c>
      <c r="Q388" t="s">
        <v>1488</v>
      </c>
      <c r="R388">
        <v>0</v>
      </c>
      <c r="S388">
        <v>0</v>
      </c>
      <c r="T388">
        <v>0</v>
      </c>
      <c r="U388">
        <v>0</v>
      </c>
      <c r="V388">
        <v>0</v>
      </c>
    </row>
    <row r="389" spans="1:22" x14ac:dyDescent="0.25">
      <c r="A389" t="s">
        <v>1678</v>
      </c>
      <c r="B389" t="s">
        <v>158</v>
      </c>
      <c r="C389">
        <v>18</v>
      </c>
      <c r="D389" t="s">
        <v>132</v>
      </c>
      <c r="E389" t="s">
        <v>79</v>
      </c>
      <c r="F389" t="s">
        <v>79</v>
      </c>
      <c r="G389">
        <v>0.11</v>
      </c>
      <c r="H389" t="s">
        <v>57</v>
      </c>
      <c r="I389">
        <v>-11</v>
      </c>
      <c r="J389" t="str">
        <f>HYPERLINK("https://www.eliteprospects.com/player/603673/jackson-anderson")</f>
        <v>https://www.eliteprospects.com/player/603673/jackson-anderson</v>
      </c>
      <c r="K389" t="s">
        <v>27</v>
      </c>
      <c r="L389" t="s">
        <v>28</v>
      </c>
      <c r="M389" t="s">
        <v>1296</v>
      </c>
      <c r="N389">
        <v>1</v>
      </c>
      <c r="O389" t="s">
        <v>71</v>
      </c>
      <c r="P389">
        <v>0.02</v>
      </c>
      <c r="Q389" t="s">
        <v>1488</v>
      </c>
      <c r="R389">
        <v>0</v>
      </c>
      <c r="S389">
        <v>0</v>
      </c>
      <c r="T389">
        <v>0</v>
      </c>
      <c r="U389">
        <v>0</v>
      </c>
      <c r="V389">
        <v>0</v>
      </c>
    </row>
    <row r="390" spans="1:22" x14ac:dyDescent="0.25">
      <c r="A390" t="s">
        <v>1679</v>
      </c>
      <c r="B390" t="s">
        <v>180</v>
      </c>
      <c r="C390">
        <v>20</v>
      </c>
      <c r="D390" t="s">
        <v>132</v>
      </c>
      <c r="E390" t="s">
        <v>79</v>
      </c>
      <c r="F390" t="s">
        <v>79</v>
      </c>
      <c r="G390">
        <v>0.1</v>
      </c>
      <c r="H390" t="s">
        <v>23</v>
      </c>
      <c r="I390">
        <v>-7</v>
      </c>
      <c r="J390" t="str">
        <f>HYPERLINK("https://www.eliteprospects.com/player/580444/jaedon-kerr")</f>
        <v>https://www.eliteprospects.com/player/580444/jaedon-kerr</v>
      </c>
      <c r="K390" t="s">
        <v>27</v>
      </c>
      <c r="L390" t="s">
        <v>28</v>
      </c>
      <c r="M390" t="s">
        <v>1296</v>
      </c>
      <c r="N390">
        <v>2</v>
      </c>
      <c r="O390" t="s">
        <v>43</v>
      </c>
      <c r="P390">
        <v>0.02</v>
      </c>
      <c r="Q390" t="s">
        <v>1488</v>
      </c>
      <c r="R390">
        <v>0</v>
      </c>
      <c r="S390">
        <v>0</v>
      </c>
      <c r="T390">
        <v>0</v>
      </c>
      <c r="U390">
        <v>0</v>
      </c>
      <c r="V390">
        <v>0</v>
      </c>
    </row>
    <row r="391" spans="1:22" x14ac:dyDescent="0.25">
      <c r="A391" t="s">
        <v>1680</v>
      </c>
      <c r="B391" t="s">
        <v>238</v>
      </c>
      <c r="C391">
        <v>20</v>
      </c>
      <c r="D391" t="s">
        <v>132</v>
      </c>
      <c r="E391" t="s">
        <v>79</v>
      </c>
      <c r="F391" t="s">
        <v>79</v>
      </c>
      <c r="G391">
        <v>0.1</v>
      </c>
      <c r="H391" t="s">
        <v>23</v>
      </c>
      <c r="I391">
        <v>-11</v>
      </c>
      <c r="J391" t="str">
        <f>HYPERLINK("https://www.eliteprospects.com/player/632606/gunnar-vandamme")</f>
        <v>https://www.eliteprospects.com/player/632606/gunnar-vandamme</v>
      </c>
      <c r="K391" t="s">
        <v>27</v>
      </c>
      <c r="L391" t="s">
        <v>28</v>
      </c>
      <c r="M391" t="s">
        <v>1296</v>
      </c>
      <c r="N391">
        <v>3</v>
      </c>
      <c r="O391" t="s">
        <v>74</v>
      </c>
      <c r="P391">
        <v>0.02</v>
      </c>
      <c r="Q391" t="s">
        <v>1488</v>
      </c>
      <c r="R391">
        <v>0</v>
      </c>
      <c r="S391">
        <v>0</v>
      </c>
      <c r="T391">
        <v>0</v>
      </c>
      <c r="U391">
        <v>0</v>
      </c>
      <c r="V391">
        <v>0</v>
      </c>
    </row>
    <row r="392" spans="1:22" x14ac:dyDescent="0.25">
      <c r="A392" t="s">
        <v>1681</v>
      </c>
      <c r="B392" t="s">
        <v>121</v>
      </c>
      <c r="C392">
        <v>20</v>
      </c>
      <c r="D392" t="s">
        <v>132</v>
      </c>
      <c r="E392" t="s">
        <v>79</v>
      </c>
      <c r="F392" t="s">
        <v>79</v>
      </c>
      <c r="G392">
        <v>0.1</v>
      </c>
      <c r="H392" t="s">
        <v>61</v>
      </c>
      <c r="I392">
        <v>4</v>
      </c>
      <c r="J392" t="str">
        <f>HYPERLINK("https://www.eliteprospects.com/player/526365/blake-dangos")</f>
        <v>https://www.eliteprospects.com/player/526365/blake-dangos</v>
      </c>
      <c r="K392" t="s">
        <v>27</v>
      </c>
      <c r="L392" t="s">
        <v>28</v>
      </c>
      <c r="M392" t="s">
        <v>1296</v>
      </c>
      <c r="N392">
        <v>4</v>
      </c>
      <c r="O392" t="s">
        <v>30</v>
      </c>
      <c r="P392">
        <v>0.02</v>
      </c>
      <c r="Q392" t="s">
        <v>1488</v>
      </c>
      <c r="R392">
        <v>0</v>
      </c>
      <c r="S392">
        <v>0</v>
      </c>
      <c r="T392">
        <v>0</v>
      </c>
      <c r="U392">
        <v>0</v>
      </c>
      <c r="V392">
        <v>0</v>
      </c>
    </row>
    <row r="393" spans="1:22" x14ac:dyDescent="0.25">
      <c r="A393" t="s">
        <v>1682</v>
      </c>
      <c r="B393" t="s">
        <v>109</v>
      </c>
      <c r="C393">
        <v>20</v>
      </c>
      <c r="D393" t="s">
        <v>132</v>
      </c>
      <c r="E393" t="s">
        <v>79</v>
      </c>
      <c r="F393" t="s">
        <v>79</v>
      </c>
      <c r="G393">
        <v>0.1</v>
      </c>
      <c r="H393" t="s">
        <v>46</v>
      </c>
      <c r="I393">
        <v>9</v>
      </c>
      <c r="J393" t="str">
        <f>HYPERLINK("https://www.eliteprospects.com/player/637628/andrew-strathmann")</f>
        <v>https://www.eliteprospects.com/player/637628/andrew-strathmann</v>
      </c>
      <c r="K393" t="s">
        <v>27</v>
      </c>
      <c r="L393" t="s">
        <v>28</v>
      </c>
      <c r="M393" t="s">
        <v>1296</v>
      </c>
      <c r="N393">
        <v>2</v>
      </c>
      <c r="O393" t="s">
        <v>43</v>
      </c>
      <c r="P393">
        <v>0.02</v>
      </c>
      <c r="Q393" t="s">
        <v>1488</v>
      </c>
      <c r="R393">
        <v>0</v>
      </c>
      <c r="S393">
        <v>0</v>
      </c>
      <c r="T393">
        <v>0</v>
      </c>
      <c r="U393">
        <v>0</v>
      </c>
      <c r="V393">
        <v>0</v>
      </c>
    </row>
    <row r="394" spans="1:22" x14ac:dyDescent="0.25">
      <c r="A394" t="s">
        <v>1683</v>
      </c>
      <c r="B394" t="s">
        <v>37</v>
      </c>
      <c r="C394">
        <v>21</v>
      </c>
      <c r="D394" t="s">
        <v>132</v>
      </c>
      <c r="E394" t="s">
        <v>79</v>
      </c>
      <c r="F394" t="s">
        <v>79</v>
      </c>
      <c r="G394">
        <v>0.1</v>
      </c>
      <c r="H394" t="s">
        <v>269</v>
      </c>
      <c r="I394">
        <v>7</v>
      </c>
      <c r="J394" t="str">
        <f>HYPERLINK("https://www.eliteprospects.com/player/717255/brady-cleveland")</f>
        <v>https://www.eliteprospects.com/player/717255/brady-cleveland</v>
      </c>
      <c r="K394" t="s">
        <v>27</v>
      </c>
      <c r="L394" t="s">
        <v>28</v>
      </c>
      <c r="M394" t="s">
        <v>1296</v>
      </c>
      <c r="N394">
        <v>3</v>
      </c>
      <c r="O394" t="s">
        <v>74</v>
      </c>
      <c r="P394">
        <v>0.02</v>
      </c>
      <c r="Q394" t="s">
        <v>1488</v>
      </c>
      <c r="R394">
        <v>0</v>
      </c>
      <c r="S394">
        <v>0</v>
      </c>
      <c r="T394">
        <v>0</v>
      </c>
      <c r="U394">
        <v>0</v>
      </c>
      <c r="V394">
        <v>0</v>
      </c>
    </row>
    <row r="395" spans="1:22" x14ac:dyDescent="0.25">
      <c r="A395" t="s">
        <v>1684</v>
      </c>
      <c r="B395" t="s">
        <v>124</v>
      </c>
      <c r="C395">
        <v>22</v>
      </c>
      <c r="D395" t="s">
        <v>132</v>
      </c>
      <c r="E395" t="s">
        <v>79</v>
      </c>
      <c r="F395" t="s">
        <v>79</v>
      </c>
      <c r="G395">
        <v>0.09</v>
      </c>
      <c r="H395" t="s">
        <v>66</v>
      </c>
      <c r="I395">
        <v>-3</v>
      </c>
      <c r="J395" t="str">
        <f>HYPERLINK("https://www.eliteprospects.com/player/702975/michael-phelan")</f>
        <v>https://www.eliteprospects.com/player/702975/michael-phelan</v>
      </c>
      <c r="K395" t="s">
        <v>27</v>
      </c>
      <c r="L395" t="s">
        <v>28</v>
      </c>
      <c r="M395" t="s">
        <v>1296</v>
      </c>
      <c r="N395">
        <v>1</v>
      </c>
      <c r="O395" t="s">
        <v>71</v>
      </c>
      <c r="P395">
        <v>0.02</v>
      </c>
      <c r="Q395" t="s">
        <v>1488</v>
      </c>
      <c r="R395">
        <v>0</v>
      </c>
      <c r="S395">
        <v>0</v>
      </c>
      <c r="T395">
        <v>0</v>
      </c>
      <c r="U395">
        <v>0</v>
      </c>
      <c r="V395">
        <v>0</v>
      </c>
    </row>
    <row r="396" spans="1:22" x14ac:dyDescent="0.25">
      <c r="A396" t="s">
        <v>1685</v>
      </c>
      <c r="B396" t="s">
        <v>148</v>
      </c>
      <c r="C396">
        <v>23</v>
      </c>
      <c r="D396" t="s">
        <v>132</v>
      </c>
      <c r="E396" t="s">
        <v>79</v>
      </c>
      <c r="F396" t="s">
        <v>79</v>
      </c>
      <c r="G396">
        <v>0.09</v>
      </c>
      <c r="H396" t="s">
        <v>26</v>
      </c>
      <c r="I396">
        <v>4</v>
      </c>
      <c r="J396" t="str">
        <f>HYPERLINK("https://www.eliteprospects.com/player/603581/maxwell-chakrabarti")</f>
        <v>https://www.eliteprospects.com/player/603581/maxwell-chakrabarti</v>
      </c>
      <c r="K396" t="s">
        <v>27</v>
      </c>
      <c r="L396" t="s">
        <v>28</v>
      </c>
      <c r="M396" t="s">
        <v>1296</v>
      </c>
      <c r="N396">
        <v>1</v>
      </c>
      <c r="O396" t="s">
        <v>71</v>
      </c>
      <c r="P396">
        <v>0.02</v>
      </c>
      <c r="Q396" t="s">
        <v>1488</v>
      </c>
      <c r="R396">
        <v>0</v>
      </c>
      <c r="S396">
        <v>0</v>
      </c>
      <c r="T396">
        <v>0</v>
      </c>
      <c r="U396">
        <v>0</v>
      </c>
      <c r="V396">
        <v>0</v>
      </c>
    </row>
    <row r="397" spans="1:22" x14ac:dyDescent="0.25">
      <c r="A397" t="s">
        <v>1686</v>
      </c>
      <c r="B397" t="s">
        <v>362</v>
      </c>
      <c r="C397">
        <v>11</v>
      </c>
      <c r="D397" t="s">
        <v>260</v>
      </c>
      <c r="E397" t="s">
        <v>132</v>
      </c>
      <c r="F397" t="s">
        <v>260</v>
      </c>
      <c r="G397">
        <v>0.09</v>
      </c>
      <c r="H397" t="s">
        <v>79</v>
      </c>
      <c r="I397">
        <v>0</v>
      </c>
      <c r="J397" t="str">
        <f>HYPERLINK("https://www.eliteprospects.com/player/415040/tyler-nasca")</f>
        <v>https://www.eliteprospects.com/player/415040/tyler-nasca</v>
      </c>
      <c r="K397" t="s">
        <v>27</v>
      </c>
      <c r="L397" t="s">
        <v>28</v>
      </c>
      <c r="M397" t="s">
        <v>1296</v>
      </c>
      <c r="N397">
        <v>4</v>
      </c>
      <c r="O397" t="s">
        <v>30</v>
      </c>
      <c r="P397">
        <v>0.02</v>
      </c>
      <c r="Q397" t="s">
        <v>1488</v>
      </c>
      <c r="R397">
        <v>0</v>
      </c>
      <c r="S397">
        <v>0</v>
      </c>
      <c r="T397">
        <v>0</v>
      </c>
      <c r="U397">
        <v>0</v>
      </c>
      <c r="V397">
        <v>0</v>
      </c>
    </row>
    <row r="398" spans="1:22" x14ac:dyDescent="0.25">
      <c r="A398" t="s">
        <v>1687</v>
      </c>
      <c r="B398" t="s">
        <v>73</v>
      </c>
      <c r="C398">
        <v>11</v>
      </c>
      <c r="D398" t="s">
        <v>260</v>
      </c>
      <c r="E398" t="s">
        <v>132</v>
      </c>
      <c r="F398" t="s">
        <v>260</v>
      </c>
      <c r="G398">
        <v>0.09</v>
      </c>
      <c r="H398" t="s">
        <v>57</v>
      </c>
      <c r="I398">
        <v>-1</v>
      </c>
      <c r="J398" t="str">
        <f>HYPERLINK("https://www.eliteprospects.com/player/693200/joe-belisle")</f>
        <v>https://www.eliteprospects.com/player/693200/joe-belisle</v>
      </c>
      <c r="K398" t="s">
        <v>27</v>
      </c>
      <c r="L398" t="s">
        <v>28</v>
      </c>
      <c r="M398" t="s">
        <v>1296</v>
      </c>
      <c r="N398">
        <v>1</v>
      </c>
      <c r="O398" t="s">
        <v>71</v>
      </c>
      <c r="P398">
        <v>0.02</v>
      </c>
      <c r="Q398" t="s">
        <v>1488</v>
      </c>
      <c r="R398">
        <v>0</v>
      </c>
      <c r="S398">
        <v>0</v>
      </c>
      <c r="T398">
        <v>0</v>
      </c>
      <c r="U398">
        <v>0</v>
      </c>
      <c r="V398">
        <v>0</v>
      </c>
    </row>
    <row r="399" spans="1:22" x14ac:dyDescent="0.25">
      <c r="A399" t="s">
        <v>1688</v>
      </c>
      <c r="B399" t="s">
        <v>50</v>
      </c>
      <c r="C399">
        <v>11</v>
      </c>
      <c r="D399" t="s">
        <v>260</v>
      </c>
      <c r="E399" t="s">
        <v>132</v>
      </c>
      <c r="F399" t="s">
        <v>260</v>
      </c>
      <c r="G399">
        <v>0.09</v>
      </c>
      <c r="H399" t="s">
        <v>55</v>
      </c>
      <c r="I399">
        <v>3</v>
      </c>
      <c r="J399" t="str">
        <f>HYPERLINK("https://www.eliteprospects.com/player/603136/matthew-mania")</f>
        <v>https://www.eliteprospects.com/player/603136/matthew-mania</v>
      </c>
      <c r="K399" t="s">
        <v>27</v>
      </c>
      <c r="L399" t="s">
        <v>28</v>
      </c>
      <c r="M399" t="s">
        <v>1296</v>
      </c>
      <c r="N399">
        <v>5</v>
      </c>
      <c r="O399" t="s">
        <v>147</v>
      </c>
      <c r="P399">
        <v>0.02</v>
      </c>
      <c r="Q399" t="s">
        <v>1488</v>
      </c>
      <c r="R399">
        <v>0</v>
      </c>
      <c r="S399">
        <v>0</v>
      </c>
      <c r="T399">
        <v>0</v>
      </c>
      <c r="U399">
        <v>0</v>
      </c>
      <c r="V399">
        <v>0</v>
      </c>
    </row>
    <row r="400" spans="1:22" x14ac:dyDescent="0.25">
      <c r="A400" t="s">
        <v>1689</v>
      </c>
      <c r="B400" t="s">
        <v>22</v>
      </c>
      <c r="C400">
        <v>13</v>
      </c>
      <c r="D400" t="s">
        <v>260</v>
      </c>
      <c r="E400" t="s">
        <v>132</v>
      </c>
      <c r="F400" t="s">
        <v>260</v>
      </c>
      <c r="G400">
        <v>0.08</v>
      </c>
      <c r="H400" t="s">
        <v>32</v>
      </c>
      <c r="I400">
        <v>-3</v>
      </c>
      <c r="J400" t="str">
        <f>HYPERLINK("https://www.eliteprospects.com/player/645494/tucker-ness")</f>
        <v>https://www.eliteprospects.com/player/645494/tucker-ness</v>
      </c>
      <c r="K400" t="s">
        <v>27</v>
      </c>
      <c r="L400" t="s">
        <v>28</v>
      </c>
      <c r="M400" t="s">
        <v>1296</v>
      </c>
      <c r="N400">
        <v>4</v>
      </c>
      <c r="O400" t="s">
        <v>30</v>
      </c>
      <c r="P400">
        <v>0.02</v>
      </c>
      <c r="Q400" t="s">
        <v>1488</v>
      </c>
      <c r="R400">
        <v>0</v>
      </c>
      <c r="S400">
        <v>0</v>
      </c>
      <c r="T400">
        <v>0</v>
      </c>
      <c r="U400">
        <v>0</v>
      </c>
      <c r="V400">
        <v>0</v>
      </c>
    </row>
    <row r="401" spans="1:22" x14ac:dyDescent="0.25">
      <c r="A401" t="s">
        <v>1690</v>
      </c>
      <c r="B401" t="s">
        <v>82</v>
      </c>
      <c r="C401">
        <v>14</v>
      </c>
      <c r="D401" t="s">
        <v>260</v>
      </c>
      <c r="E401" t="s">
        <v>132</v>
      </c>
      <c r="F401" t="s">
        <v>260</v>
      </c>
      <c r="G401">
        <v>7.0000000000000007E-2</v>
      </c>
      <c r="H401" t="s">
        <v>26</v>
      </c>
      <c r="I401">
        <v>4</v>
      </c>
      <c r="J401" t="str">
        <f>HYPERLINK("https://www.eliteprospects.com/player/572385/benjamin-vigneault")</f>
        <v>https://www.eliteprospects.com/player/572385/benjamin-vigneault</v>
      </c>
      <c r="K401" t="s">
        <v>27</v>
      </c>
      <c r="L401" t="s">
        <v>28</v>
      </c>
      <c r="M401" t="s">
        <v>1296</v>
      </c>
      <c r="N401">
        <v>5</v>
      </c>
      <c r="O401" t="s">
        <v>207</v>
      </c>
      <c r="P401">
        <v>0.01</v>
      </c>
      <c r="Q401" t="s">
        <v>1488</v>
      </c>
      <c r="R401">
        <v>0</v>
      </c>
      <c r="S401">
        <v>0</v>
      </c>
      <c r="T401">
        <v>0</v>
      </c>
      <c r="U401">
        <v>0</v>
      </c>
      <c r="V401">
        <v>0</v>
      </c>
    </row>
    <row r="402" spans="1:22" x14ac:dyDescent="0.25">
      <c r="A402" t="s">
        <v>1691</v>
      </c>
      <c r="B402" t="s">
        <v>90</v>
      </c>
      <c r="C402">
        <v>14</v>
      </c>
      <c r="D402" t="s">
        <v>260</v>
      </c>
      <c r="E402" t="s">
        <v>132</v>
      </c>
      <c r="F402" t="s">
        <v>260</v>
      </c>
      <c r="G402">
        <v>7.0000000000000007E-2</v>
      </c>
      <c r="H402" t="s">
        <v>60</v>
      </c>
      <c r="I402">
        <v>3</v>
      </c>
      <c r="J402" t="str">
        <f>HYPERLINK("https://www.eliteprospects.com/player/511963/liam-lesakowski")</f>
        <v>https://www.eliteprospects.com/player/511963/liam-lesakowski</v>
      </c>
      <c r="K402" t="s">
        <v>27</v>
      </c>
      <c r="L402" t="s">
        <v>28</v>
      </c>
      <c r="M402" t="s">
        <v>1296</v>
      </c>
      <c r="N402">
        <v>3</v>
      </c>
      <c r="O402" t="s">
        <v>74</v>
      </c>
      <c r="P402">
        <v>0.01</v>
      </c>
      <c r="Q402" t="s">
        <v>1488</v>
      </c>
      <c r="R402">
        <v>0</v>
      </c>
      <c r="S402">
        <v>0</v>
      </c>
      <c r="T402">
        <v>0</v>
      </c>
      <c r="U402">
        <v>0</v>
      </c>
      <c r="V402">
        <v>0</v>
      </c>
    </row>
    <row r="403" spans="1:22" x14ac:dyDescent="0.25">
      <c r="A403" t="s">
        <v>1692</v>
      </c>
      <c r="B403" t="s">
        <v>128</v>
      </c>
      <c r="C403">
        <v>15</v>
      </c>
      <c r="D403" t="s">
        <v>260</v>
      </c>
      <c r="E403" t="s">
        <v>132</v>
      </c>
      <c r="F403" t="s">
        <v>260</v>
      </c>
      <c r="G403">
        <v>7.0000000000000007E-2</v>
      </c>
      <c r="H403" t="s">
        <v>132</v>
      </c>
      <c r="I403">
        <v>-3</v>
      </c>
      <c r="J403" t="str">
        <f>HYPERLINK("https://www.eliteprospects.com/player/557689/rihards-simanovics")</f>
        <v>https://www.eliteprospects.com/player/557689/rihards-simanovics</v>
      </c>
      <c r="K403" t="s">
        <v>27</v>
      </c>
      <c r="L403" t="s">
        <v>28</v>
      </c>
      <c r="M403" t="s">
        <v>1296</v>
      </c>
      <c r="N403">
        <v>3</v>
      </c>
      <c r="O403" t="s">
        <v>74</v>
      </c>
      <c r="P403">
        <v>0.01</v>
      </c>
      <c r="Q403" t="s">
        <v>1488</v>
      </c>
      <c r="R403">
        <v>0</v>
      </c>
      <c r="S403">
        <v>0</v>
      </c>
      <c r="T403">
        <v>0</v>
      </c>
      <c r="U403">
        <v>0</v>
      </c>
      <c r="V403">
        <v>0</v>
      </c>
    </row>
    <row r="404" spans="1:22" x14ac:dyDescent="0.25">
      <c r="A404" t="s">
        <v>1693</v>
      </c>
      <c r="B404" t="s">
        <v>234</v>
      </c>
      <c r="C404">
        <v>15</v>
      </c>
      <c r="D404" t="s">
        <v>260</v>
      </c>
      <c r="E404" t="s">
        <v>132</v>
      </c>
      <c r="F404" t="s">
        <v>260</v>
      </c>
      <c r="G404">
        <v>7.0000000000000007E-2</v>
      </c>
      <c r="H404" t="s">
        <v>66</v>
      </c>
      <c r="I404">
        <v>-3</v>
      </c>
      <c r="J404" t="str">
        <f>HYPERLINK("https://www.eliteprospects.com/player/586599/ashton-bynum")</f>
        <v>https://www.eliteprospects.com/player/586599/ashton-bynum</v>
      </c>
      <c r="K404" t="s">
        <v>27</v>
      </c>
      <c r="L404" t="s">
        <v>28</v>
      </c>
      <c r="M404" t="s">
        <v>1296</v>
      </c>
      <c r="N404">
        <v>1</v>
      </c>
      <c r="O404" t="s">
        <v>71</v>
      </c>
      <c r="P404">
        <v>0.01</v>
      </c>
      <c r="Q404" t="s">
        <v>1488</v>
      </c>
      <c r="R404">
        <v>0</v>
      </c>
      <c r="S404">
        <v>0</v>
      </c>
      <c r="T404">
        <v>0</v>
      </c>
      <c r="U404">
        <v>0</v>
      </c>
      <c r="V404">
        <v>0</v>
      </c>
    </row>
    <row r="405" spans="1:22" x14ac:dyDescent="0.25">
      <c r="A405" t="s">
        <v>1694</v>
      </c>
      <c r="B405" t="s">
        <v>119</v>
      </c>
      <c r="C405">
        <v>16</v>
      </c>
      <c r="D405" t="s">
        <v>260</v>
      </c>
      <c r="E405" t="s">
        <v>132</v>
      </c>
      <c r="F405" t="s">
        <v>260</v>
      </c>
      <c r="G405">
        <v>0.06</v>
      </c>
      <c r="H405" t="s">
        <v>132</v>
      </c>
      <c r="I405">
        <v>-1</v>
      </c>
      <c r="J405" t="str">
        <f>HYPERLINK("https://www.eliteprospects.com/player/623740/axel-begley")</f>
        <v>https://www.eliteprospects.com/player/623740/axel-begley</v>
      </c>
      <c r="K405" t="s">
        <v>27</v>
      </c>
      <c r="L405" t="s">
        <v>28</v>
      </c>
      <c r="M405" t="s">
        <v>1296</v>
      </c>
      <c r="N405">
        <v>3</v>
      </c>
      <c r="O405" t="s">
        <v>74</v>
      </c>
      <c r="P405">
        <v>0.01</v>
      </c>
      <c r="Q405" t="s">
        <v>1488</v>
      </c>
      <c r="R405">
        <v>0</v>
      </c>
      <c r="S405">
        <v>0</v>
      </c>
      <c r="T405">
        <v>0</v>
      </c>
      <c r="U405">
        <v>0</v>
      </c>
      <c r="V405">
        <v>0</v>
      </c>
    </row>
    <row r="406" spans="1:22" x14ac:dyDescent="0.25">
      <c r="A406" t="s">
        <v>1695</v>
      </c>
      <c r="B406" t="s">
        <v>205</v>
      </c>
      <c r="C406">
        <v>16</v>
      </c>
      <c r="D406" t="s">
        <v>260</v>
      </c>
      <c r="E406" t="s">
        <v>132</v>
      </c>
      <c r="F406" t="s">
        <v>260</v>
      </c>
      <c r="G406">
        <v>0.06</v>
      </c>
      <c r="H406" t="s">
        <v>57</v>
      </c>
      <c r="I406">
        <v>11</v>
      </c>
      <c r="J406" t="str">
        <f>HYPERLINK("https://www.eliteprospects.com/player/511931/ryan-williams")</f>
        <v>https://www.eliteprospects.com/player/511931/ryan-williams</v>
      </c>
      <c r="K406" t="s">
        <v>27</v>
      </c>
      <c r="L406" t="s">
        <v>28</v>
      </c>
      <c r="M406" t="s">
        <v>1296</v>
      </c>
      <c r="N406">
        <v>2</v>
      </c>
      <c r="O406" t="s">
        <v>43</v>
      </c>
      <c r="P406">
        <v>0.01</v>
      </c>
      <c r="Q406" t="s">
        <v>1488</v>
      </c>
      <c r="R406">
        <v>0</v>
      </c>
      <c r="S406">
        <v>0</v>
      </c>
      <c r="T406">
        <v>0</v>
      </c>
      <c r="U406">
        <v>0</v>
      </c>
      <c r="V406">
        <v>0</v>
      </c>
    </row>
    <row r="407" spans="1:22" x14ac:dyDescent="0.25">
      <c r="A407" t="s">
        <v>1696</v>
      </c>
      <c r="B407" t="s">
        <v>120</v>
      </c>
      <c r="C407">
        <v>18</v>
      </c>
      <c r="D407" t="s">
        <v>260</v>
      </c>
      <c r="E407" t="s">
        <v>132</v>
      </c>
      <c r="F407" t="s">
        <v>260</v>
      </c>
      <c r="G407">
        <v>0.06</v>
      </c>
      <c r="H407" t="s">
        <v>39</v>
      </c>
      <c r="I407">
        <v>0</v>
      </c>
      <c r="J407" t="str">
        <f>HYPERLINK("https://www.eliteprospects.com/player/597634/will-skahan")</f>
        <v>https://www.eliteprospects.com/player/597634/will-skahan</v>
      </c>
      <c r="K407" t="s">
        <v>27</v>
      </c>
      <c r="L407" t="s">
        <v>28</v>
      </c>
      <c r="M407" t="s">
        <v>1296</v>
      </c>
      <c r="N407">
        <v>2</v>
      </c>
      <c r="O407" t="s">
        <v>43</v>
      </c>
      <c r="P407">
        <v>0.01</v>
      </c>
      <c r="Q407" t="s">
        <v>1488</v>
      </c>
      <c r="R407">
        <v>0</v>
      </c>
      <c r="S407">
        <v>0</v>
      </c>
      <c r="T407">
        <v>0</v>
      </c>
      <c r="U407">
        <v>0</v>
      </c>
      <c r="V407">
        <v>0</v>
      </c>
    </row>
    <row r="408" spans="1:22" x14ac:dyDescent="0.25">
      <c r="A408" t="s">
        <v>1697</v>
      </c>
      <c r="B408" t="s">
        <v>113</v>
      </c>
      <c r="C408">
        <v>18</v>
      </c>
      <c r="D408" t="s">
        <v>260</v>
      </c>
      <c r="E408" t="s">
        <v>132</v>
      </c>
      <c r="F408" t="s">
        <v>260</v>
      </c>
      <c r="G408">
        <v>0.06</v>
      </c>
      <c r="H408" t="s">
        <v>33</v>
      </c>
      <c r="I408">
        <v>0</v>
      </c>
      <c r="J408" t="str">
        <f>HYPERLINK("https://www.eliteprospects.com/player/623001/bryce-strand")</f>
        <v>https://www.eliteprospects.com/player/623001/bryce-strand</v>
      </c>
      <c r="K408" t="s">
        <v>27</v>
      </c>
      <c r="L408" t="s">
        <v>28</v>
      </c>
      <c r="M408" t="s">
        <v>1296</v>
      </c>
      <c r="N408">
        <v>1</v>
      </c>
      <c r="O408" t="s">
        <v>71</v>
      </c>
      <c r="P408">
        <v>0.01</v>
      </c>
      <c r="Q408" t="s">
        <v>1488</v>
      </c>
      <c r="R408">
        <v>0</v>
      </c>
      <c r="S408">
        <v>0</v>
      </c>
      <c r="T408">
        <v>0</v>
      </c>
      <c r="U408">
        <v>0</v>
      </c>
      <c r="V408">
        <v>0</v>
      </c>
    </row>
    <row r="409" spans="1:22" x14ac:dyDescent="0.25">
      <c r="A409" t="s">
        <v>1698</v>
      </c>
      <c r="B409" t="s">
        <v>116</v>
      </c>
      <c r="C409">
        <v>19</v>
      </c>
      <c r="D409" t="s">
        <v>260</v>
      </c>
      <c r="E409" t="s">
        <v>132</v>
      </c>
      <c r="F409" t="s">
        <v>260</v>
      </c>
      <c r="G409">
        <v>0.05</v>
      </c>
      <c r="H409" t="s">
        <v>280</v>
      </c>
      <c r="I409">
        <v>-9</v>
      </c>
      <c r="J409" t="str">
        <f>HYPERLINK("https://www.eliteprospects.com/player/472609/isack-bandu")</f>
        <v>https://www.eliteprospects.com/player/472609/isack-bandu</v>
      </c>
      <c r="K409" t="s">
        <v>27</v>
      </c>
      <c r="L409" t="s">
        <v>28</v>
      </c>
      <c r="M409" t="s">
        <v>1296</v>
      </c>
      <c r="N409">
        <v>4</v>
      </c>
      <c r="O409" t="s">
        <v>30</v>
      </c>
      <c r="P409">
        <v>0.01</v>
      </c>
      <c r="Q409" t="s">
        <v>1488</v>
      </c>
      <c r="R409">
        <v>0</v>
      </c>
      <c r="S409">
        <v>0</v>
      </c>
      <c r="T409">
        <v>0</v>
      </c>
      <c r="U409">
        <v>0</v>
      </c>
      <c r="V409">
        <v>0</v>
      </c>
    </row>
    <row r="410" spans="1:22" x14ac:dyDescent="0.25">
      <c r="A410" t="s">
        <v>1699</v>
      </c>
      <c r="B410" t="s">
        <v>145</v>
      </c>
      <c r="C410">
        <v>23</v>
      </c>
      <c r="D410" t="s">
        <v>260</v>
      </c>
      <c r="E410" t="s">
        <v>132</v>
      </c>
      <c r="F410" t="s">
        <v>260</v>
      </c>
      <c r="G410">
        <v>0.04</v>
      </c>
      <c r="H410" t="s">
        <v>57</v>
      </c>
      <c r="I410">
        <v>3</v>
      </c>
      <c r="J410" t="str">
        <f>HYPERLINK("https://www.eliteprospects.com/player/506280/kent-anderson")</f>
        <v>https://www.eliteprospects.com/player/506280/kent-anderson</v>
      </c>
      <c r="K410" t="s">
        <v>27</v>
      </c>
      <c r="L410" t="s">
        <v>28</v>
      </c>
      <c r="M410" t="s">
        <v>1296</v>
      </c>
      <c r="N410">
        <v>4</v>
      </c>
      <c r="O410" t="s">
        <v>30</v>
      </c>
      <c r="P410">
        <v>0.01</v>
      </c>
      <c r="Q410" t="s">
        <v>1488</v>
      </c>
      <c r="R410">
        <v>0</v>
      </c>
      <c r="S410">
        <v>0</v>
      </c>
      <c r="T410">
        <v>0</v>
      </c>
      <c r="U410">
        <v>0</v>
      </c>
      <c r="V410">
        <v>0</v>
      </c>
    </row>
    <row r="411" spans="1:22" x14ac:dyDescent="0.25">
      <c r="A411" t="s">
        <v>1700</v>
      </c>
      <c r="B411" t="s">
        <v>121</v>
      </c>
      <c r="C411">
        <v>10</v>
      </c>
      <c r="D411" t="s">
        <v>132</v>
      </c>
      <c r="E411" t="s">
        <v>260</v>
      </c>
      <c r="F411" t="s">
        <v>260</v>
      </c>
      <c r="G411">
        <v>0.1</v>
      </c>
      <c r="H411" t="s">
        <v>132</v>
      </c>
      <c r="I411">
        <v>-2</v>
      </c>
      <c r="J411" t="str">
        <f>HYPERLINK("https://www.eliteprospects.com/player/714074/jack-darby")</f>
        <v>https://www.eliteprospects.com/player/714074/jack-darby</v>
      </c>
      <c r="K411" t="s">
        <v>27</v>
      </c>
      <c r="L411" t="s">
        <v>28</v>
      </c>
      <c r="M411" t="s">
        <v>1296</v>
      </c>
      <c r="N411">
        <v>1</v>
      </c>
      <c r="O411" t="s">
        <v>71</v>
      </c>
      <c r="P411">
        <v>0.02</v>
      </c>
      <c r="Q411" t="s">
        <v>1488</v>
      </c>
      <c r="R411">
        <v>0</v>
      </c>
      <c r="S411">
        <v>0</v>
      </c>
      <c r="T411">
        <v>0</v>
      </c>
      <c r="U411">
        <v>0</v>
      </c>
      <c r="V411">
        <v>0</v>
      </c>
    </row>
    <row r="412" spans="1:22" x14ac:dyDescent="0.25">
      <c r="A412" t="s">
        <v>1701</v>
      </c>
      <c r="B412" t="s">
        <v>131</v>
      </c>
      <c r="C412">
        <v>11</v>
      </c>
      <c r="D412" t="s">
        <v>132</v>
      </c>
      <c r="E412" t="s">
        <v>260</v>
      </c>
      <c r="F412" t="s">
        <v>260</v>
      </c>
      <c r="G412">
        <v>0.09</v>
      </c>
      <c r="H412" t="s">
        <v>132</v>
      </c>
      <c r="I412">
        <v>2</v>
      </c>
      <c r="J412" t="str">
        <f>HYPERLINK("https://www.eliteprospects.com/player/549062/liam-chapman")</f>
        <v>https://www.eliteprospects.com/player/549062/liam-chapman</v>
      </c>
      <c r="K412" t="s">
        <v>27</v>
      </c>
      <c r="L412" t="s">
        <v>28</v>
      </c>
      <c r="M412" t="s">
        <v>1296</v>
      </c>
      <c r="N412">
        <v>1</v>
      </c>
      <c r="O412" t="s">
        <v>71</v>
      </c>
      <c r="P412">
        <v>0.02</v>
      </c>
      <c r="Q412" t="s">
        <v>1488</v>
      </c>
      <c r="R412">
        <v>0</v>
      </c>
      <c r="S412">
        <v>0</v>
      </c>
      <c r="T412">
        <v>0</v>
      </c>
      <c r="U412">
        <v>0</v>
      </c>
      <c r="V412">
        <v>0</v>
      </c>
    </row>
    <row r="413" spans="1:22" x14ac:dyDescent="0.25">
      <c r="A413" t="s">
        <v>1702</v>
      </c>
      <c r="B413" t="s">
        <v>177</v>
      </c>
      <c r="C413">
        <v>11</v>
      </c>
      <c r="D413" t="s">
        <v>132</v>
      </c>
      <c r="E413" t="s">
        <v>260</v>
      </c>
      <c r="F413" t="s">
        <v>260</v>
      </c>
      <c r="G413">
        <v>0.09</v>
      </c>
      <c r="H413" t="s">
        <v>132</v>
      </c>
      <c r="I413">
        <v>-2</v>
      </c>
      <c r="J413" t="str">
        <f>HYPERLINK("https://www.eliteprospects.com/player/426165/ray-murakami")</f>
        <v>https://www.eliteprospects.com/player/426165/ray-murakami</v>
      </c>
      <c r="K413" t="s">
        <v>27</v>
      </c>
      <c r="L413" t="s">
        <v>28</v>
      </c>
      <c r="M413" t="s">
        <v>1296</v>
      </c>
      <c r="N413">
        <v>2</v>
      </c>
      <c r="O413" t="s">
        <v>43</v>
      </c>
      <c r="P413">
        <v>0.02</v>
      </c>
      <c r="Q413" t="s">
        <v>1488</v>
      </c>
      <c r="R413">
        <v>0</v>
      </c>
      <c r="S413">
        <v>0</v>
      </c>
      <c r="T413">
        <v>0</v>
      </c>
      <c r="U413">
        <v>0</v>
      </c>
      <c r="V413">
        <v>0</v>
      </c>
    </row>
    <row r="414" spans="1:22" x14ac:dyDescent="0.25">
      <c r="A414" t="s">
        <v>1703</v>
      </c>
      <c r="B414" t="s">
        <v>134</v>
      </c>
      <c r="C414">
        <v>11</v>
      </c>
      <c r="D414" t="s">
        <v>132</v>
      </c>
      <c r="E414" t="s">
        <v>260</v>
      </c>
      <c r="F414" t="s">
        <v>260</v>
      </c>
      <c r="G414">
        <v>0.09</v>
      </c>
      <c r="H414" t="s">
        <v>79</v>
      </c>
      <c r="I414">
        <v>0</v>
      </c>
      <c r="J414" t="str">
        <f>HYPERLINK("https://www.eliteprospects.com/player/582767/joseph-messina")</f>
        <v>https://www.eliteprospects.com/player/582767/joseph-messina</v>
      </c>
      <c r="K414" t="s">
        <v>27</v>
      </c>
      <c r="L414" t="s">
        <v>28</v>
      </c>
      <c r="M414" t="s">
        <v>1296</v>
      </c>
      <c r="N414">
        <v>3</v>
      </c>
      <c r="O414" t="s">
        <v>74</v>
      </c>
      <c r="P414">
        <v>0.02</v>
      </c>
      <c r="Q414" t="s">
        <v>1488</v>
      </c>
      <c r="R414">
        <v>0</v>
      </c>
      <c r="S414">
        <v>0</v>
      </c>
      <c r="T414">
        <v>0</v>
      </c>
      <c r="U414">
        <v>0</v>
      </c>
      <c r="V414">
        <v>0</v>
      </c>
    </row>
    <row r="415" spans="1:22" x14ac:dyDescent="0.25">
      <c r="A415" t="s">
        <v>1704</v>
      </c>
      <c r="B415" t="s">
        <v>59</v>
      </c>
      <c r="C415">
        <v>11</v>
      </c>
      <c r="D415" t="s">
        <v>132</v>
      </c>
      <c r="E415" t="s">
        <v>260</v>
      </c>
      <c r="F415" t="s">
        <v>260</v>
      </c>
      <c r="G415">
        <v>0.09</v>
      </c>
      <c r="H415" t="s">
        <v>60</v>
      </c>
      <c r="I415">
        <v>-3</v>
      </c>
      <c r="J415" t="str">
        <f>HYPERLINK("https://www.eliteprospects.com/player/422417/bodie-nobes")</f>
        <v>https://www.eliteprospects.com/player/422417/bodie-nobes</v>
      </c>
      <c r="K415" t="s">
        <v>27</v>
      </c>
      <c r="L415" t="s">
        <v>28</v>
      </c>
      <c r="M415" t="s">
        <v>1296</v>
      </c>
      <c r="N415">
        <v>3</v>
      </c>
      <c r="O415" t="s">
        <v>74</v>
      </c>
      <c r="P415">
        <v>0.02</v>
      </c>
      <c r="Q415" t="s">
        <v>1488</v>
      </c>
      <c r="R415">
        <v>0</v>
      </c>
      <c r="S415">
        <v>0</v>
      </c>
      <c r="T415">
        <v>0</v>
      </c>
      <c r="U415">
        <v>0</v>
      </c>
      <c r="V415">
        <v>0</v>
      </c>
    </row>
    <row r="416" spans="1:22" x14ac:dyDescent="0.25">
      <c r="A416" t="s">
        <v>1705</v>
      </c>
      <c r="B416" t="s">
        <v>224</v>
      </c>
      <c r="C416">
        <v>12</v>
      </c>
      <c r="D416" t="s">
        <v>132</v>
      </c>
      <c r="E416" t="s">
        <v>260</v>
      </c>
      <c r="F416" t="s">
        <v>260</v>
      </c>
      <c r="G416">
        <v>0.08</v>
      </c>
      <c r="H416" t="s">
        <v>57</v>
      </c>
      <c r="I416">
        <v>-6</v>
      </c>
      <c r="J416" t="str">
        <f>HYPERLINK("https://www.eliteprospects.com/player/478357/luke-van-why")</f>
        <v>https://www.eliteprospects.com/player/478357/luke-van-why</v>
      </c>
      <c r="K416" t="s">
        <v>27</v>
      </c>
      <c r="L416" t="s">
        <v>28</v>
      </c>
      <c r="M416" t="s">
        <v>1296</v>
      </c>
      <c r="N416">
        <v>3</v>
      </c>
      <c r="O416" t="s">
        <v>74</v>
      </c>
      <c r="P416">
        <v>0.02</v>
      </c>
      <c r="Q416" t="s">
        <v>1488</v>
      </c>
      <c r="R416">
        <v>0</v>
      </c>
      <c r="S416">
        <v>0</v>
      </c>
      <c r="T416">
        <v>0</v>
      </c>
      <c r="U416">
        <v>0</v>
      </c>
      <c r="V416">
        <v>0</v>
      </c>
    </row>
    <row r="417" spans="1:22" x14ac:dyDescent="0.25">
      <c r="A417" t="s">
        <v>1706</v>
      </c>
      <c r="B417" t="s">
        <v>64</v>
      </c>
      <c r="C417">
        <v>13</v>
      </c>
      <c r="D417" t="s">
        <v>132</v>
      </c>
      <c r="E417" t="s">
        <v>260</v>
      </c>
      <c r="F417" t="s">
        <v>260</v>
      </c>
      <c r="G417">
        <v>0.08</v>
      </c>
      <c r="H417" t="s">
        <v>66</v>
      </c>
      <c r="I417">
        <v>0</v>
      </c>
      <c r="J417" t="str">
        <f>HYPERLINK("https://www.eliteprospects.com/player/636405/colton-jamieson")</f>
        <v>https://www.eliteprospects.com/player/636405/colton-jamieson</v>
      </c>
      <c r="K417" t="s">
        <v>27</v>
      </c>
      <c r="L417" t="s">
        <v>28</v>
      </c>
      <c r="M417" t="s">
        <v>1296</v>
      </c>
      <c r="N417">
        <v>1</v>
      </c>
      <c r="O417" t="s">
        <v>71</v>
      </c>
      <c r="P417">
        <v>0.02</v>
      </c>
      <c r="Q417" t="s">
        <v>1488</v>
      </c>
      <c r="R417">
        <v>0</v>
      </c>
      <c r="S417">
        <v>0</v>
      </c>
      <c r="T417">
        <v>0</v>
      </c>
      <c r="U417">
        <v>0</v>
      </c>
      <c r="V417">
        <v>0</v>
      </c>
    </row>
    <row r="418" spans="1:22" x14ac:dyDescent="0.25">
      <c r="A418" t="s">
        <v>1707</v>
      </c>
      <c r="B418" t="s">
        <v>202</v>
      </c>
      <c r="C418">
        <v>13</v>
      </c>
      <c r="D418" t="s">
        <v>132</v>
      </c>
      <c r="E418" t="s">
        <v>260</v>
      </c>
      <c r="F418" t="s">
        <v>260</v>
      </c>
      <c r="G418">
        <v>0.08</v>
      </c>
      <c r="H418" t="s">
        <v>57</v>
      </c>
      <c r="I418">
        <v>-4</v>
      </c>
      <c r="J418" t="str">
        <f>HYPERLINK("https://www.eliteprospects.com/player/664611/joe-gramer")</f>
        <v>https://www.eliteprospects.com/player/664611/joe-gramer</v>
      </c>
      <c r="K418" t="s">
        <v>27</v>
      </c>
      <c r="L418" t="s">
        <v>28</v>
      </c>
      <c r="M418" t="s">
        <v>1296</v>
      </c>
      <c r="N418">
        <v>3</v>
      </c>
      <c r="O418" t="s">
        <v>1708</v>
      </c>
      <c r="P418">
        <v>0.02</v>
      </c>
      <c r="Q418" t="s">
        <v>1488</v>
      </c>
      <c r="R418">
        <v>0</v>
      </c>
      <c r="S418">
        <v>0</v>
      </c>
      <c r="T418">
        <v>0</v>
      </c>
      <c r="U418">
        <v>0</v>
      </c>
      <c r="V418">
        <v>0</v>
      </c>
    </row>
    <row r="419" spans="1:22" x14ac:dyDescent="0.25">
      <c r="A419" t="s">
        <v>1709</v>
      </c>
      <c r="B419" t="s">
        <v>82</v>
      </c>
      <c r="C419">
        <v>14</v>
      </c>
      <c r="D419" t="s">
        <v>132</v>
      </c>
      <c r="E419" t="s">
        <v>260</v>
      </c>
      <c r="F419" t="s">
        <v>260</v>
      </c>
      <c r="G419">
        <v>7.0000000000000007E-2</v>
      </c>
      <c r="H419" t="s">
        <v>66</v>
      </c>
      <c r="I419">
        <v>-1</v>
      </c>
      <c r="J419" t="str">
        <f>HYPERLINK("https://www.eliteprospects.com/player/529249/isa-parekh")</f>
        <v>https://www.eliteprospects.com/player/529249/isa-parekh</v>
      </c>
      <c r="K419" t="s">
        <v>27</v>
      </c>
      <c r="L419" t="s">
        <v>28</v>
      </c>
      <c r="M419" t="s">
        <v>1296</v>
      </c>
      <c r="N419">
        <v>2</v>
      </c>
      <c r="O419" t="s">
        <v>43</v>
      </c>
      <c r="P419">
        <v>0.01</v>
      </c>
      <c r="Q419" t="s">
        <v>1488</v>
      </c>
      <c r="R419">
        <v>0</v>
      </c>
      <c r="S419">
        <v>0</v>
      </c>
      <c r="T419">
        <v>0</v>
      </c>
      <c r="U419">
        <v>0</v>
      </c>
      <c r="V419">
        <v>0</v>
      </c>
    </row>
    <row r="420" spans="1:22" x14ac:dyDescent="0.25">
      <c r="A420" t="s">
        <v>1710</v>
      </c>
      <c r="B420" t="s">
        <v>238</v>
      </c>
      <c r="C420">
        <v>15</v>
      </c>
      <c r="D420" t="s">
        <v>132</v>
      </c>
      <c r="E420" t="s">
        <v>260</v>
      </c>
      <c r="F420" t="s">
        <v>260</v>
      </c>
      <c r="G420">
        <v>7.0000000000000007E-2</v>
      </c>
      <c r="H420" t="s">
        <v>79</v>
      </c>
      <c r="I420">
        <v>-5</v>
      </c>
      <c r="J420" t="str">
        <f>HYPERLINK("https://www.eliteprospects.com/player/598317/lucas-lemieux")</f>
        <v>https://www.eliteprospects.com/player/598317/lucas-lemieux</v>
      </c>
      <c r="K420" t="s">
        <v>27</v>
      </c>
      <c r="L420" t="s">
        <v>28</v>
      </c>
      <c r="M420" t="s">
        <v>1296</v>
      </c>
      <c r="N420">
        <v>1</v>
      </c>
      <c r="O420" t="s">
        <v>71</v>
      </c>
      <c r="P420">
        <v>0.01</v>
      </c>
      <c r="Q420" t="s">
        <v>1488</v>
      </c>
      <c r="R420">
        <v>0</v>
      </c>
      <c r="S420">
        <v>0</v>
      </c>
      <c r="T420">
        <v>0</v>
      </c>
      <c r="U420">
        <v>0</v>
      </c>
      <c r="V420">
        <v>0</v>
      </c>
    </row>
    <row r="421" spans="1:22" x14ac:dyDescent="0.25">
      <c r="A421" t="s">
        <v>1711</v>
      </c>
      <c r="B421" t="s">
        <v>114</v>
      </c>
      <c r="C421">
        <v>15</v>
      </c>
      <c r="D421" t="s">
        <v>132</v>
      </c>
      <c r="E421" t="s">
        <v>260</v>
      </c>
      <c r="F421" t="s">
        <v>260</v>
      </c>
      <c r="G421">
        <v>7.0000000000000007E-2</v>
      </c>
      <c r="H421" t="s">
        <v>66</v>
      </c>
      <c r="I421">
        <v>-5</v>
      </c>
      <c r="J421" t="str">
        <f>HYPERLINK("https://www.eliteprospects.com/player/623773/brady-yakesh")</f>
        <v>https://www.eliteprospects.com/player/623773/brady-yakesh</v>
      </c>
      <c r="K421" t="s">
        <v>27</v>
      </c>
      <c r="L421" t="s">
        <v>28</v>
      </c>
      <c r="M421" t="s">
        <v>1296</v>
      </c>
      <c r="N421">
        <v>2</v>
      </c>
      <c r="O421" t="s">
        <v>43</v>
      </c>
      <c r="P421">
        <v>0.01</v>
      </c>
      <c r="Q421" t="s">
        <v>1488</v>
      </c>
      <c r="R421">
        <v>0</v>
      </c>
      <c r="S421">
        <v>0</v>
      </c>
      <c r="T421">
        <v>0</v>
      </c>
      <c r="U421">
        <v>0</v>
      </c>
      <c r="V421">
        <v>0</v>
      </c>
    </row>
    <row r="422" spans="1:22" x14ac:dyDescent="0.25">
      <c r="A422" t="s">
        <v>1712</v>
      </c>
      <c r="B422" t="s">
        <v>205</v>
      </c>
      <c r="C422">
        <v>15</v>
      </c>
      <c r="D422" t="s">
        <v>132</v>
      </c>
      <c r="E422" t="s">
        <v>260</v>
      </c>
      <c r="F422" t="s">
        <v>260</v>
      </c>
      <c r="G422">
        <v>7.0000000000000007E-2</v>
      </c>
      <c r="H422" t="s">
        <v>66</v>
      </c>
      <c r="I422">
        <v>-3</v>
      </c>
      <c r="J422" t="str">
        <f>HYPERLINK("https://www.eliteprospects.com/player/648864/brock-reinhart")</f>
        <v>https://www.eliteprospects.com/player/648864/brock-reinhart</v>
      </c>
      <c r="K422" t="s">
        <v>27</v>
      </c>
      <c r="L422" t="s">
        <v>28</v>
      </c>
      <c r="M422" t="s">
        <v>1296</v>
      </c>
      <c r="N422">
        <v>1</v>
      </c>
      <c r="O422" t="s">
        <v>71</v>
      </c>
      <c r="P422">
        <v>0.01</v>
      </c>
      <c r="Q422" t="s">
        <v>1488</v>
      </c>
      <c r="R422">
        <v>0</v>
      </c>
      <c r="S422">
        <v>0</v>
      </c>
      <c r="T422">
        <v>0</v>
      </c>
      <c r="U422">
        <v>0</v>
      </c>
      <c r="V422">
        <v>0</v>
      </c>
    </row>
    <row r="423" spans="1:22" x14ac:dyDescent="0.25">
      <c r="A423" t="s">
        <v>1713</v>
      </c>
      <c r="B423" t="s">
        <v>120</v>
      </c>
      <c r="C423">
        <v>16</v>
      </c>
      <c r="D423" t="s">
        <v>132</v>
      </c>
      <c r="E423" t="s">
        <v>260</v>
      </c>
      <c r="F423" t="s">
        <v>260</v>
      </c>
      <c r="G423">
        <v>0.06</v>
      </c>
      <c r="H423" t="s">
        <v>79</v>
      </c>
      <c r="I423">
        <v>1</v>
      </c>
      <c r="J423" t="str">
        <f>HYPERLINK("https://www.eliteprospects.com/player/644924/kristian-kostadinski")</f>
        <v>https://www.eliteprospects.com/player/644924/kristian-kostadinski</v>
      </c>
      <c r="K423" t="s">
        <v>27</v>
      </c>
      <c r="L423" t="s">
        <v>28</v>
      </c>
      <c r="M423" t="s">
        <v>1296</v>
      </c>
      <c r="N423">
        <v>1</v>
      </c>
      <c r="O423" t="s">
        <v>71</v>
      </c>
      <c r="P423">
        <v>0.01</v>
      </c>
      <c r="Q423" t="s">
        <v>1488</v>
      </c>
      <c r="R423">
        <v>0</v>
      </c>
      <c r="S423">
        <v>0</v>
      </c>
      <c r="T423">
        <v>0</v>
      </c>
      <c r="U423">
        <v>0</v>
      </c>
      <c r="V423">
        <v>0</v>
      </c>
    </row>
    <row r="424" spans="1:22" x14ac:dyDescent="0.25">
      <c r="A424" t="s">
        <v>1714</v>
      </c>
      <c r="B424" t="s">
        <v>161</v>
      </c>
      <c r="C424">
        <v>16</v>
      </c>
      <c r="D424" t="s">
        <v>132</v>
      </c>
      <c r="E424" t="s">
        <v>260</v>
      </c>
      <c r="F424" t="s">
        <v>260</v>
      </c>
      <c r="G424">
        <v>0.06</v>
      </c>
      <c r="H424" t="s">
        <v>79</v>
      </c>
      <c r="I424">
        <v>1</v>
      </c>
      <c r="J424" t="str">
        <f>HYPERLINK("https://www.eliteprospects.com/player/623739/nick-baer")</f>
        <v>https://www.eliteprospects.com/player/623739/nick-baer</v>
      </c>
      <c r="K424" t="s">
        <v>27</v>
      </c>
      <c r="L424" t="s">
        <v>28</v>
      </c>
      <c r="M424" t="s">
        <v>1296</v>
      </c>
      <c r="N424">
        <v>2</v>
      </c>
      <c r="O424" t="s">
        <v>43</v>
      </c>
      <c r="P424">
        <v>0.01</v>
      </c>
      <c r="Q424" t="s">
        <v>1488</v>
      </c>
      <c r="R424">
        <v>0</v>
      </c>
      <c r="S424">
        <v>0</v>
      </c>
      <c r="T424">
        <v>0</v>
      </c>
      <c r="U424">
        <v>0</v>
      </c>
      <c r="V424">
        <v>0</v>
      </c>
    </row>
    <row r="425" spans="1:22" x14ac:dyDescent="0.25">
      <c r="A425" t="s">
        <v>1715</v>
      </c>
      <c r="B425" t="s">
        <v>177</v>
      </c>
      <c r="C425">
        <v>16</v>
      </c>
      <c r="D425" t="s">
        <v>132</v>
      </c>
      <c r="E425" t="s">
        <v>260</v>
      </c>
      <c r="F425" t="s">
        <v>260</v>
      </c>
      <c r="G425">
        <v>0.06</v>
      </c>
      <c r="H425" t="s">
        <v>26</v>
      </c>
      <c r="I425">
        <v>3</v>
      </c>
      <c r="J425" t="str">
        <f>HYPERLINK("https://www.eliteprospects.com/player/535647/cameron-eke")</f>
        <v>https://www.eliteprospects.com/player/535647/cameron-eke</v>
      </c>
      <c r="K425" t="s">
        <v>27</v>
      </c>
      <c r="L425" t="s">
        <v>28</v>
      </c>
      <c r="M425" t="s">
        <v>1296</v>
      </c>
      <c r="N425">
        <v>1</v>
      </c>
      <c r="O425" t="s">
        <v>71</v>
      </c>
      <c r="P425">
        <v>0.01</v>
      </c>
      <c r="Q425" t="s">
        <v>1488</v>
      </c>
      <c r="R425">
        <v>0</v>
      </c>
      <c r="S425">
        <v>0</v>
      </c>
      <c r="T425">
        <v>0</v>
      </c>
      <c r="U425">
        <v>0</v>
      </c>
      <c r="V425">
        <v>0</v>
      </c>
    </row>
    <row r="426" spans="1:22" x14ac:dyDescent="0.25">
      <c r="A426" t="s">
        <v>1716</v>
      </c>
      <c r="B426" t="s">
        <v>124</v>
      </c>
      <c r="C426">
        <v>16</v>
      </c>
      <c r="D426" t="s">
        <v>132</v>
      </c>
      <c r="E426" t="s">
        <v>260</v>
      </c>
      <c r="F426" t="s">
        <v>260</v>
      </c>
      <c r="G426">
        <v>0.06</v>
      </c>
      <c r="H426" t="s">
        <v>39</v>
      </c>
      <c r="I426">
        <v>-4</v>
      </c>
      <c r="J426" t="str">
        <f>HYPERLINK("https://www.eliteprospects.com/player/418235/kyle-aucoin")</f>
        <v>https://www.eliteprospects.com/player/418235/kyle-aucoin</v>
      </c>
      <c r="K426" t="s">
        <v>27</v>
      </c>
      <c r="L426" t="s">
        <v>28</v>
      </c>
      <c r="M426" t="s">
        <v>1296</v>
      </c>
      <c r="N426">
        <v>5</v>
      </c>
      <c r="O426" t="s">
        <v>67</v>
      </c>
      <c r="P426">
        <v>0.01</v>
      </c>
      <c r="Q426" t="s">
        <v>1488</v>
      </c>
      <c r="R426">
        <v>0</v>
      </c>
      <c r="S426">
        <v>0</v>
      </c>
      <c r="T426">
        <v>0</v>
      </c>
      <c r="U426">
        <v>0</v>
      </c>
      <c r="V426">
        <v>0</v>
      </c>
    </row>
    <row r="427" spans="1:22" x14ac:dyDescent="0.25">
      <c r="A427" t="s">
        <v>1717</v>
      </c>
      <c r="B427" t="s">
        <v>83</v>
      </c>
      <c r="C427">
        <v>17</v>
      </c>
      <c r="D427" t="s">
        <v>132</v>
      </c>
      <c r="E427" t="s">
        <v>260</v>
      </c>
      <c r="F427" t="s">
        <v>260</v>
      </c>
      <c r="G427">
        <v>0.06</v>
      </c>
      <c r="H427" t="s">
        <v>26</v>
      </c>
      <c r="I427">
        <v>-1</v>
      </c>
      <c r="J427" t="str">
        <f>HYPERLINK("https://www.eliteprospects.com/player/411232/tucker-mcrae")</f>
        <v>https://www.eliteprospects.com/player/411232/tucker-mcrae</v>
      </c>
      <c r="K427" t="s">
        <v>27</v>
      </c>
      <c r="L427" t="s">
        <v>28</v>
      </c>
      <c r="M427" t="s">
        <v>1296</v>
      </c>
      <c r="N427">
        <v>4</v>
      </c>
      <c r="O427" t="s">
        <v>30</v>
      </c>
      <c r="P427">
        <v>0.01</v>
      </c>
      <c r="Q427" t="s">
        <v>1488</v>
      </c>
      <c r="R427">
        <v>0</v>
      </c>
      <c r="S427">
        <v>0</v>
      </c>
      <c r="T427">
        <v>0</v>
      </c>
      <c r="U427">
        <v>0</v>
      </c>
      <c r="V427">
        <v>0</v>
      </c>
    </row>
    <row r="428" spans="1:22" x14ac:dyDescent="0.25">
      <c r="A428" t="s">
        <v>1718</v>
      </c>
      <c r="B428" t="s">
        <v>174</v>
      </c>
      <c r="C428">
        <v>18</v>
      </c>
      <c r="D428" t="s">
        <v>132</v>
      </c>
      <c r="E428" t="s">
        <v>260</v>
      </c>
      <c r="F428" t="s">
        <v>260</v>
      </c>
      <c r="G428">
        <v>0.06</v>
      </c>
      <c r="H428" t="s">
        <v>26</v>
      </c>
      <c r="I428">
        <v>-6</v>
      </c>
      <c r="J428" t="str">
        <f>HYPERLINK("https://www.eliteprospects.com/player/473290/oscar-plandowski")</f>
        <v>https://www.eliteprospects.com/player/473290/oscar-plandowski</v>
      </c>
      <c r="K428" t="s">
        <v>27</v>
      </c>
      <c r="L428" t="s">
        <v>28</v>
      </c>
      <c r="M428" t="s">
        <v>1296</v>
      </c>
      <c r="N428">
        <v>6</v>
      </c>
      <c r="O428" t="s">
        <v>99</v>
      </c>
      <c r="P428">
        <v>0.01</v>
      </c>
      <c r="Q428" t="s">
        <v>1488</v>
      </c>
      <c r="R428">
        <v>0</v>
      </c>
      <c r="S428">
        <v>0</v>
      </c>
      <c r="T428">
        <v>0</v>
      </c>
      <c r="U428">
        <v>0</v>
      </c>
      <c r="V428">
        <v>0</v>
      </c>
    </row>
    <row r="429" spans="1:22" x14ac:dyDescent="0.25">
      <c r="A429" t="s">
        <v>1719</v>
      </c>
      <c r="B429" t="s">
        <v>119</v>
      </c>
      <c r="C429">
        <v>19</v>
      </c>
      <c r="D429" t="s">
        <v>132</v>
      </c>
      <c r="E429" t="s">
        <v>260</v>
      </c>
      <c r="F429" t="s">
        <v>260</v>
      </c>
      <c r="G429">
        <v>0.05</v>
      </c>
      <c r="H429" t="s">
        <v>57</v>
      </c>
      <c r="I429">
        <v>-6</v>
      </c>
      <c r="J429" t="str">
        <f>HYPERLINK("https://www.eliteprospects.com/player/597843/finn-mclaughlin")</f>
        <v>https://www.eliteprospects.com/player/597843/finn-mclaughlin</v>
      </c>
      <c r="K429" t="s">
        <v>27</v>
      </c>
      <c r="L429" t="s">
        <v>28</v>
      </c>
      <c r="M429" t="s">
        <v>1296</v>
      </c>
      <c r="N429">
        <v>1</v>
      </c>
      <c r="O429" t="s">
        <v>71</v>
      </c>
      <c r="P429">
        <v>0.01</v>
      </c>
      <c r="Q429" t="s">
        <v>1488</v>
      </c>
      <c r="R429">
        <v>0</v>
      </c>
      <c r="S429">
        <v>0</v>
      </c>
      <c r="T429">
        <v>0</v>
      </c>
      <c r="U429">
        <v>0</v>
      </c>
      <c r="V429">
        <v>0</v>
      </c>
    </row>
    <row r="430" spans="1:22" x14ac:dyDescent="0.25">
      <c r="A430" t="s">
        <v>1720</v>
      </c>
      <c r="B430" t="s">
        <v>116</v>
      </c>
      <c r="C430">
        <v>19</v>
      </c>
      <c r="D430" t="s">
        <v>132</v>
      </c>
      <c r="E430" t="s">
        <v>260</v>
      </c>
      <c r="F430" t="s">
        <v>260</v>
      </c>
      <c r="G430">
        <v>0.05</v>
      </c>
      <c r="H430" t="s">
        <v>32</v>
      </c>
      <c r="I430">
        <v>-10</v>
      </c>
      <c r="J430" t="str">
        <f>HYPERLINK("https://www.eliteprospects.com/player/478378/jan-olenginski")</f>
        <v>https://www.eliteprospects.com/player/478378/jan-olenginski</v>
      </c>
      <c r="K430" t="s">
        <v>27</v>
      </c>
      <c r="L430" t="s">
        <v>28</v>
      </c>
      <c r="M430" t="s">
        <v>1296</v>
      </c>
      <c r="N430">
        <v>3</v>
      </c>
      <c r="O430" t="s">
        <v>74</v>
      </c>
      <c r="P430">
        <v>0.01</v>
      </c>
      <c r="Q430" t="s">
        <v>1488</v>
      </c>
      <c r="R430">
        <v>0</v>
      </c>
      <c r="S430">
        <v>0</v>
      </c>
      <c r="T430">
        <v>0</v>
      </c>
      <c r="U430">
        <v>0</v>
      </c>
      <c r="V430">
        <v>0</v>
      </c>
    </row>
    <row r="431" spans="1:22" x14ac:dyDescent="0.25">
      <c r="A431" t="s">
        <v>1721</v>
      </c>
      <c r="B431" t="s">
        <v>163</v>
      </c>
      <c r="C431">
        <v>19</v>
      </c>
      <c r="D431" t="s">
        <v>132</v>
      </c>
      <c r="E431" t="s">
        <v>260</v>
      </c>
      <c r="F431" t="s">
        <v>260</v>
      </c>
      <c r="G431">
        <v>0.05</v>
      </c>
      <c r="H431" t="s">
        <v>39</v>
      </c>
      <c r="I431">
        <v>-2</v>
      </c>
      <c r="J431" t="str">
        <f>HYPERLINK("https://www.eliteprospects.com/player/472442/tomas-machu")</f>
        <v>https://www.eliteprospects.com/player/472442/tomas-machu</v>
      </c>
      <c r="K431" t="s">
        <v>27</v>
      </c>
      <c r="L431" t="s">
        <v>28</v>
      </c>
      <c r="M431" t="s">
        <v>1296</v>
      </c>
      <c r="N431">
        <v>2</v>
      </c>
      <c r="O431" t="s">
        <v>43</v>
      </c>
      <c r="P431">
        <v>0.01</v>
      </c>
      <c r="Q431" t="s">
        <v>1488</v>
      </c>
      <c r="R431">
        <v>0</v>
      </c>
      <c r="S431">
        <v>0</v>
      </c>
      <c r="T431">
        <v>0</v>
      </c>
      <c r="U431">
        <v>0</v>
      </c>
      <c r="V431">
        <v>0</v>
      </c>
    </row>
    <row r="432" spans="1:22" x14ac:dyDescent="0.25">
      <c r="A432" t="s">
        <v>1722</v>
      </c>
      <c r="B432" t="s">
        <v>255</v>
      </c>
      <c r="C432">
        <v>19</v>
      </c>
      <c r="D432" t="s">
        <v>132</v>
      </c>
      <c r="E432" t="s">
        <v>260</v>
      </c>
      <c r="F432" t="s">
        <v>260</v>
      </c>
      <c r="G432">
        <v>0.05</v>
      </c>
      <c r="H432" t="s">
        <v>39</v>
      </c>
      <c r="I432">
        <v>-2</v>
      </c>
      <c r="J432" t="str">
        <f>HYPERLINK("https://www.eliteprospects.com/player/553224/david-posma")</f>
        <v>https://www.eliteprospects.com/player/553224/david-posma</v>
      </c>
      <c r="K432" t="s">
        <v>27</v>
      </c>
      <c r="L432" t="s">
        <v>28</v>
      </c>
      <c r="M432" t="s">
        <v>1296</v>
      </c>
      <c r="N432">
        <v>4</v>
      </c>
      <c r="O432" t="s">
        <v>30</v>
      </c>
      <c r="P432">
        <v>0.01</v>
      </c>
      <c r="Q432" t="s">
        <v>1488</v>
      </c>
      <c r="R432">
        <v>0</v>
      </c>
      <c r="S432">
        <v>0</v>
      </c>
      <c r="T432">
        <v>0</v>
      </c>
      <c r="U432">
        <v>0</v>
      </c>
      <c r="V432">
        <v>0</v>
      </c>
    </row>
    <row r="433" spans="1:22" x14ac:dyDescent="0.25">
      <c r="A433" t="s">
        <v>1723</v>
      </c>
      <c r="B433" t="s">
        <v>205</v>
      </c>
      <c r="C433">
        <v>20</v>
      </c>
      <c r="D433" t="s">
        <v>132</v>
      </c>
      <c r="E433" t="s">
        <v>260</v>
      </c>
      <c r="F433" t="s">
        <v>260</v>
      </c>
      <c r="G433">
        <v>0.05</v>
      </c>
      <c r="H433" t="s">
        <v>84</v>
      </c>
      <c r="I433">
        <v>5</v>
      </c>
      <c r="J433" t="str">
        <f>HYPERLINK("https://www.eliteprospects.com/player/478397/kevin-scott")</f>
        <v>https://www.eliteprospects.com/player/478397/kevin-scott</v>
      </c>
      <c r="K433" t="s">
        <v>27</v>
      </c>
      <c r="L433" t="s">
        <v>28</v>
      </c>
      <c r="M433" t="s">
        <v>1296</v>
      </c>
      <c r="N433">
        <v>3</v>
      </c>
      <c r="O433" t="s">
        <v>74</v>
      </c>
      <c r="P433">
        <v>0.01</v>
      </c>
      <c r="Q433" t="s">
        <v>1488</v>
      </c>
      <c r="R433">
        <v>0</v>
      </c>
      <c r="S433">
        <v>0</v>
      </c>
      <c r="T433">
        <v>0</v>
      </c>
      <c r="U433">
        <v>0</v>
      </c>
      <c r="V433">
        <v>0</v>
      </c>
    </row>
    <row r="434" spans="1:22" x14ac:dyDescent="0.25">
      <c r="A434" t="s">
        <v>1724</v>
      </c>
      <c r="B434" t="s">
        <v>130</v>
      </c>
      <c r="C434">
        <v>20</v>
      </c>
      <c r="D434" t="s">
        <v>132</v>
      </c>
      <c r="E434" t="s">
        <v>260</v>
      </c>
      <c r="F434" t="s">
        <v>260</v>
      </c>
      <c r="G434">
        <v>0.05</v>
      </c>
      <c r="H434" t="s">
        <v>125</v>
      </c>
      <c r="I434">
        <v>3</v>
      </c>
      <c r="J434" t="str">
        <f>HYPERLINK("https://www.eliteprospects.com/player/475353/cameron-kungle")</f>
        <v>https://www.eliteprospects.com/player/475353/cameron-kungle</v>
      </c>
      <c r="K434" t="s">
        <v>27</v>
      </c>
      <c r="L434" t="s">
        <v>28</v>
      </c>
      <c r="M434" t="s">
        <v>1296</v>
      </c>
      <c r="N434">
        <v>3</v>
      </c>
      <c r="O434" t="s">
        <v>74</v>
      </c>
      <c r="P434">
        <v>0.01</v>
      </c>
      <c r="Q434" t="s">
        <v>1488</v>
      </c>
      <c r="R434">
        <v>0</v>
      </c>
      <c r="S434">
        <v>0</v>
      </c>
      <c r="T434">
        <v>0</v>
      </c>
      <c r="U434">
        <v>0</v>
      </c>
      <c r="V434">
        <v>0</v>
      </c>
    </row>
    <row r="435" spans="1:22" x14ac:dyDescent="0.25">
      <c r="A435" t="s">
        <v>1725</v>
      </c>
      <c r="B435" t="s">
        <v>161</v>
      </c>
      <c r="C435">
        <v>21</v>
      </c>
      <c r="D435" t="s">
        <v>132</v>
      </c>
      <c r="E435" t="s">
        <v>260</v>
      </c>
      <c r="F435" t="s">
        <v>260</v>
      </c>
      <c r="G435">
        <v>0.05</v>
      </c>
      <c r="H435" t="s">
        <v>51</v>
      </c>
      <c r="I435">
        <v>2</v>
      </c>
      <c r="J435" t="str">
        <f>HYPERLINK("https://www.eliteprospects.com/player/573945/matteo-mann")</f>
        <v>https://www.eliteprospects.com/player/573945/matteo-mann</v>
      </c>
      <c r="K435" t="s">
        <v>27</v>
      </c>
      <c r="L435" t="s">
        <v>28</v>
      </c>
      <c r="M435" t="s">
        <v>1296</v>
      </c>
      <c r="N435">
        <v>6</v>
      </c>
      <c r="O435" t="s">
        <v>99</v>
      </c>
      <c r="P435">
        <v>0.01</v>
      </c>
      <c r="Q435" t="s">
        <v>1488</v>
      </c>
      <c r="R435">
        <v>0</v>
      </c>
      <c r="S435">
        <v>0</v>
      </c>
      <c r="T435">
        <v>0</v>
      </c>
      <c r="U435">
        <v>0</v>
      </c>
      <c r="V435">
        <v>0</v>
      </c>
    </row>
    <row r="436" spans="1:22" x14ac:dyDescent="0.25">
      <c r="A436" t="s">
        <v>1726</v>
      </c>
      <c r="B436" t="s">
        <v>106</v>
      </c>
      <c r="C436">
        <v>21</v>
      </c>
      <c r="D436" t="s">
        <v>132</v>
      </c>
      <c r="E436" t="s">
        <v>260</v>
      </c>
      <c r="F436" t="s">
        <v>260</v>
      </c>
      <c r="G436">
        <v>0.05</v>
      </c>
      <c r="H436" t="s">
        <v>24</v>
      </c>
      <c r="I436">
        <v>-3</v>
      </c>
      <c r="J436" t="str">
        <f>HYPERLINK("https://www.eliteprospects.com/player/651974/jack-sparkes")</f>
        <v>https://www.eliteprospects.com/player/651974/jack-sparkes</v>
      </c>
      <c r="K436" t="s">
        <v>27</v>
      </c>
      <c r="L436" t="s">
        <v>28</v>
      </c>
      <c r="M436" t="s">
        <v>1296</v>
      </c>
      <c r="N436">
        <v>2</v>
      </c>
      <c r="O436" t="s">
        <v>43</v>
      </c>
      <c r="P436">
        <v>0.01</v>
      </c>
      <c r="Q436" t="s">
        <v>1488</v>
      </c>
      <c r="R436">
        <v>0</v>
      </c>
      <c r="S436">
        <v>0</v>
      </c>
      <c r="T436">
        <v>0</v>
      </c>
      <c r="U436">
        <v>0</v>
      </c>
      <c r="V436">
        <v>0</v>
      </c>
    </row>
    <row r="437" spans="1:22" x14ac:dyDescent="0.25">
      <c r="A437" t="s">
        <v>1727</v>
      </c>
      <c r="B437" t="s">
        <v>146</v>
      </c>
      <c r="C437">
        <v>22</v>
      </c>
      <c r="D437" t="s">
        <v>132</v>
      </c>
      <c r="E437" t="s">
        <v>260</v>
      </c>
      <c r="F437" t="s">
        <v>260</v>
      </c>
      <c r="G437">
        <v>0.05</v>
      </c>
      <c r="H437" t="s">
        <v>132</v>
      </c>
      <c r="I437">
        <v>-3</v>
      </c>
      <c r="J437" t="str">
        <f>HYPERLINK("https://www.eliteprospects.com/player/486071/luke-antonacci")</f>
        <v>https://www.eliteprospects.com/player/486071/luke-antonacci</v>
      </c>
      <c r="K437" t="s">
        <v>27</v>
      </c>
      <c r="L437" t="s">
        <v>28</v>
      </c>
      <c r="M437" t="s">
        <v>1296</v>
      </c>
      <c r="N437">
        <v>4</v>
      </c>
      <c r="O437" t="s">
        <v>30</v>
      </c>
      <c r="P437">
        <v>0.01</v>
      </c>
      <c r="Q437" t="s">
        <v>1488</v>
      </c>
      <c r="R437">
        <v>0</v>
      </c>
      <c r="S437">
        <v>0</v>
      </c>
      <c r="T437">
        <v>0</v>
      </c>
      <c r="U437">
        <v>0</v>
      </c>
      <c r="V437">
        <v>0</v>
      </c>
    </row>
    <row r="438" spans="1:22" x14ac:dyDescent="0.25">
      <c r="A438" t="s">
        <v>1728</v>
      </c>
      <c r="B438" t="s">
        <v>113</v>
      </c>
      <c r="C438">
        <v>22</v>
      </c>
      <c r="D438" t="s">
        <v>132</v>
      </c>
      <c r="E438" t="s">
        <v>260</v>
      </c>
      <c r="F438" t="s">
        <v>260</v>
      </c>
      <c r="G438">
        <v>0.05</v>
      </c>
      <c r="H438" t="s">
        <v>79</v>
      </c>
      <c r="I438">
        <v>0</v>
      </c>
      <c r="J438" t="str">
        <f>HYPERLINK("https://www.eliteprospects.com/player/664617/liam-hupka")</f>
        <v>https://www.eliteprospects.com/player/664617/liam-hupka</v>
      </c>
      <c r="K438" t="s">
        <v>27</v>
      </c>
      <c r="L438" t="s">
        <v>28</v>
      </c>
      <c r="M438" t="s">
        <v>1296</v>
      </c>
      <c r="N438">
        <v>1</v>
      </c>
      <c r="O438" t="s">
        <v>71</v>
      </c>
      <c r="P438">
        <v>0.01</v>
      </c>
      <c r="Q438" t="s">
        <v>1488</v>
      </c>
      <c r="R438">
        <v>0</v>
      </c>
      <c r="S438">
        <v>0</v>
      </c>
      <c r="T438">
        <v>0</v>
      </c>
      <c r="U438">
        <v>0</v>
      </c>
      <c r="V438">
        <v>0</v>
      </c>
    </row>
    <row r="439" spans="1:22" x14ac:dyDescent="0.25">
      <c r="A439" t="s">
        <v>1729</v>
      </c>
      <c r="B439" t="s">
        <v>148</v>
      </c>
      <c r="C439">
        <v>22</v>
      </c>
      <c r="D439" t="s">
        <v>132</v>
      </c>
      <c r="E439" t="s">
        <v>260</v>
      </c>
      <c r="F439" t="s">
        <v>260</v>
      </c>
      <c r="G439">
        <v>0.05</v>
      </c>
      <c r="H439" t="s">
        <v>66</v>
      </c>
      <c r="I439">
        <v>3</v>
      </c>
      <c r="J439" t="str">
        <f>HYPERLINK("https://www.eliteprospects.com/player/497305/will-svenddal")</f>
        <v>https://www.eliteprospects.com/player/497305/will-svenddal</v>
      </c>
      <c r="K439" t="s">
        <v>27</v>
      </c>
      <c r="L439" t="s">
        <v>28</v>
      </c>
      <c r="M439" t="s">
        <v>1296</v>
      </c>
      <c r="N439">
        <v>3</v>
      </c>
      <c r="O439" t="s">
        <v>74</v>
      </c>
      <c r="P439">
        <v>0.01</v>
      </c>
      <c r="Q439" t="s">
        <v>1488</v>
      </c>
      <c r="R439">
        <v>0</v>
      </c>
      <c r="S439">
        <v>0</v>
      </c>
      <c r="T439">
        <v>0</v>
      </c>
      <c r="U439">
        <v>0</v>
      </c>
      <c r="V439">
        <v>0</v>
      </c>
    </row>
    <row r="440" spans="1:22" x14ac:dyDescent="0.25">
      <c r="A440" t="s">
        <v>1730</v>
      </c>
      <c r="B440" t="s">
        <v>215</v>
      </c>
      <c r="C440">
        <v>24</v>
      </c>
      <c r="D440" t="s">
        <v>132</v>
      </c>
      <c r="E440" t="s">
        <v>260</v>
      </c>
      <c r="F440" t="s">
        <v>260</v>
      </c>
      <c r="G440">
        <v>0.04</v>
      </c>
      <c r="H440" t="s">
        <v>32</v>
      </c>
      <c r="I440">
        <v>-11</v>
      </c>
      <c r="J440" t="str">
        <f>HYPERLINK("https://www.eliteprospects.com/player/634009/anthony-cliche")</f>
        <v>https://www.eliteprospects.com/player/634009/anthony-cliche</v>
      </c>
      <c r="K440" t="s">
        <v>27</v>
      </c>
      <c r="L440" t="s">
        <v>28</v>
      </c>
      <c r="M440" t="s">
        <v>1296</v>
      </c>
      <c r="N440">
        <v>2</v>
      </c>
      <c r="O440" t="s">
        <v>43</v>
      </c>
      <c r="P440">
        <v>0.01</v>
      </c>
      <c r="Q440" t="s">
        <v>1488</v>
      </c>
      <c r="R440">
        <v>0</v>
      </c>
      <c r="S440">
        <v>0</v>
      </c>
      <c r="T440">
        <v>0</v>
      </c>
      <c r="U440">
        <v>0</v>
      </c>
      <c r="V440">
        <v>0</v>
      </c>
    </row>
    <row r="441" spans="1:22" x14ac:dyDescent="0.25">
      <c r="A441" t="s">
        <v>1731</v>
      </c>
      <c r="B441" t="s">
        <v>64</v>
      </c>
      <c r="C441">
        <v>10</v>
      </c>
      <c r="D441" t="s">
        <v>132</v>
      </c>
      <c r="E441" t="s">
        <v>132</v>
      </c>
      <c r="F441" t="s">
        <v>132</v>
      </c>
      <c r="G441">
        <v>0</v>
      </c>
      <c r="H441" t="s">
        <v>132</v>
      </c>
      <c r="I441">
        <v>0</v>
      </c>
      <c r="J441" t="str">
        <f>HYPERLINK("https://www.eliteprospects.com/player/645485/carson-peters")</f>
        <v>https://www.eliteprospects.com/player/645485/carson-peters</v>
      </c>
      <c r="K441" t="s">
        <v>27</v>
      </c>
      <c r="L441" t="s">
        <v>28</v>
      </c>
      <c r="M441" t="s">
        <v>1296</v>
      </c>
      <c r="N441">
        <v>4</v>
      </c>
      <c r="O441" t="s">
        <v>30</v>
      </c>
      <c r="P441">
        <v>0</v>
      </c>
      <c r="Q441" t="s">
        <v>1488</v>
      </c>
      <c r="R441">
        <v>0</v>
      </c>
      <c r="S441">
        <v>0</v>
      </c>
      <c r="T441">
        <v>0</v>
      </c>
      <c r="U441">
        <v>0</v>
      </c>
      <c r="V441">
        <v>0</v>
      </c>
    </row>
    <row r="442" spans="1:22" x14ac:dyDescent="0.25">
      <c r="A442" t="s">
        <v>1732</v>
      </c>
      <c r="B442" t="s">
        <v>88</v>
      </c>
      <c r="C442">
        <v>10</v>
      </c>
      <c r="D442" t="s">
        <v>132</v>
      </c>
      <c r="E442" t="s">
        <v>132</v>
      </c>
      <c r="F442" t="s">
        <v>132</v>
      </c>
      <c r="G442">
        <v>0</v>
      </c>
      <c r="H442" t="s">
        <v>132</v>
      </c>
      <c r="I442">
        <v>0</v>
      </c>
      <c r="J442" t="str">
        <f>HYPERLINK("https://www.eliteprospects.com/player/664616/simon-houge")</f>
        <v>https://www.eliteprospects.com/player/664616/simon-houge</v>
      </c>
      <c r="K442" t="s">
        <v>27</v>
      </c>
      <c r="L442" t="s">
        <v>28</v>
      </c>
      <c r="M442" t="s">
        <v>1296</v>
      </c>
      <c r="N442">
        <v>1</v>
      </c>
      <c r="O442" t="s">
        <v>71</v>
      </c>
      <c r="P442">
        <v>0</v>
      </c>
      <c r="Q442" t="s">
        <v>1488</v>
      </c>
      <c r="R442">
        <v>0</v>
      </c>
      <c r="S442">
        <v>0</v>
      </c>
      <c r="T442">
        <v>0</v>
      </c>
      <c r="U442">
        <v>0</v>
      </c>
      <c r="V442">
        <v>0</v>
      </c>
    </row>
    <row r="443" spans="1:22" x14ac:dyDescent="0.25">
      <c r="A443" t="s">
        <v>1733</v>
      </c>
      <c r="B443" t="s">
        <v>162</v>
      </c>
      <c r="C443">
        <v>10</v>
      </c>
      <c r="D443" t="s">
        <v>132</v>
      </c>
      <c r="E443" t="s">
        <v>132</v>
      </c>
      <c r="F443" t="s">
        <v>132</v>
      </c>
      <c r="G443">
        <v>0</v>
      </c>
      <c r="H443" t="s">
        <v>79</v>
      </c>
      <c r="I443">
        <v>0</v>
      </c>
      <c r="J443" t="str">
        <f>HYPERLINK("https://www.eliteprospects.com/player/659502/jack-farrell")</f>
        <v>https://www.eliteprospects.com/player/659502/jack-farrell</v>
      </c>
      <c r="K443" t="s">
        <v>27</v>
      </c>
      <c r="L443" t="s">
        <v>28</v>
      </c>
      <c r="M443" t="s">
        <v>1296</v>
      </c>
      <c r="N443">
        <v>1</v>
      </c>
      <c r="O443" t="s">
        <v>71</v>
      </c>
      <c r="P443">
        <v>0</v>
      </c>
      <c r="Q443" t="s">
        <v>1488</v>
      </c>
      <c r="R443">
        <v>0</v>
      </c>
      <c r="S443">
        <v>0</v>
      </c>
      <c r="T443">
        <v>0</v>
      </c>
      <c r="U443">
        <v>0</v>
      </c>
      <c r="V443">
        <v>0</v>
      </c>
    </row>
    <row r="444" spans="1:22" x14ac:dyDescent="0.25">
      <c r="A444" t="s">
        <v>1734</v>
      </c>
      <c r="B444" t="s">
        <v>312</v>
      </c>
      <c r="C444">
        <v>10</v>
      </c>
      <c r="D444" t="s">
        <v>132</v>
      </c>
      <c r="E444" t="s">
        <v>132</v>
      </c>
      <c r="F444" t="s">
        <v>132</v>
      </c>
      <c r="G444">
        <v>0</v>
      </c>
      <c r="H444" t="s">
        <v>79</v>
      </c>
      <c r="I444">
        <v>-4</v>
      </c>
      <c r="J444" t="str">
        <f>HYPERLINK("https://www.eliteprospects.com/player/479831/nolan-gagnon")</f>
        <v>https://www.eliteprospects.com/player/479831/nolan-gagnon</v>
      </c>
      <c r="K444" t="s">
        <v>27</v>
      </c>
      <c r="L444" t="s">
        <v>28</v>
      </c>
      <c r="M444" t="s">
        <v>1296</v>
      </c>
      <c r="N444">
        <v>2</v>
      </c>
      <c r="O444" t="s">
        <v>43</v>
      </c>
      <c r="P444">
        <v>0</v>
      </c>
      <c r="Q444" t="s">
        <v>1488</v>
      </c>
      <c r="R444">
        <v>0</v>
      </c>
      <c r="S444">
        <v>0</v>
      </c>
      <c r="T444">
        <v>0</v>
      </c>
      <c r="U444">
        <v>0</v>
      </c>
      <c r="V444">
        <v>0</v>
      </c>
    </row>
    <row r="445" spans="1:22" x14ac:dyDescent="0.25">
      <c r="A445" t="s">
        <v>1735</v>
      </c>
      <c r="B445" t="s">
        <v>131</v>
      </c>
      <c r="C445">
        <v>10</v>
      </c>
      <c r="D445" t="s">
        <v>132</v>
      </c>
      <c r="E445" t="s">
        <v>132</v>
      </c>
      <c r="F445" t="s">
        <v>132</v>
      </c>
      <c r="G445">
        <v>0</v>
      </c>
      <c r="H445" t="s">
        <v>79</v>
      </c>
      <c r="I445">
        <v>-1</v>
      </c>
      <c r="J445" t="str">
        <f>HYPERLINK("https://www.eliteprospects.com/player/495925/jon-bell")</f>
        <v>https://www.eliteprospects.com/player/495925/jon-bell</v>
      </c>
      <c r="K445" t="s">
        <v>27</v>
      </c>
      <c r="L445" t="s">
        <v>28</v>
      </c>
      <c r="M445" t="s">
        <v>1296</v>
      </c>
      <c r="N445">
        <v>3</v>
      </c>
      <c r="O445" t="s">
        <v>74</v>
      </c>
      <c r="P445">
        <v>0</v>
      </c>
      <c r="Q445" t="s">
        <v>1488</v>
      </c>
      <c r="R445">
        <v>0</v>
      </c>
      <c r="S445">
        <v>0</v>
      </c>
      <c r="T445">
        <v>0</v>
      </c>
      <c r="U445">
        <v>0</v>
      </c>
      <c r="V445">
        <v>0</v>
      </c>
    </row>
    <row r="446" spans="1:22" x14ac:dyDescent="0.25">
      <c r="A446" t="s">
        <v>1736</v>
      </c>
      <c r="B446" t="s">
        <v>44</v>
      </c>
      <c r="C446">
        <v>10</v>
      </c>
      <c r="D446" t="s">
        <v>132</v>
      </c>
      <c r="E446" t="s">
        <v>132</v>
      </c>
      <c r="F446" t="s">
        <v>132</v>
      </c>
      <c r="G446">
        <v>0</v>
      </c>
      <c r="H446" t="s">
        <v>66</v>
      </c>
      <c r="I446">
        <v>-3</v>
      </c>
      <c r="J446" t="str">
        <f>HYPERLINK("https://www.eliteprospects.com/player/554233/kasper-vaharautio")</f>
        <v>https://www.eliteprospects.com/player/554233/kasper-vaharautio</v>
      </c>
      <c r="K446" t="s">
        <v>27</v>
      </c>
      <c r="L446" t="s">
        <v>28</v>
      </c>
      <c r="M446" t="s">
        <v>1296</v>
      </c>
      <c r="N446">
        <v>4</v>
      </c>
      <c r="O446" t="s">
        <v>30</v>
      </c>
      <c r="P446">
        <v>0</v>
      </c>
      <c r="Q446" t="s">
        <v>1488</v>
      </c>
      <c r="R446">
        <v>0</v>
      </c>
      <c r="S446">
        <v>0</v>
      </c>
      <c r="T446">
        <v>0</v>
      </c>
      <c r="U446">
        <v>0</v>
      </c>
      <c r="V446">
        <v>0</v>
      </c>
    </row>
    <row r="447" spans="1:22" x14ac:dyDescent="0.25">
      <c r="A447" t="s">
        <v>1737</v>
      </c>
      <c r="B447" t="s">
        <v>205</v>
      </c>
      <c r="C447">
        <v>11</v>
      </c>
      <c r="D447" t="s">
        <v>132</v>
      </c>
      <c r="E447" t="s">
        <v>132</v>
      </c>
      <c r="F447" t="s">
        <v>132</v>
      </c>
      <c r="G447">
        <v>0</v>
      </c>
      <c r="H447" t="s">
        <v>79</v>
      </c>
      <c r="I447">
        <v>-5</v>
      </c>
      <c r="J447" t="str">
        <f>HYPERLINK("https://www.eliteprospects.com/player/400904/gustav-blom")</f>
        <v>https://www.eliteprospects.com/player/400904/gustav-blom</v>
      </c>
      <c r="K447" t="s">
        <v>27</v>
      </c>
      <c r="L447" t="s">
        <v>28</v>
      </c>
      <c r="M447" t="s">
        <v>1296</v>
      </c>
      <c r="N447">
        <v>4</v>
      </c>
      <c r="O447" t="s">
        <v>30</v>
      </c>
      <c r="P447">
        <v>0</v>
      </c>
      <c r="Q447" t="s">
        <v>1488</v>
      </c>
      <c r="R447">
        <v>0</v>
      </c>
      <c r="S447">
        <v>0</v>
      </c>
      <c r="T447">
        <v>0</v>
      </c>
      <c r="U447">
        <v>0</v>
      </c>
      <c r="V447">
        <v>0</v>
      </c>
    </row>
    <row r="448" spans="1:22" x14ac:dyDescent="0.25">
      <c r="A448" t="s">
        <v>1738</v>
      </c>
      <c r="B448" t="s">
        <v>234</v>
      </c>
      <c r="C448">
        <v>11</v>
      </c>
      <c r="D448" t="s">
        <v>132</v>
      </c>
      <c r="E448" t="s">
        <v>132</v>
      </c>
      <c r="F448" t="s">
        <v>132</v>
      </c>
      <c r="G448">
        <v>0</v>
      </c>
      <c r="H448" t="s">
        <v>79</v>
      </c>
      <c r="I448">
        <v>1</v>
      </c>
      <c r="J448" t="str">
        <f>HYPERLINK("https://www.eliteprospects.com/player/651979/jack-hewitt")</f>
        <v>https://www.eliteprospects.com/player/651979/jack-hewitt</v>
      </c>
      <c r="K448" t="s">
        <v>27</v>
      </c>
      <c r="L448" t="s">
        <v>28</v>
      </c>
      <c r="M448" t="s">
        <v>1296</v>
      </c>
      <c r="N448">
        <v>2</v>
      </c>
      <c r="O448" t="s">
        <v>43</v>
      </c>
      <c r="P448">
        <v>0</v>
      </c>
      <c r="Q448" t="s">
        <v>1488</v>
      </c>
      <c r="R448">
        <v>0</v>
      </c>
      <c r="S448">
        <v>0</v>
      </c>
      <c r="T448">
        <v>0</v>
      </c>
      <c r="U448">
        <v>0</v>
      </c>
      <c r="V448">
        <v>0</v>
      </c>
    </row>
    <row r="449" spans="1:22" x14ac:dyDescent="0.25">
      <c r="A449" t="s">
        <v>1739</v>
      </c>
      <c r="B449" t="s">
        <v>116</v>
      </c>
      <c r="C449">
        <v>11</v>
      </c>
      <c r="D449" t="s">
        <v>132</v>
      </c>
      <c r="E449" t="s">
        <v>132</v>
      </c>
      <c r="F449" t="s">
        <v>132</v>
      </c>
      <c r="G449">
        <v>0</v>
      </c>
      <c r="H449" t="s">
        <v>66</v>
      </c>
      <c r="I449">
        <v>-4</v>
      </c>
      <c r="J449" t="str">
        <f>HYPERLINK("https://www.eliteprospects.com/player/675870/teddy-mallgrave")</f>
        <v>https://www.eliteprospects.com/player/675870/teddy-mallgrave</v>
      </c>
      <c r="K449" t="s">
        <v>27</v>
      </c>
      <c r="L449" t="s">
        <v>28</v>
      </c>
      <c r="M449" t="s">
        <v>1296</v>
      </c>
      <c r="N449">
        <v>1</v>
      </c>
      <c r="O449" t="s">
        <v>71</v>
      </c>
      <c r="P449">
        <v>0</v>
      </c>
      <c r="Q449" t="s">
        <v>1488</v>
      </c>
      <c r="R449">
        <v>0</v>
      </c>
      <c r="S449">
        <v>0</v>
      </c>
      <c r="T449">
        <v>0</v>
      </c>
      <c r="U449">
        <v>0</v>
      </c>
      <c r="V449">
        <v>0</v>
      </c>
    </row>
    <row r="450" spans="1:22" x14ac:dyDescent="0.25">
      <c r="A450" t="s">
        <v>1740</v>
      </c>
      <c r="B450" t="s">
        <v>288</v>
      </c>
      <c r="C450">
        <v>12</v>
      </c>
      <c r="D450" t="s">
        <v>132</v>
      </c>
      <c r="E450" t="s">
        <v>132</v>
      </c>
      <c r="F450" t="s">
        <v>132</v>
      </c>
      <c r="G450">
        <v>0</v>
      </c>
      <c r="H450" t="s">
        <v>132</v>
      </c>
      <c r="I450">
        <v>-3</v>
      </c>
      <c r="J450" t="str">
        <f>HYPERLINK("https://www.eliteprospects.com/player/701591/charlie-kinsman")</f>
        <v>https://www.eliteprospects.com/player/701591/charlie-kinsman</v>
      </c>
      <c r="K450" t="s">
        <v>27</v>
      </c>
      <c r="L450" t="s">
        <v>28</v>
      </c>
      <c r="M450" t="s">
        <v>1296</v>
      </c>
      <c r="N450">
        <v>2</v>
      </c>
      <c r="O450" t="s">
        <v>43</v>
      </c>
      <c r="P450">
        <v>0</v>
      </c>
      <c r="Q450" t="s">
        <v>1488</v>
      </c>
      <c r="R450">
        <v>0</v>
      </c>
      <c r="S450">
        <v>0</v>
      </c>
      <c r="T450">
        <v>0</v>
      </c>
      <c r="U450">
        <v>0</v>
      </c>
      <c r="V450">
        <v>0</v>
      </c>
    </row>
    <row r="451" spans="1:22" x14ac:dyDescent="0.25">
      <c r="A451" t="s">
        <v>1741</v>
      </c>
      <c r="B451" t="s">
        <v>101</v>
      </c>
      <c r="C451">
        <v>12</v>
      </c>
      <c r="D451" t="s">
        <v>132</v>
      </c>
      <c r="E451" t="s">
        <v>132</v>
      </c>
      <c r="F451" t="s">
        <v>132</v>
      </c>
      <c r="G451">
        <v>0</v>
      </c>
      <c r="H451" t="s">
        <v>79</v>
      </c>
      <c r="I451">
        <v>2</v>
      </c>
      <c r="J451" t="str">
        <f>HYPERLINK("https://www.eliteprospects.com/player/689837/noah-jones")</f>
        <v>https://www.eliteprospects.com/player/689837/noah-jones</v>
      </c>
      <c r="K451" t="s">
        <v>27</v>
      </c>
      <c r="L451" t="s">
        <v>28</v>
      </c>
      <c r="M451" t="s">
        <v>1296</v>
      </c>
      <c r="N451">
        <v>1</v>
      </c>
      <c r="O451" t="s">
        <v>71</v>
      </c>
      <c r="P451">
        <v>0</v>
      </c>
      <c r="Q451" t="s">
        <v>1488</v>
      </c>
      <c r="R451">
        <v>0</v>
      </c>
      <c r="S451">
        <v>0</v>
      </c>
      <c r="T451">
        <v>0</v>
      </c>
      <c r="U451">
        <v>0</v>
      </c>
      <c r="V451">
        <v>0</v>
      </c>
    </row>
    <row r="452" spans="1:22" x14ac:dyDescent="0.25">
      <c r="A452" t="s">
        <v>1742</v>
      </c>
      <c r="B452" t="s">
        <v>222</v>
      </c>
      <c r="C452">
        <v>12</v>
      </c>
      <c r="D452" t="s">
        <v>132</v>
      </c>
      <c r="E452" t="s">
        <v>132</v>
      </c>
      <c r="F452" t="s">
        <v>132</v>
      </c>
      <c r="G452">
        <v>0</v>
      </c>
      <c r="H452" t="s">
        <v>79</v>
      </c>
      <c r="I452">
        <v>-3</v>
      </c>
      <c r="J452" t="str">
        <f>HYPERLINK("https://www.eliteprospects.com/player/478684/bayard-hall")</f>
        <v>https://www.eliteprospects.com/player/478684/bayard-hall</v>
      </c>
      <c r="K452" t="s">
        <v>27</v>
      </c>
      <c r="L452" t="s">
        <v>28</v>
      </c>
      <c r="M452" t="s">
        <v>1296</v>
      </c>
      <c r="N452">
        <v>4</v>
      </c>
      <c r="O452" t="s">
        <v>30</v>
      </c>
      <c r="P452">
        <v>0</v>
      </c>
      <c r="Q452" t="s">
        <v>1488</v>
      </c>
      <c r="R452">
        <v>0</v>
      </c>
      <c r="S452">
        <v>0</v>
      </c>
      <c r="T452">
        <v>0</v>
      </c>
      <c r="U452">
        <v>0</v>
      </c>
      <c r="V452">
        <v>0</v>
      </c>
    </row>
    <row r="453" spans="1:22" x14ac:dyDescent="0.25">
      <c r="A453" t="s">
        <v>1743</v>
      </c>
      <c r="B453" t="s">
        <v>288</v>
      </c>
      <c r="C453">
        <v>12</v>
      </c>
      <c r="D453" t="s">
        <v>132</v>
      </c>
      <c r="E453" t="s">
        <v>132</v>
      </c>
      <c r="F453" t="s">
        <v>132</v>
      </c>
      <c r="G453">
        <v>0</v>
      </c>
      <c r="H453" t="s">
        <v>79</v>
      </c>
      <c r="I453">
        <v>-5</v>
      </c>
      <c r="J453" t="str">
        <f>HYPERLINK("https://www.eliteprospects.com/player/478622/dylan-gratton")</f>
        <v>https://www.eliteprospects.com/player/478622/dylan-gratton</v>
      </c>
      <c r="K453" t="s">
        <v>27</v>
      </c>
      <c r="L453" t="s">
        <v>28</v>
      </c>
      <c r="M453" t="s">
        <v>1296</v>
      </c>
      <c r="N453">
        <v>4</v>
      </c>
      <c r="O453" t="s">
        <v>30</v>
      </c>
      <c r="P453">
        <v>0</v>
      </c>
      <c r="Q453" t="s">
        <v>1488</v>
      </c>
      <c r="R453">
        <v>0</v>
      </c>
      <c r="S453">
        <v>0</v>
      </c>
      <c r="T453">
        <v>0</v>
      </c>
      <c r="U453">
        <v>0</v>
      </c>
      <c r="V453">
        <v>0</v>
      </c>
    </row>
    <row r="454" spans="1:22" x14ac:dyDescent="0.25">
      <c r="A454" t="s">
        <v>1744</v>
      </c>
      <c r="B454" t="s">
        <v>288</v>
      </c>
      <c r="C454">
        <v>12</v>
      </c>
      <c r="D454" t="s">
        <v>132</v>
      </c>
      <c r="E454" t="s">
        <v>132</v>
      </c>
      <c r="F454" t="s">
        <v>132</v>
      </c>
      <c r="G454">
        <v>0</v>
      </c>
      <c r="H454" t="s">
        <v>66</v>
      </c>
      <c r="I454">
        <v>-5</v>
      </c>
      <c r="J454" t="str">
        <f>HYPERLINK("https://www.eliteprospects.com/player/549060/p.j.-forgione")</f>
        <v>https://www.eliteprospects.com/player/549060/p.j.-forgione</v>
      </c>
      <c r="K454" t="s">
        <v>27</v>
      </c>
      <c r="L454" t="s">
        <v>28</v>
      </c>
      <c r="M454" t="s">
        <v>1296</v>
      </c>
      <c r="N454">
        <v>5</v>
      </c>
      <c r="O454" t="s">
        <v>147</v>
      </c>
      <c r="P454">
        <v>0</v>
      </c>
      <c r="Q454" t="s">
        <v>1488</v>
      </c>
      <c r="R454">
        <v>0</v>
      </c>
      <c r="S454">
        <v>0</v>
      </c>
      <c r="T454">
        <v>0</v>
      </c>
      <c r="U454">
        <v>0</v>
      </c>
      <c r="V454">
        <v>0</v>
      </c>
    </row>
    <row r="455" spans="1:22" x14ac:dyDescent="0.25">
      <c r="A455" t="s">
        <v>1745</v>
      </c>
      <c r="B455" t="s">
        <v>130</v>
      </c>
      <c r="C455">
        <v>12</v>
      </c>
      <c r="D455" t="s">
        <v>132</v>
      </c>
      <c r="E455" t="s">
        <v>132</v>
      </c>
      <c r="F455" t="s">
        <v>132</v>
      </c>
      <c r="G455">
        <v>0</v>
      </c>
      <c r="H455" t="s">
        <v>66</v>
      </c>
      <c r="I455">
        <v>-2</v>
      </c>
      <c r="J455" t="str">
        <f>HYPERLINK("https://www.eliteprospects.com/player/551572/matthew-campbell")</f>
        <v>https://www.eliteprospects.com/player/551572/matthew-campbell</v>
      </c>
      <c r="K455" t="s">
        <v>27</v>
      </c>
      <c r="L455" t="s">
        <v>28</v>
      </c>
      <c r="M455" t="s">
        <v>1296</v>
      </c>
      <c r="N455">
        <v>4</v>
      </c>
      <c r="O455" t="s">
        <v>30</v>
      </c>
      <c r="P455">
        <v>0</v>
      </c>
      <c r="Q455" t="s">
        <v>1488</v>
      </c>
      <c r="R455">
        <v>0</v>
      </c>
      <c r="S455">
        <v>0</v>
      </c>
      <c r="T455">
        <v>0</v>
      </c>
      <c r="U455">
        <v>0</v>
      </c>
      <c r="V455">
        <v>0</v>
      </c>
    </row>
    <row r="456" spans="1:22" x14ac:dyDescent="0.25">
      <c r="A456" t="s">
        <v>1746</v>
      </c>
      <c r="B456" t="s">
        <v>215</v>
      </c>
      <c r="C456">
        <v>12</v>
      </c>
      <c r="D456" t="s">
        <v>132</v>
      </c>
      <c r="E456" t="s">
        <v>132</v>
      </c>
      <c r="F456" t="s">
        <v>132</v>
      </c>
      <c r="G456">
        <v>0</v>
      </c>
      <c r="H456" t="s">
        <v>26</v>
      </c>
      <c r="I456">
        <v>-7</v>
      </c>
      <c r="J456" t="str">
        <f>HYPERLINK("https://www.eliteprospects.com/player/535818/evan-johnson")</f>
        <v>https://www.eliteprospects.com/player/535818/evan-johnson</v>
      </c>
      <c r="K456" t="s">
        <v>27</v>
      </c>
      <c r="L456" t="s">
        <v>28</v>
      </c>
      <c r="M456" t="s">
        <v>1296</v>
      </c>
      <c r="N456">
        <v>1</v>
      </c>
      <c r="O456" t="s">
        <v>71</v>
      </c>
      <c r="P456">
        <v>0</v>
      </c>
      <c r="Q456" t="s">
        <v>1488</v>
      </c>
      <c r="R456">
        <v>0</v>
      </c>
      <c r="S456">
        <v>0</v>
      </c>
      <c r="T456">
        <v>0</v>
      </c>
      <c r="U456">
        <v>0</v>
      </c>
      <c r="V456">
        <v>0</v>
      </c>
    </row>
    <row r="457" spans="1:22" x14ac:dyDescent="0.25">
      <c r="A457" t="s">
        <v>1747</v>
      </c>
      <c r="B457" t="s">
        <v>224</v>
      </c>
      <c r="C457">
        <v>13</v>
      </c>
      <c r="D457" t="s">
        <v>132</v>
      </c>
      <c r="E457" t="s">
        <v>132</v>
      </c>
      <c r="F457" t="s">
        <v>132</v>
      </c>
      <c r="G457">
        <v>0</v>
      </c>
      <c r="H457" t="s">
        <v>57</v>
      </c>
      <c r="I457">
        <v>-1</v>
      </c>
      <c r="J457" t="str">
        <f>HYPERLINK("https://www.eliteprospects.com/player/496438/j.r.-ashmead")</f>
        <v>https://www.eliteprospects.com/player/496438/j.r.-ashmead</v>
      </c>
      <c r="K457" t="s">
        <v>27</v>
      </c>
      <c r="L457" t="s">
        <v>28</v>
      </c>
      <c r="M457" t="s">
        <v>1296</v>
      </c>
      <c r="N457">
        <v>2</v>
      </c>
      <c r="O457" t="s">
        <v>43</v>
      </c>
      <c r="P457">
        <v>0</v>
      </c>
      <c r="Q457" t="s">
        <v>1488</v>
      </c>
      <c r="R457">
        <v>0</v>
      </c>
      <c r="S457">
        <v>0</v>
      </c>
      <c r="T457">
        <v>0</v>
      </c>
      <c r="U457">
        <v>0</v>
      </c>
      <c r="V457">
        <v>0</v>
      </c>
    </row>
    <row r="458" spans="1:22" x14ac:dyDescent="0.25">
      <c r="A458" t="s">
        <v>1748</v>
      </c>
      <c r="B458" t="s">
        <v>150</v>
      </c>
      <c r="C458">
        <v>13</v>
      </c>
      <c r="D458" t="s">
        <v>132</v>
      </c>
      <c r="E458" t="s">
        <v>132</v>
      </c>
      <c r="F458" t="s">
        <v>132</v>
      </c>
      <c r="G458">
        <v>0</v>
      </c>
      <c r="H458" t="s">
        <v>57</v>
      </c>
      <c r="I458">
        <v>-6</v>
      </c>
      <c r="J458" t="str">
        <f>HYPERLINK("https://www.eliteprospects.com/player/603640/chris-romaine")</f>
        <v>https://www.eliteprospects.com/player/603640/chris-romaine</v>
      </c>
      <c r="K458" t="s">
        <v>27</v>
      </c>
      <c r="L458" t="s">
        <v>28</v>
      </c>
      <c r="M458" t="s">
        <v>1296</v>
      </c>
      <c r="N458">
        <v>2</v>
      </c>
      <c r="O458" t="s">
        <v>43</v>
      </c>
      <c r="P458">
        <v>0</v>
      </c>
      <c r="Q458" t="s">
        <v>1488</v>
      </c>
      <c r="R458">
        <v>0</v>
      </c>
      <c r="S458">
        <v>0</v>
      </c>
      <c r="T458">
        <v>0</v>
      </c>
      <c r="U458">
        <v>0</v>
      </c>
      <c r="V458">
        <v>0</v>
      </c>
    </row>
    <row r="459" spans="1:22" x14ac:dyDescent="0.25">
      <c r="A459" t="s">
        <v>1749</v>
      </c>
      <c r="B459" t="s">
        <v>103</v>
      </c>
      <c r="C459">
        <v>14</v>
      </c>
      <c r="D459" t="s">
        <v>132</v>
      </c>
      <c r="E459" t="s">
        <v>132</v>
      </c>
      <c r="F459" t="s">
        <v>132</v>
      </c>
      <c r="G459">
        <v>0</v>
      </c>
      <c r="H459" t="s">
        <v>132</v>
      </c>
      <c r="I459">
        <v>-2</v>
      </c>
      <c r="J459" t="str">
        <f>HYPERLINK("https://www.eliteprospects.com/player/723502/coleson-hanrahan")</f>
        <v>https://www.eliteprospects.com/player/723502/coleson-hanrahan</v>
      </c>
      <c r="K459" t="s">
        <v>27</v>
      </c>
      <c r="L459" t="s">
        <v>28</v>
      </c>
      <c r="M459" t="s">
        <v>1296</v>
      </c>
      <c r="N459">
        <v>1</v>
      </c>
      <c r="O459" t="s">
        <v>71</v>
      </c>
      <c r="P459">
        <v>0</v>
      </c>
      <c r="Q459" t="s">
        <v>1488</v>
      </c>
      <c r="R459">
        <v>0</v>
      </c>
      <c r="S459">
        <v>0</v>
      </c>
      <c r="T459">
        <v>0</v>
      </c>
      <c r="U459">
        <v>0</v>
      </c>
      <c r="V459">
        <v>0</v>
      </c>
    </row>
    <row r="460" spans="1:22" x14ac:dyDescent="0.25">
      <c r="A460" t="s">
        <v>1750</v>
      </c>
      <c r="B460" t="s">
        <v>167</v>
      </c>
      <c r="C460">
        <v>14</v>
      </c>
      <c r="D460" t="s">
        <v>132</v>
      </c>
      <c r="E460" t="s">
        <v>132</v>
      </c>
      <c r="F460" t="s">
        <v>132</v>
      </c>
      <c r="G460">
        <v>0</v>
      </c>
      <c r="H460" t="s">
        <v>26</v>
      </c>
      <c r="I460">
        <v>-8</v>
      </c>
      <c r="J460" t="str">
        <f>HYPERLINK("https://www.eliteprospects.com/player/705815/sean-keohane")</f>
        <v>https://www.eliteprospects.com/player/705815/sean-keohane</v>
      </c>
      <c r="K460" t="s">
        <v>27</v>
      </c>
      <c r="L460" t="s">
        <v>28</v>
      </c>
      <c r="M460" t="s">
        <v>1296</v>
      </c>
      <c r="N460">
        <v>2</v>
      </c>
      <c r="O460" t="s">
        <v>43</v>
      </c>
      <c r="P460">
        <v>0</v>
      </c>
      <c r="Q460" t="s">
        <v>1488</v>
      </c>
      <c r="R460">
        <v>0</v>
      </c>
      <c r="S460">
        <v>0</v>
      </c>
      <c r="T460">
        <v>0</v>
      </c>
      <c r="U460">
        <v>0</v>
      </c>
      <c r="V460">
        <v>0</v>
      </c>
    </row>
    <row r="461" spans="1:22" x14ac:dyDescent="0.25">
      <c r="A461" t="s">
        <v>1751</v>
      </c>
      <c r="B461" t="s">
        <v>68</v>
      </c>
      <c r="C461">
        <v>15</v>
      </c>
      <c r="D461" t="s">
        <v>132</v>
      </c>
      <c r="E461" t="s">
        <v>132</v>
      </c>
      <c r="F461" t="s">
        <v>132</v>
      </c>
      <c r="G461">
        <v>0</v>
      </c>
      <c r="H461" t="s">
        <v>132</v>
      </c>
      <c r="I461">
        <v>-3</v>
      </c>
      <c r="J461" t="str">
        <f>HYPERLINK("https://www.eliteprospects.com/player/639712/brady-schultz")</f>
        <v>https://www.eliteprospects.com/player/639712/brady-schultz</v>
      </c>
      <c r="K461" t="s">
        <v>27</v>
      </c>
      <c r="L461" t="s">
        <v>28</v>
      </c>
      <c r="M461" t="s">
        <v>1296</v>
      </c>
      <c r="N461">
        <v>5</v>
      </c>
      <c r="O461" t="s">
        <v>207</v>
      </c>
      <c r="P461">
        <v>0</v>
      </c>
      <c r="Q461" t="s">
        <v>1488</v>
      </c>
      <c r="R461">
        <v>0</v>
      </c>
      <c r="S461">
        <v>0</v>
      </c>
      <c r="T461">
        <v>0</v>
      </c>
      <c r="U461">
        <v>0</v>
      </c>
      <c r="V461">
        <v>0</v>
      </c>
    </row>
    <row r="462" spans="1:22" x14ac:dyDescent="0.25">
      <c r="A462" t="s">
        <v>1752</v>
      </c>
      <c r="B462" t="s">
        <v>124</v>
      </c>
      <c r="C462">
        <v>15</v>
      </c>
      <c r="D462" t="s">
        <v>132</v>
      </c>
      <c r="E462" t="s">
        <v>132</v>
      </c>
      <c r="F462" t="s">
        <v>132</v>
      </c>
      <c r="G462">
        <v>0</v>
      </c>
      <c r="H462" t="s">
        <v>66</v>
      </c>
      <c r="I462">
        <v>-5</v>
      </c>
      <c r="J462" t="str">
        <f>HYPERLINK("https://www.eliteprospects.com/player/201720/nick-donato")</f>
        <v>https://www.eliteprospects.com/player/201720/nick-donato</v>
      </c>
      <c r="K462" t="s">
        <v>27</v>
      </c>
      <c r="L462" t="s">
        <v>28</v>
      </c>
      <c r="M462" t="s">
        <v>1296</v>
      </c>
      <c r="N462">
        <v>4</v>
      </c>
      <c r="O462" t="s">
        <v>30</v>
      </c>
      <c r="P462">
        <v>0</v>
      </c>
      <c r="Q462" t="s">
        <v>1488</v>
      </c>
      <c r="R462">
        <v>0</v>
      </c>
      <c r="S462">
        <v>0</v>
      </c>
      <c r="T462">
        <v>0</v>
      </c>
      <c r="U462">
        <v>0</v>
      </c>
      <c r="V462">
        <v>0</v>
      </c>
    </row>
    <row r="463" spans="1:22" x14ac:dyDescent="0.25">
      <c r="A463" t="s">
        <v>1753</v>
      </c>
      <c r="B463" t="s">
        <v>362</v>
      </c>
      <c r="C463">
        <v>15</v>
      </c>
      <c r="D463" t="s">
        <v>132</v>
      </c>
      <c r="E463" t="s">
        <v>132</v>
      </c>
      <c r="F463" t="s">
        <v>132</v>
      </c>
      <c r="G463">
        <v>0</v>
      </c>
      <c r="H463" t="s">
        <v>66</v>
      </c>
      <c r="I463">
        <v>-4</v>
      </c>
      <c r="J463" t="str">
        <f>HYPERLINK("https://www.eliteprospects.com/player/477550/jaryd-sych")</f>
        <v>https://www.eliteprospects.com/player/477550/jaryd-sych</v>
      </c>
      <c r="K463" t="s">
        <v>27</v>
      </c>
      <c r="L463" t="s">
        <v>28</v>
      </c>
      <c r="M463" t="s">
        <v>1296</v>
      </c>
      <c r="N463">
        <v>3</v>
      </c>
      <c r="O463" t="s">
        <v>74</v>
      </c>
      <c r="P463">
        <v>0</v>
      </c>
      <c r="Q463" t="s">
        <v>1488</v>
      </c>
      <c r="R463">
        <v>0</v>
      </c>
      <c r="S463">
        <v>0</v>
      </c>
      <c r="T463">
        <v>0</v>
      </c>
      <c r="U463">
        <v>0</v>
      </c>
      <c r="V463">
        <v>0</v>
      </c>
    </row>
    <row r="464" spans="1:22" x14ac:dyDescent="0.25">
      <c r="A464" t="s">
        <v>1754</v>
      </c>
      <c r="B464" t="s">
        <v>234</v>
      </c>
      <c r="C464">
        <v>15</v>
      </c>
      <c r="D464" t="s">
        <v>132</v>
      </c>
      <c r="E464" t="s">
        <v>132</v>
      </c>
      <c r="F464" t="s">
        <v>132</v>
      </c>
      <c r="G464">
        <v>0</v>
      </c>
      <c r="H464" t="s">
        <v>57</v>
      </c>
      <c r="I464">
        <v>-2</v>
      </c>
      <c r="J464" t="str">
        <f>HYPERLINK("https://www.eliteprospects.com/player/499084/nick-traggio")</f>
        <v>https://www.eliteprospects.com/player/499084/nick-traggio</v>
      </c>
      <c r="K464" t="s">
        <v>27</v>
      </c>
      <c r="L464" t="s">
        <v>28</v>
      </c>
      <c r="M464" t="s">
        <v>1296</v>
      </c>
      <c r="N464">
        <v>4</v>
      </c>
      <c r="O464" t="s">
        <v>30</v>
      </c>
      <c r="P464">
        <v>0</v>
      </c>
      <c r="Q464" t="s">
        <v>1488</v>
      </c>
      <c r="R464">
        <v>0</v>
      </c>
      <c r="S464">
        <v>0</v>
      </c>
      <c r="T464">
        <v>0</v>
      </c>
      <c r="U464">
        <v>0</v>
      </c>
      <c r="V464">
        <v>0</v>
      </c>
    </row>
    <row r="465" spans="1:22" x14ac:dyDescent="0.25">
      <c r="A465" t="s">
        <v>1755</v>
      </c>
      <c r="B465" t="s">
        <v>362</v>
      </c>
      <c r="C465">
        <v>15</v>
      </c>
      <c r="D465" t="s">
        <v>132</v>
      </c>
      <c r="E465" t="s">
        <v>132</v>
      </c>
      <c r="F465" t="s">
        <v>132</v>
      </c>
      <c r="G465">
        <v>0</v>
      </c>
      <c r="H465" t="s">
        <v>32</v>
      </c>
      <c r="I465">
        <v>-9</v>
      </c>
      <c r="J465" t="str">
        <f>HYPERLINK("https://www.eliteprospects.com/player/675929/kaden-muir")</f>
        <v>https://www.eliteprospects.com/player/675929/kaden-muir</v>
      </c>
      <c r="K465" t="s">
        <v>27</v>
      </c>
      <c r="L465" t="s">
        <v>28</v>
      </c>
      <c r="M465" t="s">
        <v>1296</v>
      </c>
      <c r="N465">
        <v>2</v>
      </c>
      <c r="O465" t="s">
        <v>43</v>
      </c>
      <c r="P465">
        <v>0</v>
      </c>
      <c r="Q465" t="s">
        <v>1488</v>
      </c>
      <c r="R465">
        <v>0</v>
      </c>
      <c r="S465">
        <v>0</v>
      </c>
      <c r="T465">
        <v>0</v>
      </c>
      <c r="U465">
        <v>0</v>
      </c>
      <c r="V465">
        <v>0</v>
      </c>
    </row>
    <row r="466" spans="1:22" x14ac:dyDescent="0.25">
      <c r="A466" t="s">
        <v>1756</v>
      </c>
      <c r="B466" t="s">
        <v>37</v>
      </c>
      <c r="C466">
        <v>16</v>
      </c>
      <c r="D466" t="s">
        <v>132</v>
      </c>
      <c r="E466" t="s">
        <v>132</v>
      </c>
      <c r="F466" t="s">
        <v>132</v>
      </c>
      <c r="G466">
        <v>0</v>
      </c>
      <c r="H466" t="s">
        <v>79</v>
      </c>
      <c r="I466">
        <v>-1</v>
      </c>
      <c r="J466" t="str">
        <f>HYPERLINK("https://www.eliteprospects.com/player/339291/riley-bodnarchuk")</f>
        <v>https://www.eliteprospects.com/player/339291/riley-bodnarchuk</v>
      </c>
      <c r="K466" t="s">
        <v>27</v>
      </c>
      <c r="L466" t="s">
        <v>28</v>
      </c>
      <c r="M466" t="s">
        <v>1296</v>
      </c>
      <c r="N466">
        <v>4</v>
      </c>
      <c r="O466" t="s">
        <v>30</v>
      </c>
      <c r="P466">
        <v>0</v>
      </c>
      <c r="Q466" t="s">
        <v>1488</v>
      </c>
      <c r="R466">
        <v>0</v>
      </c>
      <c r="S466">
        <v>0</v>
      </c>
      <c r="T466">
        <v>0</v>
      </c>
      <c r="U466">
        <v>0</v>
      </c>
      <c r="V466">
        <v>0</v>
      </c>
    </row>
    <row r="467" spans="1:22" x14ac:dyDescent="0.25">
      <c r="A467" t="s">
        <v>1757</v>
      </c>
      <c r="B467" t="s">
        <v>222</v>
      </c>
      <c r="C467">
        <v>16</v>
      </c>
      <c r="D467" t="s">
        <v>132</v>
      </c>
      <c r="E467" t="s">
        <v>132</v>
      </c>
      <c r="F467" t="s">
        <v>132</v>
      </c>
      <c r="G467">
        <v>0</v>
      </c>
      <c r="H467" t="s">
        <v>66</v>
      </c>
      <c r="I467">
        <v>-1</v>
      </c>
      <c r="J467" t="str">
        <f>HYPERLINK("https://www.eliteprospects.com/player/499252/tucker-hartmann")</f>
        <v>https://www.eliteprospects.com/player/499252/tucker-hartmann</v>
      </c>
      <c r="K467" t="s">
        <v>27</v>
      </c>
      <c r="L467" t="s">
        <v>28</v>
      </c>
      <c r="M467" t="s">
        <v>1296</v>
      </c>
      <c r="N467">
        <v>4</v>
      </c>
      <c r="O467" t="s">
        <v>30</v>
      </c>
      <c r="P467">
        <v>0</v>
      </c>
      <c r="Q467" t="s">
        <v>1488</v>
      </c>
      <c r="R467">
        <v>0</v>
      </c>
      <c r="S467">
        <v>0</v>
      </c>
      <c r="T467">
        <v>0</v>
      </c>
      <c r="U467">
        <v>0</v>
      </c>
      <c r="V467">
        <v>0</v>
      </c>
    </row>
    <row r="468" spans="1:22" x14ac:dyDescent="0.25">
      <c r="A468" t="s">
        <v>1758</v>
      </c>
      <c r="B468" t="s">
        <v>362</v>
      </c>
      <c r="C468">
        <v>17</v>
      </c>
      <c r="D468" t="s">
        <v>132</v>
      </c>
      <c r="E468" t="s">
        <v>132</v>
      </c>
      <c r="F468" t="s">
        <v>132</v>
      </c>
      <c r="G468">
        <v>0</v>
      </c>
      <c r="H468" t="s">
        <v>57</v>
      </c>
      <c r="I468">
        <v>-14</v>
      </c>
      <c r="J468" t="str">
        <f>HYPERLINK("https://www.eliteprospects.com/player/364222/caleb-price")</f>
        <v>https://www.eliteprospects.com/player/364222/caleb-price</v>
      </c>
      <c r="K468" t="s">
        <v>27</v>
      </c>
      <c r="L468" t="s">
        <v>28</v>
      </c>
      <c r="M468" t="s">
        <v>1296</v>
      </c>
      <c r="N468">
        <v>4</v>
      </c>
      <c r="O468" t="s">
        <v>30</v>
      </c>
      <c r="P468">
        <v>0</v>
      </c>
      <c r="Q468" t="s">
        <v>1488</v>
      </c>
      <c r="R468">
        <v>0</v>
      </c>
      <c r="S468">
        <v>0</v>
      </c>
      <c r="T468">
        <v>0</v>
      </c>
      <c r="U468">
        <v>0</v>
      </c>
      <c r="V468">
        <v>0</v>
      </c>
    </row>
    <row r="469" spans="1:22" x14ac:dyDescent="0.25">
      <c r="A469" t="s">
        <v>1759</v>
      </c>
      <c r="B469" t="s">
        <v>195</v>
      </c>
      <c r="C469">
        <v>18</v>
      </c>
      <c r="D469" t="s">
        <v>132</v>
      </c>
      <c r="E469" t="s">
        <v>132</v>
      </c>
      <c r="F469" t="s">
        <v>132</v>
      </c>
      <c r="G469">
        <v>0</v>
      </c>
      <c r="H469" t="s">
        <v>23</v>
      </c>
      <c r="I469">
        <v>-7</v>
      </c>
      <c r="J469" t="str">
        <f>HYPERLINK("https://www.eliteprospects.com/player/851367/carter-amico")</f>
        <v>https://www.eliteprospects.com/player/851367/carter-amico</v>
      </c>
      <c r="K469" t="s">
        <v>27</v>
      </c>
      <c r="L469" t="s">
        <v>28</v>
      </c>
      <c r="M469" t="s">
        <v>1296</v>
      </c>
      <c r="N469">
        <v>1</v>
      </c>
      <c r="O469" t="s">
        <v>71</v>
      </c>
      <c r="P469">
        <v>0</v>
      </c>
      <c r="Q469" t="s">
        <v>1488</v>
      </c>
      <c r="R469">
        <v>0</v>
      </c>
      <c r="S469">
        <v>0</v>
      </c>
      <c r="T469">
        <v>0</v>
      </c>
      <c r="U469">
        <v>0</v>
      </c>
      <c r="V469">
        <v>0</v>
      </c>
    </row>
    <row r="470" spans="1:22" x14ac:dyDescent="0.25">
      <c r="A470" t="s">
        <v>1760</v>
      </c>
      <c r="B470" t="s">
        <v>312</v>
      </c>
      <c r="C470">
        <v>18</v>
      </c>
      <c r="D470" t="s">
        <v>132</v>
      </c>
      <c r="E470" t="s">
        <v>132</v>
      </c>
      <c r="F470" t="s">
        <v>132</v>
      </c>
      <c r="G470">
        <v>0</v>
      </c>
      <c r="H470" t="s">
        <v>55</v>
      </c>
      <c r="I470">
        <v>-9</v>
      </c>
      <c r="J470" t="str">
        <f>HYPERLINK("https://www.eliteprospects.com/player/551352/john-paul-steele")</f>
        <v>https://www.eliteprospects.com/player/551352/john-paul-steele</v>
      </c>
      <c r="K470" t="s">
        <v>27</v>
      </c>
      <c r="L470" t="s">
        <v>28</v>
      </c>
      <c r="M470" t="s">
        <v>1296</v>
      </c>
      <c r="N470">
        <v>2</v>
      </c>
      <c r="O470" t="s">
        <v>43</v>
      </c>
      <c r="P470">
        <v>0</v>
      </c>
      <c r="Q470" t="s">
        <v>1488</v>
      </c>
      <c r="R470">
        <v>0</v>
      </c>
      <c r="S470">
        <v>0</v>
      </c>
      <c r="T470">
        <v>0</v>
      </c>
      <c r="U470">
        <v>0</v>
      </c>
      <c r="V470">
        <v>0</v>
      </c>
    </row>
    <row r="471" spans="1:22" x14ac:dyDescent="0.25">
      <c r="A471" t="s">
        <v>1761</v>
      </c>
      <c r="B471" t="s">
        <v>177</v>
      </c>
      <c r="C471">
        <v>19</v>
      </c>
      <c r="D471" t="s">
        <v>132</v>
      </c>
      <c r="E471" t="s">
        <v>132</v>
      </c>
      <c r="F471" t="s">
        <v>132</v>
      </c>
      <c r="G471">
        <v>0</v>
      </c>
      <c r="H471" t="s">
        <v>57</v>
      </c>
      <c r="I471">
        <v>-9</v>
      </c>
      <c r="J471" t="str">
        <f>HYPERLINK("https://www.eliteprospects.com/player/477336/ross-roloson")</f>
        <v>https://www.eliteprospects.com/player/477336/ross-roloson</v>
      </c>
      <c r="K471" t="s">
        <v>27</v>
      </c>
      <c r="L471" t="s">
        <v>28</v>
      </c>
      <c r="M471" t="s">
        <v>1296</v>
      </c>
      <c r="N471">
        <v>3</v>
      </c>
      <c r="O471" t="s">
        <v>74</v>
      </c>
      <c r="P471">
        <v>0</v>
      </c>
      <c r="Q471" t="s">
        <v>1488</v>
      </c>
      <c r="R471">
        <v>0</v>
      </c>
      <c r="S471">
        <v>0</v>
      </c>
      <c r="T471">
        <v>0</v>
      </c>
      <c r="U471">
        <v>0</v>
      </c>
      <c r="V471">
        <v>0</v>
      </c>
    </row>
    <row r="472" spans="1:22" x14ac:dyDescent="0.25">
      <c r="A472" t="s">
        <v>1762</v>
      </c>
      <c r="B472" t="s">
        <v>255</v>
      </c>
      <c r="C472">
        <v>20</v>
      </c>
      <c r="D472" t="s">
        <v>132</v>
      </c>
      <c r="E472" t="s">
        <v>132</v>
      </c>
      <c r="F472" t="s">
        <v>132</v>
      </c>
      <c r="G472">
        <v>0</v>
      </c>
      <c r="H472" t="s">
        <v>66</v>
      </c>
      <c r="I472">
        <v>-9</v>
      </c>
      <c r="J472" t="str">
        <f>HYPERLINK("https://www.eliteprospects.com/player/655465/devon-carlstrom")</f>
        <v>https://www.eliteprospects.com/player/655465/devon-carlstrom</v>
      </c>
      <c r="K472" t="s">
        <v>27</v>
      </c>
      <c r="L472" t="s">
        <v>28</v>
      </c>
      <c r="M472" t="s">
        <v>1296</v>
      </c>
      <c r="N472">
        <v>3</v>
      </c>
      <c r="O472" t="s">
        <v>74</v>
      </c>
      <c r="P472">
        <v>0</v>
      </c>
      <c r="Q472" t="s">
        <v>1488</v>
      </c>
      <c r="R472">
        <v>0</v>
      </c>
      <c r="S472">
        <v>0</v>
      </c>
      <c r="T472">
        <v>0</v>
      </c>
      <c r="U472">
        <v>0</v>
      </c>
      <c r="V472">
        <v>0</v>
      </c>
    </row>
    <row r="473" spans="1:22" x14ac:dyDescent="0.25">
      <c r="A473" t="s">
        <v>1763</v>
      </c>
      <c r="B473" t="s">
        <v>180</v>
      </c>
      <c r="C473">
        <v>20</v>
      </c>
      <c r="D473" t="s">
        <v>132</v>
      </c>
      <c r="E473" t="s">
        <v>132</v>
      </c>
      <c r="F473" t="s">
        <v>132</v>
      </c>
      <c r="G473">
        <v>0</v>
      </c>
      <c r="H473" t="s">
        <v>26</v>
      </c>
      <c r="I473">
        <v>-17</v>
      </c>
      <c r="J473" t="str">
        <f>HYPERLINK("https://www.eliteprospects.com/player/512130/jimmy-jurcev")</f>
        <v>https://www.eliteprospects.com/player/512130/jimmy-jurcev</v>
      </c>
      <c r="K473" t="s">
        <v>27</v>
      </c>
      <c r="L473" t="s">
        <v>28</v>
      </c>
      <c r="M473" t="s">
        <v>1296</v>
      </c>
      <c r="N473">
        <v>2</v>
      </c>
      <c r="O473" t="s">
        <v>43</v>
      </c>
      <c r="P473">
        <v>0</v>
      </c>
      <c r="Q473" t="s">
        <v>1488</v>
      </c>
      <c r="R473">
        <v>0</v>
      </c>
      <c r="S473">
        <v>0</v>
      </c>
      <c r="T473">
        <v>0</v>
      </c>
      <c r="U473">
        <v>0</v>
      </c>
      <c r="V473">
        <v>0</v>
      </c>
    </row>
    <row r="474" spans="1:22" x14ac:dyDescent="0.25">
      <c r="A474" t="s">
        <v>1764</v>
      </c>
      <c r="B474" t="s">
        <v>22</v>
      </c>
      <c r="C474">
        <v>20</v>
      </c>
      <c r="D474" t="s">
        <v>132</v>
      </c>
      <c r="E474" t="s">
        <v>132</v>
      </c>
      <c r="F474" t="s">
        <v>132</v>
      </c>
      <c r="G474">
        <v>0</v>
      </c>
      <c r="H474" t="s">
        <v>55</v>
      </c>
      <c r="I474">
        <v>0</v>
      </c>
      <c r="J474" t="str">
        <f>HYPERLINK("https://www.eliteprospects.com/player/863700/lincoln-kuehne")</f>
        <v>https://www.eliteprospects.com/player/863700/lincoln-kuehne</v>
      </c>
      <c r="K474" t="s">
        <v>27</v>
      </c>
      <c r="L474" t="s">
        <v>28</v>
      </c>
      <c r="M474" t="s">
        <v>1296</v>
      </c>
      <c r="N474">
        <v>1</v>
      </c>
      <c r="O474" t="s">
        <v>71</v>
      </c>
      <c r="P474">
        <v>0</v>
      </c>
      <c r="Q474" t="s">
        <v>1488</v>
      </c>
      <c r="R474">
        <v>0</v>
      </c>
      <c r="S474">
        <v>0</v>
      </c>
      <c r="T474">
        <v>0</v>
      </c>
      <c r="U474">
        <v>0</v>
      </c>
      <c r="V474">
        <v>0</v>
      </c>
    </row>
    <row r="475" spans="1:22" x14ac:dyDescent="0.25">
      <c r="A475" t="s">
        <v>1765</v>
      </c>
      <c r="B475" t="s">
        <v>215</v>
      </c>
      <c r="C475">
        <v>21</v>
      </c>
      <c r="D475" t="s">
        <v>132</v>
      </c>
      <c r="E475" t="s">
        <v>132</v>
      </c>
      <c r="F475" t="s">
        <v>132</v>
      </c>
      <c r="G475">
        <v>0</v>
      </c>
      <c r="H475" t="s">
        <v>57</v>
      </c>
      <c r="I475">
        <v>-12</v>
      </c>
      <c r="J475" t="str">
        <f>HYPERLINK("https://www.eliteprospects.com/player/290337/nicolas-ardanaz")</f>
        <v>https://www.eliteprospects.com/player/290337/nicolas-ardanaz</v>
      </c>
      <c r="K475" t="s">
        <v>27</v>
      </c>
      <c r="L475" t="s">
        <v>28</v>
      </c>
      <c r="M475" t="s">
        <v>1296</v>
      </c>
      <c r="N475">
        <v>4</v>
      </c>
      <c r="O475" t="s">
        <v>30</v>
      </c>
      <c r="P475">
        <v>0</v>
      </c>
      <c r="Q475" t="s">
        <v>1488</v>
      </c>
      <c r="R475">
        <v>0</v>
      </c>
      <c r="S475">
        <v>0</v>
      </c>
      <c r="T475">
        <v>0</v>
      </c>
      <c r="U475">
        <v>0</v>
      </c>
      <c r="V475">
        <v>0</v>
      </c>
    </row>
    <row r="476" spans="1:22" x14ac:dyDescent="0.25">
      <c r="A476" t="s">
        <v>1766</v>
      </c>
      <c r="B476" t="s">
        <v>215</v>
      </c>
      <c r="C476">
        <v>23</v>
      </c>
      <c r="D476" t="s">
        <v>132</v>
      </c>
      <c r="E476" t="s">
        <v>132</v>
      </c>
      <c r="F476" t="s">
        <v>132</v>
      </c>
      <c r="G476">
        <v>0</v>
      </c>
      <c r="H476" t="s">
        <v>23</v>
      </c>
      <c r="I476">
        <v>-11</v>
      </c>
      <c r="J476" t="str">
        <f>HYPERLINK("https://www.eliteprospects.com/player/524857/zane-demsey")</f>
        <v>https://www.eliteprospects.com/player/524857/zane-demsey</v>
      </c>
      <c r="K476" t="s">
        <v>27</v>
      </c>
      <c r="L476" t="s">
        <v>28</v>
      </c>
      <c r="M476" t="s">
        <v>1296</v>
      </c>
      <c r="N476">
        <v>4</v>
      </c>
      <c r="O476" t="s">
        <v>30</v>
      </c>
      <c r="P476">
        <v>0</v>
      </c>
      <c r="Q476" t="s">
        <v>1488</v>
      </c>
      <c r="R476">
        <v>0</v>
      </c>
      <c r="S476">
        <v>0</v>
      </c>
      <c r="T476">
        <v>0</v>
      </c>
      <c r="U476">
        <v>0</v>
      </c>
      <c r="V476">
        <v>0</v>
      </c>
    </row>
    <row r="477" spans="1:22" x14ac:dyDescent="0.25">
      <c r="A477" t="s">
        <v>1767</v>
      </c>
      <c r="B477" t="s">
        <v>520</v>
      </c>
      <c r="C477">
        <v>41</v>
      </c>
      <c r="D477" t="s">
        <v>45</v>
      </c>
      <c r="E477" t="s">
        <v>518</v>
      </c>
      <c r="F477" t="s">
        <v>136</v>
      </c>
      <c r="G477">
        <v>1.1200000000000001</v>
      </c>
      <c r="H477" t="s">
        <v>33</v>
      </c>
      <c r="I477">
        <v>20</v>
      </c>
      <c r="J477" t="str">
        <f>HYPERLINK("https://www.eliteprospects.com/player/617221/carson-woodall")</f>
        <v>https://www.eliteprospects.com/player/617221/carson-woodall</v>
      </c>
      <c r="K477" t="s">
        <v>27</v>
      </c>
      <c r="L477" t="s">
        <v>485</v>
      </c>
      <c r="M477" t="s">
        <v>1296</v>
      </c>
      <c r="N477">
        <v>4</v>
      </c>
      <c r="O477" t="s">
        <v>486</v>
      </c>
      <c r="P477">
        <v>0.16</v>
      </c>
      <c r="Q477" t="s">
        <v>1300</v>
      </c>
      <c r="R477">
        <v>42.9</v>
      </c>
      <c r="S477">
        <v>14.3</v>
      </c>
      <c r="T477">
        <v>7.1</v>
      </c>
      <c r="U477">
        <v>7.1</v>
      </c>
      <c r="V477">
        <v>28.6</v>
      </c>
    </row>
    <row r="478" spans="1:22" x14ac:dyDescent="0.25">
      <c r="A478" t="s">
        <v>1768</v>
      </c>
      <c r="B478" t="s">
        <v>510</v>
      </c>
      <c r="C478">
        <v>34</v>
      </c>
      <c r="D478" t="s">
        <v>41</v>
      </c>
      <c r="E478" t="s">
        <v>84</v>
      </c>
      <c r="F478" t="s">
        <v>53</v>
      </c>
      <c r="G478">
        <v>1.1200000000000001</v>
      </c>
      <c r="H478" t="s">
        <v>40</v>
      </c>
      <c r="I478">
        <v>26</v>
      </c>
      <c r="J478" t="str">
        <f>HYPERLINK("https://www.eliteprospects.com/player/576955/chase-reid")</f>
        <v>https://www.eliteprospects.com/player/576955/chase-reid</v>
      </c>
      <c r="K478" t="s">
        <v>27</v>
      </c>
      <c r="L478" t="s">
        <v>485</v>
      </c>
      <c r="M478" t="s">
        <v>1296</v>
      </c>
      <c r="N478">
        <v>2</v>
      </c>
      <c r="O478" t="s">
        <v>501</v>
      </c>
      <c r="P478">
        <v>0.16</v>
      </c>
      <c r="Q478" t="s">
        <v>1300</v>
      </c>
      <c r="R478">
        <v>42.9</v>
      </c>
      <c r="S478">
        <v>14.3</v>
      </c>
      <c r="T478">
        <v>7.1</v>
      </c>
      <c r="U478">
        <v>7.1</v>
      </c>
      <c r="V478">
        <v>28.6</v>
      </c>
    </row>
    <row r="479" spans="1:22" x14ac:dyDescent="0.25">
      <c r="A479" t="s">
        <v>1769</v>
      </c>
      <c r="B479" t="s">
        <v>520</v>
      </c>
      <c r="C479">
        <v>35</v>
      </c>
      <c r="D479" t="s">
        <v>69</v>
      </c>
      <c r="E479" t="s">
        <v>125</v>
      </c>
      <c r="F479" t="s">
        <v>518</v>
      </c>
      <c r="G479">
        <v>1.06</v>
      </c>
      <c r="H479" t="s">
        <v>32</v>
      </c>
      <c r="I479">
        <v>13</v>
      </c>
      <c r="J479" t="str">
        <f>HYPERLINK("https://www.eliteprospects.com/player/597708/anthony-cristoforo")</f>
        <v>https://www.eliteprospects.com/player/597708/anthony-cristoforo</v>
      </c>
      <c r="K479" t="s">
        <v>27</v>
      </c>
      <c r="L479" t="s">
        <v>485</v>
      </c>
      <c r="M479" t="s">
        <v>1296</v>
      </c>
      <c r="N479">
        <v>4</v>
      </c>
      <c r="O479" t="s">
        <v>486</v>
      </c>
      <c r="P479">
        <v>0.15</v>
      </c>
      <c r="Q479" t="s">
        <v>1309</v>
      </c>
      <c r="R479">
        <v>10</v>
      </c>
      <c r="S479">
        <v>10</v>
      </c>
      <c r="T479">
        <v>20</v>
      </c>
      <c r="U479">
        <v>20</v>
      </c>
      <c r="V479">
        <v>40</v>
      </c>
    </row>
    <row r="480" spans="1:22" x14ac:dyDescent="0.25">
      <c r="A480" t="s">
        <v>1770</v>
      </c>
      <c r="B480" t="s">
        <v>515</v>
      </c>
      <c r="C480">
        <v>30</v>
      </c>
      <c r="D480" t="s">
        <v>33</v>
      </c>
      <c r="E480" t="s">
        <v>41</v>
      </c>
      <c r="F480" t="s">
        <v>280</v>
      </c>
      <c r="G480">
        <v>1.2</v>
      </c>
      <c r="H480" t="s">
        <v>513</v>
      </c>
      <c r="I480">
        <v>24</v>
      </c>
      <c r="J480" t="str">
        <f>HYPERLINK("https://www.eliteprospects.com/player/911129/kashawn-aitcheson")</f>
        <v>https://www.eliteprospects.com/player/911129/kashawn-aitcheson</v>
      </c>
      <c r="K480" t="s">
        <v>27</v>
      </c>
      <c r="L480" t="s">
        <v>485</v>
      </c>
      <c r="M480" t="s">
        <v>1296</v>
      </c>
      <c r="N480">
        <v>4</v>
      </c>
      <c r="O480" t="s">
        <v>486</v>
      </c>
      <c r="P480">
        <v>0.17</v>
      </c>
      <c r="Q480" t="s">
        <v>1300</v>
      </c>
      <c r="R480">
        <v>42.9</v>
      </c>
      <c r="S480">
        <v>14.3</v>
      </c>
      <c r="T480">
        <v>7.1</v>
      </c>
      <c r="U480">
        <v>7.1</v>
      </c>
      <c r="V480">
        <v>28.6</v>
      </c>
    </row>
    <row r="481" spans="1:22" x14ac:dyDescent="0.25">
      <c r="A481" t="s">
        <v>1771</v>
      </c>
      <c r="B481" t="s">
        <v>493</v>
      </c>
      <c r="C481">
        <v>28</v>
      </c>
      <c r="D481" t="s">
        <v>65</v>
      </c>
      <c r="E481" t="s">
        <v>24</v>
      </c>
      <c r="F481" t="s">
        <v>269</v>
      </c>
      <c r="G481">
        <v>1.18</v>
      </c>
      <c r="H481" t="s">
        <v>51</v>
      </c>
      <c r="I481">
        <v>23</v>
      </c>
      <c r="J481" t="str">
        <f>HYPERLINK("https://www.eliteprospects.com/player/755151/adam-ji%C5%99icek")</f>
        <v>https://www.eliteprospects.com/player/755151/adam-ji%C5%99icek</v>
      </c>
      <c r="K481" t="s">
        <v>27</v>
      </c>
      <c r="L481" t="s">
        <v>485</v>
      </c>
      <c r="M481" t="s">
        <v>1296</v>
      </c>
      <c r="N481">
        <v>2</v>
      </c>
      <c r="O481" t="s">
        <v>501</v>
      </c>
      <c r="P481">
        <v>0.17</v>
      </c>
      <c r="Q481" t="s">
        <v>1300</v>
      </c>
      <c r="R481">
        <v>42.9</v>
      </c>
      <c r="S481">
        <v>14.3</v>
      </c>
      <c r="T481">
        <v>7.1</v>
      </c>
      <c r="U481">
        <v>7.1</v>
      </c>
      <c r="V481">
        <v>28.6</v>
      </c>
    </row>
    <row r="482" spans="1:22" x14ac:dyDescent="0.25">
      <c r="A482" t="s">
        <v>1772</v>
      </c>
      <c r="B482" t="s">
        <v>496</v>
      </c>
      <c r="C482">
        <v>41</v>
      </c>
      <c r="D482" t="s">
        <v>78</v>
      </c>
      <c r="E482" t="s">
        <v>125</v>
      </c>
      <c r="F482" t="s">
        <v>269</v>
      </c>
      <c r="G482">
        <v>0.8</v>
      </c>
      <c r="H482" t="s">
        <v>265</v>
      </c>
      <c r="I482">
        <v>-5</v>
      </c>
      <c r="J482" t="str">
        <f>HYPERLINK("https://www.eliteprospects.com/player/747321/levi-harper")</f>
        <v>https://www.eliteprospects.com/player/747321/levi-harper</v>
      </c>
      <c r="K482" t="s">
        <v>27</v>
      </c>
      <c r="L482" t="s">
        <v>485</v>
      </c>
      <c r="M482" t="s">
        <v>1296</v>
      </c>
      <c r="N482">
        <v>1</v>
      </c>
      <c r="O482" t="s">
        <v>494</v>
      </c>
      <c r="P482">
        <v>0.12</v>
      </c>
      <c r="Q482" t="s">
        <v>1300</v>
      </c>
      <c r="R482">
        <v>40</v>
      </c>
      <c r="S482">
        <v>40</v>
      </c>
      <c r="T482">
        <v>0</v>
      </c>
      <c r="U482">
        <v>0</v>
      </c>
      <c r="V482">
        <v>20</v>
      </c>
    </row>
    <row r="483" spans="1:22" x14ac:dyDescent="0.25">
      <c r="A483" t="s">
        <v>1773</v>
      </c>
      <c r="B483" t="s">
        <v>521</v>
      </c>
      <c r="C483">
        <v>41</v>
      </c>
      <c r="D483" t="s">
        <v>140</v>
      </c>
      <c r="E483" t="s">
        <v>61</v>
      </c>
      <c r="F483" t="s">
        <v>40</v>
      </c>
      <c r="G483">
        <v>0.73</v>
      </c>
      <c r="H483" t="s">
        <v>55</v>
      </c>
      <c r="I483">
        <v>23</v>
      </c>
      <c r="J483" t="str">
        <f>HYPERLINK("https://www.eliteprospects.com/player/890491/kohyn-eshkawkogan")</f>
        <v>https://www.eliteprospects.com/player/890491/kohyn-eshkawkogan</v>
      </c>
      <c r="K483" t="s">
        <v>27</v>
      </c>
      <c r="L483" t="s">
        <v>485</v>
      </c>
      <c r="M483" t="s">
        <v>1296</v>
      </c>
      <c r="N483">
        <v>2</v>
      </c>
      <c r="O483" t="s">
        <v>501</v>
      </c>
      <c r="P483">
        <v>0.11</v>
      </c>
      <c r="Q483" t="s">
        <v>1309</v>
      </c>
      <c r="R483">
        <v>25</v>
      </c>
      <c r="S483">
        <v>25</v>
      </c>
      <c r="T483">
        <v>16.7</v>
      </c>
      <c r="U483">
        <v>8.3000000000000007</v>
      </c>
      <c r="V483">
        <v>25</v>
      </c>
    </row>
    <row r="484" spans="1:22" x14ac:dyDescent="0.25">
      <c r="A484" t="s">
        <v>1774</v>
      </c>
      <c r="B484" t="s">
        <v>504</v>
      </c>
      <c r="C484">
        <v>30</v>
      </c>
      <c r="D484" t="s">
        <v>45</v>
      </c>
      <c r="E484" t="s">
        <v>24</v>
      </c>
      <c r="F484" t="s">
        <v>46</v>
      </c>
      <c r="G484">
        <v>0.97</v>
      </c>
      <c r="H484" t="s">
        <v>38</v>
      </c>
      <c r="I484">
        <v>15</v>
      </c>
      <c r="J484" t="str">
        <f>HYPERLINK("https://www.eliteprospects.com/player/577216/cameron-reid")</f>
        <v>https://www.eliteprospects.com/player/577216/cameron-reid</v>
      </c>
      <c r="K484" t="s">
        <v>27</v>
      </c>
      <c r="L484" t="s">
        <v>485</v>
      </c>
      <c r="M484" t="s">
        <v>1296</v>
      </c>
      <c r="N484">
        <v>3</v>
      </c>
      <c r="O484" t="s">
        <v>492</v>
      </c>
      <c r="P484">
        <v>0.14000000000000001</v>
      </c>
      <c r="Q484" t="s">
        <v>1300</v>
      </c>
      <c r="R484">
        <v>42.9</v>
      </c>
      <c r="S484">
        <v>14.3</v>
      </c>
      <c r="T484">
        <v>7.1</v>
      </c>
      <c r="U484">
        <v>7.1</v>
      </c>
      <c r="V484">
        <v>28.6</v>
      </c>
    </row>
    <row r="485" spans="1:22" x14ac:dyDescent="0.25">
      <c r="A485" t="s">
        <v>1775</v>
      </c>
      <c r="B485" t="s">
        <v>488</v>
      </c>
      <c r="C485">
        <v>38</v>
      </c>
      <c r="D485" t="s">
        <v>45</v>
      </c>
      <c r="E485" t="s">
        <v>24</v>
      </c>
      <c r="F485" t="s">
        <v>46</v>
      </c>
      <c r="G485">
        <v>0.76</v>
      </c>
      <c r="H485" t="s">
        <v>55</v>
      </c>
      <c r="I485">
        <v>-14</v>
      </c>
      <c r="J485" t="str">
        <f>HYPERLINK("https://www.eliteprospects.com/player/835568/artyom-gonchar")</f>
        <v>https://www.eliteprospects.com/player/835568/artyom-gonchar</v>
      </c>
      <c r="K485" t="s">
        <v>27</v>
      </c>
      <c r="L485" t="s">
        <v>485</v>
      </c>
      <c r="M485" t="s">
        <v>1296</v>
      </c>
      <c r="N485">
        <v>1</v>
      </c>
      <c r="O485" t="s">
        <v>494</v>
      </c>
      <c r="P485">
        <v>0.11</v>
      </c>
      <c r="Q485" t="s">
        <v>1325</v>
      </c>
      <c r="R485">
        <v>37.5</v>
      </c>
      <c r="S485">
        <v>25</v>
      </c>
      <c r="T485">
        <v>37.5</v>
      </c>
      <c r="U485">
        <v>0</v>
      </c>
      <c r="V485">
        <v>0</v>
      </c>
    </row>
    <row r="486" spans="1:22" x14ac:dyDescent="0.25">
      <c r="A486" t="s">
        <v>1776</v>
      </c>
      <c r="B486" t="s">
        <v>498</v>
      </c>
      <c r="C486">
        <v>41</v>
      </c>
      <c r="D486" t="s">
        <v>78</v>
      </c>
      <c r="E486" t="s">
        <v>47</v>
      </c>
      <c r="F486" t="s">
        <v>46</v>
      </c>
      <c r="G486">
        <v>0.71</v>
      </c>
      <c r="H486" t="s">
        <v>24</v>
      </c>
      <c r="I486">
        <v>2</v>
      </c>
      <c r="J486" t="str">
        <f>HYPERLINK("https://www.eliteprospects.com/player/685530/lenny-greenberg")</f>
        <v>https://www.eliteprospects.com/player/685530/lenny-greenberg</v>
      </c>
      <c r="K486" t="s">
        <v>27</v>
      </c>
      <c r="L486" t="s">
        <v>485</v>
      </c>
      <c r="M486" t="s">
        <v>1296</v>
      </c>
      <c r="N486">
        <v>2</v>
      </c>
      <c r="O486" t="s">
        <v>501</v>
      </c>
      <c r="P486">
        <v>0.1</v>
      </c>
      <c r="Q486" t="s">
        <v>1325</v>
      </c>
      <c r="R486">
        <v>22.2</v>
      </c>
      <c r="S486">
        <v>11.1</v>
      </c>
      <c r="T486">
        <v>44.4</v>
      </c>
      <c r="U486">
        <v>0</v>
      </c>
      <c r="V486">
        <v>22.2</v>
      </c>
    </row>
    <row r="487" spans="1:22" x14ac:dyDescent="0.25">
      <c r="A487" t="s">
        <v>1777</v>
      </c>
      <c r="B487" t="s">
        <v>498</v>
      </c>
      <c r="C487">
        <v>40</v>
      </c>
      <c r="D487" t="s">
        <v>79</v>
      </c>
      <c r="E487" t="s">
        <v>125</v>
      </c>
      <c r="F487" t="s">
        <v>52</v>
      </c>
      <c r="G487">
        <v>0.7</v>
      </c>
      <c r="H487" t="s">
        <v>24</v>
      </c>
      <c r="I487">
        <v>-12</v>
      </c>
      <c r="J487" t="str">
        <f>HYPERLINK("https://www.eliteprospects.com/player/812551/john-alex-banks")</f>
        <v>https://www.eliteprospects.com/player/812551/john-alex-banks</v>
      </c>
      <c r="K487" t="s">
        <v>27</v>
      </c>
      <c r="L487" t="s">
        <v>485</v>
      </c>
      <c r="M487" t="s">
        <v>1296</v>
      </c>
      <c r="N487">
        <v>1</v>
      </c>
      <c r="O487" t="s">
        <v>494</v>
      </c>
      <c r="P487">
        <v>0.1</v>
      </c>
      <c r="Q487" t="s">
        <v>1325</v>
      </c>
      <c r="R487">
        <v>37.5</v>
      </c>
      <c r="S487">
        <v>25</v>
      </c>
      <c r="T487">
        <v>37.5</v>
      </c>
      <c r="U487">
        <v>0</v>
      </c>
      <c r="V487">
        <v>0</v>
      </c>
    </row>
    <row r="488" spans="1:22" x14ac:dyDescent="0.25">
      <c r="A488" t="s">
        <v>1778</v>
      </c>
      <c r="B488" t="s">
        <v>507</v>
      </c>
      <c r="C488">
        <v>39</v>
      </c>
      <c r="D488" t="s">
        <v>69</v>
      </c>
      <c r="E488" t="s">
        <v>38</v>
      </c>
      <c r="F488" t="s">
        <v>61</v>
      </c>
      <c r="G488">
        <v>0.69</v>
      </c>
      <c r="H488" t="s">
        <v>136</v>
      </c>
      <c r="I488">
        <v>15</v>
      </c>
      <c r="J488" t="str">
        <f>HYPERLINK("https://www.eliteprospects.com/player/878802/jared-woolley")</f>
        <v>https://www.eliteprospects.com/player/878802/jared-woolley</v>
      </c>
      <c r="K488" t="s">
        <v>27</v>
      </c>
      <c r="L488" t="s">
        <v>485</v>
      </c>
      <c r="M488" t="s">
        <v>1296</v>
      </c>
      <c r="N488">
        <v>3</v>
      </c>
      <c r="O488" t="s">
        <v>492</v>
      </c>
      <c r="P488">
        <v>0.1</v>
      </c>
      <c r="Q488" t="s">
        <v>1300</v>
      </c>
      <c r="R488">
        <v>37.5</v>
      </c>
      <c r="S488">
        <v>12.5</v>
      </c>
      <c r="T488">
        <v>12.5</v>
      </c>
      <c r="U488">
        <v>12.5</v>
      </c>
      <c r="V488">
        <v>25</v>
      </c>
    </row>
    <row r="489" spans="1:22" x14ac:dyDescent="0.25">
      <c r="A489" t="s">
        <v>1779</v>
      </c>
      <c r="B489" t="s">
        <v>484</v>
      </c>
      <c r="C489">
        <v>41</v>
      </c>
      <c r="D489" t="s">
        <v>57</v>
      </c>
      <c r="E489" t="s">
        <v>33</v>
      </c>
      <c r="F489" t="s">
        <v>61</v>
      </c>
      <c r="G489">
        <v>0.66</v>
      </c>
      <c r="H489" t="s">
        <v>24</v>
      </c>
      <c r="I489">
        <v>9</v>
      </c>
      <c r="J489" t="str">
        <f>HYPERLINK("https://www.eliteprospects.com/player/682666/urban-podrekar")</f>
        <v>https://www.eliteprospects.com/player/682666/urban-podrekar</v>
      </c>
      <c r="K489" t="s">
        <v>27</v>
      </c>
      <c r="L489" t="s">
        <v>485</v>
      </c>
      <c r="M489" t="s">
        <v>1296</v>
      </c>
      <c r="N489">
        <v>3</v>
      </c>
      <c r="O489" t="s">
        <v>492</v>
      </c>
      <c r="P489">
        <v>0.1</v>
      </c>
      <c r="Q489" t="s">
        <v>1300</v>
      </c>
      <c r="R489">
        <v>37.5</v>
      </c>
      <c r="S489">
        <v>12.5</v>
      </c>
      <c r="T489">
        <v>12.5</v>
      </c>
      <c r="U489">
        <v>12.5</v>
      </c>
      <c r="V489">
        <v>25</v>
      </c>
    </row>
    <row r="490" spans="1:22" x14ac:dyDescent="0.25">
      <c r="A490" t="s">
        <v>1780</v>
      </c>
      <c r="B490" t="s">
        <v>507</v>
      </c>
      <c r="C490">
        <v>37</v>
      </c>
      <c r="D490" t="s">
        <v>66</v>
      </c>
      <c r="E490" t="s">
        <v>47</v>
      </c>
      <c r="F490" t="s">
        <v>125</v>
      </c>
      <c r="G490">
        <v>0.7</v>
      </c>
      <c r="H490" t="s">
        <v>544</v>
      </c>
      <c r="I490">
        <v>-6</v>
      </c>
      <c r="J490" t="str">
        <f>HYPERLINK("https://www.eliteprospects.com/player/692910/lukas-fischer")</f>
        <v>https://www.eliteprospects.com/player/692910/lukas-fischer</v>
      </c>
      <c r="K490" t="s">
        <v>27</v>
      </c>
      <c r="L490" t="s">
        <v>485</v>
      </c>
      <c r="M490" t="s">
        <v>1296</v>
      </c>
      <c r="N490">
        <v>4</v>
      </c>
      <c r="O490" t="s">
        <v>486</v>
      </c>
      <c r="P490">
        <v>0.1</v>
      </c>
      <c r="Q490" t="s">
        <v>1325</v>
      </c>
      <c r="R490">
        <v>37.5</v>
      </c>
      <c r="S490">
        <v>25</v>
      </c>
      <c r="T490">
        <v>37.5</v>
      </c>
      <c r="U490">
        <v>0</v>
      </c>
      <c r="V490">
        <v>0</v>
      </c>
    </row>
    <row r="491" spans="1:22" x14ac:dyDescent="0.25">
      <c r="A491" t="s">
        <v>1781</v>
      </c>
      <c r="B491" t="s">
        <v>507</v>
      </c>
      <c r="C491">
        <v>41</v>
      </c>
      <c r="D491" t="s">
        <v>66</v>
      </c>
      <c r="E491" t="s">
        <v>47</v>
      </c>
      <c r="F491" t="s">
        <v>125</v>
      </c>
      <c r="G491">
        <v>0.63</v>
      </c>
      <c r="H491" t="s">
        <v>125</v>
      </c>
      <c r="I491">
        <v>4</v>
      </c>
      <c r="J491" t="str">
        <f>HYPERLINK("https://www.eliteprospects.com/player/814143/parker-von-richter")</f>
        <v>https://www.eliteprospects.com/player/814143/parker-von-richter</v>
      </c>
      <c r="K491" t="s">
        <v>27</v>
      </c>
      <c r="L491" t="s">
        <v>485</v>
      </c>
      <c r="M491" t="s">
        <v>1296</v>
      </c>
      <c r="N491">
        <v>4</v>
      </c>
      <c r="O491" t="s">
        <v>486</v>
      </c>
      <c r="P491">
        <v>0.09</v>
      </c>
      <c r="Q491" t="s">
        <v>1325</v>
      </c>
      <c r="R491">
        <v>22.2</v>
      </c>
      <c r="S491">
        <v>11.1</v>
      </c>
      <c r="T491">
        <v>44.4</v>
      </c>
      <c r="U491">
        <v>0</v>
      </c>
      <c r="V491">
        <v>22.2</v>
      </c>
    </row>
    <row r="492" spans="1:22" x14ac:dyDescent="0.25">
      <c r="A492" t="s">
        <v>1782</v>
      </c>
      <c r="B492" t="s">
        <v>507</v>
      </c>
      <c r="C492">
        <v>29</v>
      </c>
      <c r="D492" t="s">
        <v>26</v>
      </c>
      <c r="E492" t="s">
        <v>60</v>
      </c>
      <c r="F492" t="s">
        <v>75</v>
      </c>
      <c r="G492">
        <v>0.86</v>
      </c>
      <c r="H492" t="s">
        <v>26</v>
      </c>
      <c r="I492">
        <v>10</v>
      </c>
      <c r="J492" t="str">
        <f>HYPERLINK("https://www.eliteprospects.com/player/619063/jakub-fibigr")</f>
        <v>https://www.eliteprospects.com/player/619063/jakub-fibigr</v>
      </c>
      <c r="K492" t="s">
        <v>27</v>
      </c>
      <c r="L492" t="s">
        <v>485</v>
      </c>
      <c r="M492" t="s">
        <v>1296</v>
      </c>
      <c r="N492">
        <v>3</v>
      </c>
      <c r="O492" t="s">
        <v>492</v>
      </c>
      <c r="P492">
        <v>0.12</v>
      </c>
      <c r="Q492" t="s">
        <v>1309</v>
      </c>
      <c r="R492">
        <v>10</v>
      </c>
      <c r="S492">
        <v>10</v>
      </c>
      <c r="T492">
        <v>20</v>
      </c>
      <c r="U492">
        <v>20</v>
      </c>
      <c r="V492">
        <v>40</v>
      </c>
    </row>
    <row r="493" spans="1:22" x14ac:dyDescent="0.25">
      <c r="A493" t="s">
        <v>1783</v>
      </c>
      <c r="B493" t="s">
        <v>507</v>
      </c>
      <c r="C493">
        <v>41</v>
      </c>
      <c r="D493" t="s">
        <v>78</v>
      </c>
      <c r="E493" t="s">
        <v>60</v>
      </c>
      <c r="F493" t="s">
        <v>81</v>
      </c>
      <c r="G493">
        <v>0.59</v>
      </c>
      <c r="H493" t="s">
        <v>55</v>
      </c>
      <c r="I493">
        <v>23</v>
      </c>
      <c r="J493" t="str">
        <f>HYPERLINK("https://www.eliteprospects.com/player/595304/jakub-chromiak")</f>
        <v>https://www.eliteprospects.com/player/595304/jakub-chromiak</v>
      </c>
      <c r="K493" t="s">
        <v>27</v>
      </c>
      <c r="L493" t="s">
        <v>485</v>
      </c>
      <c r="M493" t="s">
        <v>1296</v>
      </c>
      <c r="N493">
        <v>4</v>
      </c>
      <c r="O493" t="s">
        <v>486</v>
      </c>
      <c r="P493">
        <v>0.08</v>
      </c>
      <c r="Q493" t="s">
        <v>1325</v>
      </c>
      <c r="R493">
        <v>44.4</v>
      </c>
      <c r="S493">
        <v>11.1</v>
      </c>
      <c r="T493">
        <v>44.4</v>
      </c>
      <c r="U493">
        <v>0</v>
      </c>
      <c r="V493">
        <v>0</v>
      </c>
    </row>
    <row r="494" spans="1:22" x14ac:dyDescent="0.25">
      <c r="A494" t="s">
        <v>1784</v>
      </c>
      <c r="B494" t="s">
        <v>532</v>
      </c>
      <c r="C494">
        <v>41</v>
      </c>
      <c r="D494" t="s">
        <v>96</v>
      </c>
      <c r="E494" t="s">
        <v>55</v>
      </c>
      <c r="F494" t="s">
        <v>84</v>
      </c>
      <c r="G494">
        <v>0.56000000000000005</v>
      </c>
      <c r="H494" t="s">
        <v>23</v>
      </c>
      <c r="I494">
        <v>7</v>
      </c>
      <c r="J494" t="str">
        <f>HYPERLINK("https://www.eliteprospects.com/player/597699/andoni-fimis")</f>
        <v>https://www.eliteprospects.com/player/597699/andoni-fimis</v>
      </c>
      <c r="K494" t="s">
        <v>27</v>
      </c>
      <c r="L494" t="s">
        <v>485</v>
      </c>
      <c r="M494" t="s">
        <v>1296</v>
      </c>
      <c r="N494">
        <v>2</v>
      </c>
      <c r="O494" t="s">
        <v>501</v>
      </c>
      <c r="P494">
        <v>0.08</v>
      </c>
      <c r="Q494" t="s">
        <v>1300</v>
      </c>
      <c r="R494">
        <v>42.9</v>
      </c>
      <c r="S494">
        <v>28.6</v>
      </c>
      <c r="T494">
        <v>28.6</v>
      </c>
      <c r="U494">
        <v>0</v>
      </c>
      <c r="V494">
        <v>0</v>
      </c>
    </row>
    <row r="495" spans="1:22" x14ac:dyDescent="0.25">
      <c r="A495" t="s">
        <v>1785</v>
      </c>
      <c r="B495" t="s">
        <v>493</v>
      </c>
      <c r="C495">
        <v>37</v>
      </c>
      <c r="D495" t="s">
        <v>79</v>
      </c>
      <c r="E495" t="s">
        <v>33</v>
      </c>
      <c r="F495" t="s">
        <v>84</v>
      </c>
      <c r="G495">
        <v>0.62</v>
      </c>
      <c r="H495" t="s">
        <v>57</v>
      </c>
      <c r="I495">
        <v>25</v>
      </c>
      <c r="J495" t="str">
        <f>HYPERLINK("https://www.eliteprospects.com/player/577016/edison-engle")</f>
        <v>https://www.eliteprospects.com/player/577016/edison-engle</v>
      </c>
      <c r="K495" t="s">
        <v>27</v>
      </c>
      <c r="L495" t="s">
        <v>485</v>
      </c>
      <c r="M495" t="s">
        <v>1296</v>
      </c>
      <c r="N495">
        <v>1</v>
      </c>
      <c r="O495" t="s">
        <v>494</v>
      </c>
      <c r="P495">
        <v>0.09</v>
      </c>
      <c r="Q495" t="s">
        <v>1309</v>
      </c>
      <c r="R495">
        <v>25</v>
      </c>
      <c r="S495">
        <v>25</v>
      </c>
      <c r="T495">
        <v>16.7</v>
      </c>
      <c r="U495">
        <v>8.3000000000000007</v>
      </c>
      <c r="V495">
        <v>25</v>
      </c>
    </row>
    <row r="496" spans="1:22" x14ac:dyDescent="0.25">
      <c r="A496" t="s">
        <v>1786</v>
      </c>
      <c r="B496" t="s">
        <v>532</v>
      </c>
      <c r="C496">
        <v>32</v>
      </c>
      <c r="D496" t="s">
        <v>69</v>
      </c>
      <c r="E496" t="s">
        <v>69</v>
      </c>
      <c r="F496" t="s">
        <v>47</v>
      </c>
      <c r="G496">
        <v>0.69</v>
      </c>
      <c r="H496" t="s">
        <v>513</v>
      </c>
      <c r="I496">
        <v>-17</v>
      </c>
      <c r="J496" t="str">
        <f>HYPERLINK("https://www.eliteprospects.com/player/576953/henry-brzustewicz")</f>
        <v>https://www.eliteprospects.com/player/576953/henry-brzustewicz</v>
      </c>
      <c r="K496" t="s">
        <v>27</v>
      </c>
      <c r="L496" t="s">
        <v>485</v>
      </c>
      <c r="M496" t="s">
        <v>1296</v>
      </c>
      <c r="N496">
        <v>3</v>
      </c>
      <c r="O496" t="s">
        <v>492</v>
      </c>
      <c r="P496">
        <v>0.1</v>
      </c>
      <c r="Q496" t="s">
        <v>1325</v>
      </c>
      <c r="R496">
        <v>37.5</v>
      </c>
      <c r="S496">
        <v>25</v>
      </c>
      <c r="T496">
        <v>37.5</v>
      </c>
      <c r="U496">
        <v>0</v>
      </c>
      <c r="V496">
        <v>0</v>
      </c>
    </row>
    <row r="497" spans="1:22" x14ac:dyDescent="0.25">
      <c r="A497" t="s">
        <v>1787</v>
      </c>
      <c r="B497" t="s">
        <v>561</v>
      </c>
      <c r="C497">
        <v>38</v>
      </c>
      <c r="D497" t="s">
        <v>45</v>
      </c>
      <c r="E497" t="s">
        <v>65</v>
      </c>
      <c r="F497" t="s">
        <v>47</v>
      </c>
      <c r="G497">
        <v>0.57999999999999996</v>
      </c>
      <c r="H497" t="s">
        <v>41</v>
      </c>
      <c r="I497">
        <v>-7</v>
      </c>
      <c r="J497" t="str">
        <f>HYPERLINK("https://www.eliteprospects.com/player/618575/maleek-mcgowan")</f>
        <v>https://www.eliteprospects.com/player/618575/maleek-mcgowan</v>
      </c>
      <c r="K497" t="s">
        <v>27</v>
      </c>
      <c r="L497" t="s">
        <v>485</v>
      </c>
      <c r="M497" t="s">
        <v>1296</v>
      </c>
      <c r="N497">
        <v>5</v>
      </c>
      <c r="O497" t="s">
        <v>508</v>
      </c>
      <c r="P497">
        <v>0.08</v>
      </c>
      <c r="Q497" t="s">
        <v>245</v>
      </c>
      <c r="R497">
        <v>0</v>
      </c>
      <c r="S497">
        <v>44.4</v>
      </c>
      <c r="T497">
        <v>33.299999999999997</v>
      </c>
      <c r="U497">
        <v>0</v>
      </c>
      <c r="V497">
        <v>22.2</v>
      </c>
    </row>
    <row r="498" spans="1:22" x14ac:dyDescent="0.25">
      <c r="A498" t="s">
        <v>1788</v>
      </c>
      <c r="B498" t="s">
        <v>526</v>
      </c>
      <c r="C498">
        <v>28</v>
      </c>
      <c r="D498" t="s">
        <v>140</v>
      </c>
      <c r="E498" t="s">
        <v>51</v>
      </c>
      <c r="F498" t="s">
        <v>47</v>
      </c>
      <c r="G498">
        <v>0.79</v>
      </c>
      <c r="H498" t="s">
        <v>51</v>
      </c>
      <c r="I498">
        <v>-14</v>
      </c>
      <c r="J498" t="str">
        <f>HYPERLINK("https://www.eliteprospects.com/player/618578/james-petrovski")</f>
        <v>https://www.eliteprospects.com/player/618578/james-petrovski</v>
      </c>
      <c r="K498" t="s">
        <v>27</v>
      </c>
      <c r="L498" t="s">
        <v>485</v>
      </c>
      <c r="M498" t="s">
        <v>1296</v>
      </c>
      <c r="N498">
        <v>5</v>
      </c>
      <c r="O498" t="s">
        <v>508</v>
      </c>
      <c r="P498">
        <v>0.11</v>
      </c>
      <c r="Q498" t="s">
        <v>1325</v>
      </c>
      <c r="R498">
        <v>37.5</v>
      </c>
      <c r="S498">
        <v>25</v>
      </c>
      <c r="T498">
        <v>37.5</v>
      </c>
      <c r="U498">
        <v>0</v>
      </c>
      <c r="V498">
        <v>0</v>
      </c>
    </row>
    <row r="499" spans="1:22" x14ac:dyDescent="0.25">
      <c r="A499" t="s">
        <v>1789</v>
      </c>
      <c r="B499" t="s">
        <v>496</v>
      </c>
      <c r="C499">
        <v>41</v>
      </c>
      <c r="D499" t="s">
        <v>140</v>
      </c>
      <c r="E499" t="s">
        <v>51</v>
      </c>
      <c r="F499" t="s">
        <v>47</v>
      </c>
      <c r="G499">
        <v>0.54</v>
      </c>
      <c r="H499" t="s">
        <v>52</v>
      </c>
      <c r="I499">
        <v>-19</v>
      </c>
      <c r="J499" t="str">
        <f>HYPERLINK("https://www.eliteprospects.com/player/603557/james-guo")</f>
        <v>https://www.eliteprospects.com/player/603557/james-guo</v>
      </c>
      <c r="K499" t="s">
        <v>27</v>
      </c>
      <c r="L499" t="s">
        <v>485</v>
      </c>
      <c r="M499" t="s">
        <v>1296</v>
      </c>
      <c r="N499">
        <v>5</v>
      </c>
      <c r="O499" t="s">
        <v>508</v>
      </c>
      <c r="P499">
        <v>0.08</v>
      </c>
      <c r="Q499" t="s">
        <v>245</v>
      </c>
      <c r="R499">
        <v>0</v>
      </c>
      <c r="S499">
        <v>44.4</v>
      </c>
      <c r="T499">
        <v>33.299999999999997</v>
      </c>
      <c r="U499">
        <v>0</v>
      </c>
      <c r="V499">
        <v>22.2</v>
      </c>
    </row>
    <row r="500" spans="1:22" x14ac:dyDescent="0.25">
      <c r="A500" t="s">
        <v>1790</v>
      </c>
      <c r="B500" t="s">
        <v>515</v>
      </c>
      <c r="C500">
        <v>40</v>
      </c>
      <c r="D500" t="s">
        <v>140</v>
      </c>
      <c r="E500" t="s">
        <v>55</v>
      </c>
      <c r="F500" t="s">
        <v>33</v>
      </c>
      <c r="G500">
        <v>0.53</v>
      </c>
      <c r="H500" t="s">
        <v>23</v>
      </c>
      <c r="I500">
        <v>7</v>
      </c>
      <c r="J500" t="str">
        <f>HYPERLINK("https://www.eliteprospects.com/player/942117/cole-emerton")</f>
        <v>https://www.eliteprospects.com/player/942117/cole-emerton</v>
      </c>
      <c r="K500" t="s">
        <v>27</v>
      </c>
      <c r="L500" t="s">
        <v>485</v>
      </c>
      <c r="M500" t="s">
        <v>1296</v>
      </c>
      <c r="N500">
        <v>1</v>
      </c>
      <c r="O500" t="s">
        <v>494</v>
      </c>
      <c r="P500">
        <v>0.08</v>
      </c>
      <c r="Q500" t="s">
        <v>1300</v>
      </c>
      <c r="R500">
        <v>42.9</v>
      </c>
      <c r="S500">
        <v>28.6</v>
      </c>
      <c r="T500">
        <v>28.6</v>
      </c>
      <c r="U500">
        <v>0</v>
      </c>
      <c r="V500">
        <v>0</v>
      </c>
    </row>
    <row r="501" spans="1:22" x14ac:dyDescent="0.25">
      <c r="A501" t="s">
        <v>1791</v>
      </c>
      <c r="B501" t="s">
        <v>493</v>
      </c>
      <c r="C501">
        <v>31</v>
      </c>
      <c r="D501" t="s">
        <v>57</v>
      </c>
      <c r="E501" t="s">
        <v>39</v>
      </c>
      <c r="F501" t="s">
        <v>24</v>
      </c>
      <c r="G501">
        <v>0.65</v>
      </c>
      <c r="H501" t="s">
        <v>55</v>
      </c>
      <c r="I501">
        <v>18</v>
      </c>
      <c r="J501" t="str">
        <f>HYPERLINK("https://www.eliteprospects.com/player/899355/vladimir-dravecky")</f>
        <v>https://www.eliteprospects.com/player/899355/vladimir-dravecky</v>
      </c>
      <c r="K501" t="s">
        <v>27</v>
      </c>
      <c r="L501" t="s">
        <v>485</v>
      </c>
      <c r="M501" t="s">
        <v>1296</v>
      </c>
      <c r="N501">
        <v>1</v>
      </c>
      <c r="O501" t="s">
        <v>494</v>
      </c>
      <c r="P501">
        <v>0.09</v>
      </c>
      <c r="Q501" t="s">
        <v>1309</v>
      </c>
      <c r="R501">
        <v>25</v>
      </c>
      <c r="S501">
        <v>25</v>
      </c>
      <c r="T501">
        <v>16.7</v>
      </c>
      <c r="U501">
        <v>8.3000000000000007</v>
      </c>
      <c r="V501">
        <v>25</v>
      </c>
    </row>
    <row r="502" spans="1:22" x14ac:dyDescent="0.25">
      <c r="A502" t="s">
        <v>1792</v>
      </c>
      <c r="B502" t="s">
        <v>510</v>
      </c>
      <c r="C502">
        <v>35</v>
      </c>
      <c r="D502" t="s">
        <v>57</v>
      </c>
      <c r="E502" t="s">
        <v>65</v>
      </c>
      <c r="F502" t="s">
        <v>51</v>
      </c>
      <c r="G502">
        <v>0.54</v>
      </c>
      <c r="H502" t="s">
        <v>39</v>
      </c>
      <c r="I502">
        <v>14</v>
      </c>
      <c r="J502" t="str">
        <f>HYPERLINK("https://www.eliteprospects.com/player/902024/jakub-winkelhofer")</f>
        <v>https://www.eliteprospects.com/player/902024/jakub-winkelhofer</v>
      </c>
      <c r="K502" t="s">
        <v>27</v>
      </c>
      <c r="L502" t="s">
        <v>485</v>
      </c>
      <c r="M502" t="s">
        <v>1296</v>
      </c>
      <c r="N502">
        <v>1</v>
      </c>
      <c r="O502" t="s">
        <v>494</v>
      </c>
      <c r="P502">
        <v>0.08</v>
      </c>
      <c r="Q502" t="s">
        <v>1300</v>
      </c>
      <c r="R502">
        <v>42.9</v>
      </c>
      <c r="S502">
        <v>28.6</v>
      </c>
      <c r="T502">
        <v>28.6</v>
      </c>
      <c r="U502">
        <v>0</v>
      </c>
      <c r="V502">
        <v>0</v>
      </c>
    </row>
    <row r="503" spans="1:22" x14ac:dyDescent="0.25">
      <c r="A503" t="s">
        <v>1793</v>
      </c>
      <c r="B503" t="s">
        <v>536</v>
      </c>
      <c r="C503">
        <v>36</v>
      </c>
      <c r="D503" t="s">
        <v>140</v>
      </c>
      <c r="E503" t="s">
        <v>38</v>
      </c>
      <c r="F503" t="s">
        <v>51</v>
      </c>
      <c r="G503">
        <v>0.53</v>
      </c>
      <c r="H503" t="s">
        <v>427</v>
      </c>
      <c r="I503">
        <v>-30</v>
      </c>
      <c r="J503" t="str">
        <f>HYPERLINK("https://www.eliteprospects.com/player/726355/mitch-young")</f>
        <v>https://www.eliteprospects.com/player/726355/mitch-young</v>
      </c>
      <c r="K503" t="s">
        <v>27</v>
      </c>
      <c r="L503" t="s">
        <v>485</v>
      </c>
      <c r="M503" t="s">
        <v>1296</v>
      </c>
      <c r="N503">
        <v>4</v>
      </c>
      <c r="O503" t="s">
        <v>486</v>
      </c>
      <c r="P503">
        <v>0.08</v>
      </c>
      <c r="Q503" t="s">
        <v>245</v>
      </c>
      <c r="R503">
        <v>0</v>
      </c>
      <c r="S503">
        <v>44.4</v>
      </c>
      <c r="T503">
        <v>33.299999999999997</v>
      </c>
      <c r="U503">
        <v>0</v>
      </c>
      <c r="V503">
        <v>22.2</v>
      </c>
    </row>
    <row r="504" spans="1:22" x14ac:dyDescent="0.25">
      <c r="A504" t="s">
        <v>1794</v>
      </c>
      <c r="B504" t="s">
        <v>561</v>
      </c>
      <c r="C504">
        <v>42</v>
      </c>
      <c r="D504" t="s">
        <v>260</v>
      </c>
      <c r="E504" t="s">
        <v>55</v>
      </c>
      <c r="F504" t="s">
        <v>51</v>
      </c>
      <c r="G504">
        <v>0.45</v>
      </c>
      <c r="H504" t="s">
        <v>125</v>
      </c>
      <c r="I504">
        <v>-12</v>
      </c>
      <c r="J504" t="str">
        <f>HYPERLINK("https://www.eliteprospects.com/player/577202/vann-williamson")</f>
        <v>https://www.eliteprospects.com/player/577202/vann-williamson</v>
      </c>
      <c r="K504" t="s">
        <v>27</v>
      </c>
      <c r="L504" t="s">
        <v>485</v>
      </c>
      <c r="M504" t="s">
        <v>1296</v>
      </c>
      <c r="N504">
        <v>4</v>
      </c>
      <c r="O504" t="s">
        <v>486</v>
      </c>
      <c r="P504">
        <v>0.06</v>
      </c>
      <c r="Q504" t="s">
        <v>1309</v>
      </c>
      <c r="R504">
        <v>0</v>
      </c>
      <c r="S504">
        <v>20</v>
      </c>
      <c r="T504">
        <v>40</v>
      </c>
      <c r="U504">
        <v>0</v>
      </c>
      <c r="V504">
        <v>40</v>
      </c>
    </row>
    <row r="505" spans="1:22" x14ac:dyDescent="0.25">
      <c r="A505" t="s">
        <v>1795</v>
      </c>
      <c r="B505" t="s">
        <v>504</v>
      </c>
      <c r="C505">
        <v>40</v>
      </c>
      <c r="D505" t="s">
        <v>57</v>
      </c>
      <c r="E505" t="s">
        <v>23</v>
      </c>
      <c r="F505" t="s">
        <v>55</v>
      </c>
      <c r="G505">
        <v>0.45</v>
      </c>
      <c r="H505" t="s">
        <v>81</v>
      </c>
      <c r="I505">
        <v>12</v>
      </c>
      <c r="J505" t="str">
        <f>HYPERLINK("https://www.eliteprospects.com/player/897430/alexander-bilecki")</f>
        <v>https://www.eliteprospects.com/player/897430/alexander-bilecki</v>
      </c>
      <c r="K505" t="s">
        <v>27</v>
      </c>
      <c r="L505" t="s">
        <v>485</v>
      </c>
      <c r="M505" t="s">
        <v>1296</v>
      </c>
      <c r="N505">
        <v>2</v>
      </c>
      <c r="O505" t="s">
        <v>501</v>
      </c>
      <c r="P505">
        <v>0.06</v>
      </c>
      <c r="Q505" t="s">
        <v>1325</v>
      </c>
      <c r="R505">
        <v>18.2</v>
      </c>
      <c r="S505">
        <v>9.1</v>
      </c>
      <c r="T505">
        <v>63.6</v>
      </c>
      <c r="U505">
        <v>0</v>
      </c>
      <c r="V505">
        <v>9.1</v>
      </c>
    </row>
    <row r="506" spans="1:22" x14ac:dyDescent="0.25">
      <c r="A506" t="s">
        <v>1796</v>
      </c>
      <c r="B506" t="s">
        <v>546</v>
      </c>
      <c r="C506">
        <v>39</v>
      </c>
      <c r="D506" t="s">
        <v>66</v>
      </c>
      <c r="E506" t="s">
        <v>39</v>
      </c>
      <c r="F506" t="s">
        <v>55</v>
      </c>
      <c r="G506">
        <v>0.46</v>
      </c>
      <c r="H506" t="s">
        <v>66</v>
      </c>
      <c r="I506">
        <v>4</v>
      </c>
      <c r="J506" t="str">
        <f>HYPERLINK("https://www.eliteprospects.com/player/807372/brandt-harper")</f>
        <v>https://www.eliteprospects.com/player/807372/brandt-harper</v>
      </c>
      <c r="K506" t="s">
        <v>27</v>
      </c>
      <c r="L506" t="s">
        <v>485</v>
      </c>
      <c r="M506" t="s">
        <v>1296</v>
      </c>
      <c r="N506">
        <v>1</v>
      </c>
      <c r="O506" t="s">
        <v>494</v>
      </c>
      <c r="P506">
        <v>7.0000000000000007E-2</v>
      </c>
      <c r="Q506" t="s">
        <v>1325</v>
      </c>
      <c r="R506">
        <v>33.299999999999997</v>
      </c>
      <c r="S506">
        <v>16.7</v>
      </c>
      <c r="T506">
        <v>33.299999999999997</v>
      </c>
      <c r="U506">
        <v>16.7</v>
      </c>
      <c r="V506">
        <v>0</v>
      </c>
    </row>
    <row r="507" spans="1:22" x14ac:dyDescent="0.25">
      <c r="A507" t="s">
        <v>1797</v>
      </c>
      <c r="B507" t="s">
        <v>527</v>
      </c>
      <c r="C507">
        <v>40</v>
      </c>
      <c r="D507" t="s">
        <v>66</v>
      </c>
      <c r="E507" t="s">
        <v>39</v>
      </c>
      <c r="F507" t="s">
        <v>55</v>
      </c>
      <c r="G507">
        <v>0.45</v>
      </c>
      <c r="H507" t="s">
        <v>32</v>
      </c>
      <c r="I507">
        <v>-2</v>
      </c>
      <c r="J507" t="str">
        <f>HYPERLINK("https://www.eliteprospects.com/player/577218/rylan-singh")</f>
        <v>https://www.eliteprospects.com/player/577218/rylan-singh</v>
      </c>
      <c r="K507" t="s">
        <v>27</v>
      </c>
      <c r="L507" t="s">
        <v>485</v>
      </c>
      <c r="M507" t="s">
        <v>1296</v>
      </c>
      <c r="N507">
        <v>3</v>
      </c>
      <c r="O507" t="s">
        <v>492</v>
      </c>
      <c r="P507">
        <v>0.06</v>
      </c>
      <c r="Q507" t="s">
        <v>1300</v>
      </c>
      <c r="R507">
        <v>37.5</v>
      </c>
      <c r="S507">
        <v>37.5</v>
      </c>
      <c r="T507">
        <v>0</v>
      </c>
      <c r="U507">
        <v>12.5</v>
      </c>
      <c r="V507">
        <v>12.5</v>
      </c>
    </row>
    <row r="508" spans="1:22" x14ac:dyDescent="0.25">
      <c r="A508" t="s">
        <v>1798</v>
      </c>
      <c r="B508" t="s">
        <v>521</v>
      </c>
      <c r="C508">
        <v>40</v>
      </c>
      <c r="D508" t="s">
        <v>66</v>
      </c>
      <c r="E508" t="s">
        <v>39</v>
      </c>
      <c r="F508" t="s">
        <v>55</v>
      </c>
      <c r="G508">
        <v>0.45</v>
      </c>
      <c r="H508" t="s">
        <v>544</v>
      </c>
      <c r="I508">
        <v>17</v>
      </c>
      <c r="J508" t="str">
        <f>HYPERLINK("https://www.eliteprospects.com/player/691832/frankie-marrelli")</f>
        <v>https://www.eliteprospects.com/player/691832/frankie-marrelli</v>
      </c>
      <c r="K508" t="s">
        <v>27</v>
      </c>
      <c r="L508" t="s">
        <v>485</v>
      </c>
      <c r="M508" t="s">
        <v>1296</v>
      </c>
      <c r="N508">
        <v>4</v>
      </c>
      <c r="O508" t="s">
        <v>486</v>
      </c>
      <c r="P508">
        <v>0.06</v>
      </c>
      <c r="Q508" t="s">
        <v>1309</v>
      </c>
      <c r="R508">
        <v>14.3</v>
      </c>
      <c r="S508">
        <v>28.6</v>
      </c>
      <c r="T508">
        <v>28.6</v>
      </c>
      <c r="U508">
        <v>0</v>
      </c>
      <c r="V508">
        <v>28.6</v>
      </c>
    </row>
    <row r="509" spans="1:22" x14ac:dyDescent="0.25">
      <c r="A509" t="s">
        <v>1799</v>
      </c>
      <c r="B509" t="s">
        <v>493</v>
      </c>
      <c r="C509">
        <v>37</v>
      </c>
      <c r="D509" t="s">
        <v>140</v>
      </c>
      <c r="E509" t="s">
        <v>41</v>
      </c>
      <c r="F509" t="s">
        <v>55</v>
      </c>
      <c r="G509">
        <v>0.49</v>
      </c>
      <c r="H509" t="s">
        <v>265</v>
      </c>
      <c r="I509">
        <v>32</v>
      </c>
      <c r="J509" t="str">
        <f>HYPERLINK("https://www.eliteprospects.com/player/710847/owen-protz")</f>
        <v>https://www.eliteprospects.com/player/710847/owen-protz</v>
      </c>
      <c r="K509" t="s">
        <v>27</v>
      </c>
      <c r="L509" t="s">
        <v>485</v>
      </c>
      <c r="M509" t="s">
        <v>1296</v>
      </c>
      <c r="N509">
        <v>4</v>
      </c>
      <c r="O509" t="s">
        <v>486</v>
      </c>
      <c r="P509">
        <v>7.0000000000000007E-2</v>
      </c>
      <c r="Q509" t="s">
        <v>1325</v>
      </c>
      <c r="R509">
        <v>44.4</v>
      </c>
      <c r="S509">
        <v>11.1</v>
      </c>
      <c r="T509">
        <v>44.4</v>
      </c>
      <c r="U509">
        <v>0</v>
      </c>
      <c r="V509">
        <v>0</v>
      </c>
    </row>
    <row r="510" spans="1:22" x14ac:dyDescent="0.25">
      <c r="A510" t="s">
        <v>1800</v>
      </c>
      <c r="B510" t="s">
        <v>484</v>
      </c>
      <c r="C510">
        <v>42</v>
      </c>
      <c r="D510" t="s">
        <v>140</v>
      </c>
      <c r="E510" t="s">
        <v>41</v>
      </c>
      <c r="F510" t="s">
        <v>55</v>
      </c>
      <c r="G510">
        <v>0.43</v>
      </c>
      <c r="H510" t="s">
        <v>24</v>
      </c>
      <c r="I510">
        <v>12</v>
      </c>
      <c r="J510" t="str">
        <f>HYPERLINK("https://www.eliteprospects.com/player/577174/dryden-allen")</f>
        <v>https://www.eliteprospects.com/player/577174/dryden-allen</v>
      </c>
      <c r="K510" t="s">
        <v>27</v>
      </c>
      <c r="L510" t="s">
        <v>485</v>
      </c>
      <c r="M510" t="s">
        <v>1296</v>
      </c>
      <c r="N510">
        <v>1</v>
      </c>
      <c r="O510" t="s">
        <v>494</v>
      </c>
      <c r="P510">
        <v>0.06</v>
      </c>
      <c r="Q510" t="s">
        <v>1325</v>
      </c>
      <c r="R510">
        <v>18.2</v>
      </c>
      <c r="S510">
        <v>9.1</v>
      </c>
      <c r="T510">
        <v>63.6</v>
      </c>
      <c r="U510">
        <v>0</v>
      </c>
      <c r="V510">
        <v>9.1</v>
      </c>
    </row>
    <row r="511" spans="1:22" x14ac:dyDescent="0.25">
      <c r="A511" t="s">
        <v>1801</v>
      </c>
      <c r="B511" t="s">
        <v>507</v>
      </c>
      <c r="C511">
        <v>41</v>
      </c>
      <c r="D511" t="s">
        <v>79</v>
      </c>
      <c r="E511" t="s">
        <v>38</v>
      </c>
      <c r="F511" t="s">
        <v>55</v>
      </c>
      <c r="G511">
        <v>0.44</v>
      </c>
      <c r="H511" t="s">
        <v>111</v>
      </c>
      <c r="I511">
        <v>5</v>
      </c>
      <c r="J511" t="str">
        <f>HYPERLINK("https://www.eliteprospects.com/player/738747/david-bedkowski")</f>
        <v>https://www.eliteprospects.com/player/738747/david-bedkowski</v>
      </c>
      <c r="K511" t="s">
        <v>27</v>
      </c>
      <c r="L511" t="s">
        <v>485</v>
      </c>
      <c r="M511" t="s">
        <v>1296</v>
      </c>
      <c r="N511">
        <v>4</v>
      </c>
      <c r="O511" t="s">
        <v>486</v>
      </c>
      <c r="P511">
        <v>0.06</v>
      </c>
      <c r="Q511" t="s">
        <v>1300</v>
      </c>
      <c r="R511">
        <v>57.1</v>
      </c>
      <c r="S511">
        <v>28.6</v>
      </c>
      <c r="T511">
        <v>0</v>
      </c>
      <c r="U511">
        <v>14.3</v>
      </c>
      <c r="V511">
        <v>0</v>
      </c>
    </row>
    <row r="512" spans="1:22" x14ac:dyDescent="0.25">
      <c r="A512" t="s">
        <v>1802</v>
      </c>
      <c r="B512" t="s">
        <v>521</v>
      </c>
      <c r="C512">
        <v>39</v>
      </c>
      <c r="D512" t="s">
        <v>78</v>
      </c>
      <c r="E512" t="s">
        <v>32</v>
      </c>
      <c r="F512" t="s">
        <v>60</v>
      </c>
      <c r="G512">
        <v>0.44</v>
      </c>
      <c r="H512" t="s">
        <v>79</v>
      </c>
      <c r="I512">
        <v>17</v>
      </c>
      <c r="J512" t="str">
        <f>HYPERLINK("https://www.eliteprospects.com/player/917727/ondrej-ruml")</f>
        <v>https://www.eliteprospects.com/player/917727/ondrej-ruml</v>
      </c>
      <c r="K512" t="s">
        <v>27</v>
      </c>
      <c r="L512" t="s">
        <v>485</v>
      </c>
      <c r="M512" t="s">
        <v>1296</v>
      </c>
      <c r="N512">
        <v>1</v>
      </c>
      <c r="O512" t="s">
        <v>494</v>
      </c>
      <c r="P512">
        <v>0.06</v>
      </c>
      <c r="Q512" t="s">
        <v>1309</v>
      </c>
      <c r="R512">
        <v>14.3</v>
      </c>
      <c r="S512">
        <v>28.6</v>
      </c>
      <c r="T512">
        <v>28.6</v>
      </c>
      <c r="U512">
        <v>0</v>
      </c>
      <c r="V512">
        <v>28.6</v>
      </c>
    </row>
    <row r="513" spans="1:22" x14ac:dyDescent="0.25">
      <c r="A513" t="s">
        <v>1803</v>
      </c>
      <c r="B513" t="s">
        <v>527</v>
      </c>
      <c r="C513">
        <v>32</v>
      </c>
      <c r="D513" t="s">
        <v>96</v>
      </c>
      <c r="E513" t="s">
        <v>23</v>
      </c>
      <c r="F513" t="s">
        <v>60</v>
      </c>
      <c r="G513">
        <v>0.53</v>
      </c>
      <c r="H513" t="s">
        <v>125</v>
      </c>
      <c r="I513">
        <v>-14</v>
      </c>
      <c r="J513" t="str">
        <f>HYPERLINK("https://www.eliteprospects.com/player/577043/quinn-beauchesne")</f>
        <v>https://www.eliteprospects.com/player/577043/quinn-beauchesne</v>
      </c>
      <c r="K513" t="s">
        <v>27</v>
      </c>
      <c r="L513" t="s">
        <v>485</v>
      </c>
      <c r="M513" t="s">
        <v>1296</v>
      </c>
      <c r="N513">
        <v>3</v>
      </c>
      <c r="O513" t="s">
        <v>492</v>
      </c>
      <c r="P513">
        <v>0.08</v>
      </c>
      <c r="Q513" t="s">
        <v>245</v>
      </c>
      <c r="R513">
        <v>0</v>
      </c>
      <c r="S513">
        <v>44.4</v>
      </c>
      <c r="T513">
        <v>33.299999999999997</v>
      </c>
      <c r="U513">
        <v>0</v>
      </c>
      <c r="V513">
        <v>22.2</v>
      </c>
    </row>
    <row r="514" spans="1:22" x14ac:dyDescent="0.25">
      <c r="A514" t="s">
        <v>1804</v>
      </c>
      <c r="B514" t="s">
        <v>546</v>
      </c>
      <c r="C514">
        <v>35</v>
      </c>
      <c r="D514" t="s">
        <v>140</v>
      </c>
      <c r="E514" t="s">
        <v>39</v>
      </c>
      <c r="F514" t="s">
        <v>60</v>
      </c>
      <c r="G514">
        <v>0.49</v>
      </c>
      <c r="H514" t="s">
        <v>427</v>
      </c>
      <c r="I514">
        <v>15</v>
      </c>
      <c r="J514" t="str">
        <f>HYPERLINK("https://www.eliteprospects.com/player/603125/bronson-ride")</f>
        <v>https://www.eliteprospects.com/player/603125/bronson-ride</v>
      </c>
      <c r="K514" t="s">
        <v>27</v>
      </c>
      <c r="L514" t="s">
        <v>485</v>
      </c>
      <c r="M514" t="s">
        <v>1296</v>
      </c>
      <c r="N514">
        <v>5</v>
      </c>
      <c r="O514" t="s">
        <v>508</v>
      </c>
      <c r="P514">
        <v>7.0000000000000007E-2</v>
      </c>
      <c r="Q514" t="s">
        <v>1325</v>
      </c>
      <c r="R514">
        <v>44.4</v>
      </c>
      <c r="S514">
        <v>11.1</v>
      </c>
      <c r="T514">
        <v>44.4</v>
      </c>
      <c r="U514">
        <v>0</v>
      </c>
      <c r="V514">
        <v>0</v>
      </c>
    </row>
    <row r="515" spans="1:22" x14ac:dyDescent="0.25">
      <c r="A515" t="s">
        <v>1805</v>
      </c>
      <c r="B515" t="s">
        <v>520</v>
      </c>
      <c r="C515">
        <v>39</v>
      </c>
      <c r="D515" t="s">
        <v>79</v>
      </c>
      <c r="E515" t="s">
        <v>41</v>
      </c>
      <c r="F515" t="s">
        <v>60</v>
      </c>
      <c r="G515">
        <v>0.44</v>
      </c>
      <c r="H515" t="s">
        <v>40</v>
      </c>
      <c r="I515">
        <v>18</v>
      </c>
      <c r="J515" t="str">
        <f>HYPERLINK("https://www.eliteprospects.com/player/649094/wyatt-kennedy")</f>
        <v>https://www.eliteprospects.com/player/649094/wyatt-kennedy</v>
      </c>
      <c r="K515" t="s">
        <v>27</v>
      </c>
      <c r="L515" t="s">
        <v>485</v>
      </c>
      <c r="M515" t="s">
        <v>1296</v>
      </c>
      <c r="N515">
        <v>5</v>
      </c>
      <c r="O515" t="s">
        <v>508</v>
      </c>
      <c r="P515">
        <v>0.06</v>
      </c>
      <c r="Q515" t="s">
        <v>1309</v>
      </c>
      <c r="R515">
        <v>14.3</v>
      </c>
      <c r="S515">
        <v>28.6</v>
      </c>
      <c r="T515">
        <v>28.6</v>
      </c>
      <c r="U515">
        <v>0</v>
      </c>
      <c r="V515">
        <v>28.6</v>
      </c>
    </row>
    <row r="516" spans="1:22" x14ac:dyDescent="0.25">
      <c r="A516" t="s">
        <v>1806</v>
      </c>
      <c r="B516" t="s">
        <v>546</v>
      </c>
      <c r="C516">
        <v>35</v>
      </c>
      <c r="D516" t="s">
        <v>78</v>
      </c>
      <c r="E516" t="s">
        <v>45</v>
      </c>
      <c r="F516" t="s">
        <v>38</v>
      </c>
      <c r="G516">
        <v>0.46</v>
      </c>
      <c r="H516" t="s">
        <v>66</v>
      </c>
      <c r="I516">
        <v>-8</v>
      </c>
      <c r="J516" t="str">
        <f>HYPERLINK("https://www.eliteprospects.com/player/876673/kent-greer")</f>
        <v>https://www.eliteprospects.com/player/876673/kent-greer</v>
      </c>
      <c r="K516" t="s">
        <v>27</v>
      </c>
      <c r="L516" t="s">
        <v>485</v>
      </c>
      <c r="M516" t="s">
        <v>1296</v>
      </c>
      <c r="N516">
        <v>2</v>
      </c>
      <c r="O516" t="s">
        <v>501</v>
      </c>
      <c r="P516">
        <v>7.0000000000000007E-2</v>
      </c>
      <c r="Q516" t="s">
        <v>245</v>
      </c>
      <c r="R516">
        <v>0</v>
      </c>
      <c r="S516">
        <v>44.4</v>
      </c>
      <c r="T516">
        <v>33.299999999999997</v>
      </c>
      <c r="U516">
        <v>0</v>
      </c>
      <c r="V516">
        <v>22.2</v>
      </c>
    </row>
    <row r="517" spans="1:22" x14ac:dyDescent="0.25">
      <c r="A517" t="s">
        <v>1807</v>
      </c>
      <c r="B517" t="s">
        <v>507</v>
      </c>
      <c r="C517">
        <v>39</v>
      </c>
      <c r="D517" t="s">
        <v>78</v>
      </c>
      <c r="E517" t="s">
        <v>45</v>
      </c>
      <c r="F517" t="s">
        <v>38</v>
      </c>
      <c r="G517">
        <v>0.41</v>
      </c>
      <c r="H517" t="s">
        <v>40</v>
      </c>
      <c r="I517">
        <v>-11</v>
      </c>
      <c r="J517" t="str">
        <f>HYPERLINK("https://www.eliteprospects.com/player/710371/lucas-moore")</f>
        <v>https://www.eliteprospects.com/player/710371/lucas-moore</v>
      </c>
      <c r="K517" t="s">
        <v>27</v>
      </c>
      <c r="L517" t="s">
        <v>485</v>
      </c>
      <c r="M517" t="s">
        <v>1296</v>
      </c>
      <c r="N517">
        <v>5</v>
      </c>
      <c r="O517" t="s">
        <v>508</v>
      </c>
      <c r="P517">
        <v>0.06</v>
      </c>
      <c r="Q517" t="s">
        <v>1309</v>
      </c>
      <c r="R517">
        <v>0</v>
      </c>
      <c r="S517">
        <v>20</v>
      </c>
      <c r="T517">
        <v>40</v>
      </c>
      <c r="U517">
        <v>0</v>
      </c>
      <c r="V517">
        <v>40</v>
      </c>
    </row>
    <row r="518" spans="1:22" x14ac:dyDescent="0.25">
      <c r="A518" t="s">
        <v>1808</v>
      </c>
      <c r="B518" t="s">
        <v>484</v>
      </c>
      <c r="C518">
        <v>16</v>
      </c>
      <c r="D518" t="s">
        <v>66</v>
      </c>
      <c r="E518" t="s">
        <v>23</v>
      </c>
      <c r="F518" t="s">
        <v>38</v>
      </c>
      <c r="G518">
        <v>1</v>
      </c>
      <c r="H518" t="s">
        <v>26</v>
      </c>
      <c r="I518">
        <v>10</v>
      </c>
      <c r="J518" t="str">
        <f>HYPERLINK("https://www.eliteprospects.com/player/790097/darels-uljanskis")</f>
        <v>https://www.eliteprospects.com/player/790097/darels-uljanskis</v>
      </c>
      <c r="K518" t="s">
        <v>27</v>
      </c>
      <c r="L518" t="s">
        <v>485</v>
      </c>
      <c r="M518" t="s">
        <v>1296</v>
      </c>
      <c r="N518">
        <v>1</v>
      </c>
      <c r="O518" t="s">
        <v>494</v>
      </c>
      <c r="P518">
        <v>0.14000000000000001</v>
      </c>
      <c r="Q518" t="s">
        <v>1300</v>
      </c>
      <c r="R518">
        <v>42.9</v>
      </c>
      <c r="S518">
        <v>14.3</v>
      </c>
      <c r="T518">
        <v>7.1</v>
      </c>
      <c r="U518">
        <v>7.1</v>
      </c>
      <c r="V518">
        <v>28.6</v>
      </c>
    </row>
    <row r="519" spans="1:22" x14ac:dyDescent="0.25">
      <c r="A519" t="s">
        <v>1809</v>
      </c>
      <c r="B519" t="s">
        <v>507</v>
      </c>
      <c r="C519">
        <v>23</v>
      </c>
      <c r="D519" t="s">
        <v>79</v>
      </c>
      <c r="E519" t="s">
        <v>39</v>
      </c>
      <c r="F519" t="s">
        <v>38</v>
      </c>
      <c r="G519">
        <v>0.7</v>
      </c>
      <c r="H519" t="s">
        <v>45</v>
      </c>
      <c r="I519">
        <v>-2</v>
      </c>
      <c r="J519" t="str">
        <f>HYPERLINK("https://www.eliteprospects.com/player/880423/ben-danford")</f>
        <v>https://www.eliteprospects.com/player/880423/ben-danford</v>
      </c>
      <c r="K519" t="s">
        <v>27</v>
      </c>
      <c r="L519" t="s">
        <v>485</v>
      </c>
      <c r="M519" t="s">
        <v>1296</v>
      </c>
      <c r="N519">
        <v>4</v>
      </c>
      <c r="O519" t="s">
        <v>486</v>
      </c>
      <c r="P519">
        <v>0.1</v>
      </c>
      <c r="Q519" t="s">
        <v>245</v>
      </c>
      <c r="R519">
        <v>14.3</v>
      </c>
      <c r="S519">
        <v>42.9</v>
      </c>
      <c r="T519">
        <v>28.6</v>
      </c>
      <c r="U519">
        <v>0</v>
      </c>
      <c r="V519">
        <v>14.3</v>
      </c>
    </row>
    <row r="520" spans="1:22" x14ac:dyDescent="0.25">
      <c r="A520" t="s">
        <v>1810</v>
      </c>
      <c r="B520" t="s">
        <v>488</v>
      </c>
      <c r="C520">
        <v>35</v>
      </c>
      <c r="D520" t="s">
        <v>260</v>
      </c>
      <c r="E520" t="s">
        <v>41</v>
      </c>
      <c r="F520" t="s">
        <v>38</v>
      </c>
      <c r="G520">
        <v>0.46</v>
      </c>
      <c r="H520" t="s">
        <v>41</v>
      </c>
      <c r="I520">
        <v>-24</v>
      </c>
      <c r="J520" t="str">
        <f>HYPERLINK("https://www.eliteprospects.com/player/911642/luca-blonda")</f>
        <v>https://www.eliteprospects.com/player/911642/luca-blonda</v>
      </c>
      <c r="K520" t="s">
        <v>27</v>
      </c>
      <c r="L520" t="s">
        <v>485</v>
      </c>
      <c r="M520" t="s">
        <v>1296</v>
      </c>
      <c r="N520">
        <v>2</v>
      </c>
      <c r="O520" t="s">
        <v>501</v>
      </c>
      <c r="P520">
        <v>7.0000000000000007E-2</v>
      </c>
      <c r="Q520" t="s">
        <v>245</v>
      </c>
      <c r="R520">
        <v>0</v>
      </c>
      <c r="S520">
        <v>44.4</v>
      </c>
      <c r="T520">
        <v>33.299999999999997</v>
      </c>
      <c r="U520">
        <v>0</v>
      </c>
      <c r="V520">
        <v>22.2</v>
      </c>
    </row>
    <row r="521" spans="1:22" x14ac:dyDescent="0.25">
      <c r="A521" t="s">
        <v>1811</v>
      </c>
      <c r="B521" t="s">
        <v>536</v>
      </c>
      <c r="C521">
        <v>40</v>
      </c>
      <c r="D521" t="s">
        <v>57</v>
      </c>
      <c r="E521" t="s">
        <v>45</v>
      </c>
      <c r="F521" t="s">
        <v>41</v>
      </c>
      <c r="G521">
        <v>0.38</v>
      </c>
      <c r="H521" t="s">
        <v>23</v>
      </c>
      <c r="I521">
        <v>-3</v>
      </c>
      <c r="J521" t="str">
        <f>HYPERLINK("https://www.eliteprospects.com/player/577010/cameron-aucoin")</f>
        <v>https://www.eliteprospects.com/player/577010/cameron-aucoin</v>
      </c>
      <c r="K521" t="s">
        <v>27</v>
      </c>
      <c r="L521" t="s">
        <v>485</v>
      </c>
      <c r="M521" t="s">
        <v>1296</v>
      </c>
      <c r="N521">
        <v>1</v>
      </c>
      <c r="O521" t="s">
        <v>494</v>
      </c>
      <c r="P521">
        <v>0.05</v>
      </c>
      <c r="Q521" t="s">
        <v>1300</v>
      </c>
      <c r="R521">
        <v>37.5</v>
      </c>
      <c r="S521">
        <v>37.5</v>
      </c>
      <c r="T521">
        <v>0</v>
      </c>
      <c r="U521">
        <v>12.5</v>
      </c>
      <c r="V521">
        <v>12.5</v>
      </c>
    </row>
    <row r="522" spans="1:22" x14ac:dyDescent="0.25">
      <c r="A522" t="s">
        <v>1812</v>
      </c>
      <c r="B522" t="s">
        <v>526</v>
      </c>
      <c r="C522">
        <v>36</v>
      </c>
      <c r="D522" t="s">
        <v>96</v>
      </c>
      <c r="E522" t="s">
        <v>32</v>
      </c>
      <c r="F522" t="s">
        <v>41</v>
      </c>
      <c r="G522">
        <v>0.42</v>
      </c>
      <c r="H522" t="s">
        <v>300</v>
      </c>
      <c r="I522">
        <v>6</v>
      </c>
      <c r="J522" t="str">
        <f>HYPERLINK("https://www.eliteprospects.com/player/747988/carson-cameron")</f>
        <v>https://www.eliteprospects.com/player/747988/carson-cameron</v>
      </c>
      <c r="K522" t="s">
        <v>27</v>
      </c>
      <c r="L522" t="s">
        <v>485</v>
      </c>
      <c r="M522" t="s">
        <v>1296</v>
      </c>
      <c r="N522">
        <v>3</v>
      </c>
      <c r="O522" t="s">
        <v>492</v>
      </c>
      <c r="P522">
        <v>0.06</v>
      </c>
      <c r="Q522" t="s">
        <v>1300</v>
      </c>
      <c r="R522">
        <v>57.1</v>
      </c>
      <c r="S522">
        <v>28.6</v>
      </c>
      <c r="T522">
        <v>0</v>
      </c>
      <c r="U522">
        <v>14.3</v>
      </c>
      <c r="V522">
        <v>0</v>
      </c>
    </row>
    <row r="523" spans="1:22" x14ac:dyDescent="0.25">
      <c r="A523" t="s">
        <v>1813</v>
      </c>
      <c r="B523" t="s">
        <v>507</v>
      </c>
      <c r="C523">
        <v>30</v>
      </c>
      <c r="D523" t="s">
        <v>140</v>
      </c>
      <c r="E523" t="s">
        <v>23</v>
      </c>
      <c r="F523" t="s">
        <v>41</v>
      </c>
      <c r="G523">
        <v>0.5</v>
      </c>
      <c r="H523" t="s">
        <v>47</v>
      </c>
      <c r="I523">
        <v>-27</v>
      </c>
      <c r="J523" t="str">
        <f>HYPERLINK("https://www.eliteprospects.com/player/885160/haoxi-wang")</f>
        <v>https://www.eliteprospects.com/player/885160/haoxi-wang</v>
      </c>
      <c r="K523" t="s">
        <v>27</v>
      </c>
      <c r="L523" t="s">
        <v>485</v>
      </c>
      <c r="M523" t="s">
        <v>1296</v>
      </c>
      <c r="N523">
        <v>2</v>
      </c>
      <c r="O523" t="s">
        <v>501</v>
      </c>
      <c r="P523">
        <v>7.0000000000000007E-2</v>
      </c>
      <c r="Q523" t="s">
        <v>245</v>
      </c>
      <c r="R523">
        <v>0</v>
      </c>
      <c r="S523">
        <v>44.4</v>
      </c>
      <c r="T523">
        <v>33.299999999999997</v>
      </c>
      <c r="U523">
        <v>0</v>
      </c>
      <c r="V523">
        <v>22.2</v>
      </c>
    </row>
    <row r="524" spans="1:22" x14ac:dyDescent="0.25">
      <c r="A524" t="s">
        <v>1814</v>
      </c>
      <c r="B524" t="s">
        <v>496</v>
      </c>
      <c r="C524">
        <v>41</v>
      </c>
      <c r="D524" t="s">
        <v>79</v>
      </c>
      <c r="E524" t="s">
        <v>65</v>
      </c>
      <c r="F524" t="s">
        <v>41</v>
      </c>
      <c r="G524">
        <v>0.37</v>
      </c>
      <c r="H524" t="s">
        <v>23</v>
      </c>
      <c r="I524">
        <v>0</v>
      </c>
      <c r="J524" t="str">
        <f>HYPERLINK("https://www.eliteprospects.com/player/752680/graydon-jones")</f>
        <v>https://www.eliteprospects.com/player/752680/graydon-jones</v>
      </c>
      <c r="K524" t="s">
        <v>27</v>
      </c>
      <c r="L524" t="s">
        <v>485</v>
      </c>
      <c r="M524" t="s">
        <v>1296</v>
      </c>
      <c r="N524">
        <v>2</v>
      </c>
      <c r="O524" t="s">
        <v>501</v>
      </c>
      <c r="P524">
        <v>0.05</v>
      </c>
      <c r="Q524" t="s">
        <v>1300</v>
      </c>
      <c r="R524">
        <v>37.5</v>
      </c>
      <c r="S524">
        <v>37.5</v>
      </c>
      <c r="T524">
        <v>0</v>
      </c>
      <c r="U524">
        <v>12.5</v>
      </c>
      <c r="V524">
        <v>12.5</v>
      </c>
    </row>
    <row r="525" spans="1:22" x14ac:dyDescent="0.25">
      <c r="A525" t="s">
        <v>1815</v>
      </c>
      <c r="B525" t="s">
        <v>507</v>
      </c>
      <c r="C525">
        <v>37</v>
      </c>
      <c r="D525" t="s">
        <v>132</v>
      </c>
      <c r="E525" t="s">
        <v>41</v>
      </c>
      <c r="F525" t="s">
        <v>41</v>
      </c>
      <c r="G525">
        <v>0.41</v>
      </c>
      <c r="H525" t="s">
        <v>491</v>
      </c>
      <c r="I525">
        <v>6</v>
      </c>
      <c r="J525" t="str">
        <f>HYPERLINK("https://www.eliteprospects.com/player/723430/zach-sandhu")</f>
        <v>https://www.eliteprospects.com/player/723430/zach-sandhu</v>
      </c>
      <c r="K525" t="s">
        <v>27</v>
      </c>
      <c r="L525" t="s">
        <v>485</v>
      </c>
      <c r="M525" t="s">
        <v>1296</v>
      </c>
      <c r="N525">
        <v>5</v>
      </c>
      <c r="O525" t="s">
        <v>508</v>
      </c>
      <c r="P525">
        <v>0.06</v>
      </c>
      <c r="Q525" t="s">
        <v>1300</v>
      </c>
      <c r="R525">
        <v>57.1</v>
      </c>
      <c r="S525">
        <v>28.6</v>
      </c>
      <c r="T525">
        <v>0</v>
      </c>
      <c r="U525">
        <v>14.3</v>
      </c>
      <c r="V525">
        <v>0</v>
      </c>
    </row>
    <row r="526" spans="1:22" x14ac:dyDescent="0.25">
      <c r="A526" t="s">
        <v>1816</v>
      </c>
      <c r="B526" t="s">
        <v>526</v>
      </c>
      <c r="C526">
        <v>37</v>
      </c>
      <c r="D526" t="s">
        <v>140</v>
      </c>
      <c r="E526" t="s">
        <v>69</v>
      </c>
      <c r="F526" t="s">
        <v>39</v>
      </c>
      <c r="G526">
        <v>0.38</v>
      </c>
      <c r="H526" t="s">
        <v>32</v>
      </c>
      <c r="I526">
        <v>1</v>
      </c>
      <c r="J526" t="str">
        <f>HYPERLINK("https://www.eliteprospects.com/player/966272/matthew-perreault")</f>
        <v>https://www.eliteprospects.com/player/966272/matthew-perreault</v>
      </c>
      <c r="K526" t="s">
        <v>27</v>
      </c>
      <c r="L526" t="s">
        <v>485</v>
      </c>
      <c r="M526" t="s">
        <v>1296</v>
      </c>
      <c r="N526">
        <v>1</v>
      </c>
      <c r="O526" t="s">
        <v>494</v>
      </c>
      <c r="P526">
        <v>0.05</v>
      </c>
      <c r="Q526" t="s">
        <v>1300</v>
      </c>
      <c r="R526">
        <v>57.1</v>
      </c>
      <c r="S526">
        <v>28.6</v>
      </c>
      <c r="T526">
        <v>0</v>
      </c>
      <c r="U526">
        <v>14.3</v>
      </c>
      <c r="V526">
        <v>0</v>
      </c>
    </row>
    <row r="527" spans="1:22" x14ac:dyDescent="0.25">
      <c r="A527" t="s">
        <v>1817</v>
      </c>
      <c r="B527" t="s">
        <v>498</v>
      </c>
      <c r="C527">
        <v>40</v>
      </c>
      <c r="D527" t="s">
        <v>96</v>
      </c>
      <c r="E527" t="s">
        <v>26</v>
      </c>
      <c r="F527" t="s">
        <v>65</v>
      </c>
      <c r="G527">
        <v>0.33</v>
      </c>
      <c r="H527" t="s">
        <v>24</v>
      </c>
      <c r="I527">
        <v>-1</v>
      </c>
      <c r="J527" t="str">
        <f>HYPERLINK("https://www.eliteprospects.com/player/880424/braedyn-rogers")</f>
        <v>https://www.eliteprospects.com/player/880424/braedyn-rogers</v>
      </c>
      <c r="K527" t="s">
        <v>27</v>
      </c>
      <c r="L527" t="s">
        <v>485</v>
      </c>
      <c r="M527" t="s">
        <v>1296</v>
      </c>
      <c r="N527">
        <v>4</v>
      </c>
      <c r="O527" t="s">
        <v>486</v>
      </c>
      <c r="P527">
        <v>0.05</v>
      </c>
      <c r="Q527" t="s">
        <v>1300</v>
      </c>
      <c r="R527">
        <v>37.5</v>
      </c>
      <c r="S527">
        <v>37.5</v>
      </c>
      <c r="T527">
        <v>0</v>
      </c>
      <c r="U527">
        <v>12.5</v>
      </c>
      <c r="V527">
        <v>12.5</v>
      </c>
    </row>
    <row r="528" spans="1:22" x14ac:dyDescent="0.25">
      <c r="A528" t="s">
        <v>1818</v>
      </c>
      <c r="B528" t="s">
        <v>521</v>
      </c>
      <c r="C528">
        <v>34</v>
      </c>
      <c r="D528" t="s">
        <v>140</v>
      </c>
      <c r="E528" t="s">
        <v>32</v>
      </c>
      <c r="F528" t="s">
        <v>65</v>
      </c>
      <c r="G528">
        <v>0.38</v>
      </c>
      <c r="H528" t="s">
        <v>32</v>
      </c>
      <c r="I528">
        <v>7</v>
      </c>
      <c r="J528" t="str">
        <f>HYPERLINK("https://www.eliteprospects.com/player/577187/ryan-white")</f>
        <v>https://www.eliteprospects.com/player/577187/ryan-white</v>
      </c>
      <c r="K528" t="s">
        <v>27</v>
      </c>
      <c r="L528" t="s">
        <v>485</v>
      </c>
      <c r="M528" t="s">
        <v>1296</v>
      </c>
      <c r="N528">
        <v>2</v>
      </c>
      <c r="O528" t="s">
        <v>501</v>
      </c>
      <c r="P528">
        <v>0.05</v>
      </c>
      <c r="Q528" t="s">
        <v>1325</v>
      </c>
      <c r="R528">
        <v>18.2</v>
      </c>
      <c r="S528">
        <v>9.1</v>
      </c>
      <c r="T528">
        <v>63.6</v>
      </c>
      <c r="U528">
        <v>0</v>
      </c>
      <c r="V528">
        <v>9.1</v>
      </c>
    </row>
    <row r="529" spans="1:22" x14ac:dyDescent="0.25">
      <c r="A529" t="s">
        <v>1819</v>
      </c>
      <c r="B529" t="s">
        <v>532</v>
      </c>
      <c r="C529">
        <v>39</v>
      </c>
      <c r="D529" t="s">
        <v>140</v>
      </c>
      <c r="E529" t="s">
        <v>32</v>
      </c>
      <c r="F529" t="s">
        <v>65</v>
      </c>
      <c r="G529">
        <v>0.33</v>
      </c>
      <c r="H529" t="s">
        <v>84</v>
      </c>
      <c r="I529">
        <v>2</v>
      </c>
      <c r="J529" t="str">
        <f>HYPERLINK("https://www.eliteprospects.com/player/866570/linus-funck")</f>
        <v>https://www.eliteprospects.com/player/866570/linus-funck</v>
      </c>
      <c r="K529" t="s">
        <v>27</v>
      </c>
      <c r="L529" t="s">
        <v>485</v>
      </c>
      <c r="M529" t="s">
        <v>1296</v>
      </c>
      <c r="N529">
        <v>1</v>
      </c>
      <c r="O529" t="s">
        <v>494</v>
      </c>
      <c r="P529">
        <v>0.05</v>
      </c>
      <c r="Q529" t="s">
        <v>1300</v>
      </c>
      <c r="R529">
        <v>57.1</v>
      </c>
      <c r="S529">
        <v>28.6</v>
      </c>
      <c r="T529">
        <v>0</v>
      </c>
      <c r="U529">
        <v>14.3</v>
      </c>
      <c r="V529">
        <v>0</v>
      </c>
    </row>
    <row r="530" spans="1:22" x14ac:dyDescent="0.25">
      <c r="A530" t="s">
        <v>1820</v>
      </c>
      <c r="B530" t="s">
        <v>527</v>
      </c>
      <c r="C530">
        <v>34</v>
      </c>
      <c r="D530" t="s">
        <v>79</v>
      </c>
      <c r="E530" t="s">
        <v>69</v>
      </c>
      <c r="F530" t="s">
        <v>65</v>
      </c>
      <c r="G530">
        <v>0.38</v>
      </c>
      <c r="H530" t="s">
        <v>589</v>
      </c>
      <c r="I530">
        <v>2</v>
      </c>
      <c r="J530" t="str">
        <f>HYPERLINK("https://www.eliteprospects.com/player/888277/grant-spada")</f>
        <v>https://www.eliteprospects.com/player/888277/grant-spada</v>
      </c>
      <c r="K530" t="s">
        <v>27</v>
      </c>
      <c r="L530" t="s">
        <v>485</v>
      </c>
      <c r="M530" t="s">
        <v>1296</v>
      </c>
      <c r="N530">
        <v>3</v>
      </c>
      <c r="O530" t="s">
        <v>492</v>
      </c>
      <c r="P530">
        <v>0.05</v>
      </c>
      <c r="Q530" t="s">
        <v>1300</v>
      </c>
      <c r="R530">
        <v>57.1</v>
      </c>
      <c r="S530">
        <v>28.6</v>
      </c>
      <c r="T530">
        <v>0</v>
      </c>
      <c r="U530">
        <v>14.3</v>
      </c>
      <c r="V530">
        <v>0</v>
      </c>
    </row>
    <row r="531" spans="1:22" x14ac:dyDescent="0.25">
      <c r="A531" t="s">
        <v>1821</v>
      </c>
      <c r="B531" t="s">
        <v>546</v>
      </c>
      <c r="C531">
        <v>37</v>
      </c>
      <c r="D531" t="s">
        <v>79</v>
      </c>
      <c r="E531" t="s">
        <v>69</v>
      </c>
      <c r="F531" t="s">
        <v>65</v>
      </c>
      <c r="G531">
        <v>0.35</v>
      </c>
      <c r="H531" t="s">
        <v>23</v>
      </c>
      <c r="I531">
        <v>2</v>
      </c>
      <c r="J531" t="str">
        <f>HYPERLINK("https://www.eliteprospects.com/player/897606/jonathan-kapageridis")</f>
        <v>https://www.eliteprospects.com/player/897606/jonathan-kapageridis</v>
      </c>
      <c r="K531" t="s">
        <v>27</v>
      </c>
      <c r="L531" t="s">
        <v>485</v>
      </c>
      <c r="M531" t="s">
        <v>1296</v>
      </c>
      <c r="N531">
        <v>2</v>
      </c>
      <c r="O531" t="s">
        <v>501</v>
      </c>
      <c r="P531">
        <v>0.05</v>
      </c>
      <c r="Q531" t="s">
        <v>1300</v>
      </c>
      <c r="R531">
        <v>57.1</v>
      </c>
      <c r="S531">
        <v>28.6</v>
      </c>
      <c r="T531">
        <v>0</v>
      </c>
      <c r="U531">
        <v>14.3</v>
      </c>
      <c r="V531">
        <v>0</v>
      </c>
    </row>
    <row r="532" spans="1:22" x14ac:dyDescent="0.25">
      <c r="A532" t="s">
        <v>1822</v>
      </c>
      <c r="B532" t="s">
        <v>484</v>
      </c>
      <c r="C532">
        <v>39</v>
      </c>
      <c r="D532" t="s">
        <v>79</v>
      </c>
      <c r="E532" t="s">
        <v>69</v>
      </c>
      <c r="F532" t="s">
        <v>65</v>
      </c>
      <c r="G532">
        <v>0.33</v>
      </c>
      <c r="H532" t="s">
        <v>75</v>
      </c>
      <c r="I532">
        <v>24</v>
      </c>
      <c r="J532" t="str">
        <f>HYPERLINK("https://www.eliteprospects.com/player/897540/luka-graziano")</f>
        <v>https://www.eliteprospects.com/player/897540/luka-graziano</v>
      </c>
      <c r="K532" t="s">
        <v>27</v>
      </c>
      <c r="L532" t="s">
        <v>485</v>
      </c>
      <c r="M532" t="s">
        <v>1296</v>
      </c>
      <c r="N532">
        <v>1</v>
      </c>
      <c r="O532" t="s">
        <v>494</v>
      </c>
      <c r="P532">
        <v>0.05</v>
      </c>
      <c r="Q532" t="s">
        <v>1309</v>
      </c>
      <c r="R532">
        <v>14.3</v>
      </c>
      <c r="S532">
        <v>28.6</v>
      </c>
      <c r="T532">
        <v>28.6</v>
      </c>
      <c r="U532">
        <v>0</v>
      </c>
      <c r="V532">
        <v>28.6</v>
      </c>
    </row>
    <row r="533" spans="1:22" x14ac:dyDescent="0.25">
      <c r="A533" t="s">
        <v>1823</v>
      </c>
      <c r="B533" t="s">
        <v>536</v>
      </c>
      <c r="C533">
        <v>39</v>
      </c>
      <c r="D533" t="s">
        <v>140</v>
      </c>
      <c r="E533" t="s">
        <v>45</v>
      </c>
      <c r="F533" t="s">
        <v>23</v>
      </c>
      <c r="G533">
        <v>0.31</v>
      </c>
      <c r="H533" t="s">
        <v>489</v>
      </c>
      <c r="I533">
        <v>-6</v>
      </c>
      <c r="J533" t="str">
        <f>HYPERLINK("https://www.eliteprospects.com/player/800060/jacob-reese")</f>
        <v>https://www.eliteprospects.com/player/800060/jacob-reese</v>
      </c>
      <c r="K533" t="s">
        <v>27</v>
      </c>
      <c r="L533" t="s">
        <v>485</v>
      </c>
      <c r="M533" t="s">
        <v>1296</v>
      </c>
      <c r="N533">
        <v>1</v>
      </c>
      <c r="O533" t="s">
        <v>494</v>
      </c>
      <c r="P533">
        <v>0.04</v>
      </c>
      <c r="Q533" t="s">
        <v>1488</v>
      </c>
      <c r="R533">
        <v>0</v>
      </c>
      <c r="S533">
        <v>0</v>
      </c>
      <c r="T533">
        <v>0</v>
      </c>
      <c r="U533">
        <v>0</v>
      </c>
      <c r="V533">
        <v>0</v>
      </c>
    </row>
    <row r="534" spans="1:22" x14ac:dyDescent="0.25">
      <c r="A534" t="s">
        <v>1824</v>
      </c>
      <c r="B534" t="s">
        <v>578</v>
      </c>
      <c r="C534">
        <v>41</v>
      </c>
      <c r="D534" t="s">
        <v>140</v>
      </c>
      <c r="E534" t="s">
        <v>45</v>
      </c>
      <c r="F534" t="s">
        <v>23</v>
      </c>
      <c r="G534">
        <v>0.28999999999999998</v>
      </c>
      <c r="H534" t="s">
        <v>39</v>
      </c>
      <c r="I534">
        <v>-17</v>
      </c>
      <c r="J534" t="str">
        <f>HYPERLINK("https://www.eliteprospects.com/player/597857/tristen-trevino")</f>
        <v>https://www.eliteprospects.com/player/597857/tristen-trevino</v>
      </c>
      <c r="K534" t="s">
        <v>27</v>
      </c>
      <c r="L534" t="s">
        <v>485</v>
      </c>
      <c r="M534" t="s">
        <v>1296</v>
      </c>
      <c r="N534">
        <v>1</v>
      </c>
      <c r="O534" t="s">
        <v>494</v>
      </c>
      <c r="P534">
        <v>0.04</v>
      </c>
      <c r="Q534" t="s">
        <v>1488</v>
      </c>
      <c r="R534">
        <v>0</v>
      </c>
      <c r="S534">
        <v>0</v>
      </c>
      <c r="T534">
        <v>0</v>
      </c>
      <c r="U534">
        <v>0</v>
      </c>
      <c r="V534">
        <v>0</v>
      </c>
    </row>
    <row r="535" spans="1:22" x14ac:dyDescent="0.25">
      <c r="A535" t="s">
        <v>1825</v>
      </c>
      <c r="B535" t="s">
        <v>532</v>
      </c>
      <c r="C535">
        <v>31</v>
      </c>
      <c r="D535" t="s">
        <v>79</v>
      </c>
      <c r="E535" t="s">
        <v>32</v>
      </c>
      <c r="F535" t="s">
        <v>23</v>
      </c>
      <c r="G535">
        <v>0.39</v>
      </c>
      <c r="H535" t="s">
        <v>24</v>
      </c>
      <c r="I535">
        <v>12</v>
      </c>
      <c r="J535" t="str">
        <f>HYPERLINK("https://www.eliteprospects.com/player/628140/caleb-mitchell")</f>
        <v>https://www.eliteprospects.com/player/628140/caleb-mitchell</v>
      </c>
      <c r="K535" t="s">
        <v>27</v>
      </c>
      <c r="L535" t="s">
        <v>485</v>
      </c>
      <c r="M535" t="s">
        <v>1296</v>
      </c>
      <c r="N535">
        <v>2</v>
      </c>
      <c r="O535" t="s">
        <v>501</v>
      </c>
      <c r="P535">
        <v>0.06</v>
      </c>
      <c r="Q535" t="s">
        <v>1325</v>
      </c>
      <c r="R535">
        <v>18.2</v>
      </c>
      <c r="S535">
        <v>9.1</v>
      </c>
      <c r="T535">
        <v>63.6</v>
      </c>
      <c r="U535">
        <v>0</v>
      </c>
      <c r="V535">
        <v>9.1</v>
      </c>
    </row>
    <row r="536" spans="1:22" x14ac:dyDescent="0.25">
      <c r="A536" t="s">
        <v>1826</v>
      </c>
      <c r="B536" t="s">
        <v>498</v>
      </c>
      <c r="C536">
        <v>38</v>
      </c>
      <c r="D536" t="s">
        <v>79</v>
      </c>
      <c r="E536" t="s">
        <v>32</v>
      </c>
      <c r="F536" t="s">
        <v>23</v>
      </c>
      <c r="G536">
        <v>0.32</v>
      </c>
      <c r="H536" t="s">
        <v>544</v>
      </c>
      <c r="I536">
        <v>5</v>
      </c>
      <c r="J536" t="str">
        <f>HYPERLINK("https://www.eliteprospects.com/player/897523/elliot-arnett")</f>
        <v>https://www.eliteprospects.com/player/897523/elliot-arnett</v>
      </c>
      <c r="K536" t="s">
        <v>27</v>
      </c>
      <c r="L536" t="s">
        <v>485</v>
      </c>
      <c r="M536" t="s">
        <v>1296</v>
      </c>
      <c r="N536">
        <v>2</v>
      </c>
      <c r="O536" t="s">
        <v>501</v>
      </c>
      <c r="P536">
        <v>0.05</v>
      </c>
      <c r="Q536" t="s">
        <v>1300</v>
      </c>
      <c r="R536">
        <v>57.1</v>
      </c>
      <c r="S536">
        <v>28.6</v>
      </c>
      <c r="T536">
        <v>0</v>
      </c>
      <c r="U536">
        <v>14.3</v>
      </c>
      <c r="V536">
        <v>0</v>
      </c>
    </row>
    <row r="537" spans="1:22" x14ac:dyDescent="0.25">
      <c r="A537" t="s">
        <v>1827</v>
      </c>
      <c r="B537" t="s">
        <v>507</v>
      </c>
      <c r="C537">
        <v>40</v>
      </c>
      <c r="D537" t="s">
        <v>79</v>
      </c>
      <c r="E537" t="s">
        <v>32</v>
      </c>
      <c r="F537" t="s">
        <v>23</v>
      </c>
      <c r="G537">
        <v>0.3</v>
      </c>
      <c r="H537" t="s">
        <v>739</v>
      </c>
      <c r="I537">
        <v>-4</v>
      </c>
      <c r="J537" t="str">
        <f>HYPERLINK("https://www.eliteprospects.com/player/679516/garrett-frazer")</f>
        <v>https://www.eliteprospects.com/player/679516/garrett-frazer</v>
      </c>
      <c r="K537" t="s">
        <v>27</v>
      </c>
      <c r="L537" t="s">
        <v>485</v>
      </c>
      <c r="M537" t="s">
        <v>1296</v>
      </c>
      <c r="N537">
        <v>2</v>
      </c>
      <c r="O537" t="s">
        <v>501</v>
      </c>
      <c r="P537">
        <v>0.04</v>
      </c>
      <c r="Q537" t="s">
        <v>1488</v>
      </c>
      <c r="R537">
        <v>0</v>
      </c>
      <c r="S537">
        <v>0</v>
      </c>
      <c r="T537">
        <v>0</v>
      </c>
      <c r="U537">
        <v>0</v>
      </c>
      <c r="V537">
        <v>0</v>
      </c>
    </row>
    <row r="538" spans="1:22" x14ac:dyDescent="0.25">
      <c r="A538" t="s">
        <v>1828</v>
      </c>
      <c r="B538" t="s">
        <v>521</v>
      </c>
      <c r="C538">
        <v>39</v>
      </c>
      <c r="D538" t="s">
        <v>260</v>
      </c>
      <c r="E538" t="s">
        <v>69</v>
      </c>
      <c r="F538" t="s">
        <v>23</v>
      </c>
      <c r="G538">
        <v>0.31</v>
      </c>
      <c r="H538" t="s">
        <v>280</v>
      </c>
      <c r="I538">
        <v>16</v>
      </c>
      <c r="J538" t="str">
        <f>HYPERLINK("https://www.eliteprospects.com/player/888273/kaleb-dietsch")</f>
        <v>https://www.eliteprospects.com/player/888273/kaleb-dietsch</v>
      </c>
      <c r="K538" t="s">
        <v>27</v>
      </c>
      <c r="L538" t="s">
        <v>485</v>
      </c>
      <c r="M538" t="s">
        <v>1296</v>
      </c>
      <c r="N538">
        <v>3</v>
      </c>
      <c r="O538" t="s">
        <v>492</v>
      </c>
      <c r="P538">
        <v>0.04</v>
      </c>
      <c r="Q538" t="s">
        <v>1488</v>
      </c>
      <c r="R538">
        <v>0</v>
      </c>
      <c r="S538">
        <v>0</v>
      </c>
      <c r="T538">
        <v>0</v>
      </c>
      <c r="U538">
        <v>0</v>
      </c>
      <c r="V538">
        <v>0</v>
      </c>
    </row>
    <row r="539" spans="1:22" x14ac:dyDescent="0.25">
      <c r="A539" t="s">
        <v>1829</v>
      </c>
      <c r="B539" t="s">
        <v>527</v>
      </c>
      <c r="C539">
        <v>17</v>
      </c>
      <c r="D539" t="s">
        <v>66</v>
      </c>
      <c r="E539" t="s">
        <v>78</v>
      </c>
      <c r="F539" t="s">
        <v>69</v>
      </c>
      <c r="G539">
        <v>0.65</v>
      </c>
      <c r="H539" t="s">
        <v>33</v>
      </c>
      <c r="I539">
        <v>3</v>
      </c>
      <c r="J539" t="str">
        <f>HYPERLINK("https://www.eliteprospects.com/player/881136/noah-jenken")</f>
        <v>https://www.eliteprospects.com/player/881136/noah-jenken</v>
      </c>
      <c r="K539" t="s">
        <v>27</v>
      </c>
      <c r="L539" t="s">
        <v>485</v>
      </c>
      <c r="M539" t="s">
        <v>1296</v>
      </c>
      <c r="N539">
        <v>3</v>
      </c>
      <c r="O539" t="s">
        <v>492</v>
      </c>
      <c r="P539">
        <v>0.09</v>
      </c>
      <c r="Q539" t="s">
        <v>1300</v>
      </c>
      <c r="R539">
        <v>37.5</v>
      </c>
      <c r="S539">
        <v>12.5</v>
      </c>
      <c r="T539">
        <v>12.5</v>
      </c>
      <c r="U539">
        <v>12.5</v>
      </c>
      <c r="V539">
        <v>25</v>
      </c>
    </row>
    <row r="540" spans="1:22" x14ac:dyDescent="0.25">
      <c r="A540" t="s">
        <v>1830</v>
      </c>
      <c r="B540" t="s">
        <v>561</v>
      </c>
      <c r="C540">
        <v>40</v>
      </c>
      <c r="D540" t="s">
        <v>66</v>
      </c>
      <c r="E540" t="s">
        <v>78</v>
      </c>
      <c r="F540" t="s">
        <v>69</v>
      </c>
      <c r="G540">
        <v>0.28000000000000003</v>
      </c>
      <c r="H540" t="s">
        <v>125</v>
      </c>
      <c r="I540">
        <v>14</v>
      </c>
      <c r="J540" t="str">
        <f>HYPERLINK("https://www.eliteprospects.com/player/890383/andre-mondoux")</f>
        <v>https://www.eliteprospects.com/player/890383/andre-mondoux</v>
      </c>
      <c r="K540" t="s">
        <v>27</v>
      </c>
      <c r="L540" t="s">
        <v>485</v>
      </c>
      <c r="M540" t="s">
        <v>1296</v>
      </c>
      <c r="N540">
        <v>2</v>
      </c>
      <c r="O540" t="s">
        <v>501</v>
      </c>
      <c r="P540">
        <v>0.04</v>
      </c>
      <c r="Q540" t="s">
        <v>1488</v>
      </c>
      <c r="R540">
        <v>0</v>
      </c>
      <c r="S540">
        <v>0</v>
      </c>
      <c r="T540">
        <v>0</v>
      </c>
      <c r="U540">
        <v>0</v>
      </c>
      <c r="V540">
        <v>0</v>
      </c>
    </row>
    <row r="541" spans="1:22" x14ac:dyDescent="0.25">
      <c r="A541" t="s">
        <v>1831</v>
      </c>
      <c r="B541" t="s">
        <v>536</v>
      </c>
      <c r="C541">
        <v>28</v>
      </c>
      <c r="D541" t="s">
        <v>260</v>
      </c>
      <c r="E541" t="s">
        <v>32</v>
      </c>
      <c r="F541" t="s">
        <v>69</v>
      </c>
      <c r="G541">
        <v>0.39</v>
      </c>
      <c r="H541" t="s">
        <v>65</v>
      </c>
      <c r="I541">
        <v>-11</v>
      </c>
      <c r="J541" t="str">
        <f>HYPERLINK("https://www.eliteprospects.com/player/888266/james-barr")</f>
        <v>https://www.eliteprospects.com/player/888266/james-barr</v>
      </c>
      <c r="K541" t="s">
        <v>27</v>
      </c>
      <c r="L541" t="s">
        <v>485</v>
      </c>
      <c r="M541" t="s">
        <v>1296</v>
      </c>
      <c r="N541">
        <v>3</v>
      </c>
      <c r="O541" t="s">
        <v>492</v>
      </c>
      <c r="P541">
        <v>0.06</v>
      </c>
      <c r="Q541" t="s">
        <v>1309</v>
      </c>
      <c r="R541">
        <v>0</v>
      </c>
      <c r="S541">
        <v>20</v>
      </c>
      <c r="T541">
        <v>40</v>
      </c>
      <c r="U541">
        <v>0</v>
      </c>
      <c r="V541">
        <v>40</v>
      </c>
    </row>
    <row r="542" spans="1:22" x14ac:dyDescent="0.25">
      <c r="A542" t="s">
        <v>1832</v>
      </c>
      <c r="B542" t="s">
        <v>521</v>
      </c>
      <c r="C542">
        <v>38</v>
      </c>
      <c r="D542" t="s">
        <v>260</v>
      </c>
      <c r="E542" t="s">
        <v>32</v>
      </c>
      <c r="F542" t="s">
        <v>69</v>
      </c>
      <c r="G542">
        <v>0.28999999999999998</v>
      </c>
      <c r="H542" t="s">
        <v>265</v>
      </c>
      <c r="I542">
        <v>17</v>
      </c>
      <c r="J542" t="str">
        <f>HYPERLINK("https://www.eliteprospects.com/player/784713/connor-bewick")</f>
        <v>https://www.eliteprospects.com/player/784713/connor-bewick</v>
      </c>
      <c r="K542" t="s">
        <v>27</v>
      </c>
      <c r="L542" t="s">
        <v>485</v>
      </c>
      <c r="M542" t="s">
        <v>1296</v>
      </c>
      <c r="N542">
        <v>1</v>
      </c>
      <c r="O542" t="s">
        <v>494</v>
      </c>
      <c r="P542">
        <v>0.04</v>
      </c>
      <c r="Q542" t="s">
        <v>1488</v>
      </c>
      <c r="R542">
        <v>0</v>
      </c>
      <c r="S542">
        <v>0</v>
      </c>
      <c r="T542">
        <v>0</v>
      </c>
      <c r="U542">
        <v>0</v>
      </c>
      <c r="V542">
        <v>0</v>
      </c>
    </row>
    <row r="543" spans="1:22" x14ac:dyDescent="0.25">
      <c r="A543" t="s">
        <v>1833</v>
      </c>
      <c r="B543" t="s">
        <v>578</v>
      </c>
      <c r="C543">
        <v>39</v>
      </c>
      <c r="D543" t="s">
        <v>260</v>
      </c>
      <c r="E543" t="s">
        <v>32</v>
      </c>
      <c r="F543" t="s">
        <v>69</v>
      </c>
      <c r="G543">
        <v>0.28000000000000003</v>
      </c>
      <c r="H543" t="s">
        <v>265</v>
      </c>
      <c r="I543">
        <v>-24</v>
      </c>
      <c r="J543" t="str">
        <f>HYPERLINK("https://www.eliteprospects.com/player/897478/lucas-ambrosio")</f>
        <v>https://www.eliteprospects.com/player/897478/lucas-ambrosio</v>
      </c>
      <c r="K543" t="s">
        <v>27</v>
      </c>
      <c r="L543" t="s">
        <v>485</v>
      </c>
      <c r="M543" t="s">
        <v>1296</v>
      </c>
      <c r="N543">
        <v>2</v>
      </c>
      <c r="O543" t="s">
        <v>501</v>
      </c>
      <c r="P543">
        <v>0.04</v>
      </c>
      <c r="Q543" t="s">
        <v>1488</v>
      </c>
      <c r="R543">
        <v>0</v>
      </c>
      <c r="S543">
        <v>0</v>
      </c>
      <c r="T543">
        <v>0</v>
      </c>
      <c r="U543">
        <v>0</v>
      </c>
      <c r="V543">
        <v>0</v>
      </c>
    </row>
    <row r="544" spans="1:22" x14ac:dyDescent="0.25">
      <c r="A544" t="s">
        <v>1834</v>
      </c>
      <c r="B544" t="s">
        <v>490</v>
      </c>
      <c r="C544">
        <v>35</v>
      </c>
      <c r="D544" t="s">
        <v>79</v>
      </c>
      <c r="E544" t="s">
        <v>26</v>
      </c>
      <c r="F544" t="s">
        <v>32</v>
      </c>
      <c r="G544">
        <v>0.28999999999999998</v>
      </c>
      <c r="H544" t="s">
        <v>235</v>
      </c>
      <c r="I544">
        <v>-3</v>
      </c>
      <c r="J544" t="str">
        <f>HYPERLINK("https://www.eliteprospects.com/player/603119/grayson-tiller")</f>
        <v>https://www.eliteprospects.com/player/603119/grayson-tiller</v>
      </c>
      <c r="K544" t="s">
        <v>27</v>
      </c>
      <c r="L544" t="s">
        <v>485</v>
      </c>
      <c r="M544" t="s">
        <v>1296</v>
      </c>
      <c r="N544">
        <v>5</v>
      </c>
      <c r="O544" t="s">
        <v>508</v>
      </c>
      <c r="P544">
        <v>0.04</v>
      </c>
      <c r="Q544" t="s">
        <v>1488</v>
      </c>
      <c r="R544">
        <v>0</v>
      </c>
      <c r="S544">
        <v>0</v>
      </c>
      <c r="T544">
        <v>0</v>
      </c>
      <c r="U544">
        <v>0</v>
      </c>
      <c r="V544">
        <v>0</v>
      </c>
    </row>
    <row r="545" spans="1:22" x14ac:dyDescent="0.25">
      <c r="A545" t="s">
        <v>1835</v>
      </c>
      <c r="B545" t="s">
        <v>520</v>
      </c>
      <c r="C545">
        <v>36</v>
      </c>
      <c r="D545" t="s">
        <v>79</v>
      </c>
      <c r="E545" t="s">
        <v>26</v>
      </c>
      <c r="F545" t="s">
        <v>32</v>
      </c>
      <c r="G545">
        <v>0.28000000000000003</v>
      </c>
      <c r="H545" t="s">
        <v>23</v>
      </c>
      <c r="I545">
        <v>15</v>
      </c>
      <c r="J545" t="str">
        <f>HYPERLINK("https://www.eliteprospects.com/player/906007/andrew-robinson")</f>
        <v>https://www.eliteprospects.com/player/906007/andrew-robinson</v>
      </c>
      <c r="K545" t="s">
        <v>27</v>
      </c>
      <c r="L545" t="s">
        <v>485</v>
      </c>
      <c r="M545" t="s">
        <v>1296</v>
      </c>
      <c r="N545">
        <v>2</v>
      </c>
      <c r="O545" t="s">
        <v>501</v>
      </c>
      <c r="P545">
        <v>0.04</v>
      </c>
      <c r="Q545" t="s">
        <v>1488</v>
      </c>
      <c r="R545">
        <v>0</v>
      </c>
      <c r="S545">
        <v>0</v>
      </c>
      <c r="T545">
        <v>0</v>
      </c>
      <c r="U545">
        <v>0</v>
      </c>
      <c r="V545">
        <v>0</v>
      </c>
    </row>
    <row r="546" spans="1:22" x14ac:dyDescent="0.25">
      <c r="A546" t="s">
        <v>1836</v>
      </c>
      <c r="B546" t="s">
        <v>520</v>
      </c>
      <c r="C546">
        <v>38</v>
      </c>
      <c r="D546" t="s">
        <v>79</v>
      </c>
      <c r="E546" t="s">
        <v>26</v>
      </c>
      <c r="F546" t="s">
        <v>32</v>
      </c>
      <c r="G546">
        <v>0.26</v>
      </c>
      <c r="H546" t="s">
        <v>111</v>
      </c>
      <c r="I546">
        <v>8</v>
      </c>
      <c r="J546" t="str">
        <f>HYPERLINK("https://www.eliteprospects.com/player/911132/conor-walton")</f>
        <v>https://www.eliteprospects.com/player/911132/conor-walton</v>
      </c>
      <c r="K546" t="s">
        <v>27</v>
      </c>
      <c r="L546" t="s">
        <v>485</v>
      </c>
      <c r="M546" t="s">
        <v>1296</v>
      </c>
      <c r="N546">
        <v>4</v>
      </c>
      <c r="O546" t="s">
        <v>486</v>
      </c>
      <c r="P546">
        <v>0.04</v>
      </c>
      <c r="Q546" t="s">
        <v>1488</v>
      </c>
      <c r="R546">
        <v>0</v>
      </c>
      <c r="S546">
        <v>0</v>
      </c>
      <c r="T546">
        <v>0</v>
      </c>
      <c r="U546">
        <v>0</v>
      </c>
      <c r="V546">
        <v>0</v>
      </c>
    </row>
    <row r="547" spans="1:22" x14ac:dyDescent="0.25">
      <c r="A547" t="s">
        <v>1837</v>
      </c>
      <c r="B547" t="s">
        <v>504</v>
      </c>
      <c r="C547">
        <v>24</v>
      </c>
      <c r="D547" t="s">
        <v>260</v>
      </c>
      <c r="E547" t="s">
        <v>45</v>
      </c>
      <c r="F547" t="s">
        <v>32</v>
      </c>
      <c r="G547">
        <v>0.42</v>
      </c>
      <c r="H547" t="s">
        <v>23</v>
      </c>
      <c r="I547">
        <v>0</v>
      </c>
      <c r="J547" t="str">
        <f>HYPERLINK("https://www.eliteprospects.com/player/880425/carson-campbell")</f>
        <v>https://www.eliteprospects.com/player/880425/carson-campbell</v>
      </c>
      <c r="K547" t="s">
        <v>27</v>
      </c>
      <c r="L547" t="s">
        <v>485</v>
      </c>
      <c r="M547" t="s">
        <v>1296</v>
      </c>
      <c r="N547">
        <v>4</v>
      </c>
      <c r="O547" t="s">
        <v>486</v>
      </c>
      <c r="P547">
        <v>0.06</v>
      </c>
      <c r="Q547" t="s">
        <v>1300</v>
      </c>
      <c r="R547">
        <v>37.5</v>
      </c>
      <c r="S547">
        <v>37.5</v>
      </c>
      <c r="T547">
        <v>0</v>
      </c>
      <c r="U547">
        <v>12.5</v>
      </c>
      <c r="V547">
        <v>12.5</v>
      </c>
    </row>
    <row r="548" spans="1:22" x14ac:dyDescent="0.25">
      <c r="A548" t="s">
        <v>1838</v>
      </c>
      <c r="B548" t="s">
        <v>510</v>
      </c>
      <c r="C548">
        <v>39</v>
      </c>
      <c r="D548" t="s">
        <v>260</v>
      </c>
      <c r="E548" t="s">
        <v>45</v>
      </c>
      <c r="F548" t="s">
        <v>32</v>
      </c>
      <c r="G548">
        <v>0.26</v>
      </c>
      <c r="H548" t="s">
        <v>24</v>
      </c>
      <c r="I548">
        <v>7</v>
      </c>
      <c r="J548" t="str">
        <f>HYPERLINK("https://www.eliteprospects.com/player/976483/harris-pangretitsch")</f>
        <v>https://www.eliteprospects.com/player/976483/harris-pangretitsch</v>
      </c>
      <c r="K548" t="s">
        <v>27</v>
      </c>
      <c r="L548" t="s">
        <v>485</v>
      </c>
      <c r="M548" t="s">
        <v>1296</v>
      </c>
      <c r="N548">
        <v>1</v>
      </c>
      <c r="O548" t="s">
        <v>494</v>
      </c>
      <c r="P548">
        <v>0.04</v>
      </c>
      <c r="Q548" t="s">
        <v>1488</v>
      </c>
      <c r="R548">
        <v>0</v>
      </c>
      <c r="S548">
        <v>0</v>
      </c>
      <c r="T548">
        <v>0</v>
      </c>
      <c r="U548">
        <v>0</v>
      </c>
      <c r="V548">
        <v>0</v>
      </c>
    </row>
    <row r="549" spans="1:22" x14ac:dyDescent="0.25">
      <c r="A549" t="s">
        <v>1839</v>
      </c>
      <c r="B549" t="s">
        <v>561</v>
      </c>
      <c r="C549">
        <v>42</v>
      </c>
      <c r="D549" t="s">
        <v>260</v>
      </c>
      <c r="E549" t="s">
        <v>45</v>
      </c>
      <c r="F549" t="s">
        <v>32</v>
      </c>
      <c r="G549">
        <v>0.24</v>
      </c>
      <c r="H549" t="s">
        <v>81</v>
      </c>
      <c r="I549">
        <v>-6</v>
      </c>
      <c r="J549" t="str">
        <f>HYPERLINK("https://www.eliteprospects.com/player/719966/will-bishop")</f>
        <v>https://www.eliteprospects.com/player/719966/will-bishop</v>
      </c>
      <c r="K549" t="s">
        <v>27</v>
      </c>
      <c r="L549" t="s">
        <v>485</v>
      </c>
      <c r="M549" t="s">
        <v>1296</v>
      </c>
      <c r="N549">
        <v>5</v>
      </c>
      <c r="O549" t="s">
        <v>508</v>
      </c>
      <c r="P549">
        <v>0.03</v>
      </c>
      <c r="Q549" t="s">
        <v>1488</v>
      </c>
      <c r="R549">
        <v>0</v>
      </c>
      <c r="S549">
        <v>0</v>
      </c>
      <c r="T549">
        <v>0</v>
      </c>
      <c r="U549">
        <v>0</v>
      </c>
      <c r="V549">
        <v>0</v>
      </c>
    </row>
    <row r="550" spans="1:22" x14ac:dyDescent="0.25">
      <c r="A550" t="s">
        <v>1840</v>
      </c>
      <c r="B550" t="s">
        <v>578</v>
      </c>
      <c r="C550">
        <v>21</v>
      </c>
      <c r="D550" t="s">
        <v>132</v>
      </c>
      <c r="E550" t="s">
        <v>32</v>
      </c>
      <c r="F550" t="s">
        <v>32</v>
      </c>
      <c r="G550">
        <v>0.48</v>
      </c>
      <c r="H550" t="s">
        <v>79</v>
      </c>
      <c r="I550">
        <v>5</v>
      </c>
      <c r="J550" t="str">
        <f>HYPERLINK("https://www.eliteprospects.com/player/628144/michael-d-alessio")</f>
        <v>https://www.eliteprospects.com/player/628144/michael-d-alessio</v>
      </c>
      <c r="K550" t="s">
        <v>27</v>
      </c>
      <c r="L550" t="s">
        <v>485</v>
      </c>
      <c r="M550" t="s">
        <v>1296</v>
      </c>
      <c r="N550">
        <v>2</v>
      </c>
      <c r="O550" t="s">
        <v>501</v>
      </c>
      <c r="P550">
        <v>7.0000000000000007E-2</v>
      </c>
      <c r="Q550" t="s">
        <v>1300</v>
      </c>
      <c r="R550">
        <v>42.9</v>
      </c>
      <c r="S550">
        <v>28.6</v>
      </c>
      <c r="T550">
        <v>28.6</v>
      </c>
      <c r="U550">
        <v>0</v>
      </c>
      <c r="V550">
        <v>0</v>
      </c>
    </row>
    <row r="551" spans="1:22" x14ac:dyDescent="0.25">
      <c r="A551" t="s">
        <v>1841</v>
      </c>
      <c r="B551" t="s">
        <v>496</v>
      </c>
      <c r="C551">
        <v>37</v>
      </c>
      <c r="D551" t="s">
        <v>96</v>
      </c>
      <c r="E551" t="s">
        <v>66</v>
      </c>
      <c r="F551" t="s">
        <v>45</v>
      </c>
      <c r="G551">
        <v>0.24</v>
      </c>
      <c r="H551" t="s">
        <v>75</v>
      </c>
      <c r="I551">
        <v>-8</v>
      </c>
      <c r="J551" t="str">
        <f>HYPERLINK("https://www.eliteprospects.com/player/931230/xander-velliaris")</f>
        <v>https://www.eliteprospects.com/player/931230/xander-velliaris</v>
      </c>
      <c r="K551" t="s">
        <v>27</v>
      </c>
      <c r="L551" t="s">
        <v>485</v>
      </c>
      <c r="M551" t="s">
        <v>1296</v>
      </c>
      <c r="N551">
        <v>3</v>
      </c>
      <c r="O551" t="s">
        <v>492</v>
      </c>
      <c r="P551">
        <v>0.03</v>
      </c>
      <c r="Q551" t="s">
        <v>1488</v>
      </c>
      <c r="R551">
        <v>0</v>
      </c>
      <c r="S551">
        <v>0</v>
      </c>
      <c r="T551">
        <v>0</v>
      </c>
      <c r="U551">
        <v>0</v>
      </c>
      <c r="V551">
        <v>0</v>
      </c>
    </row>
    <row r="552" spans="1:22" x14ac:dyDescent="0.25">
      <c r="A552" t="s">
        <v>1842</v>
      </c>
      <c r="B552" t="s">
        <v>488</v>
      </c>
      <c r="C552">
        <v>39</v>
      </c>
      <c r="D552" t="s">
        <v>140</v>
      </c>
      <c r="E552" t="s">
        <v>57</v>
      </c>
      <c r="F552" t="s">
        <v>45</v>
      </c>
      <c r="G552">
        <v>0.23</v>
      </c>
      <c r="H552" t="s">
        <v>23</v>
      </c>
      <c r="I552">
        <v>-4</v>
      </c>
      <c r="J552" t="str">
        <f>HYPERLINK("https://www.eliteprospects.com/player/710746/gavin-ewles")</f>
        <v>https://www.eliteprospects.com/player/710746/gavin-ewles</v>
      </c>
      <c r="K552" t="s">
        <v>27</v>
      </c>
      <c r="L552" t="s">
        <v>485</v>
      </c>
      <c r="M552" t="s">
        <v>1296</v>
      </c>
      <c r="N552">
        <v>5</v>
      </c>
      <c r="O552" t="s">
        <v>508</v>
      </c>
      <c r="P552">
        <v>0.03</v>
      </c>
      <c r="Q552" t="s">
        <v>1488</v>
      </c>
      <c r="R552">
        <v>0</v>
      </c>
      <c r="S552">
        <v>0</v>
      </c>
      <c r="T552">
        <v>0</v>
      </c>
      <c r="U552">
        <v>0</v>
      </c>
      <c r="V552">
        <v>0</v>
      </c>
    </row>
    <row r="553" spans="1:22" x14ac:dyDescent="0.25">
      <c r="A553" t="s">
        <v>1843</v>
      </c>
      <c r="B553" t="s">
        <v>562</v>
      </c>
      <c r="C553">
        <v>16</v>
      </c>
      <c r="D553" t="s">
        <v>79</v>
      </c>
      <c r="E553" t="s">
        <v>78</v>
      </c>
      <c r="F553" t="s">
        <v>45</v>
      </c>
      <c r="G553">
        <v>0.56000000000000005</v>
      </c>
      <c r="H553" t="s">
        <v>79</v>
      </c>
      <c r="I553">
        <v>-17</v>
      </c>
      <c r="J553" t="str">
        <f>HYPERLINK("https://www.eliteprospects.com/player/628139/zachary-nyman")</f>
        <v>https://www.eliteprospects.com/player/628139/zachary-nyman</v>
      </c>
      <c r="K553" t="s">
        <v>27</v>
      </c>
      <c r="L553" t="s">
        <v>485</v>
      </c>
      <c r="M553" t="s">
        <v>1296</v>
      </c>
      <c r="N553">
        <v>1</v>
      </c>
      <c r="O553" t="s">
        <v>494</v>
      </c>
      <c r="P553">
        <v>0.08</v>
      </c>
      <c r="Q553" t="s">
        <v>245</v>
      </c>
      <c r="R553">
        <v>0</v>
      </c>
      <c r="S553">
        <v>44.4</v>
      </c>
      <c r="T553">
        <v>33.299999999999997</v>
      </c>
      <c r="U553">
        <v>0</v>
      </c>
      <c r="V553">
        <v>22.2</v>
      </c>
    </row>
    <row r="554" spans="1:22" x14ac:dyDescent="0.25">
      <c r="A554" t="s">
        <v>1844</v>
      </c>
      <c r="B554" t="s">
        <v>527</v>
      </c>
      <c r="C554">
        <v>31</v>
      </c>
      <c r="D554" t="s">
        <v>260</v>
      </c>
      <c r="E554" t="s">
        <v>26</v>
      </c>
      <c r="F554" t="s">
        <v>45</v>
      </c>
      <c r="G554">
        <v>0.28999999999999998</v>
      </c>
      <c r="H554" t="s">
        <v>235</v>
      </c>
      <c r="I554">
        <v>-7</v>
      </c>
      <c r="J554" t="str">
        <f>HYPERLINK("https://www.eliteprospects.com/player/618962/rowan-topp")</f>
        <v>https://www.eliteprospects.com/player/618962/rowan-topp</v>
      </c>
      <c r="K554" t="s">
        <v>27</v>
      </c>
      <c r="L554" t="s">
        <v>485</v>
      </c>
      <c r="M554" t="s">
        <v>1296</v>
      </c>
      <c r="N554">
        <v>4</v>
      </c>
      <c r="O554" t="s">
        <v>486</v>
      </c>
      <c r="P554">
        <v>0.04</v>
      </c>
      <c r="Q554" t="s">
        <v>1488</v>
      </c>
      <c r="R554">
        <v>0</v>
      </c>
      <c r="S554">
        <v>0</v>
      </c>
      <c r="T554">
        <v>0</v>
      </c>
      <c r="U554">
        <v>0</v>
      </c>
      <c r="V554">
        <v>0</v>
      </c>
    </row>
    <row r="555" spans="1:22" x14ac:dyDescent="0.25">
      <c r="A555" t="s">
        <v>1845</v>
      </c>
      <c r="B555" t="s">
        <v>488</v>
      </c>
      <c r="C555">
        <v>35</v>
      </c>
      <c r="D555" t="s">
        <v>260</v>
      </c>
      <c r="E555" t="s">
        <v>26</v>
      </c>
      <c r="F555" t="s">
        <v>45</v>
      </c>
      <c r="G555">
        <v>0.26</v>
      </c>
      <c r="H555" t="s">
        <v>57</v>
      </c>
      <c r="I555">
        <v>-12</v>
      </c>
      <c r="J555" t="str">
        <f>HYPERLINK("https://www.eliteprospects.com/player/918221/hudson-martin")</f>
        <v>https://www.eliteprospects.com/player/918221/hudson-martin</v>
      </c>
      <c r="K555" t="s">
        <v>27</v>
      </c>
      <c r="L555" t="s">
        <v>485</v>
      </c>
      <c r="M555" t="s">
        <v>1296</v>
      </c>
      <c r="N555">
        <v>1</v>
      </c>
      <c r="O555" t="s">
        <v>494</v>
      </c>
      <c r="P555">
        <v>0.04</v>
      </c>
      <c r="Q555" t="s">
        <v>1488</v>
      </c>
      <c r="R555">
        <v>0</v>
      </c>
      <c r="S555">
        <v>0</v>
      </c>
      <c r="T555">
        <v>0</v>
      </c>
      <c r="U555">
        <v>0</v>
      </c>
      <c r="V555">
        <v>0</v>
      </c>
    </row>
    <row r="556" spans="1:22" x14ac:dyDescent="0.25">
      <c r="A556" t="s">
        <v>1846</v>
      </c>
      <c r="B556" t="s">
        <v>561</v>
      </c>
      <c r="C556">
        <v>37</v>
      </c>
      <c r="D556" t="s">
        <v>260</v>
      </c>
      <c r="E556" t="s">
        <v>26</v>
      </c>
      <c r="F556" t="s">
        <v>45</v>
      </c>
      <c r="G556">
        <v>0.24</v>
      </c>
      <c r="H556" t="s">
        <v>32</v>
      </c>
      <c r="I556">
        <v>7</v>
      </c>
      <c r="J556" t="str">
        <f>HYPERLINK("https://www.eliteprospects.com/player/701360/matthew-henderson")</f>
        <v>https://www.eliteprospects.com/player/701360/matthew-henderson</v>
      </c>
      <c r="K556" t="s">
        <v>27</v>
      </c>
      <c r="L556" t="s">
        <v>485</v>
      </c>
      <c r="M556" t="s">
        <v>1296</v>
      </c>
      <c r="N556">
        <v>1</v>
      </c>
      <c r="O556" t="s">
        <v>494</v>
      </c>
      <c r="P556">
        <v>0.03</v>
      </c>
      <c r="Q556" t="s">
        <v>1488</v>
      </c>
      <c r="R556">
        <v>0</v>
      </c>
      <c r="S556">
        <v>0</v>
      </c>
      <c r="T556">
        <v>0</v>
      </c>
      <c r="U556">
        <v>0</v>
      </c>
      <c r="V556">
        <v>0</v>
      </c>
    </row>
    <row r="557" spans="1:22" x14ac:dyDescent="0.25">
      <c r="A557" t="s">
        <v>1847</v>
      </c>
      <c r="B557" t="s">
        <v>490</v>
      </c>
      <c r="C557">
        <v>37</v>
      </c>
      <c r="D557" t="s">
        <v>260</v>
      </c>
      <c r="E557" t="s">
        <v>26</v>
      </c>
      <c r="F557" t="s">
        <v>45</v>
      </c>
      <c r="G557">
        <v>0.24</v>
      </c>
      <c r="H557" t="s">
        <v>61</v>
      </c>
      <c r="I557">
        <v>-11</v>
      </c>
      <c r="J557" t="str">
        <f>HYPERLINK("https://www.eliteprospects.com/player/917829/ben-reisnecker")</f>
        <v>https://www.eliteprospects.com/player/917829/ben-reisnecker</v>
      </c>
      <c r="K557" t="s">
        <v>27</v>
      </c>
      <c r="L557" t="s">
        <v>485</v>
      </c>
      <c r="M557" t="s">
        <v>1296</v>
      </c>
      <c r="N557">
        <v>1</v>
      </c>
      <c r="O557" t="s">
        <v>494</v>
      </c>
      <c r="P557">
        <v>0.03</v>
      </c>
      <c r="Q557" t="s">
        <v>1488</v>
      </c>
      <c r="R557">
        <v>0</v>
      </c>
      <c r="S557">
        <v>0</v>
      </c>
      <c r="T557">
        <v>0</v>
      </c>
      <c r="U557">
        <v>0</v>
      </c>
      <c r="V557">
        <v>0</v>
      </c>
    </row>
    <row r="558" spans="1:22" x14ac:dyDescent="0.25">
      <c r="A558" t="s">
        <v>1848</v>
      </c>
      <c r="B558" t="s">
        <v>515</v>
      </c>
      <c r="C558">
        <v>35</v>
      </c>
      <c r="D558" t="s">
        <v>66</v>
      </c>
      <c r="E558" t="s">
        <v>66</v>
      </c>
      <c r="F558" t="s">
        <v>26</v>
      </c>
      <c r="G558">
        <v>0.23</v>
      </c>
      <c r="H558" t="s">
        <v>84</v>
      </c>
      <c r="I558">
        <v>-4</v>
      </c>
      <c r="J558" t="str">
        <f>HYPERLINK("https://www.eliteprospects.com/player/750967/justin-handsor")</f>
        <v>https://www.eliteprospects.com/player/750967/justin-handsor</v>
      </c>
      <c r="K558" t="s">
        <v>27</v>
      </c>
      <c r="L558" t="s">
        <v>485</v>
      </c>
      <c r="M558" t="s">
        <v>1296</v>
      </c>
      <c r="N558">
        <v>3</v>
      </c>
      <c r="O558" t="s">
        <v>492</v>
      </c>
      <c r="P558">
        <v>0.03</v>
      </c>
      <c r="Q558" t="s">
        <v>1488</v>
      </c>
      <c r="R558">
        <v>0</v>
      </c>
      <c r="S558">
        <v>0</v>
      </c>
      <c r="T558">
        <v>0</v>
      </c>
      <c r="U558">
        <v>0</v>
      </c>
      <c r="V558">
        <v>0</v>
      </c>
    </row>
    <row r="559" spans="1:22" x14ac:dyDescent="0.25">
      <c r="A559" t="s">
        <v>1849</v>
      </c>
      <c r="B559" t="s">
        <v>507</v>
      </c>
      <c r="C559">
        <v>37</v>
      </c>
      <c r="D559" t="s">
        <v>140</v>
      </c>
      <c r="E559" t="s">
        <v>96</v>
      </c>
      <c r="F559" t="s">
        <v>26</v>
      </c>
      <c r="G559">
        <v>0.22</v>
      </c>
      <c r="H559" t="s">
        <v>51</v>
      </c>
      <c r="I559">
        <v>-1</v>
      </c>
      <c r="J559" t="str">
        <f>HYPERLINK("https://www.eliteprospects.com/player/881028/hunter-solomon")</f>
        <v>https://www.eliteprospects.com/player/881028/hunter-solomon</v>
      </c>
      <c r="K559" t="s">
        <v>27</v>
      </c>
      <c r="L559" t="s">
        <v>485</v>
      </c>
      <c r="M559" t="s">
        <v>1296</v>
      </c>
      <c r="N559">
        <v>2</v>
      </c>
      <c r="O559" t="s">
        <v>501</v>
      </c>
      <c r="P559">
        <v>0.03</v>
      </c>
      <c r="Q559" t="s">
        <v>1488</v>
      </c>
      <c r="R559">
        <v>0</v>
      </c>
      <c r="S559">
        <v>0</v>
      </c>
      <c r="T559">
        <v>0</v>
      </c>
      <c r="U559">
        <v>0</v>
      </c>
      <c r="V559">
        <v>0</v>
      </c>
    </row>
    <row r="560" spans="1:22" x14ac:dyDescent="0.25">
      <c r="A560" t="s">
        <v>1850</v>
      </c>
      <c r="B560" t="s">
        <v>490</v>
      </c>
      <c r="C560">
        <v>35</v>
      </c>
      <c r="D560" t="s">
        <v>79</v>
      </c>
      <c r="E560" t="s">
        <v>57</v>
      </c>
      <c r="F560" t="s">
        <v>26</v>
      </c>
      <c r="G560">
        <v>0.23</v>
      </c>
      <c r="H560" t="s">
        <v>512</v>
      </c>
      <c r="I560">
        <v>4</v>
      </c>
      <c r="J560" t="str">
        <f>HYPERLINK("https://www.eliteprospects.com/player/879163/liam-spencer")</f>
        <v>https://www.eliteprospects.com/player/879163/liam-spencer</v>
      </c>
      <c r="K560" t="s">
        <v>27</v>
      </c>
      <c r="L560" t="s">
        <v>485</v>
      </c>
      <c r="M560" t="s">
        <v>1296</v>
      </c>
      <c r="N560">
        <v>4</v>
      </c>
      <c r="O560" t="s">
        <v>486</v>
      </c>
      <c r="P560">
        <v>0.03</v>
      </c>
      <c r="Q560" t="s">
        <v>1488</v>
      </c>
      <c r="R560">
        <v>0</v>
      </c>
      <c r="S560">
        <v>0</v>
      </c>
      <c r="T560">
        <v>0</v>
      </c>
      <c r="U560">
        <v>0</v>
      </c>
      <c r="V560">
        <v>0</v>
      </c>
    </row>
    <row r="561" spans="1:22" x14ac:dyDescent="0.25">
      <c r="A561" t="s">
        <v>1851</v>
      </c>
      <c r="B561" t="s">
        <v>562</v>
      </c>
      <c r="C561">
        <v>40</v>
      </c>
      <c r="D561" t="s">
        <v>79</v>
      </c>
      <c r="E561" t="s">
        <v>57</v>
      </c>
      <c r="F561" t="s">
        <v>26</v>
      </c>
      <c r="G561">
        <v>0.2</v>
      </c>
      <c r="H561" t="s">
        <v>38</v>
      </c>
      <c r="I561">
        <v>-7</v>
      </c>
      <c r="J561" t="str">
        <f>HYPERLINK("https://www.eliteprospects.com/player/597685/david-green")</f>
        <v>https://www.eliteprospects.com/player/597685/david-green</v>
      </c>
      <c r="K561" t="s">
        <v>27</v>
      </c>
      <c r="L561" t="s">
        <v>485</v>
      </c>
      <c r="M561" t="s">
        <v>1296</v>
      </c>
      <c r="N561">
        <v>1</v>
      </c>
      <c r="O561" t="s">
        <v>494</v>
      </c>
      <c r="P561">
        <v>0.03</v>
      </c>
      <c r="Q561" t="s">
        <v>1488</v>
      </c>
      <c r="R561">
        <v>0</v>
      </c>
      <c r="S561">
        <v>0</v>
      </c>
      <c r="T561">
        <v>0</v>
      </c>
      <c r="U561">
        <v>0</v>
      </c>
      <c r="V561">
        <v>0</v>
      </c>
    </row>
    <row r="562" spans="1:22" x14ac:dyDescent="0.25">
      <c r="A562" t="s">
        <v>1852</v>
      </c>
      <c r="B562" t="s">
        <v>484</v>
      </c>
      <c r="C562">
        <v>40</v>
      </c>
      <c r="D562" t="s">
        <v>260</v>
      </c>
      <c r="E562" t="s">
        <v>78</v>
      </c>
      <c r="F562" t="s">
        <v>26</v>
      </c>
      <c r="G562">
        <v>0.2</v>
      </c>
      <c r="H562" t="s">
        <v>40</v>
      </c>
      <c r="I562">
        <v>14</v>
      </c>
      <c r="J562" t="str">
        <f>HYPERLINK("https://www.eliteprospects.com/player/871042/rylan-fellinger")</f>
        <v>https://www.eliteprospects.com/player/871042/rylan-fellinger</v>
      </c>
      <c r="K562" t="s">
        <v>27</v>
      </c>
      <c r="L562" t="s">
        <v>485</v>
      </c>
      <c r="M562" t="s">
        <v>1296</v>
      </c>
      <c r="N562">
        <v>3</v>
      </c>
      <c r="O562" t="s">
        <v>492</v>
      </c>
      <c r="P562">
        <v>0.03</v>
      </c>
      <c r="Q562" t="s">
        <v>1488</v>
      </c>
      <c r="R562">
        <v>0</v>
      </c>
      <c r="S562">
        <v>0</v>
      </c>
      <c r="T562">
        <v>0</v>
      </c>
      <c r="U562">
        <v>0</v>
      </c>
      <c r="V562">
        <v>0</v>
      </c>
    </row>
    <row r="563" spans="1:22" x14ac:dyDescent="0.25">
      <c r="A563" t="s">
        <v>1853</v>
      </c>
      <c r="B563" t="s">
        <v>507</v>
      </c>
      <c r="C563">
        <v>38</v>
      </c>
      <c r="D563" t="s">
        <v>132</v>
      </c>
      <c r="E563" t="s">
        <v>26</v>
      </c>
      <c r="F563" t="s">
        <v>26</v>
      </c>
      <c r="G563">
        <v>0.21</v>
      </c>
      <c r="H563" t="s">
        <v>125</v>
      </c>
      <c r="I563">
        <v>0</v>
      </c>
      <c r="J563" t="str">
        <f>HYPERLINK("https://www.eliteprospects.com/player/887104/blake-gowan")</f>
        <v>https://www.eliteprospects.com/player/887104/blake-gowan</v>
      </c>
      <c r="K563" t="s">
        <v>27</v>
      </c>
      <c r="L563" t="s">
        <v>485</v>
      </c>
      <c r="M563" t="s">
        <v>1296</v>
      </c>
      <c r="N563">
        <v>2</v>
      </c>
      <c r="O563" t="s">
        <v>501</v>
      </c>
      <c r="P563">
        <v>0.03</v>
      </c>
      <c r="Q563" t="s">
        <v>1488</v>
      </c>
      <c r="R563">
        <v>0</v>
      </c>
      <c r="S563">
        <v>0</v>
      </c>
      <c r="T563">
        <v>0</v>
      </c>
      <c r="U563">
        <v>0</v>
      </c>
      <c r="V563">
        <v>0</v>
      </c>
    </row>
    <row r="564" spans="1:22" x14ac:dyDescent="0.25">
      <c r="A564" t="s">
        <v>1854</v>
      </c>
      <c r="B564" t="s">
        <v>498</v>
      </c>
      <c r="C564">
        <v>39</v>
      </c>
      <c r="D564" t="s">
        <v>140</v>
      </c>
      <c r="E564" t="s">
        <v>66</v>
      </c>
      <c r="F564" t="s">
        <v>78</v>
      </c>
      <c r="G564">
        <v>0.18</v>
      </c>
      <c r="H564" t="s">
        <v>544</v>
      </c>
      <c r="I564">
        <v>0</v>
      </c>
      <c r="J564" t="str">
        <f>HYPERLINK("https://www.eliteprospects.com/player/738924/noah-roberts")</f>
        <v>https://www.eliteprospects.com/player/738924/noah-roberts</v>
      </c>
      <c r="K564" t="s">
        <v>27</v>
      </c>
      <c r="L564" t="s">
        <v>485</v>
      </c>
      <c r="M564" t="s">
        <v>1296</v>
      </c>
      <c r="N564">
        <v>5</v>
      </c>
      <c r="O564" t="s">
        <v>508</v>
      </c>
      <c r="P564">
        <v>0.03</v>
      </c>
      <c r="Q564" t="s">
        <v>1488</v>
      </c>
      <c r="R564">
        <v>0</v>
      </c>
      <c r="S564">
        <v>0</v>
      </c>
      <c r="T564">
        <v>0</v>
      </c>
      <c r="U564">
        <v>0</v>
      </c>
      <c r="V564">
        <v>0</v>
      </c>
    </row>
    <row r="565" spans="1:22" x14ac:dyDescent="0.25">
      <c r="A565" t="s">
        <v>1855</v>
      </c>
      <c r="B565" t="s">
        <v>546</v>
      </c>
      <c r="C565">
        <v>30</v>
      </c>
      <c r="D565" t="s">
        <v>79</v>
      </c>
      <c r="E565" t="s">
        <v>96</v>
      </c>
      <c r="F565" t="s">
        <v>78</v>
      </c>
      <c r="G565">
        <v>0.23</v>
      </c>
      <c r="H565" t="s">
        <v>51</v>
      </c>
      <c r="I565">
        <v>8</v>
      </c>
      <c r="J565" t="str">
        <f>HYPERLINK("https://www.eliteprospects.com/player/876212/aaron-enright")</f>
        <v>https://www.eliteprospects.com/player/876212/aaron-enright</v>
      </c>
      <c r="K565" t="s">
        <v>27</v>
      </c>
      <c r="L565" t="s">
        <v>485</v>
      </c>
      <c r="M565" t="s">
        <v>1296</v>
      </c>
      <c r="N565">
        <v>2</v>
      </c>
      <c r="O565" t="s">
        <v>501</v>
      </c>
      <c r="P565">
        <v>0.03</v>
      </c>
      <c r="Q565" t="s">
        <v>1488</v>
      </c>
      <c r="R565">
        <v>0</v>
      </c>
      <c r="S565">
        <v>0</v>
      </c>
      <c r="T565">
        <v>0</v>
      </c>
      <c r="U565">
        <v>0</v>
      </c>
      <c r="V565">
        <v>0</v>
      </c>
    </row>
    <row r="566" spans="1:22" x14ac:dyDescent="0.25">
      <c r="A566" t="s">
        <v>1856</v>
      </c>
      <c r="B566" t="s">
        <v>527</v>
      </c>
      <c r="C566">
        <v>31</v>
      </c>
      <c r="D566" t="s">
        <v>79</v>
      </c>
      <c r="E566" t="s">
        <v>96</v>
      </c>
      <c r="F566" t="s">
        <v>78</v>
      </c>
      <c r="G566">
        <v>0.23</v>
      </c>
      <c r="H566" t="s">
        <v>265</v>
      </c>
      <c r="I566">
        <v>-9</v>
      </c>
      <c r="J566" t="str">
        <f>HYPERLINK("https://www.eliteprospects.com/player/897392/eric-frossard")</f>
        <v>https://www.eliteprospects.com/player/897392/eric-frossard</v>
      </c>
      <c r="K566" t="s">
        <v>27</v>
      </c>
      <c r="L566" t="s">
        <v>485</v>
      </c>
      <c r="M566" t="s">
        <v>1296</v>
      </c>
      <c r="N566">
        <v>2</v>
      </c>
      <c r="O566" t="s">
        <v>501</v>
      </c>
      <c r="P566">
        <v>0.03</v>
      </c>
      <c r="Q566" t="s">
        <v>1488</v>
      </c>
      <c r="R566">
        <v>0</v>
      </c>
      <c r="S566">
        <v>0</v>
      </c>
      <c r="T566">
        <v>0</v>
      </c>
      <c r="U566">
        <v>0</v>
      </c>
      <c r="V566">
        <v>0</v>
      </c>
    </row>
    <row r="567" spans="1:22" x14ac:dyDescent="0.25">
      <c r="A567" t="s">
        <v>1857</v>
      </c>
      <c r="B567" t="s">
        <v>507</v>
      </c>
      <c r="C567">
        <v>40</v>
      </c>
      <c r="D567" t="s">
        <v>79</v>
      </c>
      <c r="E567" t="s">
        <v>96</v>
      </c>
      <c r="F567" t="s">
        <v>78</v>
      </c>
      <c r="G567">
        <v>0.18</v>
      </c>
      <c r="H567" t="s">
        <v>589</v>
      </c>
      <c r="I567">
        <v>-4</v>
      </c>
      <c r="J567" t="str">
        <f>HYPERLINK("https://www.eliteprospects.com/player/978463/genc-ula")</f>
        <v>https://www.eliteprospects.com/player/978463/genc-ula</v>
      </c>
      <c r="K567" t="s">
        <v>27</v>
      </c>
      <c r="L567" t="s">
        <v>485</v>
      </c>
      <c r="M567" t="s">
        <v>1296</v>
      </c>
      <c r="N567">
        <v>2</v>
      </c>
      <c r="O567" t="s">
        <v>501</v>
      </c>
      <c r="P567">
        <v>0.03</v>
      </c>
      <c r="Q567" t="s">
        <v>1488</v>
      </c>
      <c r="R567">
        <v>0</v>
      </c>
      <c r="S567">
        <v>0</v>
      </c>
      <c r="T567">
        <v>0</v>
      </c>
      <c r="U567">
        <v>0</v>
      </c>
      <c r="V567">
        <v>0</v>
      </c>
    </row>
    <row r="568" spans="1:22" x14ac:dyDescent="0.25">
      <c r="A568" t="s">
        <v>1858</v>
      </c>
      <c r="B568" t="s">
        <v>507</v>
      </c>
      <c r="C568">
        <v>33</v>
      </c>
      <c r="D568" t="s">
        <v>260</v>
      </c>
      <c r="E568" t="s">
        <v>57</v>
      </c>
      <c r="F568" t="s">
        <v>78</v>
      </c>
      <c r="G568">
        <v>0.21</v>
      </c>
      <c r="H568" t="s">
        <v>84</v>
      </c>
      <c r="I568">
        <v>6</v>
      </c>
      <c r="J568" t="str">
        <f>HYPERLINK("https://www.eliteprospects.com/player/577188/jacob-xu")</f>
        <v>https://www.eliteprospects.com/player/577188/jacob-xu</v>
      </c>
      <c r="K568" t="s">
        <v>27</v>
      </c>
      <c r="L568" t="s">
        <v>485</v>
      </c>
      <c r="M568" t="s">
        <v>1296</v>
      </c>
      <c r="N568">
        <v>2</v>
      </c>
      <c r="O568" t="s">
        <v>501</v>
      </c>
      <c r="P568">
        <v>0.03</v>
      </c>
      <c r="Q568" t="s">
        <v>1488</v>
      </c>
      <c r="R568">
        <v>0</v>
      </c>
      <c r="S568">
        <v>0</v>
      </c>
      <c r="T568">
        <v>0</v>
      </c>
      <c r="U568">
        <v>0</v>
      </c>
      <c r="V568">
        <v>0</v>
      </c>
    </row>
    <row r="569" spans="1:22" x14ac:dyDescent="0.25">
      <c r="A569" t="s">
        <v>1859</v>
      </c>
      <c r="B569" t="s">
        <v>490</v>
      </c>
      <c r="C569">
        <v>36</v>
      </c>
      <c r="D569" t="s">
        <v>260</v>
      </c>
      <c r="E569" t="s">
        <v>57</v>
      </c>
      <c r="F569" t="s">
        <v>78</v>
      </c>
      <c r="G569">
        <v>0.19</v>
      </c>
      <c r="H569" t="s">
        <v>26</v>
      </c>
      <c r="I569">
        <v>0</v>
      </c>
      <c r="J569" t="str">
        <f>HYPERLINK("https://www.eliteprospects.com/player/897651/sebastian-dell-elce")</f>
        <v>https://www.eliteprospects.com/player/897651/sebastian-dell-elce</v>
      </c>
      <c r="K569" t="s">
        <v>27</v>
      </c>
      <c r="L569" t="s">
        <v>485</v>
      </c>
      <c r="M569" t="s">
        <v>1296</v>
      </c>
      <c r="N569">
        <v>1</v>
      </c>
      <c r="O569" t="s">
        <v>494</v>
      </c>
      <c r="P569">
        <v>0.03</v>
      </c>
      <c r="Q569" t="s">
        <v>1488</v>
      </c>
      <c r="R569">
        <v>0</v>
      </c>
      <c r="S569">
        <v>0</v>
      </c>
      <c r="T569">
        <v>0</v>
      </c>
      <c r="U569">
        <v>0</v>
      </c>
      <c r="V569">
        <v>0</v>
      </c>
    </row>
    <row r="570" spans="1:22" x14ac:dyDescent="0.25">
      <c r="A570" t="s">
        <v>1860</v>
      </c>
      <c r="B570" t="s">
        <v>490</v>
      </c>
      <c r="C570">
        <v>36</v>
      </c>
      <c r="D570" t="s">
        <v>260</v>
      </c>
      <c r="E570" t="s">
        <v>57</v>
      </c>
      <c r="F570" t="s">
        <v>78</v>
      </c>
      <c r="G570">
        <v>0.19</v>
      </c>
      <c r="H570" t="s">
        <v>40</v>
      </c>
      <c r="I570">
        <v>4</v>
      </c>
      <c r="J570" t="str">
        <f>HYPERLINK("https://www.eliteprospects.com/player/800110/callum-cheynowski")</f>
        <v>https://www.eliteprospects.com/player/800110/callum-cheynowski</v>
      </c>
      <c r="K570" t="s">
        <v>27</v>
      </c>
      <c r="L570" t="s">
        <v>485</v>
      </c>
      <c r="M570" t="s">
        <v>1296</v>
      </c>
      <c r="N570">
        <v>4</v>
      </c>
      <c r="O570" t="s">
        <v>486</v>
      </c>
      <c r="P570">
        <v>0.03</v>
      </c>
      <c r="Q570" t="s">
        <v>1488</v>
      </c>
      <c r="R570">
        <v>0</v>
      </c>
      <c r="S570">
        <v>0</v>
      </c>
      <c r="T570">
        <v>0</v>
      </c>
      <c r="U570">
        <v>0</v>
      </c>
      <c r="V570">
        <v>0</v>
      </c>
    </row>
    <row r="571" spans="1:22" x14ac:dyDescent="0.25">
      <c r="A571" t="s">
        <v>1861</v>
      </c>
      <c r="B571" t="s">
        <v>507</v>
      </c>
      <c r="C571">
        <v>37</v>
      </c>
      <c r="D571" t="s">
        <v>260</v>
      </c>
      <c r="E571" t="s">
        <v>57</v>
      </c>
      <c r="F571" t="s">
        <v>78</v>
      </c>
      <c r="G571">
        <v>0.19</v>
      </c>
      <c r="H571" t="s">
        <v>499</v>
      </c>
      <c r="I571">
        <v>3</v>
      </c>
      <c r="J571" t="str">
        <f>HYPERLINK("https://www.eliteprospects.com/player/679515/julian-brown")</f>
        <v>https://www.eliteprospects.com/player/679515/julian-brown</v>
      </c>
      <c r="K571" t="s">
        <v>27</v>
      </c>
      <c r="L571" t="s">
        <v>485</v>
      </c>
      <c r="M571" t="s">
        <v>1296</v>
      </c>
      <c r="N571">
        <v>1</v>
      </c>
      <c r="O571" t="s">
        <v>494</v>
      </c>
      <c r="P571">
        <v>0.03</v>
      </c>
      <c r="Q571" t="s">
        <v>1488</v>
      </c>
      <c r="R571">
        <v>0</v>
      </c>
      <c r="S571">
        <v>0</v>
      </c>
      <c r="T571">
        <v>0</v>
      </c>
      <c r="U571">
        <v>0</v>
      </c>
      <c r="V571">
        <v>0</v>
      </c>
    </row>
    <row r="572" spans="1:22" x14ac:dyDescent="0.25">
      <c r="A572" t="s">
        <v>1862</v>
      </c>
      <c r="B572" t="s">
        <v>546</v>
      </c>
      <c r="C572">
        <v>38</v>
      </c>
      <c r="D572" t="s">
        <v>260</v>
      </c>
      <c r="E572" t="s">
        <v>57</v>
      </c>
      <c r="F572" t="s">
        <v>78</v>
      </c>
      <c r="G572">
        <v>0.18</v>
      </c>
      <c r="H572" t="s">
        <v>39</v>
      </c>
      <c r="I572">
        <v>15</v>
      </c>
      <c r="J572" t="str">
        <f>HYPERLINK("https://www.eliteprospects.com/player/897664/adrian-manzo")</f>
        <v>https://www.eliteprospects.com/player/897664/adrian-manzo</v>
      </c>
      <c r="K572" t="s">
        <v>27</v>
      </c>
      <c r="L572" t="s">
        <v>485</v>
      </c>
      <c r="M572" t="s">
        <v>1296</v>
      </c>
      <c r="N572">
        <v>3</v>
      </c>
      <c r="O572" t="s">
        <v>492</v>
      </c>
      <c r="P572">
        <v>0.03</v>
      </c>
      <c r="Q572" t="s">
        <v>1488</v>
      </c>
      <c r="R572">
        <v>0</v>
      </c>
      <c r="S572">
        <v>0</v>
      </c>
      <c r="T572">
        <v>0</v>
      </c>
      <c r="U572">
        <v>0</v>
      </c>
      <c r="V572">
        <v>0</v>
      </c>
    </row>
    <row r="573" spans="1:22" x14ac:dyDescent="0.25">
      <c r="A573" t="s">
        <v>1863</v>
      </c>
      <c r="B573" t="s">
        <v>510</v>
      </c>
      <c r="C573">
        <v>14</v>
      </c>
      <c r="D573" t="s">
        <v>260</v>
      </c>
      <c r="E573" t="s">
        <v>96</v>
      </c>
      <c r="F573" t="s">
        <v>57</v>
      </c>
      <c r="G573">
        <v>0.43</v>
      </c>
      <c r="H573" t="s">
        <v>79</v>
      </c>
      <c r="I573">
        <v>6</v>
      </c>
      <c r="J573" t="str">
        <f>HYPERLINK("https://www.eliteprospects.com/player/779765/brodie-mcconnell-barker")</f>
        <v>https://www.eliteprospects.com/player/779765/brodie-mcconnell-barker</v>
      </c>
      <c r="K573" t="s">
        <v>27</v>
      </c>
      <c r="L573" t="s">
        <v>485</v>
      </c>
      <c r="M573" t="s">
        <v>1296</v>
      </c>
      <c r="N573">
        <v>4</v>
      </c>
      <c r="O573" t="s">
        <v>486</v>
      </c>
      <c r="P573">
        <v>0.06</v>
      </c>
      <c r="Q573" t="s">
        <v>1309</v>
      </c>
      <c r="R573">
        <v>14.3</v>
      </c>
      <c r="S573">
        <v>28.6</v>
      </c>
      <c r="T573">
        <v>28.6</v>
      </c>
      <c r="U573">
        <v>0</v>
      </c>
      <c r="V573">
        <v>28.6</v>
      </c>
    </row>
    <row r="574" spans="1:22" x14ac:dyDescent="0.25">
      <c r="A574" t="s">
        <v>1864</v>
      </c>
      <c r="B574" t="s">
        <v>510</v>
      </c>
      <c r="C574">
        <v>15</v>
      </c>
      <c r="D574" t="s">
        <v>260</v>
      </c>
      <c r="E574" t="s">
        <v>96</v>
      </c>
      <c r="F574" t="s">
        <v>57</v>
      </c>
      <c r="G574">
        <v>0.4</v>
      </c>
      <c r="H574" t="s">
        <v>32</v>
      </c>
      <c r="I574">
        <v>7</v>
      </c>
      <c r="J574" t="str">
        <f>HYPERLINK("https://www.eliteprospects.com/player/628088/callum-croskery")</f>
        <v>https://www.eliteprospects.com/player/628088/callum-croskery</v>
      </c>
      <c r="K574" t="s">
        <v>27</v>
      </c>
      <c r="L574" t="s">
        <v>485</v>
      </c>
      <c r="M574" t="s">
        <v>1296</v>
      </c>
      <c r="N574">
        <v>1</v>
      </c>
      <c r="O574" t="s">
        <v>494</v>
      </c>
      <c r="P574">
        <v>0.06</v>
      </c>
      <c r="Q574" t="s">
        <v>1309</v>
      </c>
      <c r="R574">
        <v>14.3</v>
      </c>
      <c r="S574">
        <v>28.6</v>
      </c>
      <c r="T574">
        <v>28.6</v>
      </c>
      <c r="U574">
        <v>0</v>
      </c>
      <c r="V574">
        <v>28.6</v>
      </c>
    </row>
    <row r="575" spans="1:22" x14ac:dyDescent="0.25">
      <c r="A575" t="s">
        <v>1865</v>
      </c>
      <c r="B575" t="s">
        <v>493</v>
      </c>
      <c r="C575">
        <v>20</v>
      </c>
      <c r="D575" t="s">
        <v>260</v>
      </c>
      <c r="E575" t="s">
        <v>96</v>
      </c>
      <c r="F575" t="s">
        <v>57</v>
      </c>
      <c r="G575">
        <v>0.3</v>
      </c>
      <c r="H575" t="s">
        <v>66</v>
      </c>
      <c r="I575">
        <v>1</v>
      </c>
      <c r="J575" t="str">
        <f>HYPERLINK("https://www.eliteprospects.com/player/689886/camron-hankai")</f>
        <v>https://www.eliteprospects.com/player/689886/camron-hankai</v>
      </c>
      <c r="K575" t="s">
        <v>27</v>
      </c>
      <c r="L575" t="s">
        <v>485</v>
      </c>
      <c r="M575" t="s">
        <v>1296</v>
      </c>
      <c r="N575">
        <v>1</v>
      </c>
      <c r="O575" t="s">
        <v>494</v>
      </c>
      <c r="P575">
        <v>0.04</v>
      </c>
      <c r="Q575" t="s">
        <v>1488</v>
      </c>
      <c r="R575">
        <v>0</v>
      </c>
      <c r="S575">
        <v>0</v>
      </c>
      <c r="T575">
        <v>0</v>
      </c>
      <c r="U575">
        <v>0</v>
      </c>
      <c r="V575">
        <v>0</v>
      </c>
    </row>
    <row r="576" spans="1:22" x14ac:dyDescent="0.25">
      <c r="A576" t="s">
        <v>1866</v>
      </c>
      <c r="B576" t="s">
        <v>515</v>
      </c>
      <c r="C576">
        <v>27</v>
      </c>
      <c r="D576" t="s">
        <v>260</v>
      </c>
      <c r="E576" t="s">
        <v>96</v>
      </c>
      <c r="F576" t="s">
        <v>57</v>
      </c>
      <c r="G576">
        <v>0.22</v>
      </c>
      <c r="H576" t="s">
        <v>32</v>
      </c>
      <c r="I576">
        <v>-4</v>
      </c>
      <c r="J576" t="str">
        <f>HYPERLINK("https://www.eliteprospects.com/player/906000/ethan-armstrong")</f>
        <v>https://www.eliteprospects.com/player/906000/ethan-armstrong</v>
      </c>
      <c r="K576" t="s">
        <v>27</v>
      </c>
      <c r="L576" t="s">
        <v>485</v>
      </c>
      <c r="M576" t="s">
        <v>1296</v>
      </c>
      <c r="N576">
        <v>2</v>
      </c>
      <c r="O576" t="s">
        <v>501</v>
      </c>
      <c r="P576">
        <v>0.03</v>
      </c>
      <c r="Q576" t="s">
        <v>1488</v>
      </c>
      <c r="R576">
        <v>0</v>
      </c>
      <c r="S576">
        <v>0</v>
      </c>
      <c r="T576">
        <v>0</v>
      </c>
      <c r="U576">
        <v>0</v>
      </c>
      <c r="V576">
        <v>0</v>
      </c>
    </row>
    <row r="577" spans="1:22" x14ac:dyDescent="0.25">
      <c r="A577" t="s">
        <v>1867</v>
      </c>
      <c r="B577" t="s">
        <v>510</v>
      </c>
      <c r="C577">
        <v>38</v>
      </c>
      <c r="D577" t="s">
        <v>260</v>
      </c>
      <c r="E577" t="s">
        <v>96</v>
      </c>
      <c r="F577" t="s">
        <v>57</v>
      </c>
      <c r="G577">
        <v>0.16</v>
      </c>
      <c r="H577" t="s">
        <v>491</v>
      </c>
      <c r="I577">
        <v>15</v>
      </c>
      <c r="J577" t="str">
        <f>HYPERLINK("https://www.eliteprospects.com/player/710866/spencer-evans")</f>
        <v>https://www.eliteprospects.com/player/710866/spencer-evans</v>
      </c>
      <c r="K577" t="s">
        <v>27</v>
      </c>
      <c r="L577" t="s">
        <v>485</v>
      </c>
      <c r="M577" t="s">
        <v>1296</v>
      </c>
      <c r="N577">
        <v>8</v>
      </c>
      <c r="O577" t="s">
        <v>1868</v>
      </c>
      <c r="P577">
        <v>0.02</v>
      </c>
      <c r="Q577" t="s">
        <v>1488</v>
      </c>
      <c r="R577">
        <v>0</v>
      </c>
      <c r="S577">
        <v>0</v>
      </c>
      <c r="T577">
        <v>0</v>
      </c>
      <c r="U577">
        <v>0</v>
      </c>
      <c r="V577">
        <v>0</v>
      </c>
    </row>
    <row r="578" spans="1:22" x14ac:dyDescent="0.25">
      <c r="A578" t="s">
        <v>1869</v>
      </c>
      <c r="B578" t="s">
        <v>536</v>
      </c>
      <c r="C578">
        <v>31</v>
      </c>
      <c r="D578" t="s">
        <v>132</v>
      </c>
      <c r="E578" t="s">
        <v>57</v>
      </c>
      <c r="F578" t="s">
        <v>57</v>
      </c>
      <c r="G578">
        <v>0.19</v>
      </c>
      <c r="H578" t="s">
        <v>51</v>
      </c>
      <c r="I578">
        <v>4</v>
      </c>
      <c r="J578" t="str">
        <f>HYPERLINK("https://www.eliteprospects.com/player/764364/hughston-hurt")</f>
        <v>https://www.eliteprospects.com/player/764364/hughston-hurt</v>
      </c>
      <c r="K578" t="s">
        <v>27</v>
      </c>
      <c r="L578" t="s">
        <v>485</v>
      </c>
      <c r="M578" t="s">
        <v>1296</v>
      </c>
      <c r="N578">
        <v>3</v>
      </c>
      <c r="O578" t="s">
        <v>492</v>
      </c>
      <c r="P578">
        <v>0.03</v>
      </c>
      <c r="Q578" t="s">
        <v>1488</v>
      </c>
      <c r="R578">
        <v>0</v>
      </c>
      <c r="S578">
        <v>0</v>
      </c>
      <c r="T578">
        <v>0</v>
      </c>
      <c r="U578">
        <v>0</v>
      </c>
      <c r="V578">
        <v>0</v>
      </c>
    </row>
    <row r="579" spans="1:22" x14ac:dyDescent="0.25">
      <c r="A579" t="s">
        <v>1870</v>
      </c>
      <c r="B579" t="s">
        <v>526</v>
      </c>
      <c r="C579">
        <v>34</v>
      </c>
      <c r="D579" t="s">
        <v>132</v>
      </c>
      <c r="E579" t="s">
        <v>57</v>
      </c>
      <c r="F579" t="s">
        <v>57</v>
      </c>
      <c r="G579">
        <v>0.18</v>
      </c>
      <c r="H579" t="s">
        <v>503</v>
      </c>
      <c r="I579">
        <v>9</v>
      </c>
      <c r="J579" t="str">
        <f>HYPERLINK("https://www.eliteprospects.com/player/862695/grayden-strohack")</f>
        <v>https://www.eliteprospects.com/player/862695/grayden-strohack</v>
      </c>
      <c r="K579" t="s">
        <v>27</v>
      </c>
      <c r="L579" t="s">
        <v>485</v>
      </c>
      <c r="M579" t="s">
        <v>1296</v>
      </c>
      <c r="N579">
        <v>4</v>
      </c>
      <c r="O579" t="s">
        <v>486</v>
      </c>
      <c r="P579">
        <v>0.03</v>
      </c>
      <c r="Q579" t="s">
        <v>1488</v>
      </c>
      <c r="R579">
        <v>0</v>
      </c>
      <c r="S579">
        <v>0</v>
      </c>
      <c r="T579">
        <v>0</v>
      </c>
      <c r="U579">
        <v>0</v>
      </c>
      <c r="V579">
        <v>0</v>
      </c>
    </row>
    <row r="580" spans="1:22" x14ac:dyDescent="0.25">
      <c r="A580" t="s">
        <v>1871</v>
      </c>
      <c r="B580" t="s">
        <v>531</v>
      </c>
      <c r="C580">
        <v>38</v>
      </c>
      <c r="D580" t="s">
        <v>132</v>
      </c>
      <c r="E580" t="s">
        <v>57</v>
      </c>
      <c r="F580" t="s">
        <v>57</v>
      </c>
      <c r="G580">
        <v>0.16</v>
      </c>
      <c r="H580" t="s">
        <v>32</v>
      </c>
      <c r="I580">
        <v>-19</v>
      </c>
      <c r="J580" t="str">
        <f>HYPERLINK("https://www.eliteprospects.com/player/876714/brady-blaseg")</f>
        <v>https://www.eliteprospects.com/player/876714/brady-blaseg</v>
      </c>
      <c r="K580" t="s">
        <v>27</v>
      </c>
      <c r="L580" t="s">
        <v>485</v>
      </c>
      <c r="M580" t="s">
        <v>1296</v>
      </c>
      <c r="N580">
        <v>2</v>
      </c>
      <c r="O580" t="s">
        <v>501</v>
      </c>
      <c r="P580">
        <v>0.02</v>
      </c>
      <c r="Q580" t="s">
        <v>1488</v>
      </c>
      <c r="R580">
        <v>0</v>
      </c>
      <c r="S580">
        <v>0</v>
      </c>
      <c r="T580">
        <v>0</v>
      </c>
      <c r="U580">
        <v>0</v>
      </c>
      <c r="V580">
        <v>0</v>
      </c>
    </row>
    <row r="581" spans="1:22" x14ac:dyDescent="0.25">
      <c r="A581" t="s">
        <v>1872</v>
      </c>
      <c r="B581" t="s">
        <v>507</v>
      </c>
      <c r="C581">
        <v>24</v>
      </c>
      <c r="D581" t="s">
        <v>140</v>
      </c>
      <c r="E581" t="s">
        <v>79</v>
      </c>
      <c r="F581" t="s">
        <v>96</v>
      </c>
      <c r="G581">
        <v>0.21</v>
      </c>
      <c r="H581" t="s">
        <v>33</v>
      </c>
      <c r="I581">
        <v>0</v>
      </c>
      <c r="J581" t="str">
        <f>HYPERLINK("https://www.eliteprospects.com/player/881135/liam-ladds")</f>
        <v>https://www.eliteprospects.com/player/881135/liam-ladds</v>
      </c>
      <c r="K581" t="s">
        <v>27</v>
      </c>
      <c r="L581" t="s">
        <v>485</v>
      </c>
      <c r="M581" t="s">
        <v>1296</v>
      </c>
      <c r="N581">
        <v>3</v>
      </c>
      <c r="O581" t="s">
        <v>492</v>
      </c>
      <c r="P581">
        <v>0.03</v>
      </c>
      <c r="Q581" t="s">
        <v>1488</v>
      </c>
      <c r="R581">
        <v>0</v>
      </c>
      <c r="S581">
        <v>0</v>
      </c>
      <c r="T581">
        <v>0</v>
      </c>
      <c r="U581">
        <v>0</v>
      </c>
      <c r="V581">
        <v>0</v>
      </c>
    </row>
    <row r="582" spans="1:22" x14ac:dyDescent="0.25">
      <c r="A582" t="s">
        <v>1873</v>
      </c>
      <c r="B582" t="s">
        <v>507</v>
      </c>
      <c r="C582">
        <v>38</v>
      </c>
      <c r="D582" t="s">
        <v>140</v>
      </c>
      <c r="E582" t="s">
        <v>79</v>
      </c>
      <c r="F582" t="s">
        <v>96</v>
      </c>
      <c r="G582">
        <v>0.13</v>
      </c>
      <c r="H582" t="s">
        <v>125</v>
      </c>
      <c r="I582">
        <v>-1</v>
      </c>
      <c r="J582" t="str">
        <f>HYPERLINK("https://www.eliteprospects.com/player/897401/carter-hicks")</f>
        <v>https://www.eliteprospects.com/player/897401/carter-hicks</v>
      </c>
      <c r="K582" t="s">
        <v>27</v>
      </c>
      <c r="L582" t="s">
        <v>485</v>
      </c>
      <c r="M582" t="s">
        <v>1296</v>
      </c>
      <c r="N582">
        <v>2</v>
      </c>
      <c r="O582" t="s">
        <v>501</v>
      </c>
      <c r="P582">
        <v>0.02</v>
      </c>
      <c r="Q582" t="s">
        <v>1488</v>
      </c>
      <c r="R582">
        <v>0</v>
      </c>
      <c r="S582">
        <v>0</v>
      </c>
      <c r="T582">
        <v>0</v>
      </c>
      <c r="U582">
        <v>0</v>
      </c>
      <c r="V582">
        <v>0</v>
      </c>
    </row>
    <row r="583" spans="1:22" x14ac:dyDescent="0.25">
      <c r="A583" t="s">
        <v>1874</v>
      </c>
      <c r="B583" t="s">
        <v>578</v>
      </c>
      <c r="C583">
        <v>41</v>
      </c>
      <c r="D583" t="s">
        <v>79</v>
      </c>
      <c r="E583" t="s">
        <v>140</v>
      </c>
      <c r="F583" t="s">
        <v>96</v>
      </c>
      <c r="G583">
        <v>0.12</v>
      </c>
      <c r="H583" t="s">
        <v>47</v>
      </c>
      <c r="I583">
        <v>-17</v>
      </c>
      <c r="J583" t="str">
        <f>HYPERLINK("https://www.eliteprospects.com/player/864166/julius-saari")</f>
        <v>https://www.eliteprospects.com/player/864166/julius-saari</v>
      </c>
      <c r="K583" t="s">
        <v>27</v>
      </c>
      <c r="L583" t="s">
        <v>485</v>
      </c>
      <c r="M583" t="s">
        <v>1296</v>
      </c>
      <c r="N583">
        <v>1</v>
      </c>
      <c r="O583" t="s">
        <v>494</v>
      </c>
      <c r="P583">
        <v>0.02</v>
      </c>
      <c r="Q583" t="s">
        <v>1488</v>
      </c>
      <c r="R583">
        <v>0</v>
      </c>
      <c r="S583">
        <v>0</v>
      </c>
      <c r="T583">
        <v>0</v>
      </c>
      <c r="U583">
        <v>0</v>
      </c>
      <c r="V583">
        <v>0</v>
      </c>
    </row>
    <row r="584" spans="1:22" x14ac:dyDescent="0.25">
      <c r="A584" t="s">
        <v>1875</v>
      </c>
      <c r="B584" t="s">
        <v>488</v>
      </c>
      <c r="C584">
        <v>32</v>
      </c>
      <c r="D584" t="s">
        <v>260</v>
      </c>
      <c r="E584" t="s">
        <v>66</v>
      </c>
      <c r="F584" t="s">
        <v>96</v>
      </c>
      <c r="G584">
        <v>0.16</v>
      </c>
      <c r="H584" t="s">
        <v>39</v>
      </c>
      <c r="I584">
        <v>-12</v>
      </c>
      <c r="J584" t="str">
        <f>HYPERLINK("https://www.eliteprospects.com/player/905936/trevor-o-dell")</f>
        <v>https://www.eliteprospects.com/player/905936/trevor-o-dell</v>
      </c>
      <c r="K584" t="s">
        <v>27</v>
      </c>
      <c r="L584" t="s">
        <v>485</v>
      </c>
      <c r="M584" t="s">
        <v>1296</v>
      </c>
      <c r="N584">
        <v>3</v>
      </c>
      <c r="O584" t="s">
        <v>492</v>
      </c>
      <c r="P584">
        <v>0.02</v>
      </c>
      <c r="Q584" t="s">
        <v>1488</v>
      </c>
      <c r="R584">
        <v>0</v>
      </c>
      <c r="S584">
        <v>0</v>
      </c>
      <c r="T584">
        <v>0</v>
      </c>
      <c r="U584">
        <v>0</v>
      </c>
      <c r="V584">
        <v>0</v>
      </c>
    </row>
    <row r="585" spans="1:22" x14ac:dyDescent="0.25">
      <c r="A585" t="s">
        <v>1876</v>
      </c>
      <c r="B585" t="s">
        <v>515</v>
      </c>
      <c r="C585">
        <v>35</v>
      </c>
      <c r="D585" t="s">
        <v>260</v>
      </c>
      <c r="E585" t="s">
        <v>66</v>
      </c>
      <c r="F585" t="s">
        <v>96</v>
      </c>
      <c r="G585">
        <v>0.14000000000000001</v>
      </c>
      <c r="H585" t="s">
        <v>763</v>
      </c>
      <c r="I585">
        <v>1</v>
      </c>
      <c r="J585" t="str">
        <f>HYPERLINK("https://www.eliteprospects.com/player/618997/gabriel-eliasson")</f>
        <v>https://www.eliteprospects.com/player/618997/gabriel-eliasson</v>
      </c>
      <c r="K585" t="s">
        <v>27</v>
      </c>
      <c r="L585" t="s">
        <v>485</v>
      </c>
      <c r="M585" t="s">
        <v>1296</v>
      </c>
      <c r="N585">
        <v>2</v>
      </c>
      <c r="O585" t="s">
        <v>501</v>
      </c>
      <c r="P585">
        <v>0.02</v>
      </c>
      <c r="Q585" t="s">
        <v>1488</v>
      </c>
      <c r="R585">
        <v>0</v>
      </c>
      <c r="S585">
        <v>0</v>
      </c>
      <c r="T585">
        <v>0</v>
      </c>
      <c r="U585">
        <v>0</v>
      </c>
      <c r="V585">
        <v>0</v>
      </c>
    </row>
    <row r="586" spans="1:22" x14ac:dyDescent="0.25">
      <c r="A586" t="s">
        <v>1877</v>
      </c>
      <c r="B586" t="s">
        <v>515</v>
      </c>
      <c r="C586">
        <v>30</v>
      </c>
      <c r="D586" t="s">
        <v>132</v>
      </c>
      <c r="E586" t="s">
        <v>96</v>
      </c>
      <c r="F586" t="s">
        <v>96</v>
      </c>
      <c r="G586">
        <v>0.17</v>
      </c>
      <c r="H586" t="s">
        <v>39</v>
      </c>
      <c r="I586">
        <v>7</v>
      </c>
      <c r="J586" t="str">
        <f>HYPERLINK("https://www.eliteprospects.com/player/881099/teague-vader")</f>
        <v>https://www.eliteprospects.com/player/881099/teague-vader</v>
      </c>
      <c r="K586" t="s">
        <v>27</v>
      </c>
      <c r="L586" t="s">
        <v>485</v>
      </c>
      <c r="M586" t="s">
        <v>1296</v>
      </c>
      <c r="N586">
        <v>2</v>
      </c>
      <c r="O586" t="s">
        <v>501</v>
      </c>
      <c r="P586">
        <v>0.02</v>
      </c>
      <c r="Q586" t="s">
        <v>1488</v>
      </c>
      <c r="R586">
        <v>0</v>
      </c>
      <c r="S586">
        <v>0</v>
      </c>
      <c r="T586">
        <v>0</v>
      </c>
      <c r="U586">
        <v>0</v>
      </c>
      <c r="V586">
        <v>0</v>
      </c>
    </row>
    <row r="587" spans="1:22" x14ac:dyDescent="0.25">
      <c r="A587" t="s">
        <v>1878</v>
      </c>
      <c r="B587" t="s">
        <v>531</v>
      </c>
      <c r="C587">
        <v>30</v>
      </c>
      <c r="D587" t="s">
        <v>132</v>
      </c>
      <c r="E587" t="s">
        <v>96</v>
      </c>
      <c r="F587" t="s">
        <v>96</v>
      </c>
      <c r="G587">
        <v>0.17</v>
      </c>
      <c r="H587" t="s">
        <v>39</v>
      </c>
      <c r="I587">
        <v>-12</v>
      </c>
      <c r="J587" t="str">
        <f>HYPERLINK("https://www.eliteprospects.com/player/961410/colin-feeley")</f>
        <v>https://www.eliteprospects.com/player/961410/colin-feeley</v>
      </c>
      <c r="K587" t="s">
        <v>27</v>
      </c>
      <c r="L587" t="s">
        <v>485</v>
      </c>
      <c r="M587" t="s">
        <v>1296</v>
      </c>
      <c r="N587">
        <v>1</v>
      </c>
      <c r="O587" t="s">
        <v>494</v>
      </c>
      <c r="P587">
        <v>0.02</v>
      </c>
      <c r="Q587" t="s">
        <v>1488</v>
      </c>
      <c r="R587">
        <v>0</v>
      </c>
      <c r="S587">
        <v>0</v>
      </c>
      <c r="T587">
        <v>0</v>
      </c>
      <c r="U587">
        <v>0</v>
      </c>
      <c r="V587">
        <v>0</v>
      </c>
    </row>
    <row r="588" spans="1:22" x14ac:dyDescent="0.25">
      <c r="A588" t="s">
        <v>1879</v>
      </c>
      <c r="B588" t="s">
        <v>507</v>
      </c>
      <c r="C588">
        <v>31</v>
      </c>
      <c r="D588" t="s">
        <v>132</v>
      </c>
      <c r="E588" t="s">
        <v>96</v>
      </c>
      <c r="F588" t="s">
        <v>96</v>
      </c>
      <c r="G588">
        <v>0.16</v>
      </c>
      <c r="H588" t="s">
        <v>66</v>
      </c>
      <c r="I588">
        <v>-2</v>
      </c>
      <c r="J588" t="str">
        <f>HYPERLINK("https://www.eliteprospects.com/player/887886/patrick-babin")</f>
        <v>https://www.eliteprospects.com/player/887886/patrick-babin</v>
      </c>
      <c r="K588" t="s">
        <v>27</v>
      </c>
      <c r="L588" t="s">
        <v>485</v>
      </c>
      <c r="M588" t="s">
        <v>1296</v>
      </c>
      <c r="N588">
        <v>2</v>
      </c>
      <c r="O588" t="s">
        <v>501</v>
      </c>
      <c r="P588">
        <v>0.02</v>
      </c>
      <c r="Q588" t="s">
        <v>1488</v>
      </c>
      <c r="R588">
        <v>0</v>
      </c>
      <c r="S588">
        <v>0</v>
      </c>
      <c r="T588">
        <v>0</v>
      </c>
      <c r="U588">
        <v>0</v>
      </c>
      <c r="V588">
        <v>0</v>
      </c>
    </row>
    <row r="589" spans="1:22" x14ac:dyDescent="0.25">
      <c r="A589" t="s">
        <v>1880</v>
      </c>
      <c r="B589" t="s">
        <v>507</v>
      </c>
      <c r="C589">
        <v>36</v>
      </c>
      <c r="D589" t="s">
        <v>132</v>
      </c>
      <c r="E589" t="s">
        <v>96</v>
      </c>
      <c r="F589" t="s">
        <v>96</v>
      </c>
      <c r="G589">
        <v>0.14000000000000001</v>
      </c>
      <c r="H589" t="s">
        <v>178</v>
      </c>
      <c r="I589">
        <v>1</v>
      </c>
      <c r="J589" t="str">
        <f>HYPERLINK("https://www.eliteprospects.com/player/881106/hayden-barch")</f>
        <v>https://www.eliteprospects.com/player/881106/hayden-barch</v>
      </c>
      <c r="K589" t="s">
        <v>27</v>
      </c>
      <c r="L589" t="s">
        <v>485</v>
      </c>
      <c r="M589" t="s">
        <v>1296</v>
      </c>
      <c r="N589">
        <v>2</v>
      </c>
      <c r="O589" t="s">
        <v>501</v>
      </c>
      <c r="P589">
        <v>0.02</v>
      </c>
      <c r="Q589" t="s">
        <v>1488</v>
      </c>
      <c r="R589">
        <v>0</v>
      </c>
      <c r="S589">
        <v>0</v>
      </c>
      <c r="T589">
        <v>0</v>
      </c>
      <c r="U589">
        <v>0</v>
      </c>
      <c r="V589">
        <v>0</v>
      </c>
    </row>
    <row r="590" spans="1:22" x14ac:dyDescent="0.25">
      <c r="A590" t="s">
        <v>1881</v>
      </c>
      <c r="B590" t="s">
        <v>531</v>
      </c>
      <c r="C590">
        <v>35</v>
      </c>
      <c r="D590" t="s">
        <v>79</v>
      </c>
      <c r="E590" t="s">
        <v>79</v>
      </c>
      <c r="F590" t="s">
        <v>66</v>
      </c>
      <c r="G590">
        <v>0.11</v>
      </c>
      <c r="H590" t="s">
        <v>57</v>
      </c>
      <c r="I590">
        <v>-22</v>
      </c>
      <c r="J590" t="str">
        <f>HYPERLINK("https://www.eliteprospects.com/player/690049/anthony-timmerman")</f>
        <v>https://www.eliteprospects.com/player/690049/anthony-timmerman</v>
      </c>
      <c r="K590" t="s">
        <v>27</v>
      </c>
      <c r="L590" t="s">
        <v>485</v>
      </c>
      <c r="M590" t="s">
        <v>1296</v>
      </c>
      <c r="N590">
        <v>1</v>
      </c>
      <c r="O590" t="s">
        <v>494</v>
      </c>
      <c r="P590">
        <v>0.02</v>
      </c>
      <c r="Q590" t="s">
        <v>1488</v>
      </c>
      <c r="R590">
        <v>0</v>
      </c>
      <c r="S590">
        <v>0</v>
      </c>
      <c r="T590">
        <v>0</v>
      </c>
      <c r="U590">
        <v>0</v>
      </c>
      <c r="V590">
        <v>0</v>
      </c>
    </row>
    <row r="591" spans="1:22" x14ac:dyDescent="0.25">
      <c r="A591" t="s">
        <v>1882</v>
      </c>
      <c r="B591" t="s">
        <v>515</v>
      </c>
      <c r="C591">
        <v>40</v>
      </c>
      <c r="D591" t="s">
        <v>79</v>
      </c>
      <c r="E591" t="s">
        <v>79</v>
      </c>
      <c r="F591" t="s">
        <v>66</v>
      </c>
      <c r="G591">
        <v>0.1</v>
      </c>
      <c r="H591" t="s">
        <v>513</v>
      </c>
      <c r="I591">
        <v>9</v>
      </c>
      <c r="J591" t="str">
        <f>HYPERLINK("https://www.eliteprospects.com/player/880891/evan-passmore")</f>
        <v>https://www.eliteprospects.com/player/880891/evan-passmore</v>
      </c>
      <c r="K591" t="s">
        <v>27</v>
      </c>
      <c r="L591" t="s">
        <v>485</v>
      </c>
      <c r="M591" t="s">
        <v>1296</v>
      </c>
      <c r="N591">
        <v>3</v>
      </c>
      <c r="O591" t="s">
        <v>492</v>
      </c>
      <c r="P591">
        <v>0.01</v>
      </c>
      <c r="Q591" t="s">
        <v>1488</v>
      </c>
      <c r="R591">
        <v>0</v>
      </c>
      <c r="S591">
        <v>0</v>
      </c>
      <c r="T591">
        <v>0</v>
      </c>
      <c r="U591">
        <v>0</v>
      </c>
      <c r="V591">
        <v>0</v>
      </c>
    </row>
    <row r="592" spans="1:22" x14ac:dyDescent="0.25">
      <c r="A592" t="s">
        <v>1883</v>
      </c>
      <c r="B592" t="s">
        <v>490</v>
      </c>
      <c r="C592">
        <v>20</v>
      </c>
      <c r="D592" t="s">
        <v>260</v>
      </c>
      <c r="E592" t="s">
        <v>140</v>
      </c>
      <c r="F592" t="s">
        <v>66</v>
      </c>
      <c r="G592">
        <v>0.2</v>
      </c>
      <c r="H592" t="s">
        <v>57</v>
      </c>
      <c r="I592">
        <v>4</v>
      </c>
      <c r="J592" t="str">
        <f>HYPERLINK("https://www.eliteprospects.com/player/597859/blake-barnes")</f>
        <v>https://www.eliteprospects.com/player/597859/blake-barnes</v>
      </c>
      <c r="K592" t="s">
        <v>27</v>
      </c>
      <c r="L592" t="s">
        <v>485</v>
      </c>
      <c r="M592" t="s">
        <v>1296</v>
      </c>
      <c r="N592">
        <v>3</v>
      </c>
      <c r="O592" t="s">
        <v>492</v>
      </c>
      <c r="P592">
        <v>0.03</v>
      </c>
      <c r="Q592" t="s">
        <v>1488</v>
      </c>
      <c r="R592">
        <v>0</v>
      </c>
      <c r="S592">
        <v>0</v>
      </c>
      <c r="T592">
        <v>0</v>
      </c>
      <c r="U592">
        <v>0</v>
      </c>
      <c r="V592">
        <v>0</v>
      </c>
    </row>
    <row r="593" spans="1:22" x14ac:dyDescent="0.25">
      <c r="A593" t="s">
        <v>1884</v>
      </c>
      <c r="B593" t="s">
        <v>531</v>
      </c>
      <c r="C593">
        <v>33</v>
      </c>
      <c r="D593" t="s">
        <v>260</v>
      </c>
      <c r="E593" t="s">
        <v>140</v>
      </c>
      <c r="F593" t="s">
        <v>66</v>
      </c>
      <c r="G593">
        <v>0.12</v>
      </c>
      <c r="H593" t="s">
        <v>34</v>
      </c>
      <c r="I593">
        <v>-5</v>
      </c>
      <c r="J593" t="str">
        <f>HYPERLINK("https://www.eliteprospects.com/player/1004154/brady-murnane")</f>
        <v>https://www.eliteprospects.com/player/1004154/brady-murnane</v>
      </c>
      <c r="K593" t="s">
        <v>27</v>
      </c>
      <c r="L593" t="s">
        <v>485</v>
      </c>
      <c r="M593" t="s">
        <v>1296</v>
      </c>
      <c r="N593">
        <v>1</v>
      </c>
      <c r="O593" t="s">
        <v>494</v>
      </c>
      <c r="P593">
        <v>0.02</v>
      </c>
      <c r="Q593" t="s">
        <v>1488</v>
      </c>
      <c r="R593">
        <v>0</v>
      </c>
      <c r="S593">
        <v>0</v>
      </c>
      <c r="T593">
        <v>0</v>
      </c>
      <c r="U593">
        <v>0</v>
      </c>
      <c r="V593">
        <v>0</v>
      </c>
    </row>
    <row r="594" spans="1:22" x14ac:dyDescent="0.25">
      <c r="A594" t="s">
        <v>1885</v>
      </c>
      <c r="B594" t="s">
        <v>504</v>
      </c>
      <c r="C594">
        <v>33</v>
      </c>
      <c r="D594" t="s">
        <v>260</v>
      </c>
      <c r="E594" t="s">
        <v>140</v>
      </c>
      <c r="F594" t="s">
        <v>66</v>
      </c>
      <c r="G594">
        <v>0.12</v>
      </c>
      <c r="H594" t="s">
        <v>53</v>
      </c>
      <c r="I594">
        <v>4</v>
      </c>
      <c r="J594" t="str">
        <f>HYPERLINK("https://www.eliteprospects.com/player/890367/andrew-macniel")</f>
        <v>https://www.eliteprospects.com/player/890367/andrew-macniel</v>
      </c>
      <c r="K594" t="s">
        <v>27</v>
      </c>
      <c r="L594" t="s">
        <v>485</v>
      </c>
      <c r="M594" t="s">
        <v>1296</v>
      </c>
      <c r="N594">
        <v>3</v>
      </c>
      <c r="O594" t="s">
        <v>492</v>
      </c>
      <c r="P594">
        <v>0.02</v>
      </c>
      <c r="Q594" t="s">
        <v>1488</v>
      </c>
      <c r="R594">
        <v>0</v>
      </c>
      <c r="S594">
        <v>0</v>
      </c>
      <c r="T594">
        <v>0</v>
      </c>
      <c r="U594">
        <v>0</v>
      </c>
      <c r="V594">
        <v>0</v>
      </c>
    </row>
    <row r="595" spans="1:22" x14ac:dyDescent="0.25">
      <c r="A595" t="s">
        <v>1886</v>
      </c>
      <c r="B595" t="s">
        <v>562</v>
      </c>
      <c r="C595">
        <v>33</v>
      </c>
      <c r="D595" t="s">
        <v>260</v>
      </c>
      <c r="E595" t="s">
        <v>140</v>
      </c>
      <c r="F595" t="s">
        <v>66</v>
      </c>
      <c r="G595">
        <v>0.12</v>
      </c>
      <c r="H595" t="s">
        <v>235</v>
      </c>
      <c r="I595">
        <v>-6</v>
      </c>
      <c r="J595" t="str">
        <f>HYPERLINK("https://www.eliteprospects.com/player/987181/peter-green")</f>
        <v>https://www.eliteprospects.com/player/987181/peter-green</v>
      </c>
      <c r="K595" t="s">
        <v>27</v>
      </c>
      <c r="L595" t="s">
        <v>485</v>
      </c>
      <c r="M595" t="s">
        <v>1296</v>
      </c>
      <c r="N595">
        <v>1</v>
      </c>
      <c r="O595" t="s">
        <v>494</v>
      </c>
      <c r="P595">
        <v>0.02</v>
      </c>
      <c r="Q595" t="s">
        <v>1488</v>
      </c>
      <c r="R595">
        <v>0</v>
      </c>
      <c r="S595">
        <v>0</v>
      </c>
      <c r="T595">
        <v>0</v>
      </c>
      <c r="U595">
        <v>0</v>
      </c>
      <c r="V595">
        <v>0</v>
      </c>
    </row>
    <row r="596" spans="1:22" x14ac:dyDescent="0.25">
      <c r="A596" t="s">
        <v>1887</v>
      </c>
      <c r="B596" t="s">
        <v>561</v>
      </c>
      <c r="C596">
        <v>37</v>
      </c>
      <c r="D596" t="s">
        <v>260</v>
      </c>
      <c r="E596" t="s">
        <v>140</v>
      </c>
      <c r="F596" t="s">
        <v>66</v>
      </c>
      <c r="G596">
        <v>0.11</v>
      </c>
      <c r="H596" t="s">
        <v>55</v>
      </c>
      <c r="I596">
        <v>12</v>
      </c>
      <c r="J596" t="str">
        <f>HYPERLINK("https://www.eliteprospects.com/player/890365/lukas-moore")</f>
        <v>https://www.eliteprospects.com/player/890365/lukas-moore</v>
      </c>
      <c r="K596" t="s">
        <v>27</v>
      </c>
      <c r="L596" t="s">
        <v>485</v>
      </c>
      <c r="M596" t="s">
        <v>1296</v>
      </c>
      <c r="N596">
        <v>2</v>
      </c>
      <c r="O596" t="s">
        <v>501</v>
      </c>
      <c r="P596">
        <v>0.02</v>
      </c>
      <c r="Q596" t="s">
        <v>1488</v>
      </c>
      <c r="R596">
        <v>0</v>
      </c>
      <c r="S596">
        <v>0</v>
      </c>
      <c r="T596">
        <v>0</v>
      </c>
      <c r="U596">
        <v>0</v>
      </c>
      <c r="V596">
        <v>0</v>
      </c>
    </row>
    <row r="597" spans="1:22" x14ac:dyDescent="0.25">
      <c r="A597" t="s">
        <v>1888</v>
      </c>
      <c r="B597" t="s">
        <v>521</v>
      </c>
      <c r="C597">
        <v>15</v>
      </c>
      <c r="D597" t="s">
        <v>132</v>
      </c>
      <c r="E597" t="s">
        <v>66</v>
      </c>
      <c r="F597" t="s">
        <v>66</v>
      </c>
      <c r="G597">
        <v>0.27</v>
      </c>
      <c r="H597" t="s">
        <v>57</v>
      </c>
      <c r="I597">
        <v>5</v>
      </c>
      <c r="J597" t="str">
        <f>HYPERLINK("https://www.eliteprospects.com/player/918214/nolan-jackson")</f>
        <v>https://www.eliteprospects.com/player/918214/nolan-jackson</v>
      </c>
      <c r="K597" t="s">
        <v>27</v>
      </c>
      <c r="L597" t="s">
        <v>485</v>
      </c>
      <c r="M597" t="s">
        <v>1296</v>
      </c>
      <c r="N597">
        <v>3</v>
      </c>
      <c r="O597" t="s">
        <v>492</v>
      </c>
      <c r="P597">
        <v>0.04</v>
      </c>
      <c r="Q597" t="s">
        <v>1488</v>
      </c>
      <c r="R597">
        <v>0</v>
      </c>
      <c r="S597">
        <v>0</v>
      </c>
      <c r="T597">
        <v>0</v>
      </c>
      <c r="U597">
        <v>0</v>
      </c>
      <c r="V597">
        <v>0</v>
      </c>
    </row>
    <row r="598" spans="1:22" x14ac:dyDescent="0.25">
      <c r="A598" t="s">
        <v>1889</v>
      </c>
      <c r="B598" t="s">
        <v>507</v>
      </c>
      <c r="C598">
        <v>41</v>
      </c>
      <c r="D598" t="s">
        <v>132</v>
      </c>
      <c r="E598" t="s">
        <v>66</v>
      </c>
      <c r="F598" t="s">
        <v>66</v>
      </c>
      <c r="G598">
        <v>0.1</v>
      </c>
      <c r="H598" t="s">
        <v>40</v>
      </c>
      <c r="I598">
        <v>-6</v>
      </c>
      <c r="J598" t="str">
        <f>HYPERLINK("https://www.eliteprospects.com/player/836555/artyom-frolov")</f>
        <v>https://www.eliteprospects.com/player/836555/artyom-frolov</v>
      </c>
      <c r="K598" t="s">
        <v>27</v>
      </c>
      <c r="L598" t="s">
        <v>485</v>
      </c>
      <c r="M598" t="s">
        <v>1296</v>
      </c>
      <c r="N598">
        <v>3</v>
      </c>
      <c r="O598" t="s">
        <v>492</v>
      </c>
      <c r="P598">
        <v>0.01</v>
      </c>
      <c r="Q598" t="s">
        <v>1488</v>
      </c>
      <c r="R598">
        <v>0</v>
      </c>
      <c r="S598">
        <v>0</v>
      </c>
      <c r="T598">
        <v>0</v>
      </c>
      <c r="U598">
        <v>0</v>
      </c>
      <c r="V598">
        <v>0</v>
      </c>
    </row>
    <row r="599" spans="1:22" x14ac:dyDescent="0.25">
      <c r="A599" t="s">
        <v>1890</v>
      </c>
      <c r="B599" t="s">
        <v>496</v>
      </c>
      <c r="C599">
        <v>41</v>
      </c>
      <c r="D599" t="s">
        <v>132</v>
      </c>
      <c r="E599" t="s">
        <v>66</v>
      </c>
      <c r="F599" t="s">
        <v>66</v>
      </c>
      <c r="G599">
        <v>0.1</v>
      </c>
      <c r="H599" t="s">
        <v>491</v>
      </c>
      <c r="I599">
        <v>8</v>
      </c>
      <c r="J599" t="str">
        <f>HYPERLINK("https://www.eliteprospects.com/player/879064/joshua-glavin")</f>
        <v>https://www.eliteprospects.com/player/879064/joshua-glavin</v>
      </c>
      <c r="K599" t="s">
        <v>27</v>
      </c>
      <c r="L599" t="s">
        <v>485</v>
      </c>
      <c r="M599" t="s">
        <v>1296</v>
      </c>
      <c r="N599">
        <v>4</v>
      </c>
      <c r="O599" t="s">
        <v>486</v>
      </c>
      <c r="P599">
        <v>0.01</v>
      </c>
      <c r="Q599" t="s">
        <v>1488</v>
      </c>
      <c r="R599">
        <v>0</v>
      </c>
      <c r="S599">
        <v>0</v>
      </c>
      <c r="T599">
        <v>0</v>
      </c>
      <c r="U599">
        <v>0</v>
      </c>
      <c r="V599">
        <v>0</v>
      </c>
    </row>
    <row r="600" spans="1:22" x14ac:dyDescent="0.25">
      <c r="A600" t="s">
        <v>1891</v>
      </c>
      <c r="B600" t="s">
        <v>498</v>
      </c>
      <c r="C600">
        <v>21</v>
      </c>
      <c r="D600" t="s">
        <v>79</v>
      </c>
      <c r="E600" t="s">
        <v>260</v>
      </c>
      <c r="F600" t="s">
        <v>140</v>
      </c>
      <c r="G600">
        <v>0.14000000000000001</v>
      </c>
      <c r="H600" t="s">
        <v>79</v>
      </c>
      <c r="I600">
        <v>2</v>
      </c>
      <c r="J600" t="str">
        <f>HYPERLINK("https://www.eliteprospects.com/player/968474/blake-munnings")</f>
        <v>https://www.eliteprospects.com/player/968474/blake-munnings</v>
      </c>
      <c r="K600" t="s">
        <v>27</v>
      </c>
      <c r="L600" t="s">
        <v>485</v>
      </c>
      <c r="M600" t="s">
        <v>1296</v>
      </c>
      <c r="N600">
        <v>1</v>
      </c>
      <c r="O600" t="s">
        <v>494</v>
      </c>
      <c r="P600">
        <v>0.02</v>
      </c>
      <c r="Q600" t="s">
        <v>1488</v>
      </c>
      <c r="R600">
        <v>0</v>
      </c>
      <c r="S600">
        <v>0</v>
      </c>
      <c r="T600">
        <v>0</v>
      </c>
      <c r="U600">
        <v>0</v>
      </c>
      <c r="V600">
        <v>0</v>
      </c>
    </row>
    <row r="601" spans="1:22" x14ac:dyDescent="0.25">
      <c r="A601" t="s">
        <v>1892</v>
      </c>
      <c r="B601" t="s">
        <v>536</v>
      </c>
      <c r="C601">
        <v>34</v>
      </c>
      <c r="D601" t="s">
        <v>260</v>
      </c>
      <c r="E601" t="s">
        <v>79</v>
      </c>
      <c r="F601" t="s">
        <v>140</v>
      </c>
      <c r="G601">
        <v>0.09</v>
      </c>
      <c r="H601" t="s">
        <v>513</v>
      </c>
      <c r="I601">
        <v>-9</v>
      </c>
      <c r="J601" t="str">
        <f>HYPERLINK("https://www.eliteprospects.com/player/678283/kaden-aucoin")</f>
        <v>https://www.eliteprospects.com/player/678283/kaden-aucoin</v>
      </c>
      <c r="K601" t="s">
        <v>27</v>
      </c>
      <c r="L601" t="s">
        <v>485</v>
      </c>
      <c r="M601" t="s">
        <v>1296</v>
      </c>
      <c r="N601">
        <v>1</v>
      </c>
      <c r="O601" t="s">
        <v>494</v>
      </c>
      <c r="P601">
        <v>0.01</v>
      </c>
      <c r="Q601" t="s">
        <v>1488</v>
      </c>
      <c r="R601">
        <v>0</v>
      </c>
      <c r="S601">
        <v>0</v>
      </c>
      <c r="T601">
        <v>0</v>
      </c>
      <c r="U601">
        <v>0</v>
      </c>
      <c r="V601">
        <v>0</v>
      </c>
    </row>
    <row r="602" spans="1:22" x14ac:dyDescent="0.25">
      <c r="A602" t="s">
        <v>1893</v>
      </c>
      <c r="B602" t="s">
        <v>520</v>
      </c>
      <c r="C602">
        <v>41</v>
      </c>
      <c r="D602" t="s">
        <v>260</v>
      </c>
      <c r="E602" t="s">
        <v>79</v>
      </c>
      <c r="F602" t="s">
        <v>140</v>
      </c>
      <c r="G602">
        <v>7.0000000000000007E-2</v>
      </c>
      <c r="H602" t="s">
        <v>84</v>
      </c>
      <c r="I602">
        <v>16</v>
      </c>
      <c r="J602" t="str">
        <f>HYPERLINK("https://www.eliteprospects.com/player/689876/jonathan-brown")</f>
        <v>https://www.eliteprospects.com/player/689876/jonathan-brown</v>
      </c>
      <c r="K602" t="s">
        <v>27</v>
      </c>
      <c r="L602" t="s">
        <v>485</v>
      </c>
      <c r="M602" t="s">
        <v>1296</v>
      </c>
      <c r="N602">
        <v>1</v>
      </c>
      <c r="O602" t="s">
        <v>494</v>
      </c>
      <c r="P602">
        <v>0.01</v>
      </c>
      <c r="Q602" t="s">
        <v>1488</v>
      </c>
      <c r="R602">
        <v>0</v>
      </c>
      <c r="S602">
        <v>0</v>
      </c>
      <c r="T602">
        <v>0</v>
      </c>
      <c r="U602">
        <v>0</v>
      </c>
      <c r="V602">
        <v>0</v>
      </c>
    </row>
    <row r="603" spans="1:22" x14ac:dyDescent="0.25">
      <c r="A603" t="s">
        <v>1894</v>
      </c>
      <c r="B603" t="s">
        <v>510</v>
      </c>
      <c r="C603">
        <v>22</v>
      </c>
      <c r="D603" t="s">
        <v>132</v>
      </c>
      <c r="E603" t="s">
        <v>140</v>
      </c>
      <c r="F603" t="s">
        <v>140</v>
      </c>
      <c r="G603">
        <v>0.14000000000000001</v>
      </c>
      <c r="H603" t="s">
        <v>32</v>
      </c>
      <c r="I603">
        <v>3</v>
      </c>
      <c r="J603" t="str">
        <f>HYPERLINK("https://www.eliteprospects.com/player/576954/keegan-gillen")</f>
        <v>https://www.eliteprospects.com/player/576954/keegan-gillen</v>
      </c>
      <c r="K603" t="s">
        <v>27</v>
      </c>
      <c r="L603" t="s">
        <v>485</v>
      </c>
      <c r="M603" t="s">
        <v>1296</v>
      </c>
      <c r="N603">
        <v>2</v>
      </c>
      <c r="O603" t="s">
        <v>501</v>
      </c>
      <c r="P603">
        <v>0.02</v>
      </c>
      <c r="Q603" t="s">
        <v>1488</v>
      </c>
      <c r="R603">
        <v>0</v>
      </c>
      <c r="S603">
        <v>0</v>
      </c>
      <c r="T603">
        <v>0</v>
      </c>
      <c r="U603">
        <v>0</v>
      </c>
      <c r="V603">
        <v>0</v>
      </c>
    </row>
    <row r="604" spans="1:22" x14ac:dyDescent="0.25">
      <c r="A604" t="s">
        <v>1895</v>
      </c>
      <c r="B604" t="s">
        <v>532</v>
      </c>
      <c r="C604">
        <v>22</v>
      </c>
      <c r="D604" t="s">
        <v>132</v>
      </c>
      <c r="E604" t="s">
        <v>140</v>
      </c>
      <c r="F604" t="s">
        <v>140</v>
      </c>
      <c r="G604">
        <v>0.14000000000000001</v>
      </c>
      <c r="H604" t="s">
        <v>25</v>
      </c>
      <c r="I604">
        <v>2</v>
      </c>
      <c r="J604" t="str">
        <f>HYPERLINK("https://www.eliteprospects.com/player/896007/maxim-sokolovsky")</f>
        <v>https://www.eliteprospects.com/player/896007/maxim-sokolovsky</v>
      </c>
      <c r="K604" t="s">
        <v>27</v>
      </c>
      <c r="L604" t="s">
        <v>485</v>
      </c>
      <c r="M604" t="s">
        <v>1296</v>
      </c>
      <c r="N604">
        <v>1</v>
      </c>
      <c r="O604" t="s">
        <v>494</v>
      </c>
      <c r="P604">
        <v>0.02</v>
      </c>
      <c r="Q604" t="s">
        <v>1488</v>
      </c>
      <c r="R604">
        <v>0</v>
      </c>
      <c r="S604">
        <v>0</v>
      </c>
      <c r="T604">
        <v>0</v>
      </c>
      <c r="U604">
        <v>0</v>
      </c>
      <c r="V604">
        <v>0</v>
      </c>
    </row>
    <row r="605" spans="1:22" x14ac:dyDescent="0.25">
      <c r="A605" t="s">
        <v>1896</v>
      </c>
      <c r="B605" t="s">
        <v>546</v>
      </c>
      <c r="C605">
        <v>29</v>
      </c>
      <c r="D605" t="s">
        <v>132</v>
      </c>
      <c r="E605" t="s">
        <v>140</v>
      </c>
      <c r="F605" t="s">
        <v>140</v>
      </c>
      <c r="G605">
        <v>0.1</v>
      </c>
      <c r="H605" t="s">
        <v>69</v>
      </c>
      <c r="I605">
        <v>-3</v>
      </c>
      <c r="J605" t="str">
        <f>HYPERLINK("https://www.eliteprospects.com/player/985399/carter-kunopaski")</f>
        <v>https://www.eliteprospects.com/player/985399/carter-kunopaski</v>
      </c>
      <c r="K605" t="s">
        <v>27</v>
      </c>
      <c r="L605" t="s">
        <v>485</v>
      </c>
      <c r="M605" t="s">
        <v>1296</v>
      </c>
      <c r="N605">
        <v>1</v>
      </c>
      <c r="O605" t="s">
        <v>494</v>
      </c>
      <c r="P605">
        <v>0.01</v>
      </c>
      <c r="Q605" t="s">
        <v>1488</v>
      </c>
      <c r="R605">
        <v>0</v>
      </c>
      <c r="S605">
        <v>0</v>
      </c>
      <c r="T605">
        <v>0</v>
      </c>
      <c r="U605">
        <v>0</v>
      </c>
      <c r="V605">
        <v>0</v>
      </c>
    </row>
    <row r="606" spans="1:22" x14ac:dyDescent="0.25">
      <c r="A606" t="s">
        <v>1897</v>
      </c>
      <c r="B606" t="s">
        <v>562</v>
      </c>
      <c r="C606">
        <v>31</v>
      </c>
      <c r="D606" t="s">
        <v>132</v>
      </c>
      <c r="E606" t="s">
        <v>140</v>
      </c>
      <c r="F606" t="s">
        <v>140</v>
      </c>
      <c r="G606">
        <v>0.1</v>
      </c>
      <c r="H606" t="s">
        <v>500</v>
      </c>
      <c r="I606">
        <v>-14</v>
      </c>
      <c r="J606" t="str">
        <f>HYPERLINK("https://www.eliteprospects.com/player/880429/reed-gee")</f>
        <v>https://www.eliteprospects.com/player/880429/reed-gee</v>
      </c>
      <c r="K606" t="s">
        <v>27</v>
      </c>
      <c r="L606" t="s">
        <v>485</v>
      </c>
      <c r="M606" t="s">
        <v>1296</v>
      </c>
      <c r="N606">
        <v>4</v>
      </c>
      <c r="O606" t="s">
        <v>486</v>
      </c>
      <c r="P606">
        <v>0.01</v>
      </c>
      <c r="Q606" t="s">
        <v>1488</v>
      </c>
      <c r="R606">
        <v>0</v>
      </c>
      <c r="S606">
        <v>0</v>
      </c>
      <c r="T606">
        <v>0</v>
      </c>
      <c r="U606">
        <v>0</v>
      </c>
      <c r="V606">
        <v>0</v>
      </c>
    </row>
    <row r="607" spans="1:22" x14ac:dyDescent="0.25">
      <c r="A607" t="s">
        <v>1898</v>
      </c>
      <c r="B607" t="s">
        <v>504</v>
      </c>
      <c r="C607">
        <v>15</v>
      </c>
      <c r="D607" t="s">
        <v>79</v>
      </c>
      <c r="E607" t="s">
        <v>132</v>
      </c>
      <c r="F607" t="s">
        <v>79</v>
      </c>
      <c r="G607">
        <v>0.13</v>
      </c>
      <c r="H607" t="s">
        <v>57</v>
      </c>
      <c r="I607">
        <v>-2</v>
      </c>
      <c r="J607" t="str">
        <f>HYPERLINK("https://www.eliteprospects.com/player/805219/kaden-schneider")</f>
        <v>https://www.eliteprospects.com/player/805219/kaden-schneider</v>
      </c>
      <c r="K607" t="s">
        <v>27</v>
      </c>
      <c r="L607" t="s">
        <v>485</v>
      </c>
      <c r="M607" t="s">
        <v>1296</v>
      </c>
      <c r="N607">
        <v>2</v>
      </c>
      <c r="O607" t="s">
        <v>501</v>
      </c>
      <c r="P607">
        <v>0.02</v>
      </c>
      <c r="Q607" t="s">
        <v>1488</v>
      </c>
      <c r="R607">
        <v>0</v>
      </c>
      <c r="S607">
        <v>0</v>
      </c>
      <c r="T607">
        <v>0</v>
      </c>
      <c r="U607">
        <v>0</v>
      </c>
      <c r="V607">
        <v>0</v>
      </c>
    </row>
    <row r="608" spans="1:22" x14ac:dyDescent="0.25">
      <c r="A608" t="s">
        <v>1899</v>
      </c>
      <c r="B608" t="s">
        <v>484</v>
      </c>
      <c r="C608">
        <v>16</v>
      </c>
      <c r="D608" t="s">
        <v>260</v>
      </c>
      <c r="E608" t="s">
        <v>260</v>
      </c>
      <c r="F608" t="s">
        <v>79</v>
      </c>
      <c r="G608">
        <v>0.13</v>
      </c>
      <c r="H608" t="s">
        <v>24</v>
      </c>
      <c r="I608">
        <v>1</v>
      </c>
      <c r="J608" t="str">
        <f>HYPERLINK("https://www.eliteprospects.com/player/976477/christian-colosimo")</f>
        <v>https://www.eliteprospects.com/player/976477/christian-colosimo</v>
      </c>
      <c r="K608" t="s">
        <v>27</v>
      </c>
      <c r="L608" t="s">
        <v>485</v>
      </c>
      <c r="M608" t="s">
        <v>1296</v>
      </c>
      <c r="N608">
        <v>2</v>
      </c>
      <c r="O608" t="s">
        <v>501</v>
      </c>
      <c r="P608">
        <v>0.02</v>
      </c>
      <c r="Q608" t="s">
        <v>1488</v>
      </c>
      <c r="R608">
        <v>0</v>
      </c>
      <c r="S608">
        <v>0</v>
      </c>
      <c r="T608">
        <v>0</v>
      </c>
      <c r="U608">
        <v>0</v>
      </c>
      <c r="V608">
        <v>0</v>
      </c>
    </row>
    <row r="609" spans="1:22" x14ac:dyDescent="0.25">
      <c r="A609" t="s">
        <v>1900</v>
      </c>
      <c r="B609" t="s">
        <v>531</v>
      </c>
      <c r="C609">
        <v>23</v>
      </c>
      <c r="D609" t="s">
        <v>260</v>
      </c>
      <c r="E609" t="s">
        <v>260</v>
      </c>
      <c r="F609" t="s">
        <v>79</v>
      </c>
      <c r="G609">
        <v>0.09</v>
      </c>
      <c r="H609" t="s">
        <v>45</v>
      </c>
      <c r="I609">
        <v>-6</v>
      </c>
      <c r="J609" t="str">
        <f>HYPERLINK("https://www.eliteprospects.com/player/862024/leo-laschon")</f>
        <v>https://www.eliteprospects.com/player/862024/leo-laschon</v>
      </c>
      <c r="K609" t="s">
        <v>27</v>
      </c>
      <c r="L609" t="s">
        <v>485</v>
      </c>
      <c r="M609" t="s">
        <v>1296</v>
      </c>
      <c r="N609">
        <v>1</v>
      </c>
      <c r="O609" t="s">
        <v>494</v>
      </c>
      <c r="P609">
        <v>0.01</v>
      </c>
      <c r="Q609" t="s">
        <v>1488</v>
      </c>
      <c r="R609">
        <v>0</v>
      </c>
      <c r="S609">
        <v>0</v>
      </c>
      <c r="T609">
        <v>0</v>
      </c>
      <c r="U609">
        <v>0</v>
      </c>
      <c r="V609">
        <v>0</v>
      </c>
    </row>
    <row r="610" spans="1:22" x14ac:dyDescent="0.25">
      <c r="A610" t="s">
        <v>1901</v>
      </c>
      <c r="B610" t="s">
        <v>562</v>
      </c>
      <c r="C610">
        <v>11</v>
      </c>
      <c r="D610" t="s">
        <v>132</v>
      </c>
      <c r="E610" t="s">
        <v>79</v>
      </c>
      <c r="F610" t="s">
        <v>79</v>
      </c>
      <c r="G610">
        <v>0.18</v>
      </c>
      <c r="H610" t="s">
        <v>79</v>
      </c>
      <c r="I610">
        <v>-2</v>
      </c>
      <c r="J610" t="str">
        <f>HYPERLINK("https://www.eliteprospects.com/player/890943/sean-matthew-goyette")</f>
        <v>https://www.eliteprospects.com/player/890943/sean-matthew-goyette</v>
      </c>
      <c r="K610" t="s">
        <v>27</v>
      </c>
      <c r="L610" t="s">
        <v>485</v>
      </c>
      <c r="M610" t="s">
        <v>1296</v>
      </c>
      <c r="N610">
        <v>1</v>
      </c>
      <c r="O610" t="s">
        <v>494</v>
      </c>
      <c r="P610">
        <v>0.03</v>
      </c>
      <c r="Q610" t="s">
        <v>1488</v>
      </c>
      <c r="R610">
        <v>0</v>
      </c>
      <c r="S610">
        <v>0</v>
      </c>
      <c r="T610">
        <v>0</v>
      </c>
      <c r="U610">
        <v>0</v>
      </c>
      <c r="V610">
        <v>0</v>
      </c>
    </row>
    <row r="611" spans="1:22" x14ac:dyDescent="0.25">
      <c r="A611" t="s">
        <v>1902</v>
      </c>
      <c r="B611" t="s">
        <v>561</v>
      </c>
      <c r="C611">
        <v>14</v>
      </c>
      <c r="D611" t="s">
        <v>132</v>
      </c>
      <c r="E611" t="s">
        <v>79</v>
      </c>
      <c r="F611" t="s">
        <v>79</v>
      </c>
      <c r="G611">
        <v>0.14000000000000001</v>
      </c>
      <c r="H611" t="s">
        <v>79</v>
      </c>
      <c r="I611">
        <v>-3</v>
      </c>
      <c r="J611" t="str">
        <f>HYPERLINK("https://www.eliteprospects.com/player/888237/niko-krmpotic")</f>
        <v>https://www.eliteprospects.com/player/888237/niko-krmpotic</v>
      </c>
      <c r="K611" t="s">
        <v>27</v>
      </c>
      <c r="L611" t="s">
        <v>485</v>
      </c>
      <c r="M611" t="s">
        <v>1296</v>
      </c>
      <c r="N611">
        <v>3</v>
      </c>
      <c r="O611" t="s">
        <v>492</v>
      </c>
      <c r="P611">
        <v>0.02</v>
      </c>
      <c r="Q611" t="s">
        <v>1488</v>
      </c>
      <c r="R611">
        <v>0</v>
      </c>
      <c r="S611">
        <v>0</v>
      </c>
      <c r="T611">
        <v>0</v>
      </c>
      <c r="U611">
        <v>0</v>
      </c>
      <c r="V611">
        <v>0</v>
      </c>
    </row>
    <row r="612" spans="1:22" x14ac:dyDescent="0.25">
      <c r="A612" t="s">
        <v>1903</v>
      </c>
      <c r="B612" t="s">
        <v>493</v>
      </c>
      <c r="C612">
        <v>15</v>
      </c>
      <c r="D612" t="s">
        <v>132</v>
      </c>
      <c r="E612" t="s">
        <v>79</v>
      </c>
      <c r="F612" t="s">
        <v>79</v>
      </c>
      <c r="G612">
        <v>0.13</v>
      </c>
      <c r="H612" t="s">
        <v>79</v>
      </c>
      <c r="I612">
        <v>-2</v>
      </c>
      <c r="J612" t="str">
        <f>HYPERLINK("https://www.eliteprospects.com/player/966263/david-buchman")</f>
        <v>https://www.eliteprospects.com/player/966263/david-buchman</v>
      </c>
      <c r="K612" t="s">
        <v>27</v>
      </c>
      <c r="L612" t="s">
        <v>485</v>
      </c>
      <c r="M612" t="s">
        <v>1296</v>
      </c>
      <c r="N612">
        <v>1</v>
      </c>
      <c r="O612" t="s">
        <v>494</v>
      </c>
      <c r="P612">
        <v>0.02</v>
      </c>
      <c r="Q612" t="s">
        <v>1488</v>
      </c>
      <c r="R612">
        <v>0</v>
      </c>
      <c r="S612">
        <v>0</v>
      </c>
      <c r="T612">
        <v>0</v>
      </c>
      <c r="U612">
        <v>0</v>
      </c>
      <c r="V612">
        <v>0</v>
      </c>
    </row>
    <row r="613" spans="1:22" x14ac:dyDescent="0.25">
      <c r="A613" t="s">
        <v>1904</v>
      </c>
      <c r="B613" t="s">
        <v>562</v>
      </c>
      <c r="C613">
        <v>15</v>
      </c>
      <c r="D613" t="s">
        <v>132</v>
      </c>
      <c r="E613" t="s">
        <v>79</v>
      </c>
      <c r="F613" t="s">
        <v>79</v>
      </c>
      <c r="G613">
        <v>0.13</v>
      </c>
      <c r="H613" t="s">
        <v>518</v>
      </c>
      <c r="I613">
        <v>-8</v>
      </c>
      <c r="J613" t="str">
        <f>HYPERLINK("https://www.eliteprospects.com/player/814149/luke-dragusica")</f>
        <v>https://www.eliteprospects.com/player/814149/luke-dragusica</v>
      </c>
      <c r="K613" t="s">
        <v>27</v>
      </c>
      <c r="L613" t="s">
        <v>485</v>
      </c>
      <c r="M613" t="s">
        <v>1296</v>
      </c>
      <c r="N613">
        <v>3</v>
      </c>
      <c r="O613" t="s">
        <v>492</v>
      </c>
      <c r="P613">
        <v>0.02</v>
      </c>
      <c r="Q613" t="s">
        <v>1488</v>
      </c>
      <c r="R613">
        <v>0</v>
      </c>
      <c r="S613">
        <v>0</v>
      </c>
      <c r="T613">
        <v>0</v>
      </c>
      <c r="U613">
        <v>0</v>
      </c>
      <c r="V613">
        <v>0</v>
      </c>
    </row>
    <row r="614" spans="1:22" x14ac:dyDescent="0.25">
      <c r="A614" t="s">
        <v>1905</v>
      </c>
      <c r="B614" t="s">
        <v>562</v>
      </c>
      <c r="C614">
        <v>23</v>
      </c>
      <c r="D614" t="s">
        <v>132</v>
      </c>
      <c r="E614" t="s">
        <v>79</v>
      </c>
      <c r="F614" t="s">
        <v>79</v>
      </c>
      <c r="G614">
        <v>0.09</v>
      </c>
      <c r="H614" t="s">
        <v>26</v>
      </c>
      <c r="I614">
        <v>1</v>
      </c>
      <c r="J614" t="str">
        <f>HYPERLINK("https://www.eliteprospects.com/player/897532/owen-cartwright")</f>
        <v>https://www.eliteprospects.com/player/897532/owen-cartwright</v>
      </c>
      <c r="K614" t="s">
        <v>27</v>
      </c>
      <c r="L614" t="s">
        <v>485</v>
      </c>
      <c r="M614" t="s">
        <v>1296</v>
      </c>
      <c r="N614">
        <v>2</v>
      </c>
      <c r="O614" t="s">
        <v>501</v>
      </c>
      <c r="P614">
        <v>0.01</v>
      </c>
      <c r="Q614" t="s">
        <v>1488</v>
      </c>
      <c r="R614">
        <v>0</v>
      </c>
      <c r="S614">
        <v>0</v>
      </c>
      <c r="T614">
        <v>0</v>
      </c>
      <c r="U614">
        <v>0</v>
      </c>
      <c r="V614">
        <v>0</v>
      </c>
    </row>
    <row r="615" spans="1:22" x14ac:dyDescent="0.25">
      <c r="A615" t="s">
        <v>1906</v>
      </c>
      <c r="B615" t="s">
        <v>504</v>
      </c>
      <c r="C615">
        <v>32</v>
      </c>
      <c r="D615" t="s">
        <v>132</v>
      </c>
      <c r="E615" t="s">
        <v>79</v>
      </c>
      <c r="F615" t="s">
        <v>79</v>
      </c>
      <c r="G615">
        <v>0.06</v>
      </c>
      <c r="H615" t="s">
        <v>1907</v>
      </c>
      <c r="I615">
        <v>0</v>
      </c>
      <c r="J615" t="str">
        <f>HYPERLINK("https://www.eliteprospects.com/player/880621/maxim-dirracolo")</f>
        <v>https://www.eliteprospects.com/player/880621/maxim-dirracolo</v>
      </c>
      <c r="K615" t="s">
        <v>27</v>
      </c>
      <c r="L615" t="s">
        <v>485</v>
      </c>
      <c r="M615" t="s">
        <v>1296</v>
      </c>
      <c r="N615">
        <v>3</v>
      </c>
      <c r="O615" t="s">
        <v>492</v>
      </c>
      <c r="P615">
        <v>0.01</v>
      </c>
      <c r="Q615" t="s">
        <v>1488</v>
      </c>
      <c r="R615">
        <v>0</v>
      </c>
      <c r="S615">
        <v>0</v>
      </c>
      <c r="T615">
        <v>0</v>
      </c>
      <c r="U615">
        <v>0</v>
      </c>
      <c r="V615">
        <v>0</v>
      </c>
    </row>
    <row r="616" spans="1:22" x14ac:dyDescent="0.25">
      <c r="A616" t="s">
        <v>1528</v>
      </c>
      <c r="B616" t="s">
        <v>510</v>
      </c>
      <c r="C616">
        <v>16</v>
      </c>
      <c r="D616" t="s">
        <v>132</v>
      </c>
      <c r="E616" t="s">
        <v>260</v>
      </c>
      <c r="F616" t="s">
        <v>260</v>
      </c>
      <c r="G616">
        <v>0.06</v>
      </c>
      <c r="H616" t="s">
        <v>23</v>
      </c>
      <c r="I616">
        <v>-2</v>
      </c>
      <c r="J616" t="str">
        <f>HYPERLINK("https://www.eliteprospects.com/player/603040/jack-o-brien")</f>
        <v>https://www.eliteprospects.com/player/603040/jack-o-brien</v>
      </c>
      <c r="K616" t="s">
        <v>27</v>
      </c>
      <c r="L616" t="s">
        <v>485</v>
      </c>
      <c r="M616" t="s">
        <v>1296</v>
      </c>
      <c r="N616">
        <v>6</v>
      </c>
      <c r="O616" t="s">
        <v>1529</v>
      </c>
      <c r="P616">
        <v>0.01</v>
      </c>
      <c r="Q616" t="s">
        <v>1488</v>
      </c>
      <c r="R616">
        <v>0</v>
      </c>
      <c r="S616">
        <v>0</v>
      </c>
      <c r="T616">
        <v>0</v>
      </c>
      <c r="U616">
        <v>0</v>
      </c>
      <c r="V616">
        <v>0</v>
      </c>
    </row>
    <row r="617" spans="1:22" x14ac:dyDescent="0.25">
      <c r="A617" t="s">
        <v>1908</v>
      </c>
      <c r="B617" t="s">
        <v>526</v>
      </c>
      <c r="C617">
        <v>18</v>
      </c>
      <c r="D617" t="s">
        <v>132</v>
      </c>
      <c r="E617" t="s">
        <v>260</v>
      </c>
      <c r="F617" t="s">
        <v>260</v>
      </c>
      <c r="G617">
        <v>0.06</v>
      </c>
      <c r="H617" t="s">
        <v>79</v>
      </c>
      <c r="I617">
        <v>-5</v>
      </c>
      <c r="J617" t="str">
        <f>HYPERLINK("https://www.eliteprospects.com/player/876197/calum-hartnell")</f>
        <v>https://www.eliteprospects.com/player/876197/calum-hartnell</v>
      </c>
      <c r="K617" t="s">
        <v>27</v>
      </c>
      <c r="L617" t="s">
        <v>485</v>
      </c>
      <c r="M617" t="s">
        <v>1296</v>
      </c>
      <c r="N617">
        <v>2</v>
      </c>
      <c r="O617" t="s">
        <v>501</v>
      </c>
      <c r="P617">
        <v>0.01</v>
      </c>
      <c r="Q617" t="s">
        <v>1488</v>
      </c>
      <c r="R617">
        <v>0</v>
      </c>
      <c r="S617">
        <v>0</v>
      </c>
      <c r="T617">
        <v>0</v>
      </c>
      <c r="U617">
        <v>0</v>
      </c>
      <c r="V617">
        <v>0</v>
      </c>
    </row>
    <row r="618" spans="1:22" x14ac:dyDescent="0.25">
      <c r="A618" t="s">
        <v>1909</v>
      </c>
      <c r="B618" t="s">
        <v>484</v>
      </c>
      <c r="C618">
        <v>23</v>
      </c>
      <c r="D618" t="s">
        <v>132</v>
      </c>
      <c r="E618" t="s">
        <v>260</v>
      </c>
      <c r="F618" t="s">
        <v>260</v>
      </c>
      <c r="G618">
        <v>0.04</v>
      </c>
      <c r="H618" t="s">
        <v>66</v>
      </c>
      <c r="I618">
        <v>7</v>
      </c>
      <c r="J618" t="str">
        <f>HYPERLINK("https://www.eliteprospects.com/player/905984/james-paul")</f>
        <v>https://www.eliteprospects.com/player/905984/james-paul</v>
      </c>
      <c r="K618" t="s">
        <v>27</v>
      </c>
      <c r="L618" t="s">
        <v>485</v>
      </c>
      <c r="M618" t="s">
        <v>1296</v>
      </c>
      <c r="N618">
        <v>2</v>
      </c>
      <c r="O618" t="s">
        <v>501</v>
      </c>
      <c r="P618">
        <v>0.01</v>
      </c>
      <c r="Q618" t="s">
        <v>1488</v>
      </c>
      <c r="R618">
        <v>0</v>
      </c>
      <c r="S618">
        <v>0</v>
      </c>
      <c r="T618">
        <v>0</v>
      </c>
      <c r="U618">
        <v>0</v>
      </c>
      <c r="V618">
        <v>0</v>
      </c>
    </row>
    <row r="619" spans="1:22" x14ac:dyDescent="0.25">
      <c r="A619" t="s">
        <v>1910</v>
      </c>
      <c r="B619" t="s">
        <v>578</v>
      </c>
      <c r="C619">
        <v>31</v>
      </c>
      <c r="D619" t="s">
        <v>132</v>
      </c>
      <c r="E619" t="s">
        <v>260</v>
      </c>
      <c r="F619" t="s">
        <v>260</v>
      </c>
      <c r="G619">
        <v>0.03</v>
      </c>
      <c r="H619" t="s">
        <v>277</v>
      </c>
      <c r="I619">
        <v>-9</v>
      </c>
      <c r="J619" t="str">
        <f>HYPERLINK("https://www.eliteprospects.com/player/577219/oliver-turner")</f>
        <v>https://www.eliteprospects.com/player/577219/oliver-turner</v>
      </c>
      <c r="K619" t="s">
        <v>27</v>
      </c>
      <c r="L619" t="s">
        <v>485</v>
      </c>
      <c r="M619" t="s">
        <v>1296</v>
      </c>
      <c r="N619">
        <v>2</v>
      </c>
      <c r="O619" t="s">
        <v>501</v>
      </c>
      <c r="P619">
        <v>0</v>
      </c>
      <c r="Q619" t="s">
        <v>1488</v>
      </c>
      <c r="R619">
        <v>0</v>
      </c>
      <c r="S619">
        <v>0</v>
      </c>
      <c r="T619">
        <v>0</v>
      </c>
      <c r="U619">
        <v>0</v>
      </c>
      <c r="V619">
        <v>0</v>
      </c>
    </row>
    <row r="620" spans="1:22" x14ac:dyDescent="0.25">
      <c r="A620" t="s">
        <v>1911</v>
      </c>
      <c r="B620" t="s">
        <v>484</v>
      </c>
      <c r="C620">
        <v>32</v>
      </c>
      <c r="D620" t="s">
        <v>132</v>
      </c>
      <c r="E620" t="s">
        <v>260</v>
      </c>
      <c r="F620" t="s">
        <v>260</v>
      </c>
      <c r="G620">
        <v>0.03</v>
      </c>
      <c r="H620" t="s">
        <v>60</v>
      </c>
      <c r="I620">
        <v>0</v>
      </c>
      <c r="J620" t="str">
        <f>HYPERLINK("https://www.eliteprospects.com/player/906442/george-komadoski")</f>
        <v>https://www.eliteprospects.com/player/906442/george-komadoski</v>
      </c>
      <c r="K620" t="s">
        <v>27</v>
      </c>
      <c r="L620" t="s">
        <v>485</v>
      </c>
      <c r="M620" t="s">
        <v>1296</v>
      </c>
      <c r="N620">
        <v>1</v>
      </c>
      <c r="O620" t="s">
        <v>494</v>
      </c>
      <c r="P620">
        <v>0</v>
      </c>
      <c r="Q620" t="s">
        <v>1488</v>
      </c>
      <c r="R620">
        <v>0</v>
      </c>
      <c r="S620">
        <v>0</v>
      </c>
      <c r="T620">
        <v>0</v>
      </c>
      <c r="U620">
        <v>0</v>
      </c>
      <c r="V620">
        <v>0</v>
      </c>
    </row>
    <row r="621" spans="1:22" x14ac:dyDescent="0.25">
      <c r="A621" t="s">
        <v>1912</v>
      </c>
      <c r="B621" t="s">
        <v>526</v>
      </c>
      <c r="C621">
        <v>37</v>
      </c>
      <c r="D621" t="s">
        <v>132</v>
      </c>
      <c r="E621" t="s">
        <v>260</v>
      </c>
      <c r="F621" t="s">
        <v>260</v>
      </c>
      <c r="G621">
        <v>0.03</v>
      </c>
      <c r="H621" t="s">
        <v>739</v>
      </c>
      <c r="I621">
        <v>-6</v>
      </c>
      <c r="J621" t="str">
        <f>HYPERLINK("https://www.eliteprospects.com/player/881014/thanasi-marentette")</f>
        <v>https://www.eliteprospects.com/player/881014/thanasi-marentette</v>
      </c>
      <c r="K621" t="s">
        <v>27</v>
      </c>
      <c r="L621" t="s">
        <v>485</v>
      </c>
      <c r="M621" t="s">
        <v>1296</v>
      </c>
      <c r="N621">
        <v>2</v>
      </c>
      <c r="O621" t="s">
        <v>501</v>
      </c>
      <c r="P621">
        <v>0</v>
      </c>
      <c r="Q621" t="s">
        <v>1488</v>
      </c>
      <c r="R621">
        <v>0</v>
      </c>
      <c r="S621">
        <v>0</v>
      </c>
      <c r="T621">
        <v>0</v>
      </c>
      <c r="U621">
        <v>0</v>
      </c>
      <c r="V621">
        <v>0</v>
      </c>
    </row>
    <row r="622" spans="1:22" x14ac:dyDescent="0.25">
      <c r="A622" t="s">
        <v>1913</v>
      </c>
      <c r="B622" t="s">
        <v>578</v>
      </c>
      <c r="C622">
        <v>15</v>
      </c>
      <c r="D622" t="s">
        <v>132</v>
      </c>
      <c r="E622" t="s">
        <v>132</v>
      </c>
      <c r="F622" t="s">
        <v>132</v>
      </c>
      <c r="G622">
        <v>0</v>
      </c>
      <c r="H622" t="s">
        <v>132</v>
      </c>
      <c r="I622">
        <v>-5</v>
      </c>
      <c r="J622" t="str">
        <f>HYPERLINK("https://www.eliteprospects.com/player/916540/nick-frasca")</f>
        <v>https://www.eliteprospects.com/player/916540/nick-frasca</v>
      </c>
      <c r="K622" t="s">
        <v>27</v>
      </c>
      <c r="L622" t="s">
        <v>485</v>
      </c>
      <c r="M622" t="s">
        <v>1296</v>
      </c>
      <c r="N622">
        <v>2</v>
      </c>
      <c r="O622" t="s">
        <v>501</v>
      </c>
      <c r="P622">
        <v>0</v>
      </c>
      <c r="Q622" t="s">
        <v>1488</v>
      </c>
      <c r="R622">
        <v>0</v>
      </c>
      <c r="S622">
        <v>0</v>
      </c>
      <c r="T622">
        <v>0</v>
      </c>
      <c r="U622">
        <v>0</v>
      </c>
      <c r="V622">
        <v>0</v>
      </c>
    </row>
    <row r="623" spans="1:22" x14ac:dyDescent="0.25">
      <c r="A623" t="s">
        <v>1914</v>
      </c>
      <c r="B623" t="s">
        <v>507</v>
      </c>
      <c r="C623">
        <v>19</v>
      </c>
      <c r="D623" t="s">
        <v>132</v>
      </c>
      <c r="E623" t="s">
        <v>132</v>
      </c>
      <c r="F623" t="s">
        <v>132</v>
      </c>
      <c r="G623">
        <v>0</v>
      </c>
      <c r="H623" t="s">
        <v>79</v>
      </c>
      <c r="I623">
        <v>-10</v>
      </c>
      <c r="J623" t="str">
        <f>HYPERLINK("https://www.eliteprospects.com/player/888195/mason-roy")</f>
        <v>https://www.eliteprospects.com/player/888195/mason-roy</v>
      </c>
      <c r="K623" t="s">
        <v>27</v>
      </c>
      <c r="L623" t="s">
        <v>485</v>
      </c>
      <c r="M623" t="s">
        <v>1296</v>
      </c>
      <c r="N623">
        <v>2</v>
      </c>
      <c r="O623" t="s">
        <v>501</v>
      </c>
      <c r="P623">
        <v>0</v>
      </c>
      <c r="Q623" t="s">
        <v>1488</v>
      </c>
      <c r="R623">
        <v>0</v>
      </c>
      <c r="S623">
        <v>0</v>
      </c>
      <c r="T623">
        <v>0</v>
      </c>
      <c r="U623">
        <v>0</v>
      </c>
      <c r="V623">
        <v>0</v>
      </c>
    </row>
    <row r="624" spans="1:22" x14ac:dyDescent="0.25">
      <c r="A624" t="s">
        <v>1915</v>
      </c>
      <c r="B624" t="s">
        <v>488</v>
      </c>
      <c r="C624">
        <v>23</v>
      </c>
      <c r="D624" t="s">
        <v>132</v>
      </c>
      <c r="E624" t="s">
        <v>132</v>
      </c>
      <c r="F624" t="s">
        <v>132</v>
      </c>
      <c r="G624">
        <v>0</v>
      </c>
      <c r="H624" t="s">
        <v>24</v>
      </c>
      <c r="I624">
        <v>-4</v>
      </c>
      <c r="J624" t="str">
        <f>HYPERLINK("https://www.eliteprospects.com/player/890508/brady-smith")</f>
        <v>https://www.eliteprospects.com/player/890508/brady-smith</v>
      </c>
      <c r="K624" t="s">
        <v>27</v>
      </c>
      <c r="L624" t="s">
        <v>485</v>
      </c>
      <c r="M624" t="s">
        <v>1296</v>
      </c>
      <c r="N624">
        <v>3</v>
      </c>
      <c r="O624" t="s">
        <v>505</v>
      </c>
      <c r="P624">
        <v>0</v>
      </c>
      <c r="Q624" t="s">
        <v>1488</v>
      </c>
      <c r="R624">
        <v>0</v>
      </c>
      <c r="S624">
        <v>0</v>
      </c>
      <c r="T624">
        <v>0</v>
      </c>
      <c r="U624">
        <v>0</v>
      </c>
      <c r="V624">
        <v>0</v>
      </c>
    </row>
    <row r="625" spans="1:22" x14ac:dyDescent="0.25">
      <c r="A625" t="s">
        <v>1883</v>
      </c>
      <c r="B625" t="s">
        <v>496</v>
      </c>
      <c r="C625">
        <v>33</v>
      </c>
      <c r="D625" t="s">
        <v>132</v>
      </c>
      <c r="E625" t="s">
        <v>132</v>
      </c>
      <c r="F625" t="s">
        <v>132</v>
      </c>
      <c r="G625">
        <v>0</v>
      </c>
      <c r="H625" t="s">
        <v>60</v>
      </c>
      <c r="I625">
        <v>-11</v>
      </c>
      <c r="J625" t="str">
        <f>HYPERLINK("https://www.eliteprospects.com/player/897420/blake-barnes")</f>
        <v>https://www.eliteprospects.com/player/897420/blake-barnes</v>
      </c>
      <c r="K625" t="s">
        <v>27</v>
      </c>
      <c r="L625" t="s">
        <v>485</v>
      </c>
      <c r="M625" t="s">
        <v>1296</v>
      </c>
      <c r="N625">
        <v>3</v>
      </c>
      <c r="O625" t="s">
        <v>492</v>
      </c>
      <c r="P625">
        <v>0</v>
      </c>
      <c r="Q625" t="s">
        <v>1488</v>
      </c>
      <c r="R625">
        <v>0</v>
      </c>
      <c r="S625">
        <v>0</v>
      </c>
      <c r="T625">
        <v>0</v>
      </c>
      <c r="U625">
        <v>0</v>
      </c>
      <c r="V625">
        <v>0</v>
      </c>
    </row>
    <row r="626" spans="1:22" x14ac:dyDescent="0.25">
      <c r="A626" t="s">
        <v>1916</v>
      </c>
      <c r="B626" t="s">
        <v>637</v>
      </c>
      <c r="C626">
        <v>38</v>
      </c>
      <c r="D626" t="s">
        <v>25</v>
      </c>
      <c r="E626" t="s">
        <v>52</v>
      </c>
      <c r="F626" t="s">
        <v>1907</v>
      </c>
      <c r="G626">
        <v>1.58</v>
      </c>
      <c r="H626" t="s">
        <v>235</v>
      </c>
      <c r="I626">
        <v>47</v>
      </c>
      <c r="J626" t="str">
        <f>HYPERLINK("https://www.eliteprospects.com/player/733570/bryce-pickford")</f>
        <v>https://www.eliteprospects.com/player/733570/bryce-pickford</v>
      </c>
      <c r="K626" t="s">
        <v>27</v>
      </c>
      <c r="L626" t="s">
        <v>631</v>
      </c>
      <c r="M626" t="s">
        <v>1296</v>
      </c>
      <c r="N626">
        <v>5</v>
      </c>
      <c r="O626" t="s">
        <v>645</v>
      </c>
      <c r="P626">
        <v>0.22</v>
      </c>
      <c r="Q626" t="s">
        <v>31</v>
      </c>
      <c r="R626">
        <v>0</v>
      </c>
      <c r="S626">
        <v>0</v>
      </c>
      <c r="T626">
        <v>0</v>
      </c>
      <c r="U626">
        <v>0</v>
      </c>
      <c r="V626">
        <v>0</v>
      </c>
    </row>
    <row r="627" spans="1:22" x14ac:dyDescent="0.25">
      <c r="A627" t="s">
        <v>1917</v>
      </c>
      <c r="B627" t="s">
        <v>637</v>
      </c>
      <c r="C627">
        <v>33</v>
      </c>
      <c r="D627" t="s">
        <v>24</v>
      </c>
      <c r="E627" t="s">
        <v>280</v>
      </c>
      <c r="F627" t="s">
        <v>739</v>
      </c>
      <c r="G627">
        <v>1.7</v>
      </c>
      <c r="H627" t="s">
        <v>269</v>
      </c>
      <c r="I627">
        <v>51</v>
      </c>
      <c r="J627" t="str">
        <f>HYPERLINK("https://www.eliteprospects.com/player/597734/jonas-woo")</f>
        <v>https://www.eliteprospects.com/player/597734/jonas-woo</v>
      </c>
      <c r="K627" t="s">
        <v>27</v>
      </c>
      <c r="L627" t="s">
        <v>631</v>
      </c>
      <c r="M627" t="s">
        <v>1296</v>
      </c>
      <c r="N627">
        <v>5</v>
      </c>
      <c r="O627" t="s">
        <v>645</v>
      </c>
      <c r="P627">
        <v>0.24</v>
      </c>
      <c r="Q627" t="s">
        <v>31</v>
      </c>
      <c r="R627">
        <v>0</v>
      </c>
      <c r="S627">
        <v>0</v>
      </c>
      <c r="T627">
        <v>0</v>
      </c>
      <c r="U627">
        <v>0</v>
      </c>
      <c r="V627">
        <v>0</v>
      </c>
    </row>
    <row r="628" spans="1:22" x14ac:dyDescent="0.25">
      <c r="A628" t="s">
        <v>1918</v>
      </c>
      <c r="B628" t="s">
        <v>702</v>
      </c>
      <c r="C628">
        <v>42</v>
      </c>
      <c r="D628" t="s">
        <v>69</v>
      </c>
      <c r="E628" t="s">
        <v>187</v>
      </c>
      <c r="F628" t="s">
        <v>491</v>
      </c>
      <c r="G628">
        <v>1.19</v>
      </c>
      <c r="H628" t="s">
        <v>269</v>
      </c>
      <c r="I628">
        <v>-10</v>
      </c>
      <c r="J628" t="str">
        <f>HYPERLINK("https://www.eliteprospects.com/player/628112/ryan-lin")</f>
        <v>https://www.eliteprospects.com/player/628112/ryan-lin</v>
      </c>
      <c r="K628" t="s">
        <v>27</v>
      </c>
      <c r="L628" t="s">
        <v>631</v>
      </c>
      <c r="M628" t="s">
        <v>1296</v>
      </c>
      <c r="N628">
        <v>3</v>
      </c>
      <c r="O628" t="s">
        <v>639</v>
      </c>
      <c r="P628">
        <v>0.17</v>
      </c>
      <c r="Q628" t="s">
        <v>1300</v>
      </c>
      <c r="R628">
        <v>40</v>
      </c>
      <c r="S628">
        <v>40</v>
      </c>
      <c r="T628">
        <v>0</v>
      </c>
      <c r="U628">
        <v>0</v>
      </c>
      <c r="V628">
        <v>20</v>
      </c>
    </row>
    <row r="629" spans="1:22" x14ac:dyDescent="0.25">
      <c r="A629" t="s">
        <v>1919</v>
      </c>
      <c r="B629" t="s">
        <v>507</v>
      </c>
      <c r="C629">
        <v>74</v>
      </c>
      <c r="D629" t="s">
        <v>24</v>
      </c>
      <c r="E629" t="s">
        <v>52</v>
      </c>
      <c r="F629" t="s">
        <v>499</v>
      </c>
      <c r="G629">
        <v>0.65</v>
      </c>
      <c r="H629" t="s">
        <v>1920</v>
      </c>
      <c r="I629">
        <v>-22</v>
      </c>
      <c r="J629" t="str">
        <f>HYPERLINK("https://www.eliteprospects.com/player/812664/kayd-ruedig")</f>
        <v>https://www.eliteprospects.com/player/812664/kayd-ruedig</v>
      </c>
      <c r="K629" t="s">
        <v>27</v>
      </c>
      <c r="L629" t="s">
        <v>631</v>
      </c>
      <c r="M629" t="s">
        <v>1296</v>
      </c>
      <c r="N629">
        <v>3</v>
      </c>
      <c r="O629" t="s">
        <v>639</v>
      </c>
      <c r="P629">
        <v>0.09</v>
      </c>
      <c r="Q629" t="s">
        <v>1325</v>
      </c>
      <c r="R629">
        <v>37.5</v>
      </c>
      <c r="S629">
        <v>25</v>
      </c>
      <c r="T629">
        <v>37.5</v>
      </c>
      <c r="U629">
        <v>0</v>
      </c>
      <c r="V629">
        <v>0</v>
      </c>
    </row>
    <row r="630" spans="1:22" x14ac:dyDescent="0.25">
      <c r="A630" t="s">
        <v>1921</v>
      </c>
      <c r="B630" t="s">
        <v>651</v>
      </c>
      <c r="C630">
        <v>38</v>
      </c>
      <c r="D630" t="s">
        <v>55</v>
      </c>
      <c r="E630" t="s">
        <v>81</v>
      </c>
      <c r="F630" t="s">
        <v>512</v>
      </c>
      <c r="G630">
        <v>1.1100000000000001</v>
      </c>
      <c r="H630" t="s">
        <v>280</v>
      </c>
      <c r="I630">
        <v>9</v>
      </c>
      <c r="J630" t="str">
        <f>HYPERLINK("https://www.eliteprospects.com/player/628069/daxon-rudolph")</f>
        <v>https://www.eliteprospects.com/player/628069/daxon-rudolph</v>
      </c>
      <c r="K630" t="s">
        <v>27</v>
      </c>
      <c r="L630" t="s">
        <v>631</v>
      </c>
      <c r="M630" t="s">
        <v>1296</v>
      </c>
      <c r="N630">
        <v>2</v>
      </c>
      <c r="O630" t="s">
        <v>636</v>
      </c>
      <c r="P630">
        <v>0.16</v>
      </c>
      <c r="Q630" t="s">
        <v>1309</v>
      </c>
      <c r="R630">
        <v>10</v>
      </c>
      <c r="S630">
        <v>10</v>
      </c>
      <c r="T630">
        <v>20</v>
      </c>
      <c r="U630">
        <v>20</v>
      </c>
      <c r="V630">
        <v>40</v>
      </c>
    </row>
    <row r="631" spans="1:22" x14ac:dyDescent="0.25">
      <c r="A631" t="s">
        <v>1922</v>
      </c>
      <c r="B631" t="s">
        <v>647</v>
      </c>
      <c r="C631">
        <v>36</v>
      </c>
      <c r="D631" t="s">
        <v>78</v>
      </c>
      <c r="E631" t="s">
        <v>178</v>
      </c>
      <c r="F631" t="s">
        <v>277</v>
      </c>
      <c r="G631">
        <v>1.1399999999999999</v>
      </c>
      <c r="H631" t="s">
        <v>265</v>
      </c>
      <c r="I631">
        <v>12</v>
      </c>
      <c r="J631" t="str">
        <f>HYPERLINK("https://www.eliteprospects.com/player/648210/grayson-burzynski")</f>
        <v>https://www.eliteprospects.com/player/648210/grayson-burzynski</v>
      </c>
      <c r="K631" t="s">
        <v>27</v>
      </c>
      <c r="L631" t="s">
        <v>631</v>
      </c>
      <c r="M631" t="s">
        <v>1296</v>
      </c>
      <c r="N631">
        <v>5</v>
      </c>
      <c r="O631" t="s">
        <v>645</v>
      </c>
      <c r="P631">
        <v>0.16</v>
      </c>
      <c r="Q631" t="s">
        <v>1309</v>
      </c>
      <c r="R631">
        <v>10</v>
      </c>
      <c r="S631">
        <v>10</v>
      </c>
      <c r="T631">
        <v>20</v>
      </c>
      <c r="U631">
        <v>20</v>
      </c>
      <c r="V631">
        <v>40</v>
      </c>
    </row>
    <row r="632" spans="1:22" x14ac:dyDescent="0.25">
      <c r="A632" t="s">
        <v>1923</v>
      </c>
      <c r="B632" t="s">
        <v>649</v>
      </c>
      <c r="C632">
        <v>37</v>
      </c>
      <c r="D632" t="s">
        <v>78</v>
      </c>
      <c r="E632" t="s">
        <v>25</v>
      </c>
      <c r="F632" t="s">
        <v>187</v>
      </c>
      <c r="G632">
        <v>1.05</v>
      </c>
      <c r="H632" t="s">
        <v>737</v>
      </c>
      <c r="I632">
        <v>32</v>
      </c>
      <c r="J632" t="str">
        <f>HYPERLINK("https://www.eliteprospects.com/player/597801/tarin-smith")</f>
        <v>https://www.eliteprospects.com/player/597801/tarin-smith</v>
      </c>
      <c r="K632" t="s">
        <v>27</v>
      </c>
      <c r="L632" t="s">
        <v>631</v>
      </c>
      <c r="M632" t="s">
        <v>1296</v>
      </c>
      <c r="N632">
        <v>5</v>
      </c>
      <c r="O632" t="s">
        <v>645</v>
      </c>
      <c r="P632">
        <v>0.15</v>
      </c>
      <c r="Q632" t="s">
        <v>1300</v>
      </c>
      <c r="R632">
        <v>42.9</v>
      </c>
      <c r="S632">
        <v>14.3</v>
      </c>
      <c r="T632">
        <v>7.1</v>
      </c>
      <c r="U632">
        <v>7.1</v>
      </c>
      <c r="V632">
        <v>28.6</v>
      </c>
    </row>
    <row r="633" spans="1:22" x14ac:dyDescent="0.25">
      <c r="A633" t="s">
        <v>1924</v>
      </c>
      <c r="B633" t="s">
        <v>507</v>
      </c>
      <c r="C633">
        <v>40</v>
      </c>
      <c r="D633" t="s">
        <v>57</v>
      </c>
      <c r="E633" t="s">
        <v>269</v>
      </c>
      <c r="F633" t="s">
        <v>187</v>
      </c>
      <c r="G633">
        <v>0.98</v>
      </c>
      <c r="H633" t="s">
        <v>564</v>
      </c>
      <c r="I633">
        <v>-12</v>
      </c>
      <c r="J633" t="str">
        <f>HYPERLINK("https://www.eliteprospects.com/player/599349/carter-sotheran")</f>
        <v>https://www.eliteprospects.com/player/599349/carter-sotheran</v>
      </c>
      <c r="K633" t="s">
        <v>27</v>
      </c>
      <c r="L633" t="s">
        <v>631</v>
      </c>
      <c r="M633" t="s">
        <v>1296</v>
      </c>
      <c r="N633">
        <v>4</v>
      </c>
      <c r="O633" t="s">
        <v>632</v>
      </c>
      <c r="P633">
        <v>0.14000000000000001</v>
      </c>
      <c r="Q633" t="s">
        <v>1300</v>
      </c>
      <c r="R633">
        <v>40</v>
      </c>
      <c r="S633">
        <v>40</v>
      </c>
      <c r="T633">
        <v>0</v>
      </c>
      <c r="U633">
        <v>0</v>
      </c>
      <c r="V633">
        <v>20</v>
      </c>
    </row>
    <row r="634" spans="1:22" x14ac:dyDescent="0.25">
      <c r="A634" t="s">
        <v>1925</v>
      </c>
      <c r="B634" t="s">
        <v>660</v>
      </c>
      <c r="C634">
        <v>39</v>
      </c>
      <c r="D634" t="s">
        <v>69</v>
      </c>
      <c r="E634" t="s">
        <v>81</v>
      </c>
      <c r="F634" t="s">
        <v>265</v>
      </c>
      <c r="G634">
        <v>0.9</v>
      </c>
      <c r="H634" t="s">
        <v>38</v>
      </c>
      <c r="I634">
        <v>0</v>
      </c>
      <c r="J634" t="str">
        <f>HYPERLINK("https://www.eliteprospects.com/player/645754/aiden-ziprick")</f>
        <v>https://www.eliteprospects.com/player/645754/aiden-ziprick</v>
      </c>
      <c r="K634" t="s">
        <v>27</v>
      </c>
      <c r="L634" t="s">
        <v>631</v>
      </c>
      <c r="M634" t="s">
        <v>1296</v>
      </c>
      <c r="N634">
        <v>4</v>
      </c>
      <c r="O634" t="s">
        <v>632</v>
      </c>
      <c r="P634">
        <v>0.13</v>
      </c>
      <c r="Q634" t="s">
        <v>1309</v>
      </c>
      <c r="R634">
        <v>25</v>
      </c>
      <c r="S634">
        <v>25</v>
      </c>
      <c r="T634">
        <v>0</v>
      </c>
      <c r="U634">
        <v>0</v>
      </c>
      <c r="V634">
        <v>50</v>
      </c>
    </row>
    <row r="635" spans="1:22" x14ac:dyDescent="0.25">
      <c r="A635" t="s">
        <v>1926</v>
      </c>
      <c r="B635" t="s">
        <v>635</v>
      </c>
      <c r="C635">
        <v>32</v>
      </c>
      <c r="D635" t="s">
        <v>32</v>
      </c>
      <c r="E635" t="s">
        <v>81</v>
      </c>
      <c r="F635" t="s">
        <v>178</v>
      </c>
      <c r="G635">
        <v>1.06</v>
      </c>
      <c r="H635" t="s">
        <v>38</v>
      </c>
      <c r="I635">
        <v>22</v>
      </c>
      <c r="J635" t="str">
        <f>HYPERLINK("https://www.eliteprospects.com/player/618968/ethan-mackenzie")</f>
        <v>https://www.eliteprospects.com/player/618968/ethan-mackenzie</v>
      </c>
      <c r="K635" t="s">
        <v>27</v>
      </c>
      <c r="L635" t="s">
        <v>631</v>
      </c>
      <c r="M635" t="s">
        <v>1296</v>
      </c>
      <c r="N635">
        <v>4</v>
      </c>
      <c r="O635" t="s">
        <v>632</v>
      </c>
      <c r="P635">
        <v>0.15</v>
      </c>
      <c r="Q635" t="s">
        <v>1300</v>
      </c>
      <c r="R635">
        <v>42.9</v>
      </c>
      <c r="S635">
        <v>14.3</v>
      </c>
      <c r="T635">
        <v>7.1</v>
      </c>
      <c r="U635">
        <v>7.1</v>
      </c>
      <c r="V635">
        <v>28.6</v>
      </c>
    </row>
    <row r="636" spans="1:22" x14ac:dyDescent="0.25">
      <c r="A636" t="s">
        <v>1927</v>
      </c>
      <c r="B636" t="s">
        <v>644</v>
      </c>
      <c r="C636">
        <v>32</v>
      </c>
      <c r="D636" t="s">
        <v>45</v>
      </c>
      <c r="E636" t="s">
        <v>75</v>
      </c>
      <c r="F636" t="s">
        <v>178</v>
      </c>
      <c r="G636">
        <v>1.06</v>
      </c>
      <c r="H636" t="s">
        <v>53</v>
      </c>
      <c r="I636">
        <v>1</v>
      </c>
      <c r="J636" t="str">
        <f>HYPERLINK("https://www.eliteprospects.com/player/878533/carson-carels")</f>
        <v>https://www.eliteprospects.com/player/878533/carson-carels</v>
      </c>
      <c r="K636" t="s">
        <v>27</v>
      </c>
      <c r="L636" t="s">
        <v>631</v>
      </c>
      <c r="M636" t="s">
        <v>1296</v>
      </c>
      <c r="N636">
        <v>3</v>
      </c>
      <c r="O636" t="s">
        <v>639</v>
      </c>
      <c r="P636">
        <v>0.15</v>
      </c>
      <c r="Q636" t="s">
        <v>1300</v>
      </c>
      <c r="R636">
        <v>33.299999999999997</v>
      </c>
      <c r="S636">
        <v>33.299999999999997</v>
      </c>
      <c r="T636">
        <v>16.7</v>
      </c>
      <c r="U636">
        <v>16.7</v>
      </c>
      <c r="V636">
        <v>0</v>
      </c>
    </row>
    <row r="637" spans="1:22" x14ac:dyDescent="0.25">
      <c r="A637" t="s">
        <v>1928</v>
      </c>
      <c r="B637" t="s">
        <v>653</v>
      </c>
      <c r="C637">
        <v>38</v>
      </c>
      <c r="D637" t="s">
        <v>45</v>
      </c>
      <c r="E637" t="s">
        <v>81</v>
      </c>
      <c r="F637" t="s">
        <v>269</v>
      </c>
      <c r="G637">
        <v>0.87</v>
      </c>
      <c r="H637" t="s">
        <v>499</v>
      </c>
      <c r="I637">
        <v>1</v>
      </c>
      <c r="J637" t="str">
        <f>HYPERLINK("https://www.eliteprospects.com/player/565459/mazden-leslie")</f>
        <v>https://www.eliteprospects.com/player/565459/mazden-leslie</v>
      </c>
      <c r="K637" t="s">
        <v>27</v>
      </c>
      <c r="L637" t="s">
        <v>631</v>
      </c>
      <c r="M637" t="s">
        <v>1296</v>
      </c>
      <c r="N637">
        <v>6</v>
      </c>
      <c r="O637" t="s">
        <v>643</v>
      </c>
      <c r="P637">
        <v>0.12</v>
      </c>
      <c r="Q637" t="s">
        <v>1300</v>
      </c>
      <c r="R637">
        <v>33.299999999999997</v>
      </c>
      <c r="S637">
        <v>33.299999999999997</v>
      </c>
      <c r="T637">
        <v>16.7</v>
      </c>
      <c r="U637">
        <v>16.7</v>
      </c>
      <c r="V637">
        <v>0</v>
      </c>
    </row>
    <row r="638" spans="1:22" x14ac:dyDescent="0.25">
      <c r="A638" t="s">
        <v>1929</v>
      </c>
      <c r="B638" t="s">
        <v>649</v>
      </c>
      <c r="C638">
        <v>34</v>
      </c>
      <c r="D638" t="s">
        <v>32</v>
      </c>
      <c r="E638" t="s">
        <v>47</v>
      </c>
      <c r="F638" t="s">
        <v>25</v>
      </c>
      <c r="G638">
        <v>0.94</v>
      </c>
      <c r="H638" t="s">
        <v>81</v>
      </c>
      <c r="I638">
        <v>26</v>
      </c>
      <c r="J638" t="str">
        <f>HYPERLINK("https://www.eliteprospects.com/player/701503/landon-dupont")</f>
        <v>https://www.eliteprospects.com/player/701503/landon-dupont</v>
      </c>
      <c r="K638" t="s">
        <v>27</v>
      </c>
      <c r="L638" t="s">
        <v>631</v>
      </c>
      <c r="M638" t="s">
        <v>1296</v>
      </c>
      <c r="N638">
        <v>2</v>
      </c>
      <c r="O638" t="s">
        <v>636</v>
      </c>
      <c r="P638">
        <v>0.13</v>
      </c>
      <c r="Q638" t="s">
        <v>1300</v>
      </c>
      <c r="R638">
        <v>42.9</v>
      </c>
      <c r="S638">
        <v>14.3</v>
      </c>
      <c r="T638">
        <v>7.1</v>
      </c>
      <c r="U638">
        <v>7.1</v>
      </c>
      <c r="V638">
        <v>28.6</v>
      </c>
    </row>
    <row r="639" spans="1:22" x14ac:dyDescent="0.25">
      <c r="A639" t="s">
        <v>1930</v>
      </c>
      <c r="B639" t="s">
        <v>657</v>
      </c>
      <c r="C639">
        <v>39</v>
      </c>
      <c r="D639" t="s">
        <v>78</v>
      </c>
      <c r="E639" t="s">
        <v>75</v>
      </c>
      <c r="F639" t="s">
        <v>25</v>
      </c>
      <c r="G639">
        <v>0.82</v>
      </c>
      <c r="H639" t="s">
        <v>38</v>
      </c>
      <c r="I639">
        <v>3</v>
      </c>
      <c r="J639" t="str">
        <f>HYPERLINK("https://www.eliteprospects.com/player/845626/timofei-runtso")</f>
        <v>https://www.eliteprospects.com/player/845626/timofei-runtso</v>
      </c>
      <c r="K639" t="s">
        <v>27</v>
      </c>
      <c r="L639" t="s">
        <v>631</v>
      </c>
      <c r="M639" t="s">
        <v>1296</v>
      </c>
      <c r="N639">
        <v>1</v>
      </c>
      <c r="O639" t="s">
        <v>634</v>
      </c>
      <c r="P639">
        <v>0.12</v>
      </c>
      <c r="Q639" t="s">
        <v>1300</v>
      </c>
      <c r="R639">
        <v>33.299999999999997</v>
      </c>
      <c r="S639">
        <v>33.299999999999997</v>
      </c>
      <c r="T639">
        <v>16.7</v>
      </c>
      <c r="U639">
        <v>16.7</v>
      </c>
      <c r="V639">
        <v>0</v>
      </c>
    </row>
    <row r="640" spans="1:22" x14ac:dyDescent="0.25">
      <c r="A640" t="s">
        <v>1931</v>
      </c>
      <c r="B640" t="s">
        <v>684</v>
      </c>
      <c r="C640">
        <v>40</v>
      </c>
      <c r="D640" t="s">
        <v>140</v>
      </c>
      <c r="E640" t="s">
        <v>61</v>
      </c>
      <c r="F640" t="s">
        <v>40</v>
      </c>
      <c r="G640">
        <v>0.75</v>
      </c>
      <c r="H640" t="s">
        <v>24</v>
      </c>
      <c r="I640">
        <v>-10</v>
      </c>
      <c r="J640" t="str">
        <f>HYPERLINK("https://www.eliteprospects.com/player/846595/joshua-toll")</f>
        <v>https://www.eliteprospects.com/player/846595/joshua-toll</v>
      </c>
      <c r="K640" t="s">
        <v>27</v>
      </c>
      <c r="L640" t="s">
        <v>631</v>
      </c>
      <c r="M640" t="s">
        <v>1417</v>
      </c>
      <c r="N640">
        <v>1</v>
      </c>
      <c r="O640" t="s">
        <v>634</v>
      </c>
      <c r="P640">
        <v>0.11</v>
      </c>
      <c r="Q640" t="s">
        <v>1325</v>
      </c>
      <c r="R640">
        <v>37.5</v>
      </c>
      <c r="S640">
        <v>25</v>
      </c>
      <c r="T640">
        <v>37.5</v>
      </c>
      <c r="U640">
        <v>0</v>
      </c>
      <c r="V640">
        <v>0</v>
      </c>
    </row>
    <row r="641" spans="1:22" x14ac:dyDescent="0.25">
      <c r="A641" t="s">
        <v>1932</v>
      </c>
      <c r="B641" t="s">
        <v>671</v>
      </c>
      <c r="C641">
        <v>40</v>
      </c>
      <c r="D641" t="s">
        <v>78</v>
      </c>
      <c r="E641" t="s">
        <v>47</v>
      </c>
      <c r="F641" t="s">
        <v>46</v>
      </c>
      <c r="G641">
        <v>0.73</v>
      </c>
      <c r="H641" t="s">
        <v>178</v>
      </c>
      <c r="I641">
        <v>12</v>
      </c>
      <c r="J641" t="str">
        <f>HYPERLINK("https://www.eliteprospects.com/player/628072/rhett-sather")</f>
        <v>https://www.eliteprospects.com/player/628072/rhett-sather</v>
      </c>
      <c r="K641" t="s">
        <v>27</v>
      </c>
      <c r="L641" t="s">
        <v>631</v>
      </c>
      <c r="M641" t="s">
        <v>1296</v>
      </c>
      <c r="N641">
        <v>2</v>
      </c>
      <c r="O641" t="s">
        <v>636</v>
      </c>
      <c r="P641">
        <v>0.1</v>
      </c>
      <c r="Q641" t="s">
        <v>1300</v>
      </c>
      <c r="R641">
        <v>37.5</v>
      </c>
      <c r="S641">
        <v>12.5</v>
      </c>
      <c r="T641">
        <v>12.5</v>
      </c>
      <c r="U641">
        <v>12.5</v>
      </c>
      <c r="V641">
        <v>25</v>
      </c>
    </row>
    <row r="642" spans="1:22" x14ac:dyDescent="0.25">
      <c r="A642" t="s">
        <v>1933</v>
      </c>
      <c r="B642" t="s">
        <v>646</v>
      </c>
      <c r="C642">
        <v>37</v>
      </c>
      <c r="D642" t="s">
        <v>57</v>
      </c>
      <c r="E642" t="s">
        <v>84</v>
      </c>
      <c r="F642" t="s">
        <v>46</v>
      </c>
      <c r="G642">
        <v>0.78</v>
      </c>
      <c r="H642" t="s">
        <v>23</v>
      </c>
      <c r="I642">
        <v>11</v>
      </c>
      <c r="J642" t="str">
        <f>HYPERLINK("https://www.eliteprospects.com/player/628079/ben-macbeath")</f>
        <v>https://www.eliteprospects.com/player/628079/ben-macbeath</v>
      </c>
      <c r="K642" t="s">
        <v>27</v>
      </c>
      <c r="L642" t="s">
        <v>631</v>
      </c>
      <c r="M642" t="s">
        <v>1296</v>
      </c>
      <c r="N642">
        <v>1</v>
      </c>
      <c r="O642" t="s">
        <v>634</v>
      </c>
      <c r="P642">
        <v>0.11</v>
      </c>
      <c r="Q642" t="s">
        <v>1300</v>
      </c>
      <c r="R642">
        <v>37.5</v>
      </c>
      <c r="S642">
        <v>12.5</v>
      </c>
      <c r="T642">
        <v>12.5</v>
      </c>
      <c r="U642">
        <v>12.5</v>
      </c>
      <c r="V642">
        <v>25</v>
      </c>
    </row>
    <row r="643" spans="1:22" x14ac:dyDescent="0.25">
      <c r="A643" t="s">
        <v>1934</v>
      </c>
      <c r="B643" t="s">
        <v>667</v>
      </c>
      <c r="C643">
        <v>39</v>
      </c>
      <c r="D643" t="s">
        <v>140</v>
      </c>
      <c r="E643" t="s">
        <v>125</v>
      </c>
      <c r="F643" t="s">
        <v>46</v>
      </c>
      <c r="G643">
        <v>0.74</v>
      </c>
      <c r="H643" t="s">
        <v>24</v>
      </c>
      <c r="I643">
        <v>-1</v>
      </c>
      <c r="J643" t="str">
        <f>HYPERLINK("https://www.eliteprospects.com/player/795984/brayden-klimpke")</f>
        <v>https://www.eliteprospects.com/player/795984/brayden-klimpke</v>
      </c>
      <c r="K643" t="s">
        <v>27</v>
      </c>
      <c r="L643" t="s">
        <v>631</v>
      </c>
      <c r="M643" t="s">
        <v>1296</v>
      </c>
      <c r="N643">
        <v>3</v>
      </c>
      <c r="O643" t="s">
        <v>639</v>
      </c>
      <c r="P643">
        <v>0.1</v>
      </c>
      <c r="Q643" t="s">
        <v>245</v>
      </c>
      <c r="R643">
        <v>14.3</v>
      </c>
      <c r="S643">
        <v>42.9</v>
      </c>
      <c r="T643">
        <v>28.6</v>
      </c>
      <c r="U643">
        <v>0</v>
      </c>
      <c r="V643">
        <v>14.3</v>
      </c>
    </row>
    <row r="644" spans="1:22" x14ac:dyDescent="0.25">
      <c r="A644" t="s">
        <v>1935</v>
      </c>
      <c r="B644" t="s">
        <v>676</v>
      </c>
      <c r="C644">
        <v>38</v>
      </c>
      <c r="D644" t="s">
        <v>26</v>
      </c>
      <c r="E644" t="s">
        <v>24</v>
      </c>
      <c r="F644" t="s">
        <v>52</v>
      </c>
      <c r="G644">
        <v>0.74</v>
      </c>
      <c r="H644" t="s">
        <v>47</v>
      </c>
      <c r="I644">
        <v>-17</v>
      </c>
      <c r="J644" t="str">
        <f>HYPERLINK("https://www.eliteprospects.com/player/599304/ephram-mcnutt")</f>
        <v>https://www.eliteprospects.com/player/599304/ephram-mcnutt</v>
      </c>
      <c r="K644" t="s">
        <v>27</v>
      </c>
      <c r="L644" t="s">
        <v>631</v>
      </c>
      <c r="M644" t="s">
        <v>1296</v>
      </c>
      <c r="N644">
        <v>5</v>
      </c>
      <c r="O644" t="s">
        <v>645</v>
      </c>
      <c r="P644">
        <v>0.1</v>
      </c>
      <c r="Q644" t="s">
        <v>1325</v>
      </c>
      <c r="R644">
        <v>37.5</v>
      </c>
      <c r="S644">
        <v>25</v>
      </c>
      <c r="T644">
        <v>37.5</v>
      </c>
      <c r="U644">
        <v>0</v>
      </c>
      <c r="V644">
        <v>0</v>
      </c>
    </row>
    <row r="645" spans="1:22" x14ac:dyDescent="0.25">
      <c r="A645" t="s">
        <v>1936</v>
      </c>
      <c r="B645" t="s">
        <v>641</v>
      </c>
      <c r="C645">
        <v>40</v>
      </c>
      <c r="D645" t="s">
        <v>57</v>
      </c>
      <c r="E645" t="s">
        <v>47</v>
      </c>
      <c r="F645" t="s">
        <v>52</v>
      </c>
      <c r="G645">
        <v>0.7</v>
      </c>
      <c r="H645" t="s">
        <v>81</v>
      </c>
      <c r="I645">
        <v>17</v>
      </c>
      <c r="J645" t="str">
        <f>HYPERLINK("https://www.eliteprospects.com/player/679639/ethan-weber")</f>
        <v>https://www.eliteprospects.com/player/679639/ethan-weber</v>
      </c>
      <c r="K645" t="s">
        <v>27</v>
      </c>
      <c r="L645" t="s">
        <v>631</v>
      </c>
      <c r="M645" t="s">
        <v>1296</v>
      </c>
      <c r="N645">
        <v>1</v>
      </c>
      <c r="O645" t="s">
        <v>634</v>
      </c>
      <c r="P645">
        <v>0.1</v>
      </c>
      <c r="Q645" t="s">
        <v>1309</v>
      </c>
      <c r="R645">
        <v>25</v>
      </c>
      <c r="S645">
        <v>25</v>
      </c>
      <c r="T645">
        <v>16.7</v>
      </c>
      <c r="U645">
        <v>8.3000000000000007</v>
      </c>
      <c r="V645">
        <v>25</v>
      </c>
    </row>
    <row r="646" spans="1:22" x14ac:dyDescent="0.25">
      <c r="A646" t="s">
        <v>1937</v>
      </c>
      <c r="B646" t="s">
        <v>641</v>
      </c>
      <c r="C646">
        <v>40</v>
      </c>
      <c r="D646" t="s">
        <v>66</v>
      </c>
      <c r="E646" t="s">
        <v>81</v>
      </c>
      <c r="F646" t="s">
        <v>52</v>
      </c>
      <c r="G646">
        <v>0.7</v>
      </c>
      <c r="H646" t="s">
        <v>39</v>
      </c>
      <c r="I646">
        <v>1</v>
      </c>
      <c r="J646" t="str">
        <f>HYPERLINK("https://www.eliteprospects.com/player/647196/nolan-stevenson")</f>
        <v>https://www.eliteprospects.com/player/647196/nolan-stevenson</v>
      </c>
      <c r="K646" t="s">
        <v>27</v>
      </c>
      <c r="L646" t="s">
        <v>631</v>
      </c>
      <c r="M646" t="s">
        <v>1296</v>
      </c>
      <c r="N646">
        <v>1</v>
      </c>
      <c r="O646" t="s">
        <v>634</v>
      </c>
      <c r="P646">
        <v>0.1</v>
      </c>
      <c r="Q646" t="s">
        <v>1325</v>
      </c>
      <c r="R646">
        <v>22.2</v>
      </c>
      <c r="S646">
        <v>11.1</v>
      </c>
      <c r="T646">
        <v>44.4</v>
      </c>
      <c r="U646">
        <v>0</v>
      </c>
      <c r="V646">
        <v>22.2</v>
      </c>
    </row>
    <row r="647" spans="1:22" x14ac:dyDescent="0.25">
      <c r="A647" t="s">
        <v>1938</v>
      </c>
      <c r="B647" t="s">
        <v>660</v>
      </c>
      <c r="C647">
        <v>37</v>
      </c>
      <c r="D647" t="s">
        <v>65</v>
      </c>
      <c r="E647" t="s">
        <v>39</v>
      </c>
      <c r="F647" t="s">
        <v>61</v>
      </c>
      <c r="G647">
        <v>0.73</v>
      </c>
      <c r="H647" t="s">
        <v>280</v>
      </c>
      <c r="I647">
        <v>-2</v>
      </c>
      <c r="J647" t="str">
        <f>HYPERLINK("https://www.eliteprospects.com/player/742505/connor-schmidt")</f>
        <v>https://www.eliteprospects.com/player/742505/connor-schmidt</v>
      </c>
      <c r="K647" t="s">
        <v>27</v>
      </c>
      <c r="L647" t="s">
        <v>631</v>
      </c>
      <c r="M647" t="s">
        <v>1296</v>
      </c>
      <c r="N647">
        <v>4</v>
      </c>
      <c r="O647" t="s">
        <v>632</v>
      </c>
      <c r="P647">
        <v>0.1</v>
      </c>
      <c r="Q647" t="s">
        <v>245</v>
      </c>
      <c r="R647">
        <v>14.3</v>
      </c>
      <c r="S647">
        <v>42.9</v>
      </c>
      <c r="T647">
        <v>28.6</v>
      </c>
      <c r="U647">
        <v>0</v>
      </c>
      <c r="V647">
        <v>14.3</v>
      </c>
    </row>
    <row r="648" spans="1:22" x14ac:dyDescent="0.25">
      <c r="A648" t="s">
        <v>1939</v>
      </c>
      <c r="B648" t="s">
        <v>694</v>
      </c>
      <c r="C648">
        <v>40</v>
      </c>
      <c r="D648" t="s">
        <v>66</v>
      </c>
      <c r="E648" t="s">
        <v>84</v>
      </c>
      <c r="F648" t="s">
        <v>61</v>
      </c>
      <c r="G648">
        <v>0.68</v>
      </c>
      <c r="H648" t="s">
        <v>280</v>
      </c>
      <c r="I648">
        <v>-15</v>
      </c>
      <c r="J648" t="str">
        <f>HYPERLINK("https://www.eliteprospects.com/player/723945/nathan-maloney")</f>
        <v>https://www.eliteprospects.com/player/723945/nathan-maloney</v>
      </c>
      <c r="K648" t="s">
        <v>27</v>
      </c>
      <c r="L648" t="s">
        <v>631</v>
      </c>
      <c r="M648" t="s">
        <v>1296</v>
      </c>
      <c r="N648">
        <v>1</v>
      </c>
      <c r="O648" t="s">
        <v>634</v>
      </c>
      <c r="P648">
        <v>0.1</v>
      </c>
      <c r="Q648" t="s">
        <v>1325</v>
      </c>
      <c r="R648">
        <v>37.5</v>
      </c>
      <c r="S648">
        <v>25</v>
      </c>
      <c r="T648">
        <v>37.5</v>
      </c>
      <c r="U648">
        <v>0</v>
      </c>
      <c r="V648">
        <v>0</v>
      </c>
    </row>
    <row r="649" spans="1:22" x14ac:dyDescent="0.25">
      <c r="A649" t="s">
        <v>1940</v>
      </c>
      <c r="B649" t="s">
        <v>644</v>
      </c>
      <c r="C649">
        <v>41</v>
      </c>
      <c r="D649" t="s">
        <v>140</v>
      </c>
      <c r="E649" t="s">
        <v>81</v>
      </c>
      <c r="F649" t="s">
        <v>61</v>
      </c>
      <c r="G649">
        <v>0.66</v>
      </c>
      <c r="H649" t="s">
        <v>280</v>
      </c>
      <c r="I649">
        <v>6</v>
      </c>
      <c r="J649" t="str">
        <f>HYPERLINK("https://www.eliteprospects.com/player/1071112/arseni-anisimov")</f>
        <v>https://www.eliteprospects.com/player/1071112/arseni-anisimov</v>
      </c>
      <c r="K649" t="s">
        <v>27</v>
      </c>
      <c r="L649" t="s">
        <v>631</v>
      </c>
      <c r="M649" t="s">
        <v>1296</v>
      </c>
      <c r="N649">
        <v>2</v>
      </c>
      <c r="O649" t="s">
        <v>636</v>
      </c>
      <c r="P649">
        <v>0.09</v>
      </c>
      <c r="Q649" t="s">
        <v>1325</v>
      </c>
      <c r="R649">
        <v>22.2</v>
      </c>
      <c r="S649">
        <v>11.1</v>
      </c>
      <c r="T649">
        <v>44.4</v>
      </c>
      <c r="U649">
        <v>0</v>
      </c>
      <c r="V649">
        <v>22.2</v>
      </c>
    </row>
    <row r="650" spans="1:22" x14ac:dyDescent="0.25">
      <c r="A650" t="s">
        <v>1941</v>
      </c>
      <c r="B650" t="s">
        <v>660</v>
      </c>
      <c r="C650">
        <v>33</v>
      </c>
      <c r="D650" t="s">
        <v>96</v>
      </c>
      <c r="E650" t="s">
        <v>24</v>
      </c>
      <c r="F650" t="s">
        <v>75</v>
      </c>
      <c r="G650">
        <v>0.76</v>
      </c>
      <c r="H650" t="s">
        <v>26</v>
      </c>
      <c r="I650">
        <v>-6</v>
      </c>
      <c r="J650" t="str">
        <f>HYPERLINK("https://www.eliteprospects.com/player/701499/colt-carter")</f>
        <v>https://www.eliteprospects.com/player/701499/colt-carter</v>
      </c>
      <c r="K650" t="s">
        <v>27</v>
      </c>
      <c r="L650" t="s">
        <v>631</v>
      </c>
      <c r="M650" t="s">
        <v>1296</v>
      </c>
      <c r="N650">
        <v>2</v>
      </c>
      <c r="O650" t="s">
        <v>636</v>
      </c>
      <c r="P650">
        <v>0.11</v>
      </c>
      <c r="Q650" t="s">
        <v>1325</v>
      </c>
      <c r="R650">
        <v>37.5</v>
      </c>
      <c r="S650">
        <v>25</v>
      </c>
      <c r="T650">
        <v>37.5</v>
      </c>
      <c r="U650">
        <v>0</v>
      </c>
      <c r="V650">
        <v>0</v>
      </c>
    </row>
    <row r="651" spans="1:22" x14ac:dyDescent="0.25">
      <c r="A651" t="s">
        <v>1942</v>
      </c>
      <c r="B651" t="s">
        <v>676</v>
      </c>
      <c r="C651">
        <v>38</v>
      </c>
      <c r="D651" t="s">
        <v>96</v>
      </c>
      <c r="E651" t="s">
        <v>24</v>
      </c>
      <c r="F651" t="s">
        <v>75</v>
      </c>
      <c r="G651">
        <v>0.66</v>
      </c>
      <c r="H651" t="s">
        <v>24</v>
      </c>
      <c r="I651">
        <v>-13</v>
      </c>
      <c r="J651" t="str">
        <f>HYPERLINK("https://www.eliteprospects.com/player/577088/matthew-paranych")</f>
        <v>https://www.eliteprospects.com/player/577088/matthew-paranych</v>
      </c>
      <c r="K651" t="s">
        <v>27</v>
      </c>
      <c r="L651" t="s">
        <v>631</v>
      </c>
      <c r="M651" t="s">
        <v>1296</v>
      </c>
      <c r="N651">
        <v>3</v>
      </c>
      <c r="O651" t="s">
        <v>639</v>
      </c>
      <c r="P651">
        <v>0.09</v>
      </c>
      <c r="Q651" t="s">
        <v>1325</v>
      </c>
      <c r="R651">
        <v>37.5</v>
      </c>
      <c r="S651">
        <v>25</v>
      </c>
      <c r="T651">
        <v>37.5</v>
      </c>
      <c r="U651">
        <v>0</v>
      </c>
      <c r="V651">
        <v>0</v>
      </c>
    </row>
    <row r="652" spans="1:22" x14ac:dyDescent="0.25">
      <c r="A652" t="s">
        <v>1943</v>
      </c>
      <c r="B652" t="s">
        <v>667</v>
      </c>
      <c r="C652">
        <v>37</v>
      </c>
      <c r="D652" t="s">
        <v>96</v>
      </c>
      <c r="E652" t="s">
        <v>51</v>
      </c>
      <c r="F652" t="s">
        <v>81</v>
      </c>
      <c r="G652">
        <v>0.65</v>
      </c>
      <c r="H652" t="s">
        <v>41</v>
      </c>
      <c r="I652">
        <v>6</v>
      </c>
      <c r="J652" t="str">
        <f>HYPERLINK("https://www.eliteprospects.com/player/687833/tristen-doyle")</f>
        <v>https://www.eliteprospects.com/player/687833/tristen-doyle</v>
      </c>
      <c r="K652" t="s">
        <v>27</v>
      </c>
      <c r="L652" t="s">
        <v>631</v>
      </c>
      <c r="M652" t="s">
        <v>1296</v>
      </c>
      <c r="N652">
        <v>5</v>
      </c>
      <c r="O652" t="s">
        <v>645</v>
      </c>
      <c r="P652">
        <v>0.09</v>
      </c>
      <c r="Q652" t="s">
        <v>1325</v>
      </c>
      <c r="R652">
        <v>22.2</v>
      </c>
      <c r="S652">
        <v>11.1</v>
      </c>
      <c r="T652">
        <v>44.4</v>
      </c>
      <c r="U652">
        <v>0</v>
      </c>
      <c r="V652">
        <v>22.2</v>
      </c>
    </row>
    <row r="653" spans="1:22" x14ac:dyDescent="0.25">
      <c r="A653" t="s">
        <v>1944</v>
      </c>
      <c r="B653" t="s">
        <v>676</v>
      </c>
      <c r="C653">
        <v>38</v>
      </c>
      <c r="D653" t="s">
        <v>66</v>
      </c>
      <c r="E653" t="s">
        <v>24</v>
      </c>
      <c r="F653" t="s">
        <v>81</v>
      </c>
      <c r="G653">
        <v>0.63</v>
      </c>
      <c r="H653" t="s">
        <v>32</v>
      </c>
      <c r="I653">
        <v>0</v>
      </c>
      <c r="J653" t="str">
        <f>HYPERLINK("https://www.eliteprospects.com/player/577065/reese-hamilton")</f>
        <v>https://www.eliteprospects.com/player/577065/reese-hamilton</v>
      </c>
      <c r="K653" t="s">
        <v>27</v>
      </c>
      <c r="L653" t="s">
        <v>631</v>
      </c>
      <c r="M653" t="s">
        <v>1296</v>
      </c>
      <c r="N653">
        <v>3</v>
      </c>
      <c r="O653" t="s">
        <v>639</v>
      </c>
      <c r="P653">
        <v>0.09</v>
      </c>
      <c r="Q653" t="s">
        <v>245</v>
      </c>
      <c r="R653">
        <v>14.3</v>
      </c>
      <c r="S653">
        <v>42.9</v>
      </c>
      <c r="T653">
        <v>28.6</v>
      </c>
      <c r="U653">
        <v>0</v>
      </c>
      <c r="V653">
        <v>14.3</v>
      </c>
    </row>
    <row r="654" spans="1:22" x14ac:dyDescent="0.25">
      <c r="A654" t="s">
        <v>1945</v>
      </c>
      <c r="B654" t="s">
        <v>633</v>
      </c>
      <c r="C654">
        <v>39</v>
      </c>
      <c r="D654" t="s">
        <v>140</v>
      </c>
      <c r="E654" t="s">
        <v>24</v>
      </c>
      <c r="F654" t="s">
        <v>84</v>
      </c>
      <c r="G654">
        <v>0.59</v>
      </c>
      <c r="H654" t="s">
        <v>84</v>
      </c>
      <c r="I654">
        <v>-2</v>
      </c>
      <c r="J654" t="str">
        <f>HYPERLINK("https://www.eliteprospects.com/player/647535/ryan-michael")</f>
        <v>https://www.eliteprospects.com/player/647535/ryan-michael</v>
      </c>
      <c r="K654" t="s">
        <v>27</v>
      </c>
      <c r="L654" t="s">
        <v>631</v>
      </c>
      <c r="M654" t="s">
        <v>1296</v>
      </c>
      <c r="N654">
        <v>5</v>
      </c>
      <c r="O654" t="s">
        <v>645</v>
      </c>
      <c r="P654">
        <v>0.08</v>
      </c>
      <c r="Q654" t="s">
        <v>1300</v>
      </c>
      <c r="R654">
        <v>33.299999999999997</v>
      </c>
      <c r="S654">
        <v>22.2</v>
      </c>
      <c r="T654">
        <v>22.2</v>
      </c>
      <c r="U654">
        <v>11.1</v>
      </c>
      <c r="V654">
        <v>11.1</v>
      </c>
    </row>
    <row r="655" spans="1:22" x14ac:dyDescent="0.25">
      <c r="A655" t="s">
        <v>1946</v>
      </c>
      <c r="B655" t="s">
        <v>651</v>
      </c>
      <c r="C655">
        <v>34</v>
      </c>
      <c r="D655" t="s">
        <v>69</v>
      </c>
      <c r="E655" t="s">
        <v>69</v>
      </c>
      <c r="F655" t="s">
        <v>47</v>
      </c>
      <c r="G655">
        <v>0.65</v>
      </c>
      <c r="H655" t="s">
        <v>300</v>
      </c>
      <c r="I655">
        <v>4</v>
      </c>
      <c r="J655" t="str">
        <f>HYPERLINK("https://www.eliteprospects.com/player/643384/justice-christensen")</f>
        <v>https://www.eliteprospects.com/player/643384/justice-christensen</v>
      </c>
      <c r="K655" t="s">
        <v>27</v>
      </c>
      <c r="L655" t="s">
        <v>631</v>
      </c>
      <c r="M655" t="s">
        <v>1296</v>
      </c>
      <c r="N655">
        <v>4</v>
      </c>
      <c r="O655" t="s">
        <v>632</v>
      </c>
      <c r="P655">
        <v>0.09</v>
      </c>
      <c r="Q655" t="s">
        <v>1325</v>
      </c>
      <c r="R655">
        <v>22.2</v>
      </c>
      <c r="S655">
        <v>11.1</v>
      </c>
      <c r="T655">
        <v>44.4</v>
      </c>
      <c r="U655">
        <v>0</v>
      </c>
      <c r="V655">
        <v>22.2</v>
      </c>
    </row>
    <row r="656" spans="1:22" x14ac:dyDescent="0.25">
      <c r="A656" t="s">
        <v>1947</v>
      </c>
      <c r="B656" t="s">
        <v>635</v>
      </c>
      <c r="C656">
        <v>36</v>
      </c>
      <c r="D656" t="s">
        <v>78</v>
      </c>
      <c r="E656" t="s">
        <v>41</v>
      </c>
      <c r="F656" t="s">
        <v>47</v>
      </c>
      <c r="G656">
        <v>0.61</v>
      </c>
      <c r="H656" t="s">
        <v>81</v>
      </c>
      <c r="I656">
        <v>22</v>
      </c>
      <c r="J656" t="str">
        <f>HYPERLINK("https://www.eliteprospects.com/player/577017/blake-fiddler")</f>
        <v>https://www.eliteprospects.com/player/577017/blake-fiddler</v>
      </c>
      <c r="K656" t="s">
        <v>27</v>
      </c>
      <c r="L656" t="s">
        <v>631</v>
      </c>
      <c r="M656" t="s">
        <v>1296</v>
      </c>
      <c r="N656">
        <v>3</v>
      </c>
      <c r="O656" t="s">
        <v>639</v>
      </c>
      <c r="P656">
        <v>0.09</v>
      </c>
      <c r="Q656" t="s">
        <v>1309</v>
      </c>
      <c r="R656">
        <v>25</v>
      </c>
      <c r="S656">
        <v>25</v>
      </c>
      <c r="T656">
        <v>16.7</v>
      </c>
      <c r="U656">
        <v>8.3000000000000007</v>
      </c>
      <c r="V656">
        <v>25</v>
      </c>
    </row>
    <row r="657" spans="1:22" x14ac:dyDescent="0.25">
      <c r="A657" t="s">
        <v>1948</v>
      </c>
      <c r="B657" t="s">
        <v>507</v>
      </c>
      <c r="C657">
        <v>39</v>
      </c>
      <c r="D657" t="s">
        <v>57</v>
      </c>
      <c r="E657" t="s">
        <v>38</v>
      </c>
      <c r="F657" t="s">
        <v>47</v>
      </c>
      <c r="G657">
        <v>0.56000000000000005</v>
      </c>
      <c r="H657" t="s">
        <v>512</v>
      </c>
      <c r="I657">
        <v>-10</v>
      </c>
      <c r="J657" t="str">
        <f>HYPERLINK("https://www.eliteprospects.com/player/685905/keith-mcinnis")</f>
        <v>https://www.eliteprospects.com/player/685905/keith-mcinnis</v>
      </c>
      <c r="K657" t="s">
        <v>27</v>
      </c>
      <c r="L657" t="s">
        <v>631</v>
      </c>
      <c r="M657" t="s">
        <v>1296</v>
      </c>
      <c r="N657">
        <v>1</v>
      </c>
      <c r="O657" t="s">
        <v>634</v>
      </c>
      <c r="P657">
        <v>0.08</v>
      </c>
      <c r="Q657" t="s">
        <v>245</v>
      </c>
      <c r="R657">
        <v>0</v>
      </c>
      <c r="S657">
        <v>44.4</v>
      </c>
      <c r="T657">
        <v>33.299999999999997</v>
      </c>
      <c r="U657">
        <v>0</v>
      </c>
      <c r="V657">
        <v>22.2</v>
      </c>
    </row>
    <row r="658" spans="1:22" x14ac:dyDescent="0.25">
      <c r="A658" t="s">
        <v>1949</v>
      </c>
      <c r="B658" t="s">
        <v>633</v>
      </c>
      <c r="C658">
        <v>40</v>
      </c>
      <c r="D658" t="s">
        <v>57</v>
      </c>
      <c r="E658" t="s">
        <v>38</v>
      </c>
      <c r="F658" t="s">
        <v>47</v>
      </c>
      <c r="G658">
        <v>0.55000000000000004</v>
      </c>
      <c r="H658" t="s">
        <v>52</v>
      </c>
      <c r="I658">
        <v>1</v>
      </c>
      <c r="J658" t="str">
        <f>HYPERLINK("https://www.eliteprospects.com/player/748428/isa-guram")</f>
        <v>https://www.eliteprospects.com/player/748428/isa-guram</v>
      </c>
      <c r="K658" t="s">
        <v>27</v>
      </c>
      <c r="L658" t="s">
        <v>631</v>
      </c>
      <c r="M658" t="s">
        <v>1296</v>
      </c>
      <c r="N658">
        <v>3</v>
      </c>
      <c r="O658" t="s">
        <v>639</v>
      </c>
      <c r="P658">
        <v>0.08</v>
      </c>
      <c r="Q658" t="s">
        <v>1325</v>
      </c>
      <c r="R658">
        <v>33.299999999999997</v>
      </c>
      <c r="S658">
        <v>16.7</v>
      </c>
      <c r="T658">
        <v>33.299999999999997</v>
      </c>
      <c r="U658">
        <v>16.7</v>
      </c>
      <c r="V658">
        <v>0</v>
      </c>
    </row>
    <row r="659" spans="1:22" x14ac:dyDescent="0.25">
      <c r="A659" t="s">
        <v>1950</v>
      </c>
      <c r="B659" t="s">
        <v>651</v>
      </c>
      <c r="C659">
        <v>38</v>
      </c>
      <c r="D659" t="s">
        <v>66</v>
      </c>
      <c r="E659" t="s">
        <v>55</v>
      </c>
      <c r="F659" t="s">
        <v>47</v>
      </c>
      <c r="G659">
        <v>0.57999999999999996</v>
      </c>
      <c r="H659" t="s">
        <v>300</v>
      </c>
      <c r="I659">
        <v>36</v>
      </c>
      <c r="J659" t="str">
        <f>HYPERLINK("https://www.eliteprospects.com/player/679535/linden-burrett")</f>
        <v>https://www.eliteprospects.com/player/679535/linden-burrett</v>
      </c>
      <c r="K659" t="s">
        <v>27</v>
      </c>
      <c r="L659" t="s">
        <v>631</v>
      </c>
      <c r="M659" t="s">
        <v>1296</v>
      </c>
      <c r="N659">
        <v>2</v>
      </c>
      <c r="O659" t="s">
        <v>636</v>
      </c>
      <c r="P659">
        <v>0.08</v>
      </c>
      <c r="Q659" t="s">
        <v>1325</v>
      </c>
      <c r="R659">
        <v>44.4</v>
      </c>
      <c r="S659">
        <v>11.1</v>
      </c>
      <c r="T659">
        <v>44.4</v>
      </c>
      <c r="U659">
        <v>0</v>
      </c>
      <c r="V659">
        <v>0</v>
      </c>
    </row>
    <row r="660" spans="1:22" x14ac:dyDescent="0.25">
      <c r="A660" t="s">
        <v>1951</v>
      </c>
      <c r="B660" t="s">
        <v>659</v>
      </c>
      <c r="C660">
        <v>30</v>
      </c>
      <c r="D660" t="s">
        <v>26</v>
      </c>
      <c r="E660" t="s">
        <v>65</v>
      </c>
      <c r="F660" t="s">
        <v>33</v>
      </c>
      <c r="G660">
        <v>0.7</v>
      </c>
      <c r="H660" t="s">
        <v>39</v>
      </c>
      <c r="I660">
        <v>2</v>
      </c>
      <c r="J660" t="str">
        <f>HYPERLINK("https://www.eliteprospects.com/player/917755/jakub-vanecek")</f>
        <v>https://www.eliteprospects.com/player/917755/jakub-vanecek</v>
      </c>
      <c r="K660" t="s">
        <v>27</v>
      </c>
      <c r="L660" t="s">
        <v>631</v>
      </c>
      <c r="M660" t="s">
        <v>1296</v>
      </c>
      <c r="N660">
        <v>1</v>
      </c>
      <c r="O660" t="s">
        <v>634</v>
      </c>
      <c r="P660">
        <v>0.1</v>
      </c>
      <c r="Q660" t="s">
        <v>1325</v>
      </c>
      <c r="R660">
        <v>22.2</v>
      </c>
      <c r="S660">
        <v>11.1</v>
      </c>
      <c r="T660">
        <v>44.4</v>
      </c>
      <c r="U660">
        <v>0</v>
      </c>
      <c r="V660">
        <v>22.2</v>
      </c>
    </row>
    <row r="661" spans="1:22" x14ac:dyDescent="0.25">
      <c r="A661" t="s">
        <v>1952</v>
      </c>
      <c r="B661" t="s">
        <v>640</v>
      </c>
      <c r="C661">
        <v>41</v>
      </c>
      <c r="D661" t="s">
        <v>78</v>
      </c>
      <c r="E661" t="s">
        <v>39</v>
      </c>
      <c r="F661" t="s">
        <v>33</v>
      </c>
      <c r="G661">
        <v>0.51</v>
      </c>
      <c r="H661" t="s">
        <v>32</v>
      </c>
      <c r="I661">
        <v>12</v>
      </c>
      <c r="J661" t="str">
        <f>HYPERLINK("https://www.eliteprospects.com/player/628070/will-mclaughlin")</f>
        <v>https://www.eliteprospects.com/player/628070/will-mclaughlin</v>
      </c>
      <c r="K661" t="s">
        <v>27</v>
      </c>
      <c r="L661" t="s">
        <v>631</v>
      </c>
      <c r="M661" t="s">
        <v>1296</v>
      </c>
      <c r="N661">
        <v>1</v>
      </c>
      <c r="O661" t="s">
        <v>634</v>
      </c>
      <c r="P661">
        <v>7.0000000000000007E-2</v>
      </c>
      <c r="Q661" t="s">
        <v>1300</v>
      </c>
      <c r="R661">
        <v>42.9</v>
      </c>
      <c r="S661">
        <v>28.6</v>
      </c>
      <c r="T661">
        <v>28.6</v>
      </c>
      <c r="U661">
        <v>0</v>
      </c>
      <c r="V661">
        <v>0</v>
      </c>
    </row>
    <row r="662" spans="1:22" x14ac:dyDescent="0.25">
      <c r="A662" t="s">
        <v>1953</v>
      </c>
      <c r="B662" t="s">
        <v>644</v>
      </c>
      <c r="C662">
        <v>34</v>
      </c>
      <c r="D662" t="s">
        <v>57</v>
      </c>
      <c r="E662" t="s">
        <v>41</v>
      </c>
      <c r="F662" t="s">
        <v>33</v>
      </c>
      <c r="G662">
        <v>0.62</v>
      </c>
      <c r="H662" t="s">
        <v>51</v>
      </c>
      <c r="I662">
        <v>0</v>
      </c>
      <c r="J662" t="str">
        <f>HYPERLINK("https://www.eliteprospects.com/player/603578/bauer-dumanski")</f>
        <v>https://www.eliteprospects.com/player/603578/bauer-dumanski</v>
      </c>
      <c r="K662" t="s">
        <v>27</v>
      </c>
      <c r="L662" t="s">
        <v>631</v>
      </c>
      <c r="M662" t="s">
        <v>1296</v>
      </c>
      <c r="N662">
        <v>5</v>
      </c>
      <c r="O662" t="s">
        <v>645</v>
      </c>
      <c r="P662">
        <v>0.09</v>
      </c>
      <c r="Q662" t="s">
        <v>245</v>
      </c>
      <c r="R662">
        <v>14.3</v>
      </c>
      <c r="S662">
        <v>42.9</v>
      </c>
      <c r="T662">
        <v>28.6</v>
      </c>
      <c r="U662">
        <v>0</v>
      </c>
      <c r="V662">
        <v>14.3</v>
      </c>
    </row>
    <row r="663" spans="1:22" x14ac:dyDescent="0.25">
      <c r="A663" t="s">
        <v>1954</v>
      </c>
      <c r="B663" t="s">
        <v>709</v>
      </c>
      <c r="C663">
        <v>39</v>
      </c>
      <c r="D663" t="s">
        <v>78</v>
      </c>
      <c r="E663" t="s">
        <v>65</v>
      </c>
      <c r="F663" t="s">
        <v>24</v>
      </c>
      <c r="G663">
        <v>0.51</v>
      </c>
      <c r="H663" t="s">
        <v>32</v>
      </c>
      <c r="I663">
        <v>-21</v>
      </c>
      <c r="J663" t="str">
        <f>HYPERLINK("https://www.eliteprospects.com/player/825498/jace-mcfaul")</f>
        <v>https://www.eliteprospects.com/player/825498/jace-mcfaul</v>
      </c>
      <c r="K663" t="s">
        <v>27</v>
      </c>
      <c r="L663" t="s">
        <v>631</v>
      </c>
      <c r="M663" t="s">
        <v>1296</v>
      </c>
      <c r="N663">
        <v>3</v>
      </c>
      <c r="O663" t="s">
        <v>639</v>
      </c>
      <c r="P663">
        <v>7.0000000000000007E-2</v>
      </c>
      <c r="Q663" t="s">
        <v>245</v>
      </c>
      <c r="R663">
        <v>0</v>
      </c>
      <c r="S663">
        <v>44.4</v>
      </c>
      <c r="T663">
        <v>33.299999999999997</v>
      </c>
      <c r="U663">
        <v>0</v>
      </c>
      <c r="V663">
        <v>22.2</v>
      </c>
    </row>
    <row r="664" spans="1:22" x14ac:dyDescent="0.25">
      <c r="A664" t="s">
        <v>1955</v>
      </c>
      <c r="B664" t="s">
        <v>671</v>
      </c>
      <c r="C664">
        <v>38</v>
      </c>
      <c r="D664" t="s">
        <v>66</v>
      </c>
      <c r="E664" t="s">
        <v>38</v>
      </c>
      <c r="F664" t="s">
        <v>24</v>
      </c>
      <c r="G664">
        <v>0.53</v>
      </c>
      <c r="H664" t="s">
        <v>47</v>
      </c>
      <c r="I664">
        <v>11</v>
      </c>
      <c r="J664" t="str">
        <f>HYPERLINK("https://www.eliteprospects.com/player/597558/william-mcisaac")</f>
        <v>https://www.eliteprospects.com/player/597558/william-mcisaac</v>
      </c>
      <c r="K664" t="s">
        <v>27</v>
      </c>
      <c r="L664" t="s">
        <v>631</v>
      </c>
      <c r="M664" t="s">
        <v>1296</v>
      </c>
      <c r="N664">
        <v>5</v>
      </c>
      <c r="O664" t="s">
        <v>645</v>
      </c>
      <c r="P664">
        <v>7.0000000000000007E-2</v>
      </c>
      <c r="Q664" t="s">
        <v>1300</v>
      </c>
      <c r="R664">
        <v>42.9</v>
      </c>
      <c r="S664">
        <v>28.6</v>
      </c>
      <c r="T664">
        <v>28.6</v>
      </c>
      <c r="U664">
        <v>0</v>
      </c>
      <c r="V664">
        <v>0</v>
      </c>
    </row>
    <row r="665" spans="1:22" x14ac:dyDescent="0.25">
      <c r="A665" t="s">
        <v>1956</v>
      </c>
      <c r="B665" t="s">
        <v>651</v>
      </c>
      <c r="C665">
        <v>32</v>
      </c>
      <c r="D665" t="s">
        <v>140</v>
      </c>
      <c r="E665" t="s">
        <v>60</v>
      </c>
      <c r="F665" t="s">
        <v>24</v>
      </c>
      <c r="G665">
        <v>0.63</v>
      </c>
      <c r="H665" t="s">
        <v>57</v>
      </c>
      <c r="I665">
        <v>11</v>
      </c>
      <c r="J665" t="str">
        <f>HYPERLINK("https://www.eliteprospects.com/player/701389/brock-cripps")</f>
        <v>https://www.eliteprospects.com/player/701389/brock-cripps</v>
      </c>
      <c r="K665" t="s">
        <v>27</v>
      </c>
      <c r="L665" t="s">
        <v>631</v>
      </c>
      <c r="M665" t="s">
        <v>1296</v>
      </c>
      <c r="N665">
        <v>2</v>
      </c>
      <c r="O665" t="s">
        <v>636</v>
      </c>
      <c r="P665">
        <v>0.09</v>
      </c>
      <c r="Q665" t="s">
        <v>1300</v>
      </c>
      <c r="R665">
        <v>37.5</v>
      </c>
      <c r="S665">
        <v>12.5</v>
      </c>
      <c r="T665">
        <v>12.5</v>
      </c>
      <c r="U665">
        <v>12.5</v>
      </c>
      <c r="V665">
        <v>25</v>
      </c>
    </row>
    <row r="666" spans="1:22" x14ac:dyDescent="0.25">
      <c r="A666" t="s">
        <v>1957</v>
      </c>
      <c r="B666" t="s">
        <v>709</v>
      </c>
      <c r="C666">
        <v>39</v>
      </c>
      <c r="D666" t="s">
        <v>140</v>
      </c>
      <c r="E666" t="s">
        <v>60</v>
      </c>
      <c r="F666" t="s">
        <v>24</v>
      </c>
      <c r="G666">
        <v>0.51</v>
      </c>
      <c r="H666" t="s">
        <v>512</v>
      </c>
      <c r="I666">
        <v>-20</v>
      </c>
      <c r="J666" t="str">
        <f>HYPERLINK("https://www.eliteprospects.com/player/577136/josh-mcgregor")</f>
        <v>https://www.eliteprospects.com/player/577136/josh-mcgregor</v>
      </c>
      <c r="K666" t="s">
        <v>27</v>
      </c>
      <c r="L666" t="s">
        <v>631</v>
      </c>
      <c r="M666" t="s">
        <v>1296</v>
      </c>
      <c r="N666">
        <v>2</v>
      </c>
      <c r="O666" t="s">
        <v>636</v>
      </c>
      <c r="P666">
        <v>7.0000000000000007E-2</v>
      </c>
      <c r="Q666" t="s">
        <v>245</v>
      </c>
      <c r="R666">
        <v>0</v>
      </c>
      <c r="S666">
        <v>44.4</v>
      </c>
      <c r="T666">
        <v>33.299999999999997</v>
      </c>
      <c r="U666">
        <v>0</v>
      </c>
      <c r="V666">
        <v>22.2</v>
      </c>
    </row>
    <row r="667" spans="1:22" x14ac:dyDescent="0.25">
      <c r="A667" t="s">
        <v>1958</v>
      </c>
      <c r="B667" t="s">
        <v>646</v>
      </c>
      <c r="C667">
        <v>34</v>
      </c>
      <c r="D667" t="s">
        <v>260</v>
      </c>
      <c r="E667" t="s">
        <v>51</v>
      </c>
      <c r="F667" t="s">
        <v>24</v>
      </c>
      <c r="G667">
        <v>0.59</v>
      </c>
      <c r="H667" t="s">
        <v>33</v>
      </c>
      <c r="I667">
        <v>0</v>
      </c>
      <c r="J667" t="str">
        <f>HYPERLINK("https://www.eliteprospects.com/player/878966/hunter-aura")</f>
        <v>https://www.eliteprospects.com/player/878966/hunter-aura</v>
      </c>
      <c r="K667" t="s">
        <v>27</v>
      </c>
      <c r="L667" t="s">
        <v>631</v>
      </c>
      <c r="M667" t="s">
        <v>1296</v>
      </c>
      <c r="N667">
        <v>2</v>
      </c>
      <c r="O667" t="s">
        <v>636</v>
      </c>
      <c r="P667">
        <v>0.08</v>
      </c>
      <c r="Q667" t="s">
        <v>1300</v>
      </c>
      <c r="R667">
        <v>33.299999999999997</v>
      </c>
      <c r="S667">
        <v>22.2</v>
      </c>
      <c r="T667">
        <v>22.2</v>
      </c>
      <c r="U667">
        <v>11.1</v>
      </c>
      <c r="V667">
        <v>11.1</v>
      </c>
    </row>
    <row r="668" spans="1:22" x14ac:dyDescent="0.25">
      <c r="A668" t="s">
        <v>1959</v>
      </c>
      <c r="B668" t="s">
        <v>646</v>
      </c>
      <c r="C668">
        <v>37</v>
      </c>
      <c r="D668" t="s">
        <v>79</v>
      </c>
      <c r="E668" t="s">
        <v>60</v>
      </c>
      <c r="F668" t="s">
        <v>51</v>
      </c>
      <c r="G668">
        <v>0.51</v>
      </c>
      <c r="H668" t="s">
        <v>25</v>
      </c>
      <c r="I668">
        <v>9</v>
      </c>
      <c r="J668" t="str">
        <f>HYPERLINK("https://www.eliteprospects.com/player/577089/wyatt-pisarczyk")</f>
        <v>https://www.eliteprospects.com/player/577089/wyatt-pisarczyk</v>
      </c>
      <c r="K668" t="s">
        <v>27</v>
      </c>
      <c r="L668" t="s">
        <v>631</v>
      </c>
      <c r="M668" t="s">
        <v>1296</v>
      </c>
      <c r="N668">
        <v>3</v>
      </c>
      <c r="O668" t="s">
        <v>639</v>
      </c>
      <c r="P668">
        <v>7.0000000000000007E-2</v>
      </c>
      <c r="Q668" t="s">
        <v>1300</v>
      </c>
      <c r="R668">
        <v>42.9</v>
      </c>
      <c r="S668">
        <v>28.6</v>
      </c>
      <c r="T668">
        <v>28.6</v>
      </c>
      <c r="U668">
        <v>0</v>
      </c>
      <c r="V668">
        <v>0</v>
      </c>
    </row>
    <row r="669" spans="1:22" x14ac:dyDescent="0.25">
      <c r="A669" t="s">
        <v>1960</v>
      </c>
      <c r="B669" t="s">
        <v>647</v>
      </c>
      <c r="C669">
        <v>39</v>
      </c>
      <c r="D669" t="s">
        <v>79</v>
      </c>
      <c r="E669" t="s">
        <v>60</v>
      </c>
      <c r="F669" t="s">
        <v>51</v>
      </c>
      <c r="G669">
        <v>0.49</v>
      </c>
      <c r="H669" t="s">
        <v>125</v>
      </c>
      <c r="I669">
        <v>4</v>
      </c>
      <c r="J669" t="str">
        <f>HYPERLINK("https://www.eliteprospects.com/player/619705/giorgos-pantelas")</f>
        <v>https://www.eliteprospects.com/player/619705/giorgos-pantelas</v>
      </c>
      <c r="K669" t="s">
        <v>27</v>
      </c>
      <c r="L669" t="s">
        <v>631</v>
      </c>
      <c r="M669" t="s">
        <v>1296</v>
      </c>
      <c r="N669">
        <v>3</v>
      </c>
      <c r="O669" t="s">
        <v>639</v>
      </c>
      <c r="P669">
        <v>7.0000000000000007E-2</v>
      </c>
      <c r="Q669" t="s">
        <v>1325</v>
      </c>
      <c r="R669">
        <v>33.299999999999997</v>
      </c>
      <c r="S669">
        <v>16.7</v>
      </c>
      <c r="T669">
        <v>33.299999999999997</v>
      </c>
      <c r="U669">
        <v>16.7</v>
      </c>
      <c r="V669">
        <v>0</v>
      </c>
    </row>
    <row r="670" spans="1:22" x14ac:dyDescent="0.25">
      <c r="A670" t="s">
        <v>1961</v>
      </c>
      <c r="B670" t="s">
        <v>641</v>
      </c>
      <c r="C670">
        <v>39</v>
      </c>
      <c r="D670" t="s">
        <v>260</v>
      </c>
      <c r="E670" t="s">
        <v>55</v>
      </c>
      <c r="F670" t="s">
        <v>51</v>
      </c>
      <c r="G670">
        <v>0.49</v>
      </c>
      <c r="H670" t="s">
        <v>84</v>
      </c>
      <c r="I670">
        <v>12</v>
      </c>
      <c r="J670" t="str">
        <f>HYPERLINK("https://www.eliteprospects.com/player/576974/callum-stone")</f>
        <v>https://www.eliteprospects.com/player/576974/callum-stone</v>
      </c>
      <c r="K670" t="s">
        <v>27</v>
      </c>
      <c r="L670" t="s">
        <v>631</v>
      </c>
      <c r="M670" t="s">
        <v>1296</v>
      </c>
      <c r="N670">
        <v>1</v>
      </c>
      <c r="O670" t="s">
        <v>634</v>
      </c>
      <c r="P670">
        <v>7.0000000000000007E-2</v>
      </c>
      <c r="Q670" t="s">
        <v>1300</v>
      </c>
      <c r="R670">
        <v>42.9</v>
      </c>
      <c r="S670">
        <v>28.6</v>
      </c>
      <c r="T670">
        <v>28.6</v>
      </c>
      <c r="U670">
        <v>0</v>
      </c>
      <c r="V670">
        <v>0</v>
      </c>
    </row>
    <row r="671" spans="1:22" x14ac:dyDescent="0.25">
      <c r="A671" t="s">
        <v>1962</v>
      </c>
      <c r="B671" t="s">
        <v>637</v>
      </c>
      <c r="C671">
        <v>30</v>
      </c>
      <c r="D671" t="s">
        <v>66</v>
      </c>
      <c r="E671" t="s">
        <v>39</v>
      </c>
      <c r="F671" t="s">
        <v>55</v>
      </c>
      <c r="G671">
        <v>0.6</v>
      </c>
      <c r="H671" t="s">
        <v>47</v>
      </c>
      <c r="I671">
        <v>5</v>
      </c>
      <c r="J671" t="str">
        <f>HYPERLINK("https://www.eliteprospects.com/player/793158/veeti-vaisanen")</f>
        <v>https://www.eliteprospects.com/player/793158/veeti-vaisanen</v>
      </c>
      <c r="K671" t="s">
        <v>27</v>
      </c>
      <c r="L671" t="s">
        <v>631</v>
      </c>
      <c r="M671" t="s">
        <v>1296</v>
      </c>
      <c r="N671">
        <v>2</v>
      </c>
      <c r="O671" t="s">
        <v>636</v>
      </c>
      <c r="P671">
        <v>0.08</v>
      </c>
      <c r="Q671" t="s">
        <v>1325</v>
      </c>
      <c r="R671">
        <v>33.299999999999997</v>
      </c>
      <c r="S671">
        <v>16.7</v>
      </c>
      <c r="T671">
        <v>33.299999999999997</v>
      </c>
      <c r="U671">
        <v>16.7</v>
      </c>
      <c r="V671">
        <v>0</v>
      </c>
    </row>
    <row r="672" spans="1:22" x14ac:dyDescent="0.25">
      <c r="A672" t="s">
        <v>1963</v>
      </c>
      <c r="B672" t="s">
        <v>667</v>
      </c>
      <c r="C672">
        <v>39</v>
      </c>
      <c r="D672" t="s">
        <v>140</v>
      </c>
      <c r="E672" t="s">
        <v>41</v>
      </c>
      <c r="F672" t="s">
        <v>55</v>
      </c>
      <c r="G672">
        <v>0.46</v>
      </c>
      <c r="H672" t="s">
        <v>34</v>
      </c>
      <c r="I672">
        <v>9</v>
      </c>
      <c r="J672" t="str">
        <f>HYPERLINK("https://www.eliteprospects.com/player/576972/jordan-martin")</f>
        <v>https://www.eliteprospects.com/player/576972/jordan-martin</v>
      </c>
      <c r="K672" t="s">
        <v>27</v>
      </c>
      <c r="L672" t="s">
        <v>631</v>
      </c>
      <c r="M672" t="s">
        <v>1296</v>
      </c>
      <c r="N672">
        <v>3</v>
      </c>
      <c r="O672" t="s">
        <v>639</v>
      </c>
      <c r="P672">
        <v>0.06</v>
      </c>
      <c r="Q672" t="s">
        <v>1325</v>
      </c>
      <c r="R672">
        <v>18.2</v>
      </c>
      <c r="S672">
        <v>9.1</v>
      </c>
      <c r="T672">
        <v>63.6</v>
      </c>
      <c r="U672">
        <v>0</v>
      </c>
      <c r="V672">
        <v>9.1</v>
      </c>
    </row>
    <row r="673" spans="1:22" x14ac:dyDescent="0.25">
      <c r="A673" t="s">
        <v>1964</v>
      </c>
      <c r="B673" t="s">
        <v>507</v>
      </c>
      <c r="C673">
        <v>38</v>
      </c>
      <c r="D673" t="s">
        <v>96</v>
      </c>
      <c r="E673" t="s">
        <v>23</v>
      </c>
      <c r="F673" t="s">
        <v>60</v>
      </c>
      <c r="G673">
        <v>0.45</v>
      </c>
      <c r="H673" t="s">
        <v>75</v>
      </c>
      <c r="I673">
        <v>2</v>
      </c>
      <c r="J673" t="str">
        <f>HYPERLINK("https://www.eliteprospects.com/player/855986/kyle-heger")</f>
        <v>https://www.eliteprospects.com/player/855986/kyle-heger</v>
      </c>
      <c r="K673" t="s">
        <v>27</v>
      </c>
      <c r="L673" t="s">
        <v>631</v>
      </c>
      <c r="M673" t="s">
        <v>1296</v>
      </c>
      <c r="N673">
        <v>1</v>
      </c>
      <c r="O673" t="s">
        <v>634</v>
      </c>
      <c r="P673">
        <v>0.06</v>
      </c>
      <c r="Q673" t="s">
        <v>1300</v>
      </c>
      <c r="R673">
        <v>57.1</v>
      </c>
      <c r="S673">
        <v>28.6</v>
      </c>
      <c r="T673">
        <v>0</v>
      </c>
      <c r="U673">
        <v>14.3</v>
      </c>
      <c r="V673">
        <v>0</v>
      </c>
    </row>
    <row r="674" spans="1:22" x14ac:dyDescent="0.25">
      <c r="A674" t="s">
        <v>1965</v>
      </c>
      <c r="B674" t="s">
        <v>637</v>
      </c>
      <c r="C674">
        <v>31</v>
      </c>
      <c r="D674" t="s">
        <v>78</v>
      </c>
      <c r="E674" t="s">
        <v>45</v>
      </c>
      <c r="F674" t="s">
        <v>38</v>
      </c>
      <c r="G674">
        <v>0.52</v>
      </c>
      <c r="H674" t="s">
        <v>26</v>
      </c>
      <c r="I674">
        <v>8</v>
      </c>
      <c r="J674" t="str">
        <f>HYPERLINK("https://www.eliteprospects.com/player/805920/tyson-moss")</f>
        <v>https://www.eliteprospects.com/player/805920/tyson-moss</v>
      </c>
      <c r="K674" t="s">
        <v>27</v>
      </c>
      <c r="L674" t="s">
        <v>631</v>
      </c>
      <c r="M674" t="s">
        <v>1296</v>
      </c>
      <c r="N674">
        <v>2</v>
      </c>
      <c r="O674" t="s">
        <v>636</v>
      </c>
      <c r="P674">
        <v>7.0000000000000007E-2</v>
      </c>
      <c r="Q674" t="s">
        <v>1300</v>
      </c>
      <c r="R674">
        <v>42.9</v>
      </c>
      <c r="S674">
        <v>28.6</v>
      </c>
      <c r="T674">
        <v>28.6</v>
      </c>
      <c r="U674">
        <v>0</v>
      </c>
      <c r="V674">
        <v>0</v>
      </c>
    </row>
    <row r="675" spans="1:22" x14ac:dyDescent="0.25">
      <c r="A675" t="s">
        <v>1966</v>
      </c>
      <c r="B675" t="s">
        <v>649</v>
      </c>
      <c r="C675">
        <v>35</v>
      </c>
      <c r="D675" t="s">
        <v>96</v>
      </c>
      <c r="E675" t="s">
        <v>69</v>
      </c>
      <c r="F675" t="s">
        <v>38</v>
      </c>
      <c r="G675">
        <v>0.46</v>
      </c>
      <c r="H675" t="s">
        <v>55</v>
      </c>
      <c r="I675">
        <v>30</v>
      </c>
      <c r="J675" t="str">
        <f>HYPERLINK("https://www.eliteprospects.com/player/577135/brek-liske")</f>
        <v>https://www.eliteprospects.com/player/577135/brek-liske</v>
      </c>
      <c r="K675" t="s">
        <v>27</v>
      </c>
      <c r="L675" t="s">
        <v>631</v>
      </c>
      <c r="M675" t="s">
        <v>1296</v>
      </c>
      <c r="N675">
        <v>3</v>
      </c>
      <c r="O675" t="s">
        <v>639</v>
      </c>
      <c r="P675">
        <v>0.06</v>
      </c>
      <c r="Q675" t="s">
        <v>1309</v>
      </c>
      <c r="R675">
        <v>14.3</v>
      </c>
      <c r="S675">
        <v>28.6</v>
      </c>
      <c r="T675">
        <v>28.6</v>
      </c>
      <c r="U675">
        <v>0</v>
      </c>
      <c r="V675">
        <v>28.6</v>
      </c>
    </row>
    <row r="676" spans="1:22" x14ac:dyDescent="0.25">
      <c r="A676" t="s">
        <v>1967</v>
      </c>
      <c r="B676" t="s">
        <v>507</v>
      </c>
      <c r="C676">
        <v>34</v>
      </c>
      <c r="D676" t="s">
        <v>140</v>
      </c>
      <c r="E676" t="s">
        <v>65</v>
      </c>
      <c r="F676" t="s">
        <v>38</v>
      </c>
      <c r="G676">
        <v>0.47</v>
      </c>
      <c r="H676" t="s">
        <v>39</v>
      </c>
      <c r="I676">
        <v>0</v>
      </c>
      <c r="J676" t="str">
        <f>HYPERLINK("https://www.eliteprospects.com/player/576980/will-sharpe")</f>
        <v>https://www.eliteprospects.com/player/576980/will-sharpe</v>
      </c>
      <c r="K676" t="s">
        <v>27</v>
      </c>
      <c r="L676" t="s">
        <v>631</v>
      </c>
      <c r="M676" t="s">
        <v>1296</v>
      </c>
      <c r="N676">
        <v>4</v>
      </c>
      <c r="O676" t="s">
        <v>632</v>
      </c>
      <c r="P676">
        <v>7.0000000000000007E-2</v>
      </c>
      <c r="Q676" t="s">
        <v>1300</v>
      </c>
      <c r="R676">
        <v>33.299999999999997</v>
      </c>
      <c r="S676">
        <v>22.2</v>
      </c>
      <c r="T676">
        <v>22.2</v>
      </c>
      <c r="U676">
        <v>11.1</v>
      </c>
      <c r="V676">
        <v>11.1</v>
      </c>
    </row>
    <row r="677" spans="1:22" x14ac:dyDescent="0.25">
      <c r="A677" t="s">
        <v>1968</v>
      </c>
      <c r="B677" t="s">
        <v>662</v>
      </c>
      <c r="C677">
        <v>14</v>
      </c>
      <c r="D677" t="s">
        <v>260</v>
      </c>
      <c r="E677" t="s">
        <v>41</v>
      </c>
      <c r="F677" t="s">
        <v>38</v>
      </c>
      <c r="G677">
        <v>1.1399999999999999</v>
      </c>
      <c r="H677" t="s">
        <v>65</v>
      </c>
      <c r="I677">
        <v>4</v>
      </c>
      <c r="J677" t="str">
        <f>HYPERLINK("https://www.eliteprospects.com/player/872673/radim-mrtka")</f>
        <v>https://www.eliteprospects.com/player/872673/radim-mrtka</v>
      </c>
      <c r="K677" t="s">
        <v>27</v>
      </c>
      <c r="L677" t="s">
        <v>631</v>
      </c>
      <c r="M677" t="s">
        <v>1296</v>
      </c>
      <c r="N677">
        <v>2</v>
      </c>
      <c r="O677" t="s">
        <v>636</v>
      </c>
      <c r="P677">
        <v>0.16</v>
      </c>
      <c r="Q677" t="s">
        <v>1309</v>
      </c>
      <c r="R677">
        <v>10</v>
      </c>
      <c r="S677">
        <v>10</v>
      </c>
      <c r="T677">
        <v>20</v>
      </c>
      <c r="U677">
        <v>20</v>
      </c>
      <c r="V677">
        <v>40</v>
      </c>
    </row>
    <row r="678" spans="1:22" x14ac:dyDescent="0.25">
      <c r="A678" t="s">
        <v>1969</v>
      </c>
      <c r="B678" t="s">
        <v>641</v>
      </c>
      <c r="C678">
        <v>38</v>
      </c>
      <c r="D678" t="s">
        <v>66</v>
      </c>
      <c r="E678" t="s">
        <v>69</v>
      </c>
      <c r="F678" t="s">
        <v>41</v>
      </c>
      <c r="G678">
        <v>0.39</v>
      </c>
      <c r="H678" t="s">
        <v>55</v>
      </c>
      <c r="I678">
        <v>22</v>
      </c>
      <c r="J678" t="str">
        <f>HYPERLINK("https://www.eliteprospects.com/player/817739/doogan-pederson")</f>
        <v>https://www.eliteprospects.com/player/817739/doogan-pederson</v>
      </c>
      <c r="K678" t="s">
        <v>27</v>
      </c>
      <c r="L678" t="s">
        <v>631</v>
      </c>
      <c r="M678" t="s">
        <v>1296</v>
      </c>
      <c r="N678">
        <v>3</v>
      </c>
      <c r="O678" t="s">
        <v>639</v>
      </c>
      <c r="P678">
        <v>0.05</v>
      </c>
      <c r="Q678" t="s">
        <v>1309</v>
      </c>
      <c r="R678">
        <v>14.3</v>
      </c>
      <c r="S678">
        <v>28.6</v>
      </c>
      <c r="T678">
        <v>28.6</v>
      </c>
      <c r="U678">
        <v>0</v>
      </c>
      <c r="V678">
        <v>28.6</v>
      </c>
    </row>
    <row r="679" spans="1:22" x14ac:dyDescent="0.25">
      <c r="A679" t="s">
        <v>1970</v>
      </c>
      <c r="B679" t="s">
        <v>507</v>
      </c>
      <c r="C679">
        <v>34</v>
      </c>
      <c r="D679" t="s">
        <v>140</v>
      </c>
      <c r="E679" t="s">
        <v>23</v>
      </c>
      <c r="F679" t="s">
        <v>41</v>
      </c>
      <c r="G679">
        <v>0.44</v>
      </c>
      <c r="H679" t="s">
        <v>25</v>
      </c>
      <c r="I679">
        <v>29</v>
      </c>
      <c r="J679" t="str">
        <f>HYPERLINK("https://www.eliteprospects.com/player/709618/parker-alcos")</f>
        <v>https://www.eliteprospects.com/player/709618/parker-alcos</v>
      </c>
      <c r="K679" t="s">
        <v>27</v>
      </c>
      <c r="L679" t="s">
        <v>631</v>
      </c>
      <c r="M679" t="s">
        <v>1296</v>
      </c>
      <c r="N679">
        <v>4</v>
      </c>
      <c r="O679" t="s">
        <v>632</v>
      </c>
      <c r="P679">
        <v>0.06</v>
      </c>
      <c r="Q679" t="s">
        <v>1309</v>
      </c>
      <c r="R679">
        <v>14.3</v>
      </c>
      <c r="S679">
        <v>28.6</v>
      </c>
      <c r="T679">
        <v>28.6</v>
      </c>
      <c r="U679">
        <v>0</v>
      </c>
      <c r="V679">
        <v>28.6</v>
      </c>
    </row>
    <row r="680" spans="1:22" x14ac:dyDescent="0.25">
      <c r="A680" t="s">
        <v>1971</v>
      </c>
      <c r="B680" t="s">
        <v>694</v>
      </c>
      <c r="C680">
        <v>33</v>
      </c>
      <c r="D680" t="s">
        <v>79</v>
      </c>
      <c r="E680" t="s">
        <v>65</v>
      </c>
      <c r="F680" t="s">
        <v>41</v>
      </c>
      <c r="G680">
        <v>0.45</v>
      </c>
      <c r="H680" t="s">
        <v>26</v>
      </c>
      <c r="I680">
        <v>-17</v>
      </c>
      <c r="J680" t="str">
        <f>HYPERLINK("https://www.eliteprospects.com/player/628098/william-scott")</f>
        <v>https://www.eliteprospects.com/player/628098/william-scott</v>
      </c>
      <c r="K680" t="s">
        <v>27</v>
      </c>
      <c r="L680" t="s">
        <v>631</v>
      </c>
      <c r="M680" t="s">
        <v>1296</v>
      </c>
      <c r="N680">
        <v>2</v>
      </c>
      <c r="O680" t="s">
        <v>636</v>
      </c>
      <c r="P680">
        <v>0.06</v>
      </c>
      <c r="Q680" t="s">
        <v>1309</v>
      </c>
      <c r="R680">
        <v>0</v>
      </c>
      <c r="S680">
        <v>20</v>
      </c>
      <c r="T680">
        <v>40</v>
      </c>
      <c r="U680">
        <v>0</v>
      </c>
      <c r="V680">
        <v>40</v>
      </c>
    </row>
    <row r="681" spans="1:22" x14ac:dyDescent="0.25">
      <c r="A681" t="s">
        <v>1972</v>
      </c>
      <c r="B681" t="s">
        <v>662</v>
      </c>
      <c r="C681">
        <v>38</v>
      </c>
      <c r="D681" t="s">
        <v>79</v>
      </c>
      <c r="E681" t="s">
        <v>65</v>
      </c>
      <c r="F681" t="s">
        <v>41</v>
      </c>
      <c r="G681">
        <v>0.39</v>
      </c>
      <c r="H681" t="s">
        <v>178</v>
      </c>
      <c r="I681">
        <v>-4</v>
      </c>
      <c r="J681" t="str">
        <f>HYPERLINK("https://www.eliteprospects.com/player/805205/tai-riley")</f>
        <v>https://www.eliteprospects.com/player/805205/tai-riley</v>
      </c>
      <c r="K681" t="s">
        <v>27</v>
      </c>
      <c r="L681" t="s">
        <v>631</v>
      </c>
      <c r="M681" t="s">
        <v>1296</v>
      </c>
      <c r="N681">
        <v>2</v>
      </c>
      <c r="O681" t="s">
        <v>636</v>
      </c>
      <c r="P681">
        <v>0.05</v>
      </c>
      <c r="Q681" t="s">
        <v>1300</v>
      </c>
      <c r="R681">
        <v>37.5</v>
      </c>
      <c r="S681">
        <v>37.5</v>
      </c>
      <c r="T681">
        <v>0</v>
      </c>
      <c r="U681">
        <v>12.5</v>
      </c>
      <c r="V681">
        <v>12.5</v>
      </c>
    </row>
    <row r="682" spans="1:22" x14ac:dyDescent="0.25">
      <c r="A682" t="s">
        <v>1973</v>
      </c>
      <c r="B682" t="s">
        <v>653</v>
      </c>
      <c r="C682">
        <v>38</v>
      </c>
      <c r="D682" t="s">
        <v>132</v>
      </c>
      <c r="E682" t="s">
        <v>41</v>
      </c>
      <c r="F682" t="s">
        <v>41</v>
      </c>
      <c r="G682">
        <v>0.39</v>
      </c>
      <c r="H682" t="s">
        <v>489</v>
      </c>
      <c r="I682">
        <v>10</v>
      </c>
      <c r="J682" t="str">
        <f>HYPERLINK("https://www.eliteprospects.com/player/719093/rowan-guest")</f>
        <v>https://www.eliteprospects.com/player/719093/rowan-guest</v>
      </c>
      <c r="K682" t="s">
        <v>27</v>
      </c>
      <c r="L682" t="s">
        <v>631</v>
      </c>
      <c r="M682" t="s">
        <v>1296</v>
      </c>
      <c r="N682">
        <v>2</v>
      </c>
      <c r="O682" t="s">
        <v>636</v>
      </c>
      <c r="P682">
        <v>0.05</v>
      </c>
      <c r="Q682" t="s">
        <v>1325</v>
      </c>
      <c r="R682">
        <v>18.2</v>
      </c>
      <c r="S682">
        <v>9.1</v>
      </c>
      <c r="T682">
        <v>63.6</v>
      </c>
      <c r="U682">
        <v>0</v>
      </c>
      <c r="V682">
        <v>9.1</v>
      </c>
    </row>
    <row r="683" spans="1:22" x14ac:dyDescent="0.25">
      <c r="A683" t="s">
        <v>1974</v>
      </c>
      <c r="B683" t="s">
        <v>667</v>
      </c>
      <c r="C683">
        <v>39</v>
      </c>
      <c r="D683" t="s">
        <v>57</v>
      </c>
      <c r="E683" t="s">
        <v>26</v>
      </c>
      <c r="F683" t="s">
        <v>39</v>
      </c>
      <c r="G683">
        <v>0.36</v>
      </c>
      <c r="H683" t="s">
        <v>66</v>
      </c>
      <c r="I683">
        <v>4</v>
      </c>
      <c r="J683" t="str">
        <f>HYPERLINK("https://www.eliteprospects.com/player/577084/jack-kachkowski")</f>
        <v>https://www.eliteprospects.com/player/577084/jack-kachkowski</v>
      </c>
      <c r="K683" t="s">
        <v>27</v>
      </c>
      <c r="L683" t="s">
        <v>631</v>
      </c>
      <c r="M683" t="s">
        <v>1296</v>
      </c>
      <c r="N683">
        <v>3</v>
      </c>
      <c r="O683" t="s">
        <v>639</v>
      </c>
      <c r="P683">
        <v>0.05</v>
      </c>
      <c r="Q683" t="s">
        <v>1300</v>
      </c>
      <c r="R683">
        <v>57.1</v>
      </c>
      <c r="S683">
        <v>28.6</v>
      </c>
      <c r="T683">
        <v>0</v>
      </c>
      <c r="U683">
        <v>14.3</v>
      </c>
      <c r="V683">
        <v>0</v>
      </c>
    </row>
    <row r="684" spans="1:22" x14ac:dyDescent="0.25">
      <c r="A684" t="s">
        <v>1975</v>
      </c>
      <c r="B684" t="s">
        <v>659</v>
      </c>
      <c r="C684">
        <v>37</v>
      </c>
      <c r="D684" t="s">
        <v>140</v>
      </c>
      <c r="E684" t="s">
        <v>69</v>
      </c>
      <c r="F684" t="s">
        <v>39</v>
      </c>
      <c r="G684">
        <v>0.38</v>
      </c>
      <c r="H684" t="s">
        <v>34</v>
      </c>
      <c r="I684">
        <v>8</v>
      </c>
      <c r="J684" t="str">
        <f>HYPERLINK("https://www.eliteprospects.com/player/597844/charlie-elick")</f>
        <v>https://www.eliteprospects.com/player/597844/charlie-elick</v>
      </c>
      <c r="K684" t="s">
        <v>27</v>
      </c>
      <c r="L684" t="s">
        <v>631</v>
      </c>
      <c r="M684" t="s">
        <v>1296</v>
      </c>
      <c r="N684">
        <v>5</v>
      </c>
      <c r="O684" t="s">
        <v>645</v>
      </c>
      <c r="P684">
        <v>0.05</v>
      </c>
      <c r="Q684" t="s">
        <v>1325</v>
      </c>
      <c r="R684">
        <v>18.2</v>
      </c>
      <c r="S684">
        <v>9.1</v>
      </c>
      <c r="T684">
        <v>63.6</v>
      </c>
      <c r="U684">
        <v>0</v>
      </c>
      <c r="V684">
        <v>9.1</v>
      </c>
    </row>
    <row r="685" spans="1:22" x14ac:dyDescent="0.25">
      <c r="A685" t="s">
        <v>1976</v>
      </c>
      <c r="B685" t="s">
        <v>651</v>
      </c>
      <c r="C685">
        <v>37</v>
      </c>
      <c r="D685" t="s">
        <v>140</v>
      </c>
      <c r="E685" t="s">
        <v>69</v>
      </c>
      <c r="F685" t="s">
        <v>39</v>
      </c>
      <c r="G685">
        <v>0.38</v>
      </c>
      <c r="H685" t="s">
        <v>178</v>
      </c>
      <c r="I685">
        <v>28</v>
      </c>
      <c r="J685" t="str">
        <f>HYPERLINK("https://www.eliteprospects.com/player/879768/bennett-kelly")</f>
        <v>https://www.eliteprospects.com/player/879768/bennett-kelly</v>
      </c>
      <c r="K685" t="s">
        <v>27</v>
      </c>
      <c r="L685" t="s">
        <v>631</v>
      </c>
      <c r="M685" t="s">
        <v>1296</v>
      </c>
      <c r="N685">
        <v>2</v>
      </c>
      <c r="O685" t="s">
        <v>636</v>
      </c>
      <c r="P685">
        <v>0.05</v>
      </c>
      <c r="Q685" t="s">
        <v>1309</v>
      </c>
      <c r="R685">
        <v>14.3</v>
      </c>
      <c r="S685">
        <v>28.6</v>
      </c>
      <c r="T685">
        <v>28.6</v>
      </c>
      <c r="U685">
        <v>0</v>
      </c>
      <c r="V685">
        <v>28.6</v>
      </c>
    </row>
    <row r="686" spans="1:22" x14ac:dyDescent="0.25">
      <c r="A686" t="s">
        <v>1977</v>
      </c>
      <c r="B686" t="s">
        <v>659</v>
      </c>
      <c r="C686">
        <v>39</v>
      </c>
      <c r="D686" t="s">
        <v>66</v>
      </c>
      <c r="E686" t="s">
        <v>45</v>
      </c>
      <c r="F686" t="s">
        <v>65</v>
      </c>
      <c r="G686">
        <v>0.33</v>
      </c>
      <c r="H686" t="s">
        <v>65</v>
      </c>
      <c r="I686">
        <v>6</v>
      </c>
      <c r="J686" t="str">
        <f>HYPERLINK("https://www.eliteprospects.com/player/576987/dylan-lebret")</f>
        <v>https://www.eliteprospects.com/player/576987/dylan-lebret</v>
      </c>
      <c r="K686" t="s">
        <v>27</v>
      </c>
      <c r="L686" t="s">
        <v>631</v>
      </c>
      <c r="M686" t="s">
        <v>1296</v>
      </c>
      <c r="N686">
        <v>1</v>
      </c>
      <c r="O686" t="s">
        <v>634</v>
      </c>
      <c r="P686">
        <v>0.05</v>
      </c>
      <c r="Q686" t="s">
        <v>1300</v>
      </c>
      <c r="R686">
        <v>57.1</v>
      </c>
      <c r="S686">
        <v>28.6</v>
      </c>
      <c r="T686">
        <v>0</v>
      </c>
      <c r="U686">
        <v>14.3</v>
      </c>
      <c r="V686">
        <v>0</v>
      </c>
    </row>
    <row r="687" spans="1:22" x14ac:dyDescent="0.25">
      <c r="A687" t="s">
        <v>1978</v>
      </c>
      <c r="B687" t="s">
        <v>684</v>
      </c>
      <c r="C687">
        <v>36</v>
      </c>
      <c r="D687" t="s">
        <v>140</v>
      </c>
      <c r="E687" t="s">
        <v>32</v>
      </c>
      <c r="F687" t="s">
        <v>65</v>
      </c>
      <c r="G687">
        <v>0.36</v>
      </c>
      <c r="H687" t="s">
        <v>53</v>
      </c>
      <c r="I687">
        <v>-5</v>
      </c>
      <c r="J687" t="str">
        <f>HYPERLINK("https://www.eliteprospects.com/player/966908/boston-tait")</f>
        <v>https://www.eliteprospects.com/player/966908/boston-tait</v>
      </c>
      <c r="K687" t="s">
        <v>27</v>
      </c>
      <c r="L687" t="s">
        <v>631</v>
      </c>
      <c r="M687" t="s">
        <v>1296</v>
      </c>
      <c r="N687">
        <v>2</v>
      </c>
      <c r="O687" t="s">
        <v>636</v>
      </c>
      <c r="P687">
        <v>0.05</v>
      </c>
      <c r="Q687" t="s">
        <v>1309</v>
      </c>
      <c r="R687">
        <v>0</v>
      </c>
      <c r="S687">
        <v>20</v>
      </c>
      <c r="T687">
        <v>40</v>
      </c>
      <c r="U687">
        <v>0</v>
      </c>
      <c r="V687">
        <v>40</v>
      </c>
    </row>
    <row r="688" spans="1:22" x14ac:dyDescent="0.25">
      <c r="A688" t="s">
        <v>1979</v>
      </c>
      <c r="B688" t="s">
        <v>659</v>
      </c>
      <c r="C688">
        <v>33</v>
      </c>
      <c r="D688" t="s">
        <v>260</v>
      </c>
      <c r="E688" t="s">
        <v>23</v>
      </c>
      <c r="F688" t="s">
        <v>65</v>
      </c>
      <c r="G688">
        <v>0.39</v>
      </c>
      <c r="H688" t="s">
        <v>60</v>
      </c>
      <c r="I688">
        <v>15</v>
      </c>
      <c r="J688" t="str">
        <f>HYPERLINK("https://www.eliteprospects.com/player/647519/carter-savage")</f>
        <v>https://www.eliteprospects.com/player/647519/carter-savage</v>
      </c>
      <c r="K688" t="s">
        <v>27</v>
      </c>
      <c r="L688" t="s">
        <v>631</v>
      </c>
      <c r="M688" t="s">
        <v>1296</v>
      </c>
      <c r="N688">
        <v>5</v>
      </c>
      <c r="O688" t="s">
        <v>645</v>
      </c>
      <c r="P688">
        <v>0.05</v>
      </c>
      <c r="Q688" t="s">
        <v>1309</v>
      </c>
      <c r="R688">
        <v>14.3</v>
      </c>
      <c r="S688">
        <v>28.6</v>
      </c>
      <c r="T688">
        <v>28.6</v>
      </c>
      <c r="U688">
        <v>0</v>
      </c>
      <c r="V688">
        <v>28.6</v>
      </c>
    </row>
    <row r="689" spans="1:22" x14ac:dyDescent="0.25">
      <c r="A689" t="s">
        <v>1980</v>
      </c>
      <c r="B689" t="s">
        <v>640</v>
      </c>
      <c r="C689">
        <v>40</v>
      </c>
      <c r="D689" t="s">
        <v>260</v>
      </c>
      <c r="E689" t="s">
        <v>23</v>
      </c>
      <c r="F689" t="s">
        <v>65</v>
      </c>
      <c r="G689">
        <v>0.33</v>
      </c>
      <c r="H689" t="s">
        <v>52</v>
      </c>
      <c r="I689">
        <v>-3</v>
      </c>
      <c r="J689" t="str">
        <f>HYPERLINK("https://www.eliteprospects.com/player/597726/cole-slobodian")</f>
        <v>https://www.eliteprospects.com/player/597726/cole-slobodian</v>
      </c>
      <c r="K689" t="s">
        <v>27</v>
      </c>
      <c r="L689" t="s">
        <v>631</v>
      </c>
      <c r="M689" t="s">
        <v>1296</v>
      </c>
      <c r="N689">
        <v>3</v>
      </c>
      <c r="O689" t="s">
        <v>639</v>
      </c>
      <c r="P689">
        <v>0.05</v>
      </c>
      <c r="Q689" t="s">
        <v>1300</v>
      </c>
      <c r="R689">
        <v>37.5</v>
      </c>
      <c r="S689">
        <v>37.5</v>
      </c>
      <c r="T689">
        <v>0</v>
      </c>
      <c r="U689">
        <v>12.5</v>
      </c>
      <c r="V689">
        <v>12.5</v>
      </c>
    </row>
    <row r="690" spans="1:22" x14ac:dyDescent="0.25">
      <c r="A690" t="s">
        <v>1981</v>
      </c>
      <c r="B690" t="s">
        <v>644</v>
      </c>
      <c r="C690">
        <v>34</v>
      </c>
      <c r="D690" t="s">
        <v>96</v>
      </c>
      <c r="E690" t="s">
        <v>78</v>
      </c>
      <c r="F690" t="s">
        <v>23</v>
      </c>
      <c r="G690">
        <v>0.35</v>
      </c>
      <c r="H690" t="s">
        <v>46</v>
      </c>
      <c r="I690">
        <v>-7</v>
      </c>
      <c r="J690" t="str">
        <f>HYPERLINK("https://www.eliteprospects.com/player/617229/corbin-vaughan")</f>
        <v>https://www.eliteprospects.com/player/617229/corbin-vaughan</v>
      </c>
      <c r="K690" t="s">
        <v>27</v>
      </c>
      <c r="L690" t="s">
        <v>631</v>
      </c>
      <c r="M690" t="s">
        <v>1296</v>
      </c>
      <c r="N690">
        <v>5</v>
      </c>
      <c r="O690" t="s">
        <v>645</v>
      </c>
      <c r="P690">
        <v>0.05</v>
      </c>
      <c r="Q690" t="s">
        <v>1309</v>
      </c>
      <c r="R690">
        <v>0</v>
      </c>
      <c r="S690">
        <v>20</v>
      </c>
      <c r="T690">
        <v>40</v>
      </c>
      <c r="U690">
        <v>0</v>
      </c>
      <c r="V690">
        <v>40</v>
      </c>
    </row>
    <row r="691" spans="1:22" x14ac:dyDescent="0.25">
      <c r="A691" t="s">
        <v>1982</v>
      </c>
      <c r="B691" t="s">
        <v>646</v>
      </c>
      <c r="C691">
        <v>25</v>
      </c>
      <c r="D691" t="s">
        <v>140</v>
      </c>
      <c r="E691" t="s">
        <v>45</v>
      </c>
      <c r="F691" t="s">
        <v>23</v>
      </c>
      <c r="G691">
        <v>0.48</v>
      </c>
      <c r="H691" t="s">
        <v>38</v>
      </c>
      <c r="I691">
        <v>-10</v>
      </c>
      <c r="J691" t="str">
        <f>HYPERLINK("https://www.eliteprospects.com/player/966880/calder-hamilton")</f>
        <v>https://www.eliteprospects.com/player/966880/calder-hamilton</v>
      </c>
      <c r="K691" t="s">
        <v>27</v>
      </c>
      <c r="L691" t="s">
        <v>631</v>
      </c>
      <c r="M691" t="s">
        <v>1296</v>
      </c>
      <c r="N691">
        <v>1</v>
      </c>
      <c r="O691" t="s">
        <v>634</v>
      </c>
      <c r="P691">
        <v>7.0000000000000007E-2</v>
      </c>
      <c r="Q691" t="s">
        <v>245</v>
      </c>
      <c r="R691">
        <v>0</v>
      </c>
      <c r="S691">
        <v>44.4</v>
      </c>
      <c r="T691">
        <v>33.299999999999997</v>
      </c>
      <c r="U691">
        <v>0</v>
      </c>
      <c r="V691">
        <v>22.2</v>
      </c>
    </row>
    <row r="692" spans="1:22" x14ac:dyDescent="0.25">
      <c r="A692" t="s">
        <v>1983</v>
      </c>
      <c r="B692" t="s">
        <v>686</v>
      </c>
      <c r="C692">
        <v>37</v>
      </c>
      <c r="D692" t="s">
        <v>140</v>
      </c>
      <c r="E692" t="s">
        <v>45</v>
      </c>
      <c r="F692" t="s">
        <v>23</v>
      </c>
      <c r="G692">
        <v>0.32</v>
      </c>
      <c r="H692" t="s">
        <v>38</v>
      </c>
      <c r="I692">
        <v>-2</v>
      </c>
      <c r="J692" t="str">
        <f>HYPERLINK("https://www.eliteprospects.com/player/878987/nate-yellowaga")</f>
        <v>https://www.eliteprospects.com/player/878987/nate-yellowaga</v>
      </c>
      <c r="K692" t="s">
        <v>27</v>
      </c>
      <c r="L692" t="s">
        <v>631</v>
      </c>
      <c r="M692" t="s">
        <v>1296</v>
      </c>
      <c r="N692">
        <v>1</v>
      </c>
      <c r="O692" t="s">
        <v>634</v>
      </c>
      <c r="P692">
        <v>0.05</v>
      </c>
      <c r="Q692" t="s">
        <v>1300</v>
      </c>
      <c r="R692">
        <v>37.5</v>
      </c>
      <c r="S692">
        <v>37.5</v>
      </c>
      <c r="T692">
        <v>0</v>
      </c>
      <c r="U692">
        <v>12.5</v>
      </c>
      <c r="V692">
        <v>12.5</v>
      </c>
    </row>
    <row r="693" spans="1:22" x14ac:dyDescent="0.25">
      <c r="A693" t="s">
        <v>1984</v>
      </c>
      <c r="B693" t="s">
        <v>640</v>
      </c>
      <c r="C693">
        <v>26</v>
      </c>
      <c r="D693" t="s">
        <v>79</v>
      </c>
      <c r="E693" t="s">
        <v>32</v>
      </c>
      <c r="F693" t="s">
        <v>23</v>
      </c>
      <c r="G693">
        <v>0.46</v>
      </c>
      <c r="H693" t="s">
        <v>52</v>
      </c>
      <c r="I693">
        <v>0</v>
      </c>
      <c r="J693" t="str">
        <f>HYPERLINK("https://www.eliteprospects.com/player/690440/max-psenicka")</f>
        <v>https://www.eliteprospects.com/player/690440/max-psenicka</v>
      </c>
      <c r="K693" t="s">
        <v>27</v>
      </c>
      <c r="L693" t="s">
        <v>631</v>
      </c>
      <c r="M693" t="s">
        <v>1296</v>
      </c>
      <c r="N693">
        <v>2</v>
      </c>
      <c r="O693" t="s">
        <v>636</v>
      </c>
      <c r="P693">
        <v>0.06</v>
      </c>
      <c r="Q693" t="s">
        <v>1300</v>
      </c>
      <c r="R693">
        <v>37.5</v>
      </c>
      <c r="S693">
        <v>37.5</v>
      </c>
      <c r="T693">
        <v>0</v>
      </c>
      <c r="U693">
        <v>12.5</v>
      </c>
      <c r="V693">
        <v>12.5</v>
      </c>
    </row>
    <row r="694" spans="1:22" x14ac:dyDescent="0.25">
      <c r="A694" t="s">
        <v>1985</v>
      </c>
      <c r="B694" t="s">
        <v>662</v>
      </c>
      <c r="C694">
        <v>33</v>
      </c>
      <c r="D694" t="s">
        <v>79</v>
      </c>
      <c r="E694" t="s">
        <v>32</v>
      </c>
      <c r="F694" t="s">
        <v>23</v>
      </c>
      <c r="G694">
        <v>0.36</v>
      </c>
      <c r="H694" t="s">
        <v>638</v>
      </c>
      <c r="I694">
        <v>15</v>
      </c>
      <c r="J694" t="str">
        <f>HYPERLINK("https://www.eliteprospects.com/player/661822/ashton-cumby")</f>
        <v>https://www.eliteprospects.com/player/661822/ashton-cumby</v>
      </c>
      <c r="K694" t="s">
        <v>27</v>
      </c>
      <c r="L694" t="s">
        <v>631</v>
      </c>
      <c r="M694" t="s">
        <v>1296</v>
      </c>
      <c r="N694">
        <v>5</v>
      </c>
      <c r="O694" t="s">
        <v>645</v>
      </c>
      <c r="P694">
        <v>0.05</v>
      </c>
      <c r="Q694" t="s">
        <v>1309</v>
      </c>
      <c r="R694">
        <v>14.3</v>
      </c>
      <c r="S694">
        <v>28.6</v>
      </c>
      <c r="T694">
        <v>28.6</v>
      </c>
      <c r="U694">
        <v>0</v>
      </c>
      <c r="V694">
        <v>28.6</v>
      </c>
    </row>
    <row r="695" spans="1:22" x14ac:dyDescent="0.25">
      <c r="A695" t="s">
        <v>1986</v>
      </c>
      <c r="B695" t="s">
        <v>647</v>
      </c>
      <c r="C695">
        <v>34</v>
      </c>
      <c r="D695" t="s">
        <v>260</v>
      </c>
      <c r="E695" t="s">
        <v>69</v>
      </c>
      <c r="F695" t="s">
        <v>23</v>
      </c>
      <c r="G695">
        <v>0.35</v>
      </c>
      <c r="H695" t="s">
        <v>235</v>
      </c>
      <c r="I695">
        <v>12</v>
      </c>
      <c r="J695" t="str">
        <f>HYPERLINK("https://www.eliteprospects.com/player/883618/nigel-boehm")</f>
        <v>https://www.eliteprospects.com/player/883618/nigel-boehm</v>
      </c>
      <c r="K695" t="s">
        <v>27</v>
      </c>
      <c r="L695" t="s">
        <v>631</v>
      </c>
      <c r="M695" t="s">
        <v>1296</v>
      </c>
      <c r="N695">
        <v>2</v>
      </c>
      <c r="O695" t="s">
        <v>636</v>
      </c>
      <c r="P695">
        <v>0.05</v>
      </c>
      <c r="Q695" t="s">
        <v>1325</v>
      </c>
      <c r="R695">
        <v>18.2</v>
      </c>
      <c r="S695">
        <v>9.1</v>
      </c>
      <c r="T695">
        <v>63.6</v>
      </c>
      <c r="U695">
        <v>0</v>
      </c>
      <c r="V695">
        <v>9.1</v>
      </c>
    </row>
    <row r="696" spans="1:22" x14ac:dyDescent="0.25">
      <c r="A696" t="s">
        <v>1987</v>
      </c>
      <c r="B696" t="s">
        <v>647</v>
      </c>
      <c r="C696">
        <v>34</v>
      </c>
      <c r="D696" t="s">
        <v>66</v>
      </c>
      <c r="E696" t="s">
        <v>78</v>
      </c>
      <c r="F696" t="s">
        <v>69</v>
      </c>
      <c r="G696">
        <v>0.32</v>
      </c>
      <c r="H696" t="s">
        <v>23</v>
      </c>
      <c r="I696">
        <v>3</v>
      </c>
      <c r="J696" t="str">
        <f>HYPERLINK("https://www.eliteprospects.com/player/725709/dylan-ronald")</f>
        <v>https://www.eliteprospects.com/player/725709/dylan-ronald</v>
      </c>
      <c r="K696" t="s">
        <v>27</v>
      </c>
      <c r="L696" t="s">
        <v>631</v>
      </c>
      <c r="M696" t="s">
        <v>1296</v>
      </c>
      <c r="N696">
        <v>2</v>
      </c>
      <c r="O696" t="s">
        <v>636</v>
      </c>
      <c r="P696">
        <v>0.05</v>
      </c>
      <c r="Q696" t="s">
        <v>1300</v>
      </c>
      <c r="R696">
        <v>57.1</v>
      </c>
      <c r="S696">
        <v>28.6</v>
      </c>
      <c r="T696">
        <v>0</v>
      </c>
      <c r="U696">
        <v>14.3</v>
      </c>
      <c r="V696">
        <v>0</v>
      </c>
    </row>
    <row r="697" spans="1:22" x14ac:dyDescent="0.25">
      <c r="A697" t="s">
        <v>1988</v>
      </c>
      <c r="B697" t="s">
        <v>657</v>
      </c>
      <c r="C697">
        <v>29</v>
      </c>
      <c r="D697" t="s">
        <v>79</v>
      </c>
      <c r="E697" t="s">
        <v>45</v>
      </c>
      <c r="F697" t="s">
        <v>69</v>
      </c>
      <c r="G697">
        <v>0.38</v>
      </c>
      <c r="H697" t="s">
        <v>66</v>
      </c>
      <c r="I697">
        <v>-2</v>
      </c>
      <c r="J697" t="str">
        <f>HYPERLINK("https://www.eliteprospects.com/player/710805/landon-young")</f>
        <v>https://www.eliteprospects.com/player/710805/landon-young</v>
      </c>
      <c r="K697" t="s">
        <v>27</v>
      </c>
      <c r="L697" t="s">
        <v>631</v>
      </c>
      <c r="M697" t="s">
        <v>1296</v>
      </c>
      <c r="N697">
        <v>4</v>
      </c>
      <c r="O697" t="s">
        <v>632</v>
      </c>
      <c r="P697">
        <v>0.05</v>
      </c>
      <c r="Q697" t="s">
        <v>1300</v>
      </c>
      <c r="R697">
        <v>37.5</v>
      </c>
      <c r="S697">
        <v>37.5</v>
      </c>
      <c r="T697">
        <v>0</v>
      </c>
      <c r="U697">
        <v>12.5</v>
      </c>
      <c r="V697">
        <v>12.5</v>
      </c>
    </row>
    <row r="698" spans="1:22" x14ac:dyDescent="0.25">
      <c r="A698" t="s">
        <v>1989</v>
      </c>
      <c r="B698" t="s">
        <v>694</v>
      </c>
      <c r="C698">
        <v>33</v>
      </c>
      <c r="D698" t="s">
        <v>79</v>
      </c>
      <c r="E698" t="s">
        <v>45</v>
      </c>
      <c r="F698" t="s">
        <v>69</v>
      </c>
      <c r="G698">
        <v>0.33</v>
      </c>
      <c r="H698" t="s">
        <v>564</v>
      </c>
      <c r="I698">
        <v>-13</v>
      </c>
      <c r="J698" t="str">
        <f>HYPERLINK("https://www.eliteprospects.com/player/643473/matteo-fabrizi")</f>
        <v>https://www.eliteprospects.com/player/643473/matteo-fabrizi</v>
      </c>
      <c r="K698" t="s">
        <v>27</v>
      </c>
      <c r="L698" t="s">
        <v>631</v>
      </c>
      <c r="M698" t="s">
        <v>1296</v>
      </c>
      <c r="N698">
        <v>5</v>
      </c>
      <c r="O698" t="s">
        <v>645</v>
      </c>
      <c r="P698">
        <v>0.05</v>
      </c>
      <c r="Q698" t="s">
        <v>1309</v>
      </c>
      <c r="R698">
        <v>0</v>
      </c>
      <c r="S698">
        <v>20</v>
      </c>
      <c r="T698">
        <v>40</v>
      </c>
      <c r="U698">
        <v>0</v>
      </c>
      <c r="V698">
        <v>40</v>
      </c>
    </row>
    <row r="699" spans="1:22" x14ac:dyDescent="0.25">
      <c r="A699" t="s">
        <v>1990</v>
      </c>
      <c r="B699" t="s">
        <v>660</v>
      </c>
      <c r="C699">
        <v>39</v>
      </c>
      <c r="D699" t="s">
        <v>79</v>
      </c>
      <c r="E699" t="s">
        <v>45</v>
      </c>
      <c r="F699" t="s">
        <v>69</v>
      </c>
      <c r="G699">
        <v>0.28000000000000003</v>
      </c>
      <c r="H699" t="s">
        <v>1991</v>
      </c>
      <c r="I699">
        <v>-21</v>
      </c>
      <c r="J699" t="str">
        <f>HYPERLINK("https://www.eliteprospects.com/player/661701/brady-ness")</f>
        <v>https://www.eliteprospects.com/player/661701/brady-ness</v>
      </c>
      <c r="K699" t="s">
        <v>27</v>
      </c>
      <c r="L699" t="s">
        <v>631</v>
      </c>
      <c r="M699" t="s">
        <v>1296</v>
      </c>
      <c r="N699">
        <v>5</v>
      </c>
      <c r="O699" t="s">
        <v>645</v>
      </c>
      <c r="P699">
        <v>0.04</v>
      </c>
      <c r="Q699" t="s">
        <v>1488</v>
      </c>
      <c r="R699">
        <v>0</v>
      </c>
      <c r="S699">
        <v>0</v>
      </c>
      <c r="T699">
        <v>0</v>
      </c>
      <c r="U699">
        <v>0</v>
      </c>
      <c r="V699">
        <v>0</v>
      </c>
    </row>
    <row r="700" spans="1:22" x14ac:dyDescent="0.25">
      <c r="A700" t="s">
        <v>1992</v>
      </c>
      <c r="B700" t="s">
        <v>671</v>
      </c>
      <c r="C700">
        <v>30</v>
      </c>
      <c r="D700" t="s">
        <v>132</v>
      </c>
      <c r="E700" t="s">
        <v>69</v>
      </c>
      <c r="F700" t="s">
        <v>69</v>
      </c>
      <c r="G700">
        <v>0.37</v>
      </c>
      <c r="H700" t="s">
        <v>513</v>
      </c>
      <c r="I700">
        <v>-9</v>
      </c>
      <c r="J700" t="str">
        <f>HYPERLINK("https://www.eliteprospects.com/player/577091/owen-schoettler")</f>
        <v>https://www.eliteprospects.com/player/577091/owen-schoettler</v>
      </c>
      <c r="K700" t="s">
        <v>27</v>
      </c>
      <c r="L700" t="s">
        <v>631</v>
      </c>
      <c r="M700" t="s">
        <v>1296</v>
      </c>
      <c r="N700">
        <v>4</v>
      </c>
      <c r="O700" t="s">
        <v>632</v>
      </c>
      <c r="P700">
        <v>0.05</v>
      </c>
      <c r="Q700" t="s">
        <v>1309</v>
      </c>
      <c r="R700">
        <v>0</v>
      </c>
      <c r="S700">
        <v>20</v>
      </c>
      <c r="T700">
        <v>40</v>
      </c>
      <c r="U700">
        <v>0</v>
      </c>
      <c r="V700">
        <v>40</v>
      </c>
    </row>
    <row r="701" spans="1:22" x14ac:dyDescent="0.25">
      <c r="A701" t="s">
        <v>1993</v>
      </c>
      <c r="B701" t="s">
        <v>507</v>
      </c>
      <c r="C701">
        <v>31</v>
      </c>
      <c r="D701" t="s">
        <v>66</v>
      </c>
      <c r="E701" t="s">
        <v>57</v>
      </c>
      <c r="F701" t="s">
        <v>32</v>
      </c>
      <c r="G701">
        <v>0.32</v>
      </c>
      <c r="H701" t="s">
        <v>38</v>
      </c>
      <c r="I701">
        <v>-7</v>
      </c>
      <c r="J701" t="str">
        <f>HYPERLINK("https://www.eliteprospects.com/player/647040/rylan-pearce")</f>
        <v>https://www.eliteprospects.com/player/647040/rylan-pearce</v>
      </c>
      <c r="K701" t="s">
        <v>27</v>
      </c>
      <c r="L701" t="s">
        <v>631</v>
      </c>
      <c r="M701" t="s">
        <v>1296</v>
      </c>
      <c r="N701">
        <v>4</v>
      </c>
      <c r="O701" t="s">
        <v>632</v>
      </c>
      <c r="P701">
        <v>0.05</v>
      </c>
      <c r="Q701" t="s">
        <v>1309</v>
      </c>
      <c r="R701">
        <v>0</v>
      </c>
      <c r="S701">
        <v>20</v>
      </c>
      <c r="T701">
        <v>40</v>
      </c>
      <c r="U701">
        <v>0</v>
      </c>
      <c r="V701">
        <v>40</v>
      </c>
    </row>
    <row r="702" spans="1:22" x14ac:dyDescent="0.25">
      <c r="A702" t="s">
        <v>1994</v>
      </c>
      <c r="B702" t="s">
        <v>635</v>
      </c>
      <c r="C702">
        <v>38</v>
      </c>
      <c r="D702" t="s">
        <v>66</v>
      </c>
      <c r="E702" t="s">
        <v>57</v>
      </c>
      <c r="F702" t="s">
        <v>32</v>
      </c>
      <c r="G702">
        <v>0.26</v>
      </c>
      <c r="H702" t="s">
        <v>23</v>
      </c>
      <c r="I702">
        <v>18</v>
      </c>
      <c r="J702" t="str">
        <f>HYPERLINK("https://www.eliteprospects.com/player/628106/josh-lee")</f>
        <v>https://www.eliteprospects.com/player/628106/josh-lee</v>
      </c>
      <c r="K702" t="s">
        <v>27</v>
      </c>
      <c r="L702" t="s">
        <v>631</v>
      </c>
      <c r="M702" t="s">
        <v>1296</v>
      </c>
      <c r="N702">
        <v>2</v>
      </c>
      <c r="O702" t="s">
        <v>636</v>
      </c>
      <c r="P702">
        <v>0.04</v>
      </c>
      <c r="Q702" t="s">
        <v>1488</v>
      </c>
      <c r="R702">
        <v>0</v>
      </c>
      <c r="S702">
        <v>0</v>
      </c>
      <c r="T702">
        <v>0</v>
      </c>
      <c r="U702">
        <v>0</v>
      </c>
      <c r="V702">
        <v>0</v>
      </c>
    </row>
    <row r="703" spans="1:22" x14ac:dyDescent="0.25">
      <c r="A703" t="s">
        <v>1995</v>
      </c>
      <c r="B703" t="s">
        <v>694</v>
      </c>
      <c r="C703">
        <v>39</v>
      </c>
      <c r="D703" t="s">
        <v>66</v>
      </c>
      <c r="E703" t="s">
        <v>57</v>
      </c>
      <c r="F703" t="s">
        <v>32</v>
      </c>
      <c r="G703">
        <v>0.26</v>
      </c>
      <c r="H703" t="s">
        <v>512</v>
      </c>
      <c r="I703">
        <v>-19</v>
      </c>
      <c r="J703" t="str">
        <f>HYPERLINK("https://www.eliteprospects.com/player/577060/carsen-adair")</f>
        <v>https://www.eliteprospects.com/player/577060/carsen-adair</v>
      </c>
      <c r="K703" t="s">
        <v>27</v>
      </c>
      <c r="L703" t="s">
        <v>631</v>
      </c>
      <c r="M703" t="s">
        <v>1296</v>
      </c>
      <c r="N703">
        <v>3</v>
      </c>
      <c r="O703" t="s">
        <v>639</v>
      </c>
      <c r="P703">
        <v>0.04</v>
      </c>
      <c r="Q703" t="s">
        <v>1488</v>
      </c>
      <c r="R703">
        <v>0</v>
      </c>
      <c r="S703">
        <v>0</v>
      </c>
      <c r="T703">
        <v>0</v>
      </c>
      <c r="U703">
        <v>0</v>
      </c>
      <c r="V703">
        <v>0</v>
      </c>
    </row>
    <row r="704" spans="1:22" x14ac:dyDescent="0.25">
      <c r="A704" t="s">
        <v>1996</v>
      </c>
      <c r="B704" t="s">
        <v>507</v>
      </c>
      <c r="C704">
        <v>42</v>
      </c>
      <c r="D704" t="s">
        <v>66</v>
      </c>
      <c r="E704" t="s">
        <v>57</v>
      </c>
      <c r="F704" t="s">
        <v>32</v>
      </c>
      <c r="G704">
        <v>0.24</v>
      </c>
      <c r="H704" t="s">
        <v>178</v>
      </c>
      <c r="I704">
        <v>-6</v>
      </c>
      <c r="J704" t="str">
        <f>HYPERLINK("https://www.eliteprospects.com/player/710606/marek-howell")</f>
        <v>https://www.eliteprospects.com/player/710606/marek-howell</v>
      </c>
      <c r="K704" t="s">
        <v>27</v>
      </c>
      <c r="L704" t="s">
        <v>631</v>
      </c>
      <c r="M704" t="s">
        <v>1296</v>
      </c>
      <c r="N704">
        <v>5</v>
      </c>
      <c r="O704" t="s">
        <v>645</v>
      </c>
      <c r="P704">
        <v>0.03</v>
      </c>
      <c r="Q704" t="s">
        <v>1488</v>
      </c>
      <c r="R704">
        <v>0</v>
      </c>
      <c r="S704">
        <v>0</v>
      </c>
      <c r="T704">
        <v>0</v>
      </c>
      <c r="U704">
        <v>0</v>
      </c>
      <c r="V704">
        <v>0</v>
      </c>
    </row>
    <row r="705" spans="1:22" x14ac:dyDescent="0.25">
      <c r="A705" t="s">
        <v>1997</v>
      </c>
      <c r="B705" t="s">
        <v>659</v>
      </c>
      <c r="C705">
        <v>39</v>
      </c>
      <c r="D705" t="s">
        <v>140</v>
      </c>
      <c r="E705" t="s">
        <v>78</v>
      </c>
      <c r="F705" t="s">
        <v>32</v>
      </c>
      <c r="G705">
        <v>0.26</v>
      </c>
      <c r="H705" t="s">
        <v>529</v>
      </c>
      <c r="I705">
        <v>-7</v>
      </c>
      <c r="J705" t="str">
        <f>HYPERLINK("https://www.eliteprospects.com/player/577076/jaxen-adam")</f>
        <v>https://www.eliteprospects.com/player/577076/jaxen-adam</v>
      </c>
      <c r="K705" t="s">
        <v>27</v>
      </c>
      <c r="L705" t="s">
        <v>631</v>
      </c>
      <c r="M705" t="s">
        <v>1296</v>
      </c>
      <c r="N705">
        <v>3</v>
      </c>
      <c r="O705" t="s">
        <v>639</v>
      </c>
      <c r="P705">
        <v>0.04</v>
      </c>
      <c r="Q705" t="s">
        <v>1488</v>
      </c>
      <c r="R705">
        <v>0</v>
      </c>
      <c r="S705">
        <v>0</v>
      </c>
      <c r="T705">
        <v>0</v>
      </c>
      <c r="U705">
        <v>0</v>
      </c>
      <c r="V705">
        <v>0</v>
      </c>
    </row>
    <row r="706" spans="1:22" x14ac:dyDescent="0.25">
      <c r="A706" t="s">
        <v>1998</v>
      </c>
      <c r="B706" t="s">
        <v>657</v>
      </c>
      <c r="C706">
        <v>36</v>
      </c>
      <c r="D706" t="s">
        <v>79</v>
      </c>
      <c r="E706" t="s">
        <v>26</v>
      </c>
      <c r="F706" t="s">
        <v>32</v>
      </c>
      <c r="G706">
        <v>0.28000000000000003</v>
      </c>
      <c r="H706" t="s">
        <v>39</v>
      </c>
      <c r="I706">
        <v>2</v>
      </c>
      <c r="J706" t="str">
        <f>HYPERLINK("https://www.eliteprospects.com/player/862394/odin-vauhkonen")</f>
        <v>https://www.eliteprospects.com/player/862394/odin-vauhkonen</v>
      </c>
      <c r="K706" t="s">
        <v>27</v>
      </c>
      <c r="L706" t="s">
        <v>631</v>
      </c>
      <c r="M706" t="s">
        <v>1296</v>
      </c>
      <c r="N706">
        <v>1</v>
      </c>
      <c r="O706" t="s">
        <v>634</v>
      </c>
      <c r="P706">
        <v>0.04</v>
      </c>
      <c r="Q706" t="s">
        <v>1488</v>
      </c>
      <c r="R706">
        <v>0</v>
      </c>
      <c r="S706">
        <v>0</v>
      </c>
      <c r="T706">
        <v>0</v>
      </c>
      <c r="U706">
        <v>0</v>
      </c>
      <c r="V706">
        <v>0</v>
      </c>
    </row>
    <row r="707" spans="1:22" x14ac:dyDescent="0.25">
      <c r="A707" t="s">
        <v>1999</v>
      </c>
      <c r="B707" t="s">
        <v>702</v>
      </c>
      <c r="C707">
        <v>37</v>
      </c>
      <c r="D707" t="s">
        <v>79</v>
      </c>
      <c r="E707" t="s">
        <v>26</v>
      </c>
      <c r="F707" t="s">
        <v>32</v>
      </c>
      <c r="G707">
        <v>0.27</v>
      </c>
      <c r="H707" t="s">
        <v>544</v>
      </c>
      <c r="I707">
        <v>-3</v>
      </c>
      <c r="J707" t="str">
        <f>HYPERLINK("https://www.eliteprospects.com/player/758760/ethan-mittelsteadt")</f>
        <v>https://www.eliteprospects.com/player/758760/ethan-mittelsteadt</v>
      </c>
      <c r="K707" t="s">
        <v>27</v>
      </c>
      <c r="L707" t="s">
        <v>631</v>
      </c>
      <c r="M707" t="s">
        <v>1296</v>
      </c>
      <c r="N707">
        <v>5</v>
      </c>
      <c r="O707" t="s">
        <v>645</v>
      </c>
      <c r="P707">
        <v>0.04</v>
      </c>
      <c r="Q707" t="s">
        <v>1488</v>
      </c>
      <c r="R707">
        <v>0</v>
      </c>
      <c r="S707">
        <v>0</v>
      </c>
      <c r="T707">
        <v>0</v>
      </c>
      <c r="U707">
        <v>0</v>
      </c>
      <c r="V707">
        <v>0</v>
      </c>
    </row>
    <row r="708" spans="1:22" x14ac:dyDescent="0.25">
      <c r="A708" t="s">
        <v>2000</v>
      </c>
      <c r="B708" t="s">
        <v>507</v>
      </c>
      <c r="C708">
        <v>39</v>
      </c>
      <c r="D708" t="s">
        <v>79</v>
      </c>
      <c r="E708" t="s">
        <v>26</v>
      </c>
      <c r="F708" t="s">
        <v>32</v>
      </c>
      <c r="G708">
        <v>0.26</v>
      </c>
      <c r="H708" t="s">
        <v>512</v>
      </c>
      <c r="I708">
        <v>0</v>
      </c>
      <c r="J708" t="str">
        <f>HYPERLINK("https://www.eliteprospects.com/player/719326/carson-olsen")</f>
        <v>https://www.eliteprospects.com/player/719326/carson-olsen</v>
      </c>
      <c r="K708" t="s">
        <v>27</v>
      </c>
      <c r="L708" t="s">
        <v>631</v>
      </c>
      <c r="M708" t="s">
        <v>1296</v>
      </c>
      <c r="N708">
        <v>1</v>
      </c>
      <c r="O708" t="s">
        <v>634</v>
      </c>
      <c r="P708">
        <v>0.04</v>
      </c>
      <c r="Q708" t="s">
        <v>1488</v>
      </c>
      <c r="R708">
        <v>0</v>
      </c>
      <c r="S708">
        <v>0</v>
      </c>
      <c r="T708">
        <v>0</v>
      </c>
      <c r="U708">
        <v>0</v>
      </c>
      <c r="V708">
        <v>0</v>
      </c>
    </row>
    <row r="709" spans="1:22" x14ac:dyDescent="0.25">
      <c r="A709" t="s">
        <v>2001</v>
      </c>
      <c r="B709" t="s">
        <v>684</v>
      </c>
      <c r="C709">
        <v>38</v>
      </c>
      <c r="D709" t="s">
        <v>260</v>
      </c>
      <c r="E709" t="s">
        <v>45</v>
      </c>
      <c r="F709" t="s">
        <v>32</v>
      </c>
      <c r="G709">
        <v>0.26</v>
      </c>
      <c r="H709" t="s">
        <v>638</v>
      </c>
      <c r="I709">
        <v>-23</v>
      </c>
      <c r="J709" t="str">
        <f>HYPERLINK("https://www.eliteprospects.com/player/878405/brandon-osborne")</f>
        <v>https://www.eliteprospects.com/player/878405/brandon-osborne</v>
      </c>
      <c r="K709" t="s">
        <v>27</v>
      </c>
      <c r="L709" t="s">
        <v>631</v>
      </c>
      <c r="M709" t="s">
        <v>1296</v>
      </c>
      <c r="N709">
        <v>3</v>
      </c>
      <c r="O709" t="s">
        <v>639</v>
      </c>
      <c r="P709">
        <v>0.04</v>
      </c>
      <c r="Q709" t="s">
        <v>1488</v>
      </c>
      <c r="R709">
        <v>0</v>
      </c>
      <c r="S709">
        <v>0</v>
      </c>
      <c r="T709">
        <v>0</v>
      </c>
      <c r="U709">
        <v>0</v>
      </c>
      <c r="V709">
        <v>0</v>
      </c>
    </row>
    <row r="710" spans="1:22" x14ac:dyDescent="0.25">
      <c r="A710" t="s">
        <v>2002</v>
      </c>
      <c r="B710" t="s">
        <v>684</v>
      </c>
      <c r="C710">
        <v>19</v>
      </c>
      <c r="D710" t="s">
        <v>66</v>
      </c>
      <c r="E710" t="s">
        <v>96</v>
      </c>
      <c r="F710" t="s">
        <v>45</v>
      </c>
      <c r="G710">
        <v>0.47</v>
      </c>
      <c r="H710" t="s">
        <v>24</v>
      </c>
      <c r="I710">
        <v>10</v>
      </c>
      <c r="J710" t="str">
        <f>HYPERLINK("https://www.eliteprospects.com/player/597715/josh-fluker")</f>
        <v>https://www.eliteprospects.com/player/597715/josh-fluker</v>
      </c>
      <c r="K710" t="s">
        <v>27</v>
      </c>
      <c r="L710" t="s">
        <v>631</v>
      </c>
      <c r="M710" t="s">
        <v>1296</v>
      </c>
      <c r="N710">
        <v>5</v>
      </c>
      <c r="O710" t="s">
        <v>645</v>
      </c>
      <c r="P710">
        <v>7.0000000000000007E-2</v>
      </c>
      <c r="Q710" t="s">
        <v>1325</v>
      </c>
      <c r="R710">
        <v>44.4</v>
      </c>
      <c r="S710">
        <v>11.1</v>
      </c>
      <c r="T710">
        <v>44.4</v>
      </c>
      <c r="U710">
        <v>0</v>
      </c>
      <c r="V710">
        <v>0</v>
      </c>
    </row>
    <row r="711" spans="1:22" x14ac:dyDescent="0.25">
      <c r="A711" t="s">
        <v>2003</v>
      </c>
      <c r="B711" t="s">
        <v>633</v>
      </c>
      <c r="C711">
        <v>27</v>
      </c>
      <c r="D711" t="s">
        <v>66</v>
      </c>
      <c r="E711" t="s">
        <v>96</v>
      </c>
      <c r="F711" t="s">
        <v>45</v>
      </c>
      <c r="G711">
        <v>0.33</v>
      </c>
      <c r="H711" t="s">
        <v>75</v>
      </c>
      <c r="I711">
        <v>11</v>
      </c>
      <c r="J711" t="str">
        <f>HYPERLINK("https://www.eliteprospects.com/player/603567/rhett-ravndahl")</f>
        <v>https://www.eliteprospects.com/player/603567/rhett-ravndahl</v>
      </c>
      <c r="K711" t="s">
        <v>27</v>
      </c>
      <c r="L711" t="s">
        <v>631</v>
      </c>
      <c r="M711" t="s">
        <v>1296</v>
      </c>
      <c r="N711">
        <v>5</v>
      </c>
      <c r="O711" t="s">
        <v>645</v>
      </c>
      <c r="P711">
        <v>0.05</v>
      </c>
      <c r="Q711" t="s">
        <v>1325</v>
      </c>
      <c r="R711">
        <v>18.2</v>
      </c>
      <c r="S711">
        <v>9.1</v>
      </c>
      <c r="T711">
        <v>63.6</v>
      </c>
      <c r="U711">
        <v>0</v>
      </c>
      <c r="V711">
        <v>9.1</v>
      </c>
    </row>
    <row r="712" spans="1:22" x14ac:dyDescent="0.25">
      <c r="A712" t="s">
        <v>2004</v>
      </c>
      <c r="B712" t="s">
        <v>637</v>
      </c>
      <c r="C712">
        <v>23</v>
      </c>
      <c r="D712" t="s">
        <v>140</v>
      </c>
      <c r="E712" t="s">
        <v>57</v>
      </c>
      <c r="F712" t="s">
        <v>45</v>
      </c>
      <c r="G712">
        <v>0.39</v>
      </c>
      <c r="H712" t="s">
        <v>65</v>
      </c>
      <c r="I712">
        <v>1</v>
      </c>
      <c r="J712" t="str">
        <f>HYPERLINK("https://www.eliteprospects.com/player/642601/josh-van-mulligen")</f>
        <v>https://www.eliteprospects.com/player/642601/josh-van-mulligen</v>
      </c>
      <c r="K712" t="s">
        <v>27</v>
      </c>
      <c r="L712" t="s">
        <v>631</v>
      </c>
      <c r="M712" t="s">
        <v>1296</v>
      </c>
      <c r="N712">
        <v>5</v>
      </c>
      <c r="O712" t="s">
        <v>645</v>
      </c>
      <c r="P712">
        <v>0.05</v>
      </c>
      <c r="Q712" t="s">
        <v>1300</v>
      </c>
      <c r="R712">
        <v>57.1</v>
      </c>
      <c r="S712">
        <v>28.6</v>
      </c>
      <c r="T712">
        <v>0</v>
      </c>
      <c r="U712">
        <v>14.3</v>
      </c>
      <c r="V712">
        <v>0</v>
      </c>
    </row>
    <row r="713" spans="1:22" x14ac:dyDescent="0.25">
      <c r="A713" t="s">
        <v>2005</v>
      </c>
      <c r="B713" t="s">
        <v>507</v>
      </c>
      <c r="C713">
        <v>24</v>
      </c>
      <c r="D713" t="s">
        <v>79</v>
      </c>
      <c r="E713" t="s">
        <v>78</v>
      </c>
      <c r="F713" t="s">
        <v>45</v>
      </c>
      <c r="G713">
        <v>0.38</v>
      </c>
      <c r="H713" t="s">
        <v>32</v>
      </c>
      <c r="I713">
        <v>2</v>
      </c>
      <c r="J713" t="str">
        <f>HYPERLINK("https://www.eliteprospects.com/player/905934/ji%C5%99i-kamas")</f>
        <v>https://www.eliteprospects.com/player/905934/ji%C5%99i-kamas</v>
      </c>
      <c r="K713" t="s">
        <v>27</v>
      </c>
      <c r="L713" t="s">
        <v>631</v>
      </c>
      <c r="M713" t="s">
        <v>1296</v>
      </c>
      <c r="N713">
        <v>1</v>
      </c>
      <c r="O713" t="s">
        <v>634</v>
      </c>
      <c r="P713">
        <v>0.05</v>
      </c>
      <c r="Q713" t="s">
        <v>1300</v>
      </c>
      <c r="R713">
        <v>57.1</v>
      </c>
      <c r="S713">
        <v>28.6</v>
      </c>
      <c r="T713">
        <v>0</v>
      </c>
      <c r="U713">
        <v>14.3</v>
      </c>
      <c r="V713">
        <v>0</v>
      </c>
    </row>
    <row r="714" spans="1:22" x14ac:dyDescent="0.25">
      <c r="A714" t="s">
        <v>2006</v>
      </c>
      <c r="B714" t="s">
        <v>647</v>
      </c>
      <c r="C714">
        <v>34</v>
      </c>
      <c r="D714" t="s">
        <v>79</v>
      </c>
      <c r="E714" t="s">
        <v>78</v>
      </c>
      <c r="F714" t="s">
        <v>45</v>
      </c>
      <c r="G714">
        <v>0.26</v>
      </c>
      <c r="H714" t="s">
        <v>23</v>
      </c>
      <c r="I714">
        <v>9</v>
      </c>
      <c r="J714" t="str">
        <f>HYPERLINK("https://www.eliteprospects.com/player/883541/cameron-allard")</f>
        <v>https://www.eliteprospects.com/player/883541/cameron-allard</v>
      </c>
      <c r="K714" t="s">
        <v>27</v>
      </c>
      <c r="L714" t="s">
        <v>631</v>
      </c>
      <c r="M714" t="s">
        <v>1296</v>
      </c>
      <c r="N714">
        <v>2</v>
      </c>
      <c r="O714" t="s">
        <v>636</v>
      </c>
      <c r="P714">
        <v>0.04</v>
      </c>
      <c r="Q714" t="s">
        <v>1488</v>
      </c>
      <c r="R714">
        <v>0</v>
      </c>
      <c r="S714">
        <v>0</v>
      </c>
      <c r="T714">
        <v>0</v>
      </c>
      <c r="U714">
        <v>0</v>
      </c>
      <c r="V714">
        <v>0</v>
      </c>
    </row>
    <row r="715" spans="1:22" x14ac:dyDescent="0.25">
      <c r="A715" t="s">
        <v>2007</v>
      </c>
      <c r="B715" t="s">
        <v>686</v>
      </c>
      <c r="C715">
        <v>32</v>
      </c>
      <c r="D715" t="s">
        <v>140</v>
      </c>
      <c r="E715" t="s">
        <v>96</v>
      </c>
      <c r="F715" t="s">
        <v>26</v>
      </c>
      <c r="G715">
        <v>0.25</v>
      </c>
      <c r="H715" t="s">
        <v>26</v>
      </c>
      <c r="I715">
        <v>2</v>
      </c>
      <c r="J715" t="str">
        <f>HYPERLINK("https://www.eliteprospects.com/player/806018/matus-lisy")</f>
        <v>https://www.eliteprospects.com/player/806018/matus-lisy</v>
      </c>
      <c r="K715" t="s">
        <v>27</v>
      </c>
      <c r="L715" t="s">
        <v>631</v>
      </c>
      <c r="M715" t="s">
        <v>1296</v>
      </c>
      <c r="N715">
        <v>1</v>
      </c>
      <c r="O715" t="s">
        <v>634</v>
      </c>
      <c r="P715">
        <v>0.04</v>
      </c>
      <c r="Q715" t="s">
        <v>1488</v>
      </c>
      <c r="R715">
        <v>0</v>
      </c>
      <c r="S715">
        <v>0</v>
      </c>
      <c r="T715">
        <v>0</v>
      </c>
      <c r="U715">
        <v>0</v>
      </c>
      <c r="V715">
        <v>0</v>
      </c>
    </row>
    <row r="716" spans="1:22" x14ac:dyDescent="0.25">
      <c r="A716" t="s">
        <v>2008</v>
      </c>
      <c r="B716" t="s">
        <v>646</v>
      </c>
      <c r="C716">
        <v>34</v>
      </c>
      <c r="D716" t="s">
        <v>140</v>
      </c>
      <c r="E716" t="s">
        <v>96</v>
      </c>
      <c r="F716" t="s">
        <v>26</v>
      </c>
      <c r="G716">
        <v>0.24</v>
      </c>
      <c r="H716" t="s">
        <v>61</v>
      </c>
      <c r="I716">
        <v>12</v>
      </c>
      <c r="J716" t="str">
        <f>HYPERLINK("https://www.eliteprospects.com/player/640415/axel-hurtig")</f>
        <v>https://www.eliteprospects.com/player/640415/axel-hurtig</v>
      </c>
      <c r="K716" t="s">
        <v>27</v>
      </c>
      <c r="L716" t="s">
        <v>631</v>
      </c>
      <c r="M716" t="s">
        <v>1296</v>
      </c>
      <c r="N716">
        <v>2</v>
      </c>
      <c r="O716" t="s">
        <v>636</v>
      </c>
      <c r="P716">
        <v>0.03</v>
      </c>
      <c r="Q716" t="s">
        <v>1488</v>
      </c>
      <c r="R716">
        <v>0</v>
      </c>
      <c r="S716">
        <v>0</v>
      </c>
      <c r="T716">
        <v>0</v>
      </c>
      <c r="U716">
        <v>0</v>
      </c>
      <c r="V716">
        <v>0</v>
      </c>
    </row>
    <row r="717" spans="1:22" x14ac:dyDescent="0.25">
      <c r="A717" t="s">
        <v>2009</v>
      </c>
      <c r="B717" t="s">
        <v>507</v>
      </c>
      <c r="C717">
        <v>35</v>
      </c>
      <c r="D717" t="s">
        <v>140</v>
      </c>
      <c r="E717" t="s">
        <v>96</v>
      </c>
      <c r="F717" t="s">
        <v>26</v>
      </c>
      <c r="G717">
        <v>0.23</v>
      </c>
      <c r="H717" t="s">
        <v>47</v>
      </c>
      <c r="I717">
        <v>-1</v>
      </c>
      <c r="J717" t="str">
        <f>HYPERLINK("https://www.eliteprospects.com/player/597812/tyrone-sobry")</f>
        <v>https://www.eliteprospects.com/player/597812/tyrone-sobry</v>
      </c>
      <c r="K717" t="s">
        <v>27</v>
      </c>
      <c r="L717" t="s">
        <v>631</v>
      </c>
      <c r="M717" t="s">
        <v>1296</v>
      </c>
      <c r="N717">
        <v>3</v>
      </c>
      <c r="O717" t="s">
        <v>639</v>
      </c>
      <c r="P717">
        <v>0.03</v>
      </c>
      <c r="Q717" t="s">
        <v>1488</v>
      </c>
      <c r="R717">
        <v>0</v>
      </c>
      <c r="S717">
        <v>0</v>
      </c>
      <c r="T717">
        <v>0</v>
      </c>
      <c r="U717">
        <v>0</v>
      </c>
      <c r="V717">
        <v>0</v>
      </c>
    </row>
    <row r="718" spans="1:22" x14ac:dyDescent="0.25">
      <c r="A718" t="s">
        <v>2010</v>
      </c>
      <c r="B718" t="s">
        <v>507</v>
      </c>
      <c r="C718">
        <v>36</v>
      </c>
      <c r="D718" t="s">
        <v>140</v>
      </c>
      <c r="E718" t="s">
        <v>96</v>
      </c>
      <c r="F718" t="s">
        <v>26</v>
      </c>
      <c r="G718">
        <v>0.22</v>
      </c>
      <c r="H718" t="s">
        <v>1907</v>
      </c>
      <c r="I718">
        <v>5</v>
      </c>
      <c r="J718" t="str">
        <f>HYPERLINK("https://www.eliteprospects.com/player/804750/kaleb-hartmann")</f>
        <v>https://www.eliteprospects.com/player/804750/kaleb-hartmann</v>
      </c>
      <c r="K718" t="s">
        <v>27</v>
      </c>
      <c r="L718" t="s">
        <v>631</v>
      </c>
      <c r="M718" t="s">
        <v>1296</v>
      </c>
      <c r="N718">
        <v>4</v>
      </c>
      <c r="O718" t="s">
        <v>632</v>
      </c>
      <c r="P718">
        <v>0.03</v>
      </c>
      <c r="Q718" t="s">
        <v>1488</v>
      </c>
      <c r="R718">
        <v>0</v>
      </c>
      <c r="S718">
        <v>0</v>
      </c>
      <c r="T718">
        <v>0</v>
      </c>
      <c r="U718">
        <v>0</v>
      </c>
      <c r="V718">
        <v>0</v>
      </c>
    </row>
    <row r="719" spans="1:22" x14ac:dyDescent="0.25">
      <c r="A719" t="s">
        <v>2011</v>
      </c>
      <c r="B719" t="s">
        <v>671</v>
      </c>
      <c r="C719">
        <v>28</v>
      </c>
      <c r="D719" t="s">
        <v>79</v>
      </c>
      <c r="E719" t="s">
        <v>57</v>
      </c>
      <c r="F719" t="s">
        <v>26</v>
      </c>
      <c r="G719">
        <v>0.28999999999999998</v>
      </c>
      <c r="H719" t="s">
        <v>132</v>
      </c>
      <c r="I719">
        <v>6</v>
      </c>
      <c r="J719" t="str">
        <f>HYPERLINK("https://www.eliteprospects.com/player/628057/nolan-saunderson")</f>
        <v>https://www.eliteprospects.com/player/628057/nolan-saunderson</v>
      </c>
      <c r="K719" t="s">
        <v>27</v>
      </c>
      <c r="L719" t="s">
        <v>631</v>
      </c>
      <c r="M719" t="s">
        <v>1296</v>
      </c>
      <c r="N719">
        <v>2</v>
      </c>
      <c r="O719" t="s">
        <v>636</v>
      </c>
      <c r="P719">
        <v>0.04</v>
      </c>
      <c r="Q719" t="s">
        <v>1488</v>
      </c>
      <c r="R719">
        <v>0</v>
      </c>
      <c r="S719">
        <v>0</v>
      </c>
      <c r="T719">
        <v>0</v>
      </c>
      <c r="U719">
        <v>0</v>
      </c>
      <c r="V719">
        <v>0</v>
      </c>
    </row>
    <row r="720" spans="1:22" x14ac:dyDescent="0.25">
      <c r="A720" t="s">
        <v>2012</v>
      </c>
      <c r="B720" t="s">
        <v>653</v>
      </c>
      <c r="C720">
        <v>38</v>
      </c>
      <c r="D720" t="s">
        <v>79</v>
      </c>
      <c r="E720" t="s">
        <v>57</v>
      </c>
      <c r="F720" t="s">
        <v>26</v>
      </c>
      <c r="G720">
        <v>0.21</v>
      </c>
      <c r="H720" t="s">
        <v>57</v>
      </c>
      <c r="I720">
        <v>-2</v>
      </c>
      <c r="J720" t="str">
        <f>HYPERLINK("https://www.eliteprospects.com/player/628111/jacob-henderson")</f>
        <v>https://www.eliteprospects.com/player/628111/jacob-henderson</v>
      </c>
      <c r="K720" t="s">
        <v>27</v>
      </c>
      <c r="L720" t="s">
        <v>631</v>
      </c>
      <c r="M720" t="s">
        <v>1296</v>
      </c>
      <c r="N720">
        <v>2</v>
      </c>
      <c r="O720" t="s">
        <v>636</v>
      </c>
      <c r="P720">
        <v>0.03</v>
      </c>
      <c r="Q720" t="s">
        <v>1488</v>
      </c>
      <c r="R720">
        <v>0</v>
      </c>
      <c r="S720">
        <v>0</v>
      </c>
      <c r="T720">
        <v>0</v>
      </c>
      <c r="U720">
        <v>0</v>
      </c>
      <c r="V720">
        <v>0</v>
      </c>
    </row>
    <row r="721" spans="1:22" x14ac:dyDescent="0.25">
      <c r="A721" t="s">
        <v>2013</v>
      </c>
      <c r="B721" t="s">
        <v>684</v>
      </c>
      <c r="C721">
        <v>27</v>
      </c>
      <c r="D721" t="s">
        <v>260</v>
      </c>
      <c r="E721" t="s">
        <v>78</v>
      </c>
      <c r="F721" t="s">
        <v>26</v>
      </c>
      <c r="G721">
        <v>0.3</v>
      </c>
      <c r="H721" t="s">
        <v>178</v>
      </c>
      <c r="I721">
        <v>4</v>
      </c>
      <c r="J721" t="str">
        <f>HYPERLINK("https://www.eliteprospects.com/player/690458/michal-capos")</f>
        <v>https://www.eliteprospects.com/player/690458/michal-capos</v>
      </c>
      <c r="K721" t="s">
        <v>27</v>
      </c>
      <c r="L721" t="s">
        <v>631</v>
      </c>
      <c r="M721" t="s">
        <v>1296</v>
      </c>
      <c r="N721">
        <v>1</v>
      </c>
      <c r="O721" t="s">
        <v>634</v>
      </c>
      <c r="P721">
        <v>0.04</v>
      </c>
      <c r="Q721" t="s">
        <v>1488</v>
      </c>
      <c r="R721">
        <v>0</v>
      </c>
      <c r="S721">
        <v>0</v>
      </c>
      <c r="T721">
        <v>0</v>
      </c>
      <c r="U721">
        <v>0</v>
      </c>
      <c r="V721">
        <v>0</v>
      </c>
    </row>
    <row r="722" spans="1:22" x14ac:dyDescent="0.25">
      <c r="A722" t="s">
        <v>2014</v>
      </c>
      <c r="B722" t="s">
        <v>662</v>
      </c>
      <c r="C722">
        <v>30</v>
      </c>
      <c r="D722" t="s">
        <v>260</v>
      </c>
      <c r="E722" t="s">
        <v>78</v>
      </c>
      <c r="F722" t="s">
        <v>26</v>
      </c>
      <c r="G722">
        <v>0.27</v>
      </c>
      <c r="H722" t="s">
        <v>26</v>
      </c>
      <c r="I722">
        <v>-2</v>
      </c>
      <c r="J722" t="str">
        <f>HYPERLINK("https://www.eliteprospects.com/player/701393/grayson-tash")</f>
        <v>https://www.eliteprospects.com/player/701393/grayson-tash</v>
      </c>
      <c r="K722" t="s">
        <v>27</v>
      </c>
      <c r="L722" t="s">
        <v>631</v>
      </c>
      <c r="M722" t="s">
        <v>1296</v>
      </c>
      <c r="N722">
        <v>2</v>
      </c>
      <c r="O722" t="s">
        <v>636</v>
      </c>
      <c r="P722">
        <v>0.04</v>
      </c>
      <c r="Q722" t="s">
        <v>1488</v>
      </c>
      <c r="R722">
        <v>0</v>
      </c>
      <c r="S722">
        <v>0</v>
      </c>
      <c r="T722">
        <v>0</v>
      </c>
      <c r="U722">
        <v>0</v>
      </c>
      <c r="V722">
        <v>0</v>
      </c>
    </row>
    <row r="723" spans="1:22" x14ac:dyDescent="0.25">
      <c r="A723" t="s">
        <v>2015</v>
      </c>
      <c r="B723" t="s">
        <v>507</v>
      </c>
      <c r="C723">
        <v>34</v>
      </c>
      <c r="D723" t="s">
        <v>260</v>
      </c>
      <c r="E723" t="s">
        <v>78</v>
      </c>
      <c r="F723" t="s">
        <v>26</v>
      </c>
      <c r="G723">
        <v>0.24</v>
      </c>
      <c r="H723" t="s">
        <v>81</v>
      </c>
      <c r="I723">
        <v>12</v>
      </c>
      <c r="J723" t="str">
        <f>HYPERLINK("https://www.eliteprospects.com/player/917782/jakub-seidl")</f>
        <v>https://www.eliteprospects.com/player/917782/jakub-seidl</v>
      </c>
      <c r="K723" t="s">
        <v>27</v>
      </c>
      <c r="L723" t="s">
        <v>631</v>
      </c>
      <c r="M723" t="s">
        <v>1296</v>
      </c>
      <c r="N723">
        <v>1</v>
      </c>
      <c r="O723" t="s">
        <v>634</v>
      </c>
      <c r="P723">
        <v>0.03</v>
      </c>
      <c r="Q723" t="s">
        <v>1488</v>
      </c>
      <c r="R723">
        <v>0</v>
      </c>
      <c r="S723">
        <v>0</v>
      </c>
      <c r="T723">
        <v>0</v>
      </c>
      <c r="U723">
        <v>0</v>
      </c>
      <c r="V723">
        <v>0</v>
      </c>
    </row>
    <row r="724" spans="1:22" x14ac:dyDescent="0.25">
      <c r="A724" t="s">
        <v>2016</v>
      </c>
      <c r="B724" t="s">
        <v>657</v>
      </c>
      <c r="C724">
        <v>38</v>
      </c>
      <c r="D724" t="s">
        <v>260</v>
      </c>
      <c r="E724" t="s">
        <v>78</v>
      </c>
      <c r="F724" t="s">
        <v>26</v>
      </c>
      <c r="G724">
        <v>0.21</v>
      </c>
      <c r="H724" t="s">
        <v>75</v>
      </c>
      <c r="I724">
        <v>-10</v>
      </c>
      <c r="J724" t="str">
        <f>HYPERLINK("https://www.eliteprospects.com/player/846583/henry-peterson")</f>
        <v>https://www.eliteprospects.com/player/846583/henry-peterson</v>
      </c>
      <c r="K724" t="s">
        <v>27</v>
      </c>
      <c r="L724" t="s">
        <v>631</v>
      </c>
      <c r="M724" t="s">
        <v>1296</v>
      </c>
      <c r="N724">
        <v>1</v>
      </c>
      <c r="O724" t="s">
        <v>634</v>
      </c>
      <c r="P724">
        <v>0.03</v>
      </c>
      <c r="Q724" t="s">
        <v>1488</v>
      </c>
      <c r="R724">
        <v>0</v>
      </c>
      <c r="S724">
        <v>0</v>
      </c>
      <c r="T724">
        <v>0</v>
      </c>
      <c r="U724">
        <v>0</v>
      </c>
      <c r="V724">
        <v>0</v>
      </c>
    </row>
    <row r="725" spans="1:22" x14ac:dyDescent="0.25">
      <c r="A725" t="s">
        <v>2017</v>
      </c>
      <c r="B725" t="s">
        <v>633</v>
      </c>
      <c r="C725">
        <v>40</v>
      </c>
      <c r="D725" t="s">
        <v>260</v>
      </c>
      <c r="E725" t="s">
        <v>78</v>
      </c>
      <c r="F725" t="s">
        <v>26</v>
      </c>
      <c r="G725">
        <v>0.2</v>
      </c>
      <c r="H725" t="s">
        <v>79</v>
      </c>
      <c r="I725">
        <v>-1</v>
      </c>
      <c r="J725" t="str">
        <f>HYPERLINK("https://www.eliteprospects.com/player/883672/dryden-deobald")</f>
        <v>https://www.eliteprospects.com/player/883672/dryden-deobald</v>
      </c>
      <c r="K725" t="s">
        <v>27</v>
      </c>
      <c r="L725" t="s">
        <v>631</v>
      </c>
      <c r="M725" t="s">
        <v>1296</v>
      </c>
      <c r="N725">
        <v>2</v>
      </c>
      <c r="O725" t="s">
        <v>636</v>
      </c>
      <c r="P725">
        <v>0.03</v>
      </c>
      <c r="Q725" t="s">
        <v>1488</v>
      </c>
      <c r="R725">
        <v>0</v>
      </c>
      <c r="S725">
        <v>0</v>
      </c>
      <c r="T725">
        <v>0</v>
      </c>
      <c r="U725">
        <v>0</v>
      </c>
      <c r="V725">
        <v>0</v>
      </c>
    </row>
    <row r="726" spans="1:22" x14ac:dyDescent="0.25">
      <c r="A726" t="s">
        <v>2018</v>
      </c>
      <c r="B726" t="s">
        <v>507</v>
      </c>
      <c r="C726">
        <v>35</v>
      </c>
      <c r="D726" t="s">
        <v>132</v>
      </c>
      <c r="E726" t="s">
        <v>26</v>
      </c>
      <c r="F726" t="s">
        <v>26</v>
      </c>
      <c r="G726">
        <v>0.23</v>
      </c>
      <c r="H726" t="s">
        <v>52</v>
      </c>
      <c r="I726">
        <v>10</v>
      </c>
      <c r="J726" t="str">
        <f>HYPERLINK("https://www.eliteprospects.com/player/801843/luke-vlooswyk")</f>
        <v>https://www.eliteprospects.com/player/801843/luke-vlooswyk</v>
      </c>
      <c r="K726" t="s">
        <v>27</v>
      </c>
      <c r="L726" t="s">
        <v>631</v>
      </c>
      <c r="M726" t="s">
        <v>1296</v>
      </c>
      <c r="N726">
        <v>4</v>
      </c>
      <c r="O726" t="s">
        <v>632</v>
      </c>
      <c r="P726">
        <v>0.03</v>
      </c>
      <c r="Q726" t="s">
        <v>1488</v>
      </c>
      <c r="R726">
        <v>0</v>
      </c>
      <c r="S726">
        <v>0</v>
      </c>
      <c r="T726">
        <v>0</v>
      </c>
      <c r="U726">
        <v>0</v>
      </c>
      <c r="V726">
        <v>0</v>
      </c>
    </row>
    <row r="727" spans="1:22" x14ac:dyDescent="0.25">
      <c r="A727" t="s">
        <v>2019</v>
      </c>
      <c r="B727" t="s">
        <v>660</v>
      </c>
      <c r="C727">
        <v>13</v>
      </c>
      <c r="D727" t="s">
        <v>96</v>
      </c>
      <c r="E727" t="s">
        <v>79</v>
      </c>
      <c r="F727" t="s">
        <v>78</v>
      </c>
      <c r="G727">
        <v>0.54</v>
      </c>
      <c r="H727" t="s">
        <v>66</v>
      </c>
      <c r="I727">
        <v>5</v>
      </c>
      <c r="J727" t="str">
        <f>HYPERLINK("https://www.eliteprospects.com/player/804047/nolan-paquette")</f>
        <v>https://www.eliteprospects.com/player/804047/nolan-paquette</v>
      </c>
      <c r="K727" t="s">
        <v>27</v>
      </c>
      <c r="L727" t="s">
        <v>631</v>
      </c>
      <c r="M727" t="s">
        <v>1296</v>
      </c>
      <c r="N727">
        <v>2</v>
      </c>
      <c r="O727" t="s">
        <v>636</v>
      </c>
      <c r="P727">
        <v>0.08</v>
      </c>
      <c r="Q727" t="s">
        <v>1300</v>
      </c>
      <c r="R727">
        <v>42.9</v>
      </c>
      <c r="S727">
        <v>28.6</v>
      </c>
      <c r="T727">
        <v>28.6</v>
      </c>
      <c r="U727">
        <v>0</v>
      </c>
      <c r="V727">
        <v>0</v>
      </c>
    </row>
    <row r="728" spans="1:22" x14ac:dyDescent="0.25">
      <c r="A728" t="s">
        <v>2020</v>
      </c>
      <c r="B728" t="s">
        <v>507</v>
      </c>
      <c r="C728">
        <v>27</v>
      </c>
      <c r="D728" t="s">
        <v>79</v>
      </c>
      <c r="E728" t="s">
        <v>96</v>
      </c>
      <c r="F728" t="s">
        <v>78</v>
      </c>
      <c r="G728">
        <v>0.26</v>
      </c>
      <c r="H728" t="s">
        <v>26</v>
      </c>
      <c r="I728">
        <v>-4</v>
      </c>
      <c r="J728" t="str">
        <f>HYPERLINK("https://www.eliteprospects.com/player/597842/hyde-davidson")</f>
        <v>https://www.eliteprospects.com/player/597842/hyde-davidson</v>
      </c>
      <c r="K728" t="s">
        <v>27</v>
      </c>
      <c r="L728" t="s">
        <v>631</v>
      </c>
      <c r="M728" t="s">
        <v>1296</v>
      </c>
      <c r="N728">
        <v>5</v>
      </c>
      <c r="O728" t="s">
        <v>645</v>
      </c>
      <c r="P728">
        <v>0.04</v>
      </c>
      <c r="Q728" t="s">
        <v>1488</v>
      </c>
      <c r="R728">
        <v>0</v>
      </c>
      <c r="S728">
        <v>0</v>
      </c>
      <c r="T728">
        <v>0</v>
      </c>
      <c r="U728">
        <v>0</v>
      </c>
      <c r="V728">
        <v>0</v>
      </c>
    </row>
    <row r="729" spans="1:22" x14ac:dyDescent="0.25">
      <c r="A729" t="s">
        <v>2021</v>
      </c>
      <c r="B729" t="s">
        <v>637</v>
      </c>
      <c r="C729">
        <v>32</v>
      </c>
      <c r="D729" t="s">
        <v>79</v>
      </c>
      <c r="E729" t="s">
        <v>96</v>
      </c>
      <c r="F729" t="s">
        <v>78</v>
      </c>
      <c r="G729">
        <v>0.22</v>
      </c>
      <c r="H729" t="s">
        <v>46</v>
      </c>
      <c r="I729">
        <v>8</v>
      </c>
      <c r="J729" t="str">
        <f>HYPERLINK("https://www.eliteprospects.com/player/825455/riley-steen")</f>
        <v>https://www.eliteprospects.com/player/825455/riley-steen</v>
      </c>
      <c r="K729" t="s">
        <v>27</v>
      </c>
      <c r="L729" t="s">
        <v>631</v>
      </c>
      <c r="M729" t="s">
        <v>1296</v>
      </c>
      <c r="N729">
        <v>2</v>
      </c>
      <c r="O729" t="s">
        <v>636</v>
      </c>
      <c r="P729">
        <v>0.03</v>
      </c>
      <c r="Q729" t="s">
        <v>1488</v>
      </c>
      <c r="R729">
        <v>0</v>
      </c>
      <c r="S729">
        <v>0</v>
      </c>
      <c r="T729">
        <v>0</v>
      </c>
      <c r="U729">
        <v>0</v>
      </c>
      <c r="V729">
        <v>0</v>
      </c>
    </row>
    <row r="730" spans="1:22" x14ac:dyDescent="0.25">
      <c r="A730" t="s">
        <v>2022</v>
      </c>
      <c r="B730" t="s">
        <v>694</v>
      </c>
      <c r="C730">
        <v>33</v>
      </c>
      <c r="D730" t="s">
        <v>260</v>
      </c>
      <c r="E730" t="s">
        <v>57</v>
      </c>
      <c r="F730" t="s">
        <v>78</v>
      </c>
      <c r="G730">
        <v>0.21</v>
      </c>
      <c r="H730" t="s">
        <v>66</v>
      </c>
      <c r="I730">
        <v>-12</v>
      </c>
      <c r="J730" t="str">
        <f>HYPERLINK("https://www.eliteprospects.com/player/879898/grady-pichette")</f>
        <v>https://www.eliteprospects.com/player/879898/grady-pichette</v>
      </c>
      <c r="K730" t="s">
        <v>27</v>
      </c>
      <c r="L730" t="s">
        <v>631</v>
      </c>
      <c r="M730" t="s">
        <v>1296</v>
      </c>
      <c r="N730">
        <v>3</v>
      </c>
      <c r="O730" t="s">
        <v>639</v>
      </c>
      <c r="P730">
        <v>0.03</v>
      </c>
      <c r="Q730" t="s">
        <v>1488</v>
      </c>
      <c r="R730">
        <v>0</v>
      </c>
      <c r="S730">
        <v>0</v>
      </c>
      <c r="T730">
        <v>0</v>
      </c>
      <c r="U730">
        <v>0</v>
      </c>
      <c r="V730">
        <v>0</v>
      </c>
    </row>
    <row r="731" spans="1:22" x14ac:dyDescent="0.25">
      <c r="A731" t="s">
        <v>2023</v>
      </c>
      <c r="B731" t="s">
        <v>647</v>
      </c>
      <c r="C731">
        <v>38</v>
      </c>
      <c r="D731" t="s">
        <v>140</v>
      </c>
      <c r="E731" t="s">
        <v>140</v>
      </c>
      <c r="F731" t="s">
        <v>57</v>
      </c>
      <c r="G731">
        <v>0.16</v>
      </c>
      <c r="H731" t="s">
        <v>739</v>
      </c>
      <c r="I731">
        <v>-2</v>
      </c>
      <c r="J731" t="str">
        <f>HYPERLINK("https://www.eliteprospects.com/player/804734/max-lavoie")</f>
        <v>https://www.eliteprospects.com/player/804734/max-lavoie</v>
      </c>
      <c r="K731" t="s">
        <v>27</v>
      </c>
      <c r="L731" t="s">
        <v>631</v>
      </c>
      <c r="M731" t="s">
        <v>1296</v>
      </c>
      <c r="N731">
        <v>1</v>
      </c>
      <c r="O731" t="s">
        <v>634</v>
      </c>
      <c r="P731">
        <v>0.02</v>
      </c>
      <c r="Q731" t="s">
        <v>1488</v>
      </c>
      <c r="R731">
        <v>0</v>
      </c>
      <c r="S731">
        <v>0</v>
      </c>
      <c r="T731">
        <v>0</v>
      </c>
      <c r="U731">
        <v>0</v>
      </c>
      <c r="V731">
        <v>0</v>
      </c>
    </row>
    <row r="732" spans="1:22" x14ac:dyDescent="0.25">
      <c r="A732" t="s">
        <v>2024</v>
      </c>
      <c r="B732" t="s">
        <v>676</v>
      </c>
      <c r="C732">
        <v>21</v>
      </c>
      <c r="D732" t="s">
        <v>260</v>
      </c>
      <c r="E732" t="s">
        <v>96</v>
      </c>
      <c r="F732" t="s">
        <v>57</v>
      </c>
      <c r="G732">
        <v>0.28999999999999998</v>
      </c>
      <c r="H732" t="s">
        <v>84</v>
      </c>
      <c r="I732">
        <v>2</v>
      </c>
      <c r="J732" t="str">
        <f>HYPERLINK("https://www.eliteprospects.com/player/715231/kolten-bridgeman")</f>
        <v>https://www.eliteprospects.com/player/715231/kolten-bridgeman</v>
      </c>
      <c r="K732" t="s">
        <v>27</v>
      </c>
      <c r="L732" t="s">
        <v>631</v>
      </c>
      <c r="M732" t="s">
        <v>1296</v>
      </c>
      <c r="N732">
        <v>4</v>
      </c>
      <c r="O732" t="s">
        <v>632</v>
      </c>
      <c r="P732">
        <v>0.04</v>
      </c>
      <c r="Q732" t="s">
        <v>1488</v>
      </c>
      <c r="R732">
        <v>0</v>
      </c>
      <c r="S732">
        <v>0</v>
      </c>
      <c r="T732">
        <v>0</v>
      </c>
      <c r="U732">
        <v>0</v>
      </c>
      <c r="V732">
        <v>0</v>
      </c>
    </row>
    <row r="733" spans="1:22" x14ac:dyDescent="0.25">
      <c r="A733" t="s">
        <v>2025</v>
      </c>
      <c r="B733" t="s">
        <v>646</v>
      </c>
      <c r="C733">
        <v>22</v>
      </c>
      <c r="D733" t="s">
        <v>260</v>
      </c>
      <c r="E733" t="s">
        <v>96</v>
      </c>
      <c r="F733" t="s">
        <v>57</v>
      </c>
      <c r="G733">
        <v>0.27</v>
      </c>
      <c r="H733" t="s">
        <v>25</v>
      </c>
      <c r="I733">
        <v>-1</v>
      </c>
      <c r="J733" t="str">
        <f>HYPERLINK("https://www.eliteprospects.com/player/891214/kaden-meyer")</f>
        <v>https://www.eliteprospects.com/player/891214/kaden-meyer</v>
      </c>
      <c r="K733" t="s">
        <v>27</v>
      </c>
      <c r="L733" t="s">
        <v>631</v>
      </c>
      <c r="M733" t="s">
        <v>1296</v>
      </c>
      <c r="N733">
        <v>1</v>
      </c>
      <c r="O733" t="s">
        <v>634</v>
      </c>
      <c r="P733">
        <v>0.04</v>
      </c>
      <c r="Q733" t="s">
        <v>1488</v>
      </c>
      <c r="R733">
        <v>0</v>
      </c>
      <c r="S733">
        <v>0</v>
      </c>
      <c r="T733">
        <v>0</v>
      </c>
      <c r="U733">
        <v>0</v>
      </c>
      <c r="V733">
        <v>0</v>
      </c>
    </row>
    <row r="734" spans="1:22" x14ac:dyDescent="0.25">
      <c r="A734" t="s">
        <v>2026</v>
      </c>
      <c r="B734" t="s">
        <v>641</v>
      </c>
      <c r="C734">
        <v>26</v>
      </c>
      <c r="D734" t="s">
        <v>260</v>
      </c>
      <c r="E734" t="s">
        <v>96</v>
      </c>
      <c r="F734" t="s">
        <v>57</v>
      </c>
      <c r="G734">
        <v>0.23</v>
      </c>
      <c r="H734" t="s">
        <v>81</v>
      </c>
      <c r="I734">
        <v>-1</v>
      </c>
      <c r="J734" t="str">
        <f>HYPERLINK("https://www.eliteprospects.com/player/795053/morgan-tastad")</f>
        <v>https://www.eliteprospects.com/player/795053/morgan-tastad</v>
      </c>
      <c r="K734" t="s">
        <v>27</v>
      </c>
      <c r="L734" t="s">
        <v>631</v>
      </c>
      <c r="M734" t="s">
        <v>1296</v>
      </c>
      <c r="N734">
        <v>4</v>
      </c>
      <c r="O734" t="s">
        <v>632</v>
      </c>
      <c r="P734">
        <v>0.03</v>
      </c>
      <c r="Q734" t="s">
        <v>1488</v>
      </c>
      <c r="R734">
        <v>0</v>
      </c>
      <c r="S734">
        <v>0</v>
      </c>
      <c r="T734">
        <v>0</v>
      </c>
      <c r="U734">
        <v>0</v>
      </c>
      <c r="V734">
        <v>0</v>
      </c>
    </row>
    <row r="735" spans="1:22" x14ac:dyDescent="0.25">
      <c r="A735" t="s">
        <v>2027</v>
      </c>
      <c r="B735" t="s">
        <v>635</v>
      </c>
      <c r="C735">
        <v>37</v>
      </c>
      <c r="D735" t="s">
        <v>260</v>
      </c>
      <c r="E735" t="s">
        <v>96</v>
      </c>
      <c r="F735" t="s">
        <v>57</v>
      </c>
      <c r="G735">
        <v>0.16</v>
      </c>
      <c r="H735" t="s">
        <v>503</v>
      </c>
      <c r="I735">
        <v>18</v>
      </c>
      <c r="J735" t="str">
        <f>HYPERLINK("https://www.eliteprospects.com/player/746977/noa-ta-amu")</f>
        <v>https://www.eliteprospects.com/player/746977/noa-ta-amu</v>
      </c>
      <c r="K735" t="s">
        <v>27</v>
      </c>
      <c r="L735" t="s">
        <v>631</v>
      </c>
      <c r="M735" t="s">
        <v>1296</v>
      </c>
      <c r="N735">
        <v>2</v>
      </c>
      <c r="O735" t="s">
        <v>636</v>
      </c>
      <c r="P735">
        <v>0.02</v>
      </c>
      <c r="Q735" t="s">
        <v>1488</v>
      </c>
      <c r="R735">
        <v>0</v>
      </c>
      <c r="S735">
        <v>0</v>
      </c>
      <c r="T735">
        <v>0</v>
      </c>
      <c r="U735">
        <v>0</v>
      </c>
      <c r="V735">
        <v>0</v>
      </c>
    </row>
    <row r="736" spans="1:22" x14ac:dyDescent="0.25">
      <c r="A736" t="s">
        <v>2028</v>
      </c>
      <c r="B736" t="s">
        <v>507</v>
      </c>
      <c r="C736">
        <v>41</v>
      </c>
      <c r="D736" t="s">
        <v>260</v>
      </c>
      <c r="E736" t="s">
        <v>96</v>
      </c>
      <c r="F736" t="s">
        <v>57</v>
      </c>
      <c r="G736">
        <v>0.15</v>
      </c>
      <c r="H736" t="s">
        <v>125</v>
      </c>
      <c r="I736">
        <v>-13</v>
      </c>
      <c r="J736" t="str">
        <f>HYPERLINK("https://www.eliteprospects.com/player/825450/colton-alain")</f>
        <v>https://www.eliteprospects.com/player/825450/colton-alain</v>
      </c>
      <c r="K736" t="s">
        <v>27</v>
      </c>
      <c r="L736" t="s">
        <v>631</v>
      </c>
      <c r="M736" t="s">
        <v>1296</v>
      </c>
      <c r="N736">
        <v>4</v>
      </c>
      <c r="O736" t="s">
        <v>632</v>
      </c>
      <c r="P736">
        <v>0.02</v>
      </c>
      <c r="Q736" t="s">
        <v>1488</v>
      </c>
      <c r="R736">
        <v>0</v>
      </c>
      <c r="S736">
        <v>0</v>
      </c>
      <c r="T736">
        <v>0</v>
      </c>
      <c r="U736">
        <v>0</v>
      </c>
      <c r="V736">
        <v>0</v>
      </c>
    </row>
    <row r="737" spans="1:22" x14ac:dyDescent="0.25">
      <c r="A737" t="s">
        <v>2029</v>
      </c>
      <c r="B737" t="s">
        <v>507</v>
      </c>
      <c r="C737">
        <v>23</v>
      </c>
      <c r="D737" t="s">
        <v>132</v>
      </c>
      <c r="E737" t="s">
        <v>57</v>
      </c>
      <c r="F737" t="s">
        <v>57</v>
      </c>
      <c r="G737">
        <v>0.26</v>
      </c>
      <c r="H737" t="s">
        <v>39</v>
      </c>
      <c r="I737">
        <v>13</v>
      </c>
      <c r="J737" t="str">
        <f>HYPERLINK("https://www.eliteprospects.com/player/647521/niko-tsakumis")</f>
        <v>https://www.eliteprospects.com/player/647521/niko-tsakumis</v>
      </c>
      <c r="K737" t="s">
        <v>27</v>
      </c>
      <c r="L737" t="s">
        <v>631</v>
      </c>
      <c r="M737" t="s">
        <v>1296</v>
      </c>
      <c r="N737">
        <v>5</v>
      </c>
      <c r="O737" t="s">
        <v>645</v>
      </c>
      <c r="P737">
        <v>0.04</v>
      </c>
      <c r="Q737" t="s">
        <v>1488</v>
      </c>
      <c r="R737">
        <v>0</v>
      </c>
      <c r="S737">
        <v>0</v>
      </c>
      <c r="T737">
        <v>0</v>
      </c>
      <c r="U737">
        <v>0</v>
      </c>
      <c r="V737">
        <v>0</v>
      </c>
    </row>
    <row r="738" spans="1:22" x14ac:dyDescent="0.25">
      <c r="A738" t="s">
        <v>2030</v>
      </c>
      <c r="B738" t="s">
        <v>507</v>
      </c>
      <c r="C738">
        <v>24</v>
      </c>
      <c r="D738" t="s">
        <v>132</v>
      </c>
      <c r="E738" t="s">
        <v>57</v>
      </c>
      <c r="F738" t="s">
        <v>57</v>
      </c>
      <c r="G738">
        <v>0.25</v>
      </c>
      <c r="H738" t="s">
        <v>79</v>
      </c>
      <c r="I738">
        <v>-1</v>
      </c>
      <c r="J738" t="str">
        <f>HYPERLINK("https://www.eliteprospects.com/player/628126/eli-johnson")</f>
        <v>https://www.eliteprospects.com/player/628126/eli-johnson</v>
      </c>
      <c r="K738" t="s">
        <v>27</v>
      </c>
      <c r="L738" t="s">
        <v>631</v>
      </c>
      <c r="M738" t="s">
        <v>1296</v>
      </c>
      <c r="N738">
        <v>1</v>
      </c>
      <c r="O738" t="s">
        <v>634</v>
      </c>
      <c r="P738">
        <v>0.04</v>
      </c>
      <c r="Q738" t="s">
        <v>1488</v>
      </c>
      <c r="R738">
        <v>0</v>
      </c>
      <c r="S738">
        <v>0</v>
      </c>
      <c r="T738">
        <v>0</v>
      </c>
      <c r="U738">
        <v>0</v>
      </c>
      <c r="V738">
        <v>0</v>
      </c>
    </row>
    <row r="739" spans="1:22" x14ac:dyDescent="0.25">
      <c r="A739" t="s">
        <v>2031</v>
      </c>
      <c r="B739" t="s">
        <v>646</v>
      </c>
      <c r="C739">
        <v>29</v>
      </c>
      <c r="D739" t="s">
        <v>132</v>
      </c>
      <c r="E739" t="s">
        <v>57</v>
      </c>
      <c r="F739" t="s">
        <v>57</v>
      </c>
      <c r="G739">
        <v>0.21</v>
      </c>
      <c r="H739" t="s">
        <v>55</v>
      </c>
      <c r="I739">
        <v>-3</v>
      </c>
      <c r="J739" t="str">
        <f>HYPERLINK("https://www.eliteprospects.com/player/804146/bobby-williams")</f>
        <v>https://www.eliteprospects.com/player/804146/bobby-williams</v>
      </c>
      <c r="K739" t="s">
        <v>27</v>
      </c>
      <c r="L739" t="s">
        <v>631</v>
      </c>
      <c r="M739" t="s">
        <v>1296</v>
      </c>
      <c r="N739">
        <v>1</v>
      </c>
      <c r="O739" t="s">
        <v>634</v>
      </c>
      <c r="P739">
        <v>0.03</v>
      </c>
      <c r="Q739" t="s">
        <v>1488</v>
      </c>
      <c r="R739">
        <v>0</v>
      </c>
      <c r="S739">
        <v>0</v>
      </c>
      <c r="T739">
        <v>0</v>
      </c>
      <c r="U739">
        <v>0</v>
      </c>
      <c r="V739">
        <v>0</v>
      </c>
    </row>
    <row r="740" spans="1:22" x14ac:dyDescent="0.25">
      <c r="A740" t="s">
        <v>2032</v>
      </c>
      <c r="B740" t="s">
        <v>709</v>
      </c>
      <c r="C740">
        <v>25</v>
      </c>
      <c r="D740" t="s">
        <v>260</v>
      </c>
      <c r="E740" t="s">
        <v>66</v>
      </c>
      <c r="F740" t="s">
        <v>96</v>
      </c>
      <c r="G740">
        <v>0.2</v>
      </c>
      <c r="H740" t="s">
        <v>46</v>
      </c>
      <c r="I740">
        <v>-17</v>
      </c>
      <c r="J740" t="str">
        <f>HYPERLINK("https://www.eliteprospects.com/player/798240/caleb-potter")</f>
        <v>https://www.eliteprospects.com/player/798240/caleb-potter</v>
      </c>
      <c r="K740" t="s">
        <v>27</v>
      </c>
      <c r="L740" t="s">
        <v>631</v>
      </c>
      <c r="M740" t="s">
        <v>1296</v>
      </c>
      <c r="N740">
        <v>3</v>
      </c>
      <c r="O740" t="s">
        <v>639</v>
      </c>
      <c r="P740">
        <v>0.03</v>
      </c>
      <c r="Q740" t="s">
        <v>1488</v>
      </c>
      <c r="R740">
        <v>0</v>
      </c>
      <c r="S740">
        <v>0</v>
      </c>
      <c r="T740">
        <v>0</v>
      </c>
      <c r="U740">
        <v>0</v>
      </c>
      <c r="V740">
        <v>0</v>
      </c>
    </row>
    <row r="741" spans="1:22" x14ac:dyDescent="0.25">
      <c r="A741" t="s">
        <v>2033</v>
      </c>
      <c r="B741" t="s">
        <v>507</v>
      </c>
      <c r="C741">
        <v>33</v>
      </c>
      <c r="D741" t="s">
        <v>260</v>
      </c>
      <c r="E741" t="s">
        <v>66</v>
      </c>
      <c r="F741" t="s">
        <v>96</v>
      </c>
      <c r="G741">
        <v>0.15</v>
      </c>
      <c r="H741" t="s">
        <v>280</v>
      </c>
      <c r="I741">
        <v>2</v>
      </c>
      <c r="J741" t="str">
        <f>HYPERLINK("https://www.eliteprospects.com/player/647852/aleksey-chichkin")</f>
        <v>https://www.eliteprospects.com/player/647852/aleksey-chichkin</v>
      </c>
      <c r="K741" t="s">
        <v>27</v>
      </c>
      <c r="L741" t="s">
        <v>631</v>
      </c>
      <c r="M741" t="s">
        <v>1296</v>
      </c>
      <c r="N741">
        <v>3</v>
      </c>
      <c r="O741" t="s">
        <v>639</v>
      </c>
      <c r="P741">
        <v>0.02</v>
      </c>
      <c r="Q741" t="s">
        <v>1488</v>
      </c>
      <c r="R741">
        <v>0</v>
      </c>
      <c r="S741">
        <v>0</v>
      </c>
      <c r="T741">
        <v>0</v>
      </c>
      <c r="U741">
        <v>0</v>
      </c>
      <c r="V741">
        <v>0</v>
      </c>
    </row>
    <row r="742" spans="1:22" x14ac:dyDescent="0.25">
      <c r="A742" t="s">
        <v>2034</v>
      </c>
      <c r="B742" t="s">
        <v>657</v>
      </c>
      <c r="C742">
        <v>34</v>
      </c>
      <c r="D742" t="s">
        <v>260</v>
      </c>
      <c r="E742" t="s">
        <v>66</v>
      </c>
      <c r="F742" t="s">
        <v>96</v>
      </c>
      <c r="G742">
        <v>0.15</v>
      </c>
      <c r="H742" t="s">
        <v>672</v>
      </c>
      <c r="I742">
        <v>-4</v>
      </c>
      <c r="J742" t="str">
        <f>HYPERLINK("https://www.eliteprospects.com/player/804735/seth-fryer")</f>
        <v>https://www.eliteprospects.com/player/804735/seth-fryer</v>
      </c>
      <c r="K742" t="s">
        <v>27</v>
      </c>
      <c r="L742" t="s">
        <v>631</v>
      </c>
      <c r="M742" t="s">
        <v>1296</v>
      </c>
      <c r="N742">
        <v>4</v>
      </c>
      <c r="O742" t="s">
        <v>632</v>
      </c>
      <c r="P742">
        <v>0.02</v>
      </c>
      <c r="Q742" t="s">
        <v>1488</v>
      </c>
      <c r="R742">
        <v>0</v>
      </c>
      <c r="S742">
        <v>0</v>
      </c>
      <c r="T742">
        <v>0</v>
      </c>
      <c r="U742">
        <v>0</v>
      </c>
      <c r="V742">
        <v>0</v>
      </c>
    </row>
    <row r="743" spans="1:22" x14ac:dyDescent="0.25">
      <c r="A743" t="s">
        <v>2035</v>
      </c>
      <c r="B743" t="s">
        <v>637</v>
      </c>
      <c r="C743">
        <v>19</v>
      </c>
      <c r="D743" t="s">
        <v>132</v>
      </c>
      <c r="E743" t="s">
        <v>96</v>
      </c>
      <c r="F743" t="s">
        <v>96</v>
      </c>
      <c r="G743">
        <v>0.26</v>
      </c>
      <c r="H743" t="s">
        <v>60</v>
      </c>
      <c r="I743">
        <v>8</v>
      </c>
      <c r="J743" t="str">
        <f>HYPERLINK("https://www.eliteprospects.com/player/692903/niilopekka-muhonen")</f>
        <v>https://www.eliteprospects.com/player/692903/niilopekka-muhonen</v>
      </c>
      <c r="K743" t="s">
        <v>27</v>
      </c>
      <c r="L743" t="s">
        <v>631</v>
      </c>
      <c r="M743" t="s">
        <v>1296</v>
      </c>
      <c r="N743">
        <v>2</v>
      </c>
      <c r="O743" t="s">
        <v>636</v>
      </c>
      <c r="P743">
        <v>0.04</v>
      </c>
      <c r="Q743" t="s">
        <v>1488</v>
      </c>
      <c r="R743">
        <v>0</v>
      </c>
      <c r="S743">
        <v>0</v>
      </c>
      <c r="T743">
        <v>0</v>
      </c>
      <c r="U743">
        <v>0</v>
      </c>
      <c r="V743">
        <v>0</v>
      </c>
    </row>
    <row r="744" spans="1:22" x14ac:dyDescent="0.25">
      <c r="A744" t="s">
        <v>2036</v>
      </c>
      <c r="B744" t="s">
        <v>507</v>
      </c>
      <c r="C744">
        <v>24</v>
      </c>
      <c r="D744" t="s">
        <v>132</v>
      </c>
      <c r="E744" t="s">
        <v>96</v>
      </c>
      <c r="F744" t="s">
        <v>96</v>
      </c>
      <c r="G744">
        <v>0.21</v>
      </c>
      <c r="H744" t="s">
        <v>57</v>
      </c>
      <c r="I744">
        <v>3</v>
      </c>
      <c r="J744" t="str">
        <f>HYPERLINK("https://www.eliteprospects.com/player/890156/kaden-allan")</f>
        <v>https://www.eliteprospects.com/player/890156/kaden-allan</v>
      </c>
      <c r="K744" t="s">
        <v>27</v>
      </c>
      <c r="L744" t="s">
        <v>631</v>
      </c>
      <c r="M744" t="s">
        <v>1296</v>
      </c>
      <c r="N744">
        <v>3</v>
      </c>
      <c r="O744" t="s">
        <v>639</v>
      </c>
      <c r="P744">
        <v>0.03</v>
      </c>
      <c r="Q744" t="s">
        <v>1488</v>
      </c>
      <c r="R744">
        <v>0</v>
      </c>
      <c r="S744">
        <v>0</v>
      </c>
      <c r="T744">
        <v>0</v>
      </c>
      <c r="U744">
        <v>0</v>
      </c>
      <c r="V744">
        <v>0</v>
      </c>
    </row>
    <row r="745" spans="1:22" x14ac:dyDescent="0.25">
      <c r="A745" t="s">
        <v>2037</v>
      </c>
      <c r="B745" t="s">
        <v>507</v>
      </c>
      <c r="C745">
        <v>24</v>
      </c>
      <c r="D745" t="s">
        <v>132</v>
      </c>
      <c r="E745" t="s">
        <v>96</v>
      </c>
      <c r="F745" t="s">
        <v>96</v>
      </c>
      <c r="G745">
        <v>0.21</v>
      </c>
      <c r="H745" t="s">
        <v>32</v>
      </c>
      <c r="I745">
        <v>-13</v>
      </c>
      <c r="J745" t="str">
        <f>HYPERLINK("https://www.eliteprospects.com/player/577074/brayden-smith")</f>
        <v>https://www.eliteprospects.com/player/577074/brayden-smith</v>
      </c>
      <c r="K745" t="s">
        <v>27</v>
      </c>
      <c r="L745" t="s">
        <v>631</v>
      </c>
      <c r="M745" t="s">
        <v>1296</v>
      </c>
      <c r="N745">
        <v>3</v>
      </c>
      <c r="O745" t="s">
        <v>639</v>
      </c>
      <c r="P745">
        <v>0.03</v>
      </c>
      <c r="Q745" t="s">
        <v>1488</v>
      </c>
      <c r="R745">
        <v>0</v>
      </c>
      <c r="S745">
        <v>0</v>
      </c>
      <c r="T745">
        <v>0</v>
      </c>
      <c r="U745">
        <v>0</v>
      </c>
      <c r="V745">
        <v>0</v>
      </c>
    </row>
    <row r="746" spans="1:22" x14ac:dyDescent="0.25">
      <c r="A746" t="s">
        <v>2038</v>
      </c>
      <c r="B746" t="s">
        <v>640</v>
      </c>
      <c r="C746">
        <v>30</v>
      </c>
      <c r="D746" t="s">
        <v>132</v>
      </c>
      <c r="E746" t="s">
        <v>96</v>
      </c>
      <c r="F746" t="s">
        <v>96</v>
      </c>
      <c r="G746">
        <v>0.17</v>
      </c>
      <c r="H746" t="s">
        <v>39</v>
      </c>
      <c r="I746">
        <v>-14</v>
      </c>
      <c r="J746" t="str">
        <f>HYPERLINK("https://www.eliteprospects.com/player/883604/griffin-darby")</f>
        <v>https://www.eliteprospects.com/player/883604/griffin-darby</v>
      </c>
      <c r="K746" t="s">
        <v>27</v>
      </c>
      <c r="L746" t="s">
        <v>631</v>
      </c>
      <c r="M746" t="s">
        <v>1296</v>
      </c>
      <c r="N746">
        <v>2</v>
      </c>
      <c r="O746" t="s">
        <v>636</v>
      </c>
      <c r="P746">
        <v>0.02</v>
      </c>
      <c r="Q746" t="s">
        <v>1488</v>
      </c>
      <c r="R746">
        <v>0</v>
      </c>
      <c r="S746">
        <v>0</v>
      </c>
      <c r="T746">
        <v>0</v>
      </c>
      <c r="U746">
        <v>0</v>
      </c>
      <c r="V746">
        <v>0</v>
      </c>
    </row>
    <row r="747" spans="1:22" x14ac:dyDescent="0.25">
      <c r="A747" t="s">
        <v>2039</v>
      </c>
      <c r="B747" t="s">
        <v>633</v>
      </c>
      <c r="C747">
        <v>34</v>
      </c>
      <c r="D747" t="s">
        <v>132</v>
      </c>
      <c r="E747" t="s">
        <v>96</v>
      </c>
      <c r="F747" t="s">
        <v>96</v>
      </c>
      <c r="G747">
        <v>0.15</v>
      </c>
      <c r="H747" t="s">
        <v>26</v>
      </c>
      <c r="I747">
        <v>-1</v>
      </c>
      <c r="J747" t="str">
        <f>HYPERLINK("https://www.eliteprospects.com/player/960835/joaquin-geras")</f>
        <v>https://www.eliteprospects.com/player/960835/joaquin-geras</v>
      </c>
      <c r="K747" t="s">
        <v>27</v>
      </c>
      <c r="L747" t="s">
        <v>631</v>
      </c>
      <c r="M747" t="s">
        <v>1296</v>
      </c>
      <c r="N747">
        <v>2</v>
      </c>
      <c r="O747" t="s">
        <v>636</v>
      </c>
      <c r="P747">
        <v>0.02</v>
      </c>
      <c r="Q747" t="s">
        <v>1488</v>
      </c>
      <c r="R747">
        <v>0</v>
      </c>
      <c r="S747">
        <v>0</v>
      </c>
      <c r="T747">
        <v>0</v>
      </c>
      <c r="U747">
        <v>0</v>
      </c>
      <c r="V747">
        <v>0</v>
      </c>
    </row>
    <row r="748" spans="1:22" x14ac:dyDescent="0.25">
      <c r="A748" t="s">
        <v>2040</v>
      </c>
      <c r="B748" t="s">
        <v>660</v>
      </c>
      <c r="C748">
        <v>29</v>
      </c>
      <c r="D748" t="s">
        <v>140</v>
      </c>
      <c r="E748" t="s">
        <v>260</v>
      </c>
      <c r="F748" t="s">
        <v>66</v>
      </c>
      <c r="G748">
        <v>0.14000000000000001</v>
      </c>
      <c r="H748" t="s">
        <v>79</v>
      </c>
      <c r="I748">
        <v>0</v>
      </c>
      <c r="J748" t="str">
        <f>HYPERLINK("https://www.eliteprospects.com/player/628128/william-degagne")</f>
        <v>https://www.eliteprospects.com/player/628128/william-degagne</v>
      </c>
      <c r="K748" t="s">
        <v>27</v>
      </c>
      <c r="L748" t="s">
        <v>631</v>
      </c>
      <c r="M748" t="s">
        <v>1296</v>
      </c>
      <c r="N748">
        <v>2</v>
      </c>
      <c r="O748" t="s">
        <v>636</v>
      </c>
      <c r="P748">
        <v>0.02</v>
      </c>
      <c r="Q748" t="s">
        <v>1488</v>
      </c>
      <c r="R748">
        <v>0</v>
      </c>
      <c r="S748">
        <v>0</v>
      </c>
      <c r="T748">
        <v>0</v>
      </c>
      <c r="U748">
        <v>0</v>
      </c>
      <c r="V748">
        <v>0</v>
      </c>
    </row>
    <row r="749" spans="1:22" x14ac:dyDescent="0.25">
      <c r="A749" t="s">
        <v>2041</v>
      </c>
      <c r="B749" t="s">
        <v>676</v>
      </c>
      <c r="C749">
        <v>21</v>
      </c>
      <c r="D749" t="s">
        <v>79</v>
      </c>
      <c r="E749" t="s">
        <v>79</v>
      </c>
      <c r="F749" t="s">
        <v>66</v>
      </c>
      <c r="G749">
        <v>0.19</v>
      </c>
      <c r="H749" t="s">
        <v>132</v>
      </c>
      <c r="I749">
        <v>0</v>
      </c>
      <c r="J749" t="str">
        <f>HYPERLINK("https://www.eliteprospects.com/player/966683/aiden-wagner")</f>
        <v>https://www.eliteprospects.com/player/966683/aiden-wagner</v>
      </c>
      <c r="K749" t="s">
        <v>27</v>
      </c>
      <c r="L749" t="s">
        <v>631</v>
      </c>
      <c r="M749" t="s">
        <v>1296</v>
      </c>
      <c r="N749">
        <v>2</v>
      </c>
      <c r="O749" t="s">
        <v>636</v>
      </c>
      <c r="P749">
        <v>0.03</v>
      </c>
      <c r="Q749" t="s">
        <v>1488</v>
      </c>
      <c r="R749">
        <v>0</v>
      </c>
      <c r="S749">
        <v>0</v>
      </c>
      <c r="T749">
        <v>0</v>
      </c>
      <c r="U749">
        <v>0</v>
      </c>
      <c r="V749">
        <v>0</v>
      </c>
    </row>
    <row r="750" spans="1:22" x14ac:dyDescent="0.25">
      <c r="A750" t="s">
        <v>2042</v>
      </c>
      <c r="B750" t="s">
        <v>653</v>
      </c>
      <c r="C750">
        <v>22</v>
      </c>
      <c r="D750" t="s">
        <v>79</v>
      </c>
      <c r="E750" t="s">
        <v>79</v>
      </c>
      <c r="F750" t="s">
        <v>66</v>
      </c>
      <c r="G750">
        <v>0.18</v>
      </c>
      <c r="H750" t="s">
        <v>716</v>
      </c>
      <c r="I750">
        <v>7</v>
      </c>
      <c r="J750" t="str">
        <f>HYPERLINK("https://www.eliteprospects.com/player/727572/nate-corbet")</f>
        <v>https://www.eliteprospects.com/player/727572/nate-corbet</v>
      </c>
      <c r="K750" t="s">
        <v>27</v>
      </c>
      <c r="L750" t="s">
        <v>631</v>
      </c>
      <c r="M750" t="s">
        <v>1296</v>
      </c>
      <c r="N750">
        <v>3</v>
      </c>
      <c r="O750" t="s">
        <v>639</v>
      </c>
      <c r="P750">
        <v>0.03</v>
      </c>
      <c r="Q750" t="s">
        <v>1488</v>
      </c>
      <c r="R750">
        <v>0</v>
      </c>
      <c r="S750">
        <v>0</v>
      </c>
      <c r="T750">
        <v>0</v>
      </c>
      <c r="U750">
        <v>0</v>
      </c>
      <c r="V750">
        <v>0</v>
      </c>
    </row>
    <row r="751" spans="1:22" x14ac:dyDescent="0.25">
      <c r="A751" t="s">
        <v>2043</v>
      </c>
      <c r="B751" t="s">
        <v>662</v>
      </c>
      <c r="C751">
        <v>33</v>
      </c>
      <c r="D751" t="s">
        <v>79</v>
      </c>
      <c r="E751" t="s">
        <v>79</v>
      </c>
      <c r="F751" t="s">
        <v>66</v>
      </c>
      <c r="G751">
        <v>0.12</v>
      </c>
      <c r="H751" t="s">
        <v>55</v>
      </c>
      <c r="I751">
        <v>5</v>
      </c>
      <c r="J751" t="str">
        <f>HYPERLINK("https://www.eliteprospects.com/player/891499/vanek-popil")</f>
        <v>https://www.eliteprospects.com/player/891499/vanek-popil</v>
      </c>
      <c r="K751" t="s">
        <v>27</v>
      </c>
      <c r="L751" t="s">
        <v>631</v>
      </c>
      <c r="M751" t="s">
        <v>1296</v>
      </c>
      <c r="N751">
        <v>3</v>
      </c>
      <c r="O751" t="s">
        <v>639</v>
      </c>
      <c r="P751">
        <v>0.02</v>
      </c>
      <c r="Q751" t="s">
        <v>1488</v>
      </c>
      <c r="R751">
        <v>0</v>
      </c>
      <c r="S751">
        <v>0</v>
      </c>
      <c r="T751">
        <v>0</v>
      </c>
      <c r="U751">
        <v>0</v>
      </c>
      <c r="V751">
        <v>0</v>
      </c>
    </row>
    <row r="752" spans="1:22" x14ac:dyDescent="0.25">
      <c r="A752" t="s">
        <v>2044</v>
      </c>
      <c r="B752" t="s">
        <v>659</v>
      </c>
      <c r="C752">
        <v>39</v>
      </c>
      <c r="D752" t="s">
        <v>79</v>
      </c>
      <c r="E752" t="s">
        <v>79</v>
      </c>
      <c r="F752" t="s">
        <v>66</v>
      </c>
      <c r="G752">
        <v>0.1</v>
      </c>
      <c r="H752" t="s">
        <v>739</v>
      </c>
      <c r="I752">
        <v>-2</v>
      </c>
      <c r="J752" t="str">
        <f>HYPERLINK("https://www.eliteprospects.com/player/711430/ismail-abougouche")</f>
        <v>https://www.eliteprospects.com/player/711430/ismail-abougouche</v>
      </c>
      <c r="K752" t="s">
        <v>27</v>
      </c>
      <c r="L752" t="s">
        <v>631</v>
      </c>
      <c r="M752" t="s">
        <v>1417</v>
      </c>
      <c r="N752">
        <v>4</v>
      </c>
      <c r="O752" t="s">
        <v>632</v>
      </c>
      <c r="P752">
        <v>0.01</v>
      </c>
      <c r="Q752" t="s">
        <v>1488</v>
      </c>
      <c r="R752">
        <v>0</v>
      </c>
      <c r="S752">
        <v>0</v>
      </c>
      <c r="T752">
        <v>0</v>
      </c>
      <c r="U752">
        <v>0</v>
      </c>
      <c r="V752">
        <v>0</v>
      </c>
    </row>
    <row r="753" spans="1:22" x14ac:dyDescent="0.25">
      <c r="A753" t="s">
        <v>2045</v>
      </c>
      <c r="B753" t="s">
        <v>651</v>
      </c>
      <c r="C753">
        <v>27</v>
      </c>
      <c r="D753" t="s">
        <v>260</v>
      </c>
      <c r="E753" t="s">
        <v>140</v>
      </c>
      <c r="F753" t="s">
        <v>66</v>
      </c>
      <c r="G753">
        <v>0.15</v>
      </c>
      <c r="H753" t="s">
        <v>47</v>
      </c>
      <c r="I753">
        <v>13</v>
      </c>
      <c r="J753" t="str">
        <f>HYPERLINK("https://www.eliteprospects.com/player/854386/matyas-man")</f>
        <v>https://www.eliteprospects.com/player/854386/matyas-man</v>
      </c>
      <c r="K753" t="s">
        <v>27</v>
      </c>
      <c r="L753" t="s">
        <v>631</v>
      </c>
      <c r="M753" t="s">
        <v>1296</v>
      </c>
      <c r="N753">
        <v>1</v>
      </c>
      <c r="O753" t="s">
        <v>634</v>
      </c>
      <c r="P753">
        <v>0.02</v>
      </c>
      <c r="Q753" t="s">
        <v>1488</v>
      </c>
      <c r="R753">
        <v>0</v>
      </c>
      <c r="S753">
        <v>0</v>
      </c>
      <c r="T753">
        <v>0</v>
      </c>
      <c r="U753">
        <v>0</v>
      </c>
      <c r="V753">
        <v>0</v>
      </c>
    </row>
    <row r="754" spans="1:22" x14ac:dyDescent="0.25">
      <c r="A754" t="s">
        <v>2046</v>
      </c>
      <c r="B754" t="s">
        <v>694</v>
      </c>
      <c r="C754">
        <v>35</v>
      </c>
      <c r="D754" t="s">
        <v>260</v>
      </c>
      <c r="E754" t="s">
        <v>140</v>
      </c>
      <c r="F754" t="s">
        <v>66</v>
      </c>
      <c r="G754">
        <v>0.11</v>
      </c>
      <c r="H754" t="s">
        <v>47</v>
      </c>
      <c r="I754">
        <v>-9</v>
      </c>
      <c r="J754" t="str">
        <f>HYPERLINK("https://www.eliteprospects.com/player/917679/tomas-malinek")</f>
        <v>https://www.eliteprospects.com/player/917679/tomas-malinek</v>
      </c>
      <c r="K754" t="s">
        <v>27</v>
      </c>
      <c r="L754" t="s">
        <v>631</v>
      </c>
      <c r="M754" t="s">
        <v>1296</v>
      </c>
      <c r="N754">
        <v>1</v>
      </c>
      <c r="O754" t="s">
        <v>634</v>
      </c>
      <c r="P754">
        <v>0.02</v>
      </c>
      <c r="Q754" t="s">
        <v>1488</v>
      </c>
      <c r="R754">
        <v>0</v>
      </c>
      <c r="S754">
        <v>0</v>
      </c>
      <c r="T754">
        <v>0</v>
      </c>
      <c r="U754">
        <v>0</v>
      </c>
      <c r="V754">
        <v>0</v>
      </c>
    </row>
    <row r="755" spans="1:22" x14ac:dyDescent="0.25">
      <c r="A755" t="s">
        <v>2047</v>
      </c>
      <c r="B755" t="s">
        <v>671</v>
      </c>
      <c r="C755">
        <v>37</v>
      </c>
      <c r="D755" t="s">
        <v>260</v>
      </c>
      <c r="E755" t="s">
        <v>140</v>
      </c>
      <c r="F755" t="s">
        <v>66</v>
      </c>
      <c r="G755">
        <v>0.11</v>
      </c>
      <c r="H755" t="s">
        <v>513</v>
      </c>
      <c r="I755">
        <v>-16</v>
      </c>
      <c r="J755" t="str">
        <f>HYPERLINK("https://www.eliteprospects.com/player/735915/nathan-mayes")</f>
        <v>https://www.eliteprospects.com/player/735915/nathan-mayes</v>
      </c>
      <c r="K755" t="s">
        <v>27</v>
      </c>
      <c r="L755" t="s">
        <v>631</v>
      </c>
      <c r="M755" t="s">
        <v>1296</v>
      </c>
      <c r="N755">
        <v>5</v>
      </c>
      <c r="O755" t="s">
        <v>645</v>
      </c>
      <c r="P755">
        <v>0.02</v>
      </c>
      <c r="Q755" t="s">
        <v>1488</v>
      </c>
      <c r="R755">
        <v>0</v>
      </c>
      <c r="S755">
        <v>0</v>
      </c>
      <c r="T755">
        <v>0</v>
      </c>
      <c r="U755">
        <v>0</v>
      </c>
      <c r="V755">
        <v>0</v>
      </c>
    </row>
    <row r="756" spans="1:22" x14ac:dyDescent="0.25">
      <c r="A756" t="s">
        <v>2048</v>
      </c>
      <c r="B756" t="s">
        <v>647</v>
      </c>
      <c r="C756">
        <v>22</v>
      </c>
      <c r="D756" t="s">
        <v>132</v>
      </c>
      <c r="E756" t="s">
        <v>66</v>
      </c>
      <c r="F756" t="s">
        <v>66</v>
      </c>
      <c r="G756">
        <v>0.18</v>
      </c>
      <c r="H756" t="s">
        <v>23</v>
      </c>
      <c r="I756">
        <v>-4</v>
      </c>
      <c r="J756" t="str">
        <f>HYPERLINK("https://www.eliteprospects.com/player/836540/daniil-skvortsov")</f>
        <v>https://www.eliteprospects.com/player/836540/daniil-skvortsov</v>
      </c>
      <c r="K756" t="s">
        <v>27</v>
      </c>
      <c r="L756" t="s">
        <v>631</v>
      </c>
      <c r="M756" t="s">
        <v>1296</v>
      </c>
      <c r="N756">
        <v>3</v>
      </c>
      <c r="O756" t="s">
        <v>717</v>
      </c>
      <c r="P756">
        <v>0.03</v>
      </c>
      <c r="Q756" t="s">
        <v>1488</v>
      </c>
      <c r="R756">
        <v>0</v>
      </c>
      <c r="S756">
        <v>0</v>
      </c>
      <c r="T756">
        <v>0</v>
      </c>
      <c r="U756">
        <v>0</v>
      </c>
      <c r="V756">
        <v>0</v>
      </c>
    </row>
    <row r="757" spans="1:22" x14ac:dyDescent="0.25">
      <c r="A757" t="s">
        <v>2049</v>
      </c>
      <c r="B757" t="s">
        <v>651</v>
      </c>
      <c r="C757">
        <v>22</v>
      </c>
      <c r="D757" t="s">
        <v>132</v>
      </c>
      <c r="E757" t="s">
        <v>66</v>
      </c>
      <c r="F757" t="s">
        <v>66</v>
      </c>
      <c r="G757">
        <v>0.18</v>
      </c>
      <c r="H757" t="s">
        <v>39</v>
      </c>
      <c r="I757">
        <v>2</v>
      </c>
      <c r="J757" t="str">
        <f>HYPERLINK("https://www.eliteprospects.com/player/805657/hubert-clarke")</f>
        <v>https://www.eliteprospects.com/player/805657/hubert-clarke</v>
      </c>
      <c r="K757" t="s">
        <v>27</v>
      </c>
      <c r="L757" t="s">
        <v>631</v>
      </c>
      <c r="M757" t="s">
        <v>1296</v>
      </c>
      <c r="N757">
        <v>1</v>
      </c>
      <c r="O757" t="s">
        <v>634</v>
      </c>
      <c r="P757">
        <v>0.03</v>
      </c>
      <c r="Q757" t="s">
        <v>1488</v>
      </c>
      <c r="R757">
        <v>0</v>
      </c>
      <c r="S757">
        <v>0</v>
      </c>
      <c r="T757">
        <v>0</v>
      </c>
      <c r="U757">
        <v>0</v>
      </c>
      <c r="V757">
        <v>0</v>
      </c>
    </row>
    <row r="758" spans="1:22" x14ac:dyDescent="0.25">
      <c r="A758" t="s">
        <v>2050</v>
      </c>
      <c r="B758" t="s">
        <v>684</v>
      </c>
      <c r="C758">
        <v>26</v>
      </c>
      <c r="D758" t="s">
        <v>132</v>
      </c>
      <c r="E758" t="s">
        <v>66</v>
      </c>
      <c r="F758" t="s">
        <v>66</v>
      </c>
      <c r="G758">
        <v>0.15</v>
      </c>
      <c r="H758" t="s">
        <v>39</v>
      </c>
      <c r="I758">
        <v>-6</v>
      </c>
      <c r="J758" t="str">
        <f>HYPERLINK("https://www.eliteprospects.com/player/815003/drew-smith")</f>
        <v>https://www.eliteprospects.com/player/815003/drew-smith</v>
      </c>
      <c r="K758" t="s">
        <v>27</v>
      </c>
      <c r="L758" t="s">
        <v>631</v>
      </c>
      <c r="M758" t="s">
        <v>1296</v>
      </c>
      <c r="N758">
        <v>1</v>
      </c>
      <c r="O758" t="s">
        <v>634</v>
      </c>
      <c r="P758">
        <v>0.02</v>
      </c>
      <c r="Q758" t="s">
        <v>1488</v>
      </c>
      <c r="R758">
        <v>0</v>
      </c>
      <c r="S758">
        <v>0</v>
      </c>
      <c r="T758">
        <v>0</v>
      </c>
      <c r="U758">
        <v>0</v>
      </c>
      <c r="V758">
        <v>0</v>
      </c>
    </row>
    <row r="759" spans="1:22" x14ac:dyDescent="0.25">
      <c r="A759" t="s">
        <v>2051</v>
      </c>
      <c r="B759" t="s">
        <v>507</v>
      </c>
      <c r="C759">
        <v>27</v>
      </c>
      <c r="D759" t="s">
        <v>132</v>
      </c>
      <c r="E759" t="s">
        <v>66</v>
      </c>
      <c r="F759" t="s">
        <v>66</v>
      </c>
      <c r="G759">
        <v>0.15</v>
      </c>
      <c r="H759" t="s">
        <v>39</v>
      </c>
      <c r="I759">
        <v>-25</v>
      </c>
      <c r="J759" t="str">
        <f>HYPERLINK("https://www.eliteprospects.com/player/788680/jackson-gillespie")</f>
        <v>https://www.eliteprospects.com/player/788680/jackson-gillespie</v>
      </c>
      <c r="K759" t="s">
        <v>27</v>
      </c>
      <c r="L759" t="s">
        <v>631</v>
      </c>
      <c r="M759" t="s">
        <v>1296</v>
      </c>
      <c r="N759">
        <v>3</v>
      </c>
      <c r="O759" t="s">
        <v>639</v>
      </c>
      <c r="P759">
        <v>0.02</v>
      </c>
      <c r="Q759" t="s">
        <v>1488</v>
      </c>
      <c r="R759">
        <v>0</v>
      </c>
      <c r="S759">
        <v>0</v>
      </c>
      <c r="T759">
        <v>0</v>
      </c>
      <c r="U759">
        <v>0</v>
      </c>
      <c r="V759">
        <v>0</v>
      </c>
    </row>
    <row r="760" spans="1:22" x14ac:dyDescent="0.25">
      <c r="A760" t="s">
        <v>2052</v>
      </c>
      <c r="B760" t="s">
        <v>684</v>
      </c>
      <c r="C760">
        <v>35</v>
      </c>
      <c r="D760" t="s">
        <v>132</v>
      </c>
      <c r="E760" t="s">
        <v>66</v>
      </c>
      <c r="F760" t="s">
        <v>66</v>
      </c>
      <c r="G760">
        <v>0.11</v>
      </c>
      <c r="H760" t="s">
        <v>39</v>
      </c>
      <c r="I760">
        <v>-8</v>
      </c>
      <c r="J760" t="str">
        <f>HYPERLINK("https://www.eliteprospects.com/player/810648/darian-rolsing")</f>
        <v>https://www.eliteprospects.com/player/810648/darian-rolsing</v>
      </c>
      <c r="K760" t="s">
        <v>27</v>
      </c>
      <c r="L760" t="s">
        <v>631</v>
      </c>
      <c r="M760" t="s">
        <v>1296</v>
      </c>
      <c r="N760">
        <v>1</v>
      </c>
      <c r="O760" t="s">
        <v>634</v>
      </c>
      <c r="P760">
        <v>0.02</v>
      </c>
      <c r="Q760" t="s">
        <v>1488</v>
      </c>
      <c r="R760">
        <v>0</v>
      </c>
      <c r="S760">
        <v>0</v>
      </c>
      <c r="T760">
        <v>0</v>
      </c>
      <c r="U760">
        <v>0</v>
      </c>
      <c r="V760">
        <v>0</v>
      </c>
    </row>
    <row r="761" spans="1:22" x14ac:dyDescent="0.25">
      <c r="A761" t="s">
        <v>2053</v>
      </c>
      <c r="B761" t="s">
        <v>507</v>
      </c>
      <c r="C761">
        <v>39</v>
      </c>
      <c r="D761" t="s">
        <v>132</v>
      </c>
      <c r="E761" t="s">
        <v>66</v>
      </c>
      <c r="F761" t="s">
        <v>66</v>
      </c>
      <c r="G761">
        <v>0.1</v>
      </c>
      <c r="H761" t="s">
        <v>23</v>
      </c>
      <c r="I761">
        <v>-22</v>
      </c>
      <c r="J761" t="str">
        <f>HYPERLINK("https://www.eliteprospects.com/player/577083/brennen-hocher")</f>
        <v>https://www.eliteprospects.com/player/577083/brennen-hocher</v>
      </c>
      <c r="K761" t="s">
        <v>27</v>
      </c>
      <c r="L761" t="s">
        <v>631</v>
      </c>
      <c r="M761" t="s">
        <v>1296</v>
      </c>
      <c r="N761">
        <v>1</v>
      </c>
      <c r="O761" t="s">
        <v>634</v>
      </c>
      <c r="P761">
        <v>0.01</v>
      </c>
      <c r="Q761" t="s">
        <v>1488</v>
      </c>
      <c r="R761">
        <v>0</v>
      </c>
      <c r="S761">
        <v>0</v>
      </c>
      <c r="T761">
        <v>0</v>
      </c>
      <c r="U761">
        <v>0</v>
      </c>
      <c r="V761">
        <v>0</v>
      </c>
    </row>
    <row r="762" spans="1:22" x14ac:dyDescent="0.25">
      <c r="A762" t="s">
        <v>2054</v>
      </c>
      <c r="B762" t="s">
        <v>507</v>
      </c>
      <c r="C762">
        <v>19</v>
      </c>
      <c r="D762" t="s">
        <v>79</v>
      </c>
      <c r="E762" t="s">
        <v>260</v>
      </c>
      <c r="F762" t="s">
        <v>140</v>
      </c>
      <c r="G762">
        <v>0.16</v>
      </c>
      <c r="H762" t="s">
        <v>66</v>
      </c>
      <c r="I762">
        <v>-2</v>
      </c>
      <c r="J762" t="str">
        <f>HYPERLINK("https://www.eliteprospects.com/player/830374/cameron-dillard")</f>
        <v>https://www.eliteprospects.com/player/830374/cameron-dillard</v>
      </c>
      <c r="K762" t="s">
        <v>27</v>
      </c>
      <c r="L762" t="s">
        <v>631</v>
      </c>
      <c r="M762" t="s">
        <v>1296</v>
      </c>
      <c r="N762">
        <v>1</v>
      </c>
      <c r="O762" t="s">
        <v>634</v>
      </c>
      <c r="P762">
        <v>0.02</v>
      </c>
      <c r="Q762" t="s">
        <v>1488</v>
      </c>
      <c r="R762">
        <v>0</v>
      </c>
      <c r="S762">
        <v>0</v>
      </c>
      <c r="T762">
        <v>0</v>
      </c>
      <c r="U762">
        <v>0</v>
      </c>
      <c r="V762">
        <v>0</v>
      </c>
    </row>
    <row r="763" spans="1:22" x14ac:dyDescent="0.25">
      <c r="A763" t="s">
        <v>2055</v>
      </c>
      <c r="B763" t="s">
        <v>653</v>
      </c>
      <c r="C763">
        <v>12</v>
      </c>
      <c r="D763" t="s">
        <v>260</v>
      </c>
      <c r="E763" t="s">
        <v>79</v>
      </c>
      <c r="F763" t="s">
        <v>140</v>
      </c>
      <c r="G763">
        <v>0.25</v>
      </c>
      <c r="H763" t="s">
        <v>132</v>
      </c>
      <c r="I763">
        <v>0</v>
      </c>
      <c r="J763" t="str">
        <f>HYPERLINK("https://www.eliteprospects.com/player/692793/gabriel-guilbault")</f>
        <v>https://www.eliteprospects.com/player/692793/gabriel-guilbault</v>
      </c>
      <c r="K763" t="s">
        <v>27</v>
      </c>
      <c r="L763" t="s">
        <v>631</v>
      </c>
      <c r="M763" t="s">
        <v>1296</v>
      </c>
      <c r="N763">
        <v>2</v>
      </c>
      <c r="O763" t="s">
        <v>636</v>
      </c>
      <c r="P763">
        <v>0.04</v>
      </c>
      <c r="Q763" t="s">
        <v>1488</v>
      </c>
      <c r="R763">
        <v>0</v>
      </c>
      <c r="S763">
        <v>0</v>
      </c>
      <c r="T763">
        <v>0</v>
      </c>
      <c r="U763">
        <v>0</v>
      </c>
      <c r="V763">
        <v>0</v>
      </c>
    </row>
    <row r="764" spans="1:22" x14ac:dyDescent="0.25">
      <c r="A764" t="s">
        <v>2056</v>
      </c>
      <c r="B764" t="s">
        <v>507</v>
      </c>
      <c r="C764">
        <v>14</v>
      </c>
      <c r="D764" t="s">
        <v>260</v>
      </c>
      <c r="E764" t="s">
        <v>79</v>
      </c>
      <c r="F764" t="s">
        <v>140</v>
      </c>
      <c r="G764">
        <v>0.21</v>
      </c>
      <c r="H764" t="s">
        <v>66</v>
      </c>
      <c r="I764">
        <v>-7</v>
      </c>
      <c r="J764" t="str">
        <f>HYPERLINK("https://www.eliteprospects.com/player/881380/easton-laplante")</f>
        <v>https://www.eliteprospects.com/player/881380/easton-laplante</v>
      </c>
      <c r="K764" t="s">
        <v>27</v>
      </c>
      <c r="L764" t="s">
        <v>631</v>
      </c>
      <c r="M764" t="s">
        <v>1296</v>
      </c>
      <c r="N764">
        <v>3</v>
      </c>
      <c r="O764" t="s">
        <v>639</v>
      </c>
      <c r="P764">
        <v>0.03</v>
      </c>
      <c r="Q764" t="s">
        <v>1488</v>
      </c>
      <c r="R764">
        <v>0</v>
      </c>
      <c r="S764">
        <v>0</v>
      </c>
      <c r="T764">
        <v>0</v>
      </c>
      <c r="U764">
        <v>0</v>
      </c>
      <c r="V764">
        <v>0</v>
      </c>
    </row>
    <row r="765" spans="1:22" x14ac:dyDescent="0.25">
      <c r="A765" t="s">
        <v>2057</v>
      </c>
      <c r="B765" t="s">
        <v>657</v>
      </c>
      <c r="C765">
        <v>14</v>
      </c>
      <c r="D765" t="s">
        <v>260</v>
      </c>
      <c r="E765" t="s">
        <v>79</v>
      </c>
      <c r="F765" t="s">
        <v>140</v>
      </c>
      <c r="G765">
        <v>0.21</v>
      </c>
      <c r="H765" t="s">
        <v>26</v>
      </c>
      <c r="I765">
        <v>3</v>
      </c>
      <c r="J765" t="str">
        <f>HYPERLINK("https://www.eliteprospects.com/player/698203/cosmo-wilson")</f>
        <v>https://www.eliteprospects.com/player/698203/cosmo-wilson</v>
      </c>
      <c r="K765" t="s">
        <v>27</v>
      </c>
      <c r="L765" t="s">
        <v>631</v>
      </c>
      <c r="M765" t="s">
        <v>1296</v>
      </c>
      <c r="N765">
        <v>5</v>
      </c>
      <c r="O765" t="s">
        <v>645</v>
      </c>
      <c r="P765">
        <v>0.03</v>
      </c>
      <c r="Q765" t="s">
        <v>1488</v>
      </c>
      <c r="R765">
        <v>0</v>
      </c>
      <c r="S765">
        <v>0</v>
      </c>
      <c r="T765">
        <v>0</v>
      </c>
      <c r="U765">
        <v>0</v>
      </c>
      <c r="V765">
        <v>0</v>
      </c>
    </row>
    <row r="766" spans="1:22" x14ac:dyDescent="0.25">
      <c r="A766" t="s">
        <v>2058</v>
      </c>
      <c r="B766" t="s">
        <v>659</v>
      </c>
      <c r="C766">
        <v>23</v>
      </c>
      <c r="D766" t="s">
        <v>260</v>
      </c>
      <c r="E766" t="s">
        <v>79</v>
      </c>
      <c r="F766" t="s">
        <v>140</v>
      </c>
      <c r="G766">
        <v>0.13</v>
      </c>
      <c r="H766" t="s">
        <v>79</v>
      </c>
      <c r="I766">
        <v>-4</v>
      </c>
      <c r="J766" t="str">
        <f>HYPERLINK("https://www.eliteprospects.com/player/884921/david-byrne")</f>
        <v>https://www.eliteprospects.com/player/884921/david-byrne</v>
      </c>
      <c r="K766" t="s">
        <v>27</v>
      </c>
      <c r="L766" t="s">
        <v>631</v>
      </c>
      <c r="M766" t="s">
        <v>1296</v>
      </c>
      <c r="N766">
        <v>2</v>
      </c>
      <c r="O766" t="s">
        <v>636</v>
      </c>
      <c r="P766">
        <v>0.02</v>
      </c>
      <c r="Q766" t="s">
        <v>1488</v>
      </c>
      <c r="R766">
        <v>0</v>
      </c>
      <c r="S766">
        <v>0</v>
      </c>
      <c r="T766">
        <v>0</v>
      </c>
      <c r="U766">
        <v>0</v>
      </c>
      <c r="V766">
        <v>0</v>
      </c>
    </row>
    <row r="767" spans="1:22" x14ac:dyDescent="0.25">
      <c r="A767" t="s">
        <v>2059</v>
      </c>
      <c r="B767" t="s">
        <v>507</v>
      </c>
      <c r="C767">
        <v>23</v>
      </c>
      <c r="D767" t="s">
        <v>260</v>
      </c>
      <c r="E767" t="s">
        <v>79</v>
      </c>
      <c r="F767" t="s">
        <v>140</v>
      </c>
      <c r="G767">
        <v>0.13</v>
      </c>
      <c r="H767" t="s">
        <v>518</v>
      </c>
      <c r="I767">
        <v>-2</v>
      </c>
      <c r="J767" t="str">
        <f>HYPERLINK("https://www.eliteprospects.com/player/709809/derek-thurston")</f>
        <v>https://www.eliteprospects.com/player/709809/derek-thurston</v>
      </c>
      <c r="K767" t="s">
        <v>27</v>
      </c>
      <c r="L767" t="s">
        <v>631</v>
      </c>
      <c r="M767" t="s">
        <v>1296</v>
      </c>
      <c r="N767">
        <v>3</v>
      </c>
      <c r="O767" t="s">
        <v>639</v>
      </c>
      <c r="P767">
        <v>0.02</v>
      </c>
      <c r="Q767" t="s">
        <v>1488</v>
      </c>
      <c r="R767">
        <v>0</v>
      </c>
      <c r="S767">
        <v>0</v>
      </c>
      <c r="T767">
        <v>0</v>
      </c>
      <c r="U767">
        <v>0</v>
      </c>
      <c r="V767">
        <v>0</v>
      </c>
    </row>
    <row r="768" spans="1:22" x14ac:dyDescent="0.25">
      <c r="A768" t="s">
        <v>2060</v>
      </c>
      <c r="B768" t="s">
        <v>659</v>
      </c>
      <c r="C768">
        <v>29</v>
      </c>
      <c r="D768" t="s">
        <v>260</v>
      </c>
      <c r="E768" t="s">
        <v>79</v>
      </c>
      <c r="F768" t="s">
        <v>140</v>
      </c>
      <c r="G768">
        <v>0.1</v>
      </c>
      <c r="H768" t="s">
        <v>79</v>
      </c>
      <c r="I768">
        <v>-8</v>
      </c>
      <c r="J768" t="str">
        <f>HYPERLINK("https://www.eliteprospects.com/player/701498/aden-bouchard")</f>
        <v>https://www.eliteprospects.com/player/701498/aden-bouchard</v>
      </c>
      <c r="K768" t="s">
        <v>27</v>
      </c>
      <c r="L768" t="s">
        <v>631</v>
      </c>
      <c r="M768" t="s">
        <v>1296</v>
      </c>
      <c r="N768">
        <v>2</v>
      </c>
      <c r="O768" t="s">
        <v>636</v>
      </c>
      <c r="P768">
        <v>0.01</v>
      </c>
      <c r="Q768" t="s">
        <v>1488</v>
      </c>
      <c r="R768">
        <v>0</v>
      </c>
      <c r="S768">
        <v>0</v>
      </c>
      <c r="T768">
        <v>0</v>
      </c>
      <c r="U768">
        <v>0</v>
      </c>
      <c r="V768">
        <v>0</v>
      </c>
    </row>
    <row r="769" spans="1:22" x14ac:dyDescent="0.25">
      <c r="A769" t="s">
        <v>2061</v>
      </c>
      <c r="B769" t="s">
        <v>660</v>
      </c>
      <c r="C769">
        <v>29</v>
      </c>
      <c r="D769" t="s">
        <v>260</v>
      </c>
      <c r="E769" t="s">
        <v>79</v>
      </c>
      <c r="F769" t="s">
        <v>140</v>
      </c>
      <c r="G769">
        <v>0.1</v>
      </c>
      <c r="H769" t="s">
        <v>45</v>
      </c>
      <c r="I769">
        <v>-17</v>
      </c>
      <c r="J769" t="str">
        <f>HYPERLINK("https://www.eliteprospects.com/player/962129/cohen-williams")</f>
        <v>https://www.eliteprospects.com/player/962129/cohen-williams</v>
      </c>
      <c r="K769" t="s">
        <v>27</v>
      </c>
      <c r="L769" t="s">
        <v>631</v>
      </c>
      <c r="M769" t="s">
        <v>1296</v>
      </c>
      <c r="N769">
        <v>2</v>
      </c>
      <c r="O769" t="s">
        <v>636</v>
      </c>
      <c r="P769">
        <v>0.01</v>
      </c>
      <c r="Q769" t="s">
        <v>1488</v>
      </c>
      <c r="R769">
        <v>0</v>
      </c>
      <c r="S769">
        <v>0</v>
      </c>
      <c r="T769">
        <v>0</v>
      </c>
      <c r="U769">
        <v>0</v>
      </c>
      <c r="V769">
        <v>0</v>
      </c>
    </row>
    <row r="770" spans="1:22" x14ac:dyDescent="0.25">
      <c r="A770" t="s">
        <v>2062</v>
      </c>
      <c r="B770" t="s">
        <v>671</v>
      </c>
      <c r="C770">
        <v>30</v>
      </c>
      <c r="D770" t="s">
        <v>260</v>
      </c>
      <c r="E770" t="s">
        <v>79</v>
      </c>
      <c r="F770" t="s">
        <v>140</v>
      </c>
      <c r="G770">
        <v>0.1</v>
      </c>
      <c r="H770" t="s">
        <v>47</v>
      </c>
      <c r="I770">
        <v>2</v>
      </c>
      <c r="J770" t="str">
        <f>HYPERLINK("https://www.eliteprospects.com/player/941082/harry-mattern")</f>
        <v>https://www.eliteprospects.com/player/941082/harry-mattern</v>
      </c>
      <c r="K770" t="s">
        <v>27</v>
      </c>
      <c r="L770" t="s">
        <v>631</v>
      </c>
      <c r="M770" t="s">
        <v>1296</v>
      </c>
      <c r="N770">
        <v>2</v>
      </c>
      <c r="O770" t="s">
        <v>636</v>
      </c>
      <c r="P770">
        <v>0.01</v>
      </c>
      <c r="Q770" t="s">
        <v>1488</v>
      </c>
      <c r="R770">
        <v>0</v>
      </c>
      <c r="S770">
        <v>0</v>
      </c>
      <c r="T770">
        <v>0</v>
      </c>
      <c r="U770">
        <v>0</v>
      </c>
      <c r="V770">
        <v>0</v>
      </c>
    </row>
    <row r="771" spans="1:22" x14ac:dyDescent="0.25">
      <c r="A771" t="s">
        <v>2063</v>
      </c>
      <c r="B771" t="s">
        <v>702</v>
      </c>
      <c r="C771">
        <v>38</v>
      </c>
      <c r="D771" t="s">
        <v>260</v>
      </c>
      <c r="E771" t="s">
        <v>79</v>
      </c>
      <c r="F771" t="s">
        <v>140</v>
      </c>
      <c r="G771">
        <v>0.08</v>
      </c>
      <c r="H771" t="s">
        <v>39</v>
      </c>
      <c r="I771">
        <v>-3</v>
      </c>
      <c r="J771" t="str">
        <f>HYPERLINK("https://www.eliteprospects.com/player/784264/lance-mccloskey")</f>
        <v>https://www.eliteprospects.com/player/784264/lance-mccloskey</v>
      </c>
      <c r="K771" t="s">
        <v>27</v>
      </c>
      <c r="L771" t="s">
        <v>631</v>
      </c>
      <c r="M771" t="s">
        <v>1296</v>
      </c>
      <c r="N771">
        <v>1</v>
      </c>
      <c r="O771" t="s">
        <v>634</v>
      </c>
      <c r="P771">
        <v>0.01</v>
      </c>
      <c r="Q771" t="s">
        <v>1488</v>
      </c>
      <c r="R771">
        <v>0</v>
      </c>
      <c r="S771">
        <v>0</v>
      </c>
      <c r="T771">
        <v>0</v>
      </c>
      <c r="U771">
        <v>0</v>
      </c>
      <c r="V771">
        <v>0</v>
      </c>
    </row>
    <row r="772" spans="1:22" x14ac:dyDescent="0.25">
      <c r="A772" t="s">
        <v>2064</v>
      </c>
      <c r="B772" t="s">
        <v>676</v>
      </c>
      <c r="C772">
        <v>27</v>
      </c>
      <c r="D772" t="s">
        <v>132</v>
      </c>
      <c r="E772" t="s">
        <v>140</v>
      </c>
      <c r="F772" t="s">
        <v>140</v>
      </c>
      <c r="G772">
        <v>0.11</v>
      </c>
      <c r="H772" t="s">
        <v>25</v>
      </c>
      <c r="I772">
        <v>-9</v>
      </c>
      <c r="J772" t="str">
        <f>HYPERLINK("https://www.eliteprospects.com/player/795077/dayton-deschamps")</f>
        <v>https://www.eliteprospects.com/player/795077/dayton-deschamps</v>
      </c>
      <c r="K772" t="s">
        <v>27</v>
      </c>
      <c r="L772" t="s">
        <v>631</v>
      </c>
      <c r="M772" t="s">
        <v>1296</v>
      </c>
      <c r="N772">
        <v>2</v>
      </c>
      <c r="O772" t="s">
        <v>636</v>
      </c>
      <c r="P772">
        <v>0.02</v>
      </c>
      <c r="Q772" t="s">
        <v>1488</v>
      </c>
      <c r="R772">
        <v>0</v>
      </c>
      <c r="S772">
        <v>0</v>
      </c>
      <c r="T772">
        <v>0</v>
      </c>
      <c r="U772">
        <v>0</v>
      </c>
      <c r="V772">
        <v>0</v>
      </c>
    </row>
    <row r="773" spans="1:22" x14ac:dyDescent="0.25">
      <c r="A773" t="s">
        <v>2065</v>
      </c>
      <c r="B773" t="s">
        <v>635</v>
      </c>
      <c r="C773">
        <v>28</v>
      </c>
      <c r="D773" t="s">
        <v>132</v>
      </c>
      <c r="E773" t="s">
        <v>140</v>
      </c>
      <c r="F773" t="s">
        <v>140</v>
      </c>
      <c r="G773">
        <v>0.11</v>
      </c>
      <c r="H773" t="s">
        <v>269</v>
      </c>
      <c r="I773">
        <v>4</v>
      </c>
      <c r="J773" t="str">
        <f>HYPERLINK("https://www.eliteprospects.com/player/725705/rhys-pederson")</f>
        <v>https://www.eliteprospects.com/player/725705/rhys-pederson</v>
      </c>
      <c r="K773" t="s">
        <v>27</v>
      </c>
      <c r="L773" t="s">
        <v>631</v>
      </c>
      <c r="M773" t="s">
        <v>1296</v>
      </c>
      <c r="N773">
        <v>4</v>
      </c>
      <c r="O773" t="s">
        <v>632</v>
      </c>
      <c r="P773">
        <v>0.02</v>
      </c>
      <c r="Q773" t="s">
        <v>1488</v>
      </c>
      <c r="R773">
        <v>0</v>
      </c>
      <c r="S773">
        <v>0</v>
      </c>
      <c r="T773">
        <v>0</v>
      </c>
      <c r="U773">
        <v>0</v>
      </c>
      <c r="V773">
        <v>0</v>
      </c>
    </row>
    <row r="774" spans="1:22" x14ac:dyDescent="0.25">
      <c r="A774" t="s">
        <v>2066</v>
      </c>
      <c r="B774" t="s">
        <v>641</v>
      </c>
      <c r="C774">
        <v>30</v>
      </c>
      <c r="D774" t="s">
        <v>132</v>
      </c>
      <c r="E774" t="s">
        <v>140</v>
      </c>
      <c r="F774" t="s">
        <v>140</v>
      </c>
      <c r="G774">
        <v>0.1</v>
      </c>
      <c r="H774" t="s">
        <v>277</v>
      </c>
      <c r="I774">
        <v>15</v>
      </c>
      <c r="J774" t="str">
        <f>HYPERLINK("https://www.eliteprospects.com/player/617646/sean-burick")</f>
        <v>https://www.eliteprospects.com/player/617646/sean-burick</v>
      </c>
      <c r="K774" t="s">
        <v>27</v>
      </c>
      <c r="L774" t="s">
        <v>631</v>
      </c>
      <c r="M774" t="s">
        <v>1296</v>
      </c>
      <c r="N774">
        <v>1</v>
      </c>
      <c r="O774" t="s">
        <v>634</v>
      </c>
      <c r="P774">
        <v>0.01</v>
      </c>
      <c r="Q774" t="s">
        <v>1488</v>
      </c>
      <c r="R774">
        <v>0</v>
      </c>
      <c r="S774">
        <v>0</v>
      </c>
      <c r="T774">
        <v>0</v>
      </c>
      <c r="U774">
        <v>0</v>
      </c>
      <c r="V774">
        <v>0</v>
      </c>
    </row>
    <row r="775" spans="1:22" x14ac:dyDescent="0.25">
      <c r="A775" t="s">
        <v>2067</v>
      </c>
      <c r="B775" t="s">
        <v>686</v>
      </c>
      <c r="C775">
        <v>38</v>
      </c>
      <c r="D775" t="s">
        <v>132</v>
      </c>
      <c r="E775" t="s">
        <v>140</v>
      </c>
      <c r="F775" t="s">
        <v>140</v>
      </c>
      <c r="G775">
        <v>0.08</v>
      </c>
      <c r="H775" t="s">
        <v>178</v>
      </c>
      <c r="I775">
        <v>-11</v>
      </c>
      <c r="J775" t="str">
        <f>HYPERLINK("https://www.eliteprospects.com/player/883645/jake-missura")</f>
        <v>https://www.eliteprospects.com/player/883645/jake-missura</v>
      </c>
      <c r="K775" t="s">
        <v>27</v>
      </c>
      <c r="L775" t="s">
        <v>631</v>
      </c>
      <c r="M775" t="s">
        <v>1296</v>
      </c>
      <c r="N775">
        <v>3</v>
      </c>
      <c r="O775" t="s">
        <v>639</v>
      </c>
      <c r="P775">
        <v>0.01</v>
      </c>
      <c r="Q775" t="s">
        <v>1488</v>
      </c>
      <c r="R775">
        <v>0</v>
      </c>
      <c r="S775">
        <v>0</v>
      </c>
      <c r="T775">
        <v>0</v>
      </c>
      <c r="U775">
        <v>0</v>
      </c>
      <c r="V775">
        <v>0</v>
      </c>
    </row>
    <row r="776" spans="1:22" x14ac:dyDescent="0.25">
      <c r="A776" t="s">
        <v>2068</v>
      </c>
      <c r="B776" t="s">
        <v>507</v>
      </c>
      <c r="C776">
        <v>17</v>
      </c>
      <c r="D776" t="s">
        <v>79</v>
      </c>
      <c r="E776" t="s">
        <v>132</v>
      </c>
      <c r="F776" t="s">
        <v>79</v>
      </c>
      <c r="G776">
        <v>0.12</v>
      </c>
      <c r="H776" t="s">
        <v>39</v>
      </c>
      <c r="I776">
        <v>-3</v>
      </c>
      <c r="J776" t="str">
        <f>HYPERLINK("https://www.eliteprospects.com/player/746975/caden-campion")</f>
        <v>https://www.eliteprospects.com/player/746975/caden-campion</v>
      </c>
      <c r="K776" t="s">
        <v>27</v>
      </c>
      <c r="L776" t="s">
        <v>631</v>
      </c>
      <c r="M776" t="s">
        <v>1296</v>
      </c>
      <c r="N776">
        <v>1</v>
      </c>
      <c r="O776" t="s">
        <v>634</v>
      </c>
      <c r="P776">
        <v>0.02</v>
      </c>
      <c r="Q776" t="s">
        <v>1488</v>
      </c>
      <c r="R776">
        <v>0</v>
      </c>
      <c r="S776">
        <v>0</v>
      </c>
      <c r="T776">
        <v>0</v>
      </c>
      <c r="U776">
        <v>0</v>
      </c>
      <c r="V776">
        <v>0</v>
      </c>
    </row>
    <row r="777" spans="1:22" x14ac:dyDescent="0.25">
      <c r="A777" t="s">
        <v>2069</v>
      </c>
      <c r="B777" t="s">
        <v>667</v>
      </c>
      <c r="C777">
        <v>14</v>
      </c>
      <c r="D777" t="s">
        <v>260</v>
      </c>
      <c r="E777" t="s">
        <v>260</v>
      </c>
      <c r="F777" t="s">
        <v>79</v>
      </c>
      <c r="G777">
        <v>0.14000000000000001</v>
      </c>
      <c r="H777" t="s">
        <v>24</v>
      </c>
      <c r="I777">
        <v>6</v>
      </c>
      <c r="J777" t="str">
        <f>HYPERLINK("https://www.eliteprospects.com/player/736409/isaac-poll")</f>
        <v>https://www.eliteprospects.com/player/736409/isaac-poll</v>
      </c>
      <c r="K777" t="s">
        <v>27</v>
      </c>
      <c r="L777" t="s">
        <v>631</v>
      </c>
      <c r="M777" t="s">
        <v>1296</v>
      </c>
      <c r="N777">
        <v>3</v>
      </c>
      <c r="O777" t="s">
        <v>639</v>
      </c>
      <c r="P777">
        <v>0.02</v>
      </c>
      <c r="Q777" t="s">
        <v>1488</v>
      </c>
      <c r="R777">
        <v>0</v>
      </c>
      <c r="S777">
        <v>0</v>
      </c>
      <c r="T777">
        <v>0</v>
      </c>
      <c r="U777">
        <v>0</v>
      </c>
      <c r="V777">
        <v>0</v>
      </c>
    </row>
    <row r="778" spans="1:22" x14ac:dyDescent="0.25">
      <c r="A778" t="s">
        <v>2070</v>
      </c>
      <c r="B778" t="s">
        <v>640</v>
      </c>
      <c r="C778">
        <v>18</v>
      </c>
      <c r="D778" t="s">
        <v>260</v>
      </c>
      <c r="E778" t="s">
        <v>260</v>
      </c>
      <c r="F778" t="s">
        <v>79</v>
      </c>
      <c r="G778">
        <v>0.11</v>
      </c>
      <c r="H778" t="s">
        <v>132</v>
      </c>
      <c r="I778">
        <v>3</v>
      </c>
      <c r="J778" t="str">
        <f>HYPERLINK("https://www.eliteprospects.com/player/950610/luke-christopherson")</f>
        <v>https://www.eliteprospects.com/player/950610/luke-christopherson</v>
      </c>
      <c r="K778" t="s">
        <v>27</v>
      </c>
      <c r="L778" t="s">
        <v>631</v>
      </c>
      <c r="M778" t="s">
        <v>1296</v>
      </c>
      <c r="N778">
        <v>1</v>
      </c>
      <c r="O778" t="s">
        <v>634</v>
      </c>
      <c r="P778">
        <v>0.02</v>
      </c>
      <c r="Q778" t="s">
        <v>1488</v>
      </c>
      <c r="R778">
        <v>0</v>
      </c>
      <c r="S778">
        <v>0</v>
      </c>
      <c r="T778">
        <v>0</v>
      </c>
      <c r="U778">
        <v>0</v>
      </c>
      <c r="V778">
        <v>0</v>
      </c>
    </row>
    <row r="779" spans="1:22" x14ac:dyDescent="0.25">
      <c r="A779" t="s">
        <v>2071</v>
      </c>
      <c r="B779" t="s">
        <v>507</v>
      </c>
      <c r="C779">
        <v>23</v>
      </c>
      <c r="D779" t="s">
        <v>260</v>
      </c>
      <c r="E779" t="s">
        <v>260</v>
      </c>
      <c r="F779" t="s">
        <v>79</v>
      </c>
      <c r="G779">
        <v>0.09</v>
      </c>
      <c r="H779" t="s">
        <v>40</v>
      </c>
      <c r="I779">
        <v>0</v>
      </c>
      <c r="J779" t="str">
        <f>HYPERLINK("https://www.eliteprospects.com/player/825478/jaxson-pawlenchuk")</f>
        <v>https://www.eliteprospects.com/player/825478/jaxson-pawlenchuk</v>
      </c>
      <c r="K779" t="s">
        <v>27</v>
      </c>
      <c r="L779" t="s">
        <v>631</v>
      </c>
      <c r="M779" t="s">
        <v>1296</v>
      </c>
      <c r="N779">
        <v>2</v>
      </c>
      <c r="O779" t="s">
        <v>636</v>
      </c>
      <c r="P779">
        <v>0.01</v>
      </c>
      <c r="Q779" t="s">
        <v>1488</v>
      </c>
      <c r="R779">
        <v>0</v>
      </c>
      <c r="S779">
        <v>0</v>
      </c>
      <c r="T779">
        <v>0</v>
      </c>
      <c r="U779">
        <v>0</v>
      </c>
      <c r="V779">
        <v>0</v>
      </c>
    </row>
    <row r="780" spans="1:22" x14ac:dyDescent="0.25">
      <c r="A780" t="s">
        <v>2072</v>
      </c>
      <c r="B780" t="s">
        <v>684</v>
      </c>
      <c r="C780">
        <v>13</v>
      </c>
      <c r="D780" t="s">
        <v>132</v>
      </c>
      <c r="E780" t="s">
        <v>79</v>
      </c>
      <c r="F780" t="s">
        <v>79</v>
      </c>
      <c r="G780">
        <v>0.15</v>
      </c>
      <c r="H780" t="s">
        <v>23</v>
      </c>
      <c r="I780">
        <v>-6</v>
      </c>
      <c r="J780" t="str">
        <f>HYPERLINK("https://www.eliteprospects.com/player/965717/daniel-vaillant")</f>
        <v>https://www.eliteprospects.com/player/965717/daniel-vaillant</v>
      </c>
      <c r="K780" t="s">
        <v>27</v>
      </c>
      <c r="L780" t="s">
        <v>631</v>
      </c>
      <c r="M780" t="s">
        <v>1296</v>
      </c>
      <c r="N780">
        <v>2</v>
      </c>
      <c r="O780" t="s">
        <v>636</v>
      </c>
      <c r="P780">
        <v>0.02</v>
      </c>
      <c r="Q780" t="s">
        <v>1488</v>
      </c>
      <c r="R780">
        <v>0</v>
      </c>
      <c r="S780">
        <v>0</v>
      </c>
      <c r="T780">
        <v>0</v>
      </c>
      <c r="U780">
        <v>0</v>
      </c>
      <c r="V780">
        <v>0</v>
      </c>
    </row>
    <row r="781" spans="1:22" x14ac:dyDescent="0.25">
      <c r="A781" t="s">
        <v>2073</v>
      </c>
      <c r="B781" t="s">
        <v>635</v>
      </c>
      <c r="C781">
        <v>17</v>
      </c>
      <c r="D781" t="s">
        <v>132</v>
      </c>
      <c r="E781" t="s">
        <v>79</v>
      </c>
      <c r="F781" t="s">
        <v>79</v>
      </c>
      <c r="G781">
        <v>0.12</v>
      </c>
      <c r="H781" t="s">
        <v>60</v>
      </c>
      <c r="I781">
        <v>4</v>
      </c>
      <c r="J781" t="str">
        <f>HYPERLINK("https://www.eliteprospects.com/player/804399/ryan-gower")</f>
        <v>https://www.eliteprospects.com/player/804399/ryan-gower</v>
      </c>
      <c r="K781" t="s">
        <v>27</v>
      </c>
      <c r="L781" t="s">
        <v>631</v>
      </c>
      <c r="M781" t="s">
        <v>1296</v>
      </c>
      <c r="N781">
        <v>2</v>
      </c>
      <c r="O781" t="s">
        <v>636</v>
      </c>
      <c r="P781">
        <v>0.02</v>
      </c>
      <c r="Q781" t="s">
        <v>1488</v>
      </c>
      <c r="R781">
        <v>0</v>
      </c>
      <c r="S781">
        <v>0</v>
      </c>
      <c r="T781">
        <v>0</v>
      </c>
      <c r="U781">
        <v>0</v>
      </c>
      <c r="V781">
        <v>0</v>
      </c>
    </row>
    <row r="782" spans="1:22" x14ac:dyDescent="0.25">
      <c r="A782" t="s">
        <v>2074</v>
      </c>
      <c r="B782" t="s">
        <v>709</v>
      </c>
      <c r="C782">
        <v>25</v>
      </c>
      <c r="D782" t="s">
        <v>132</v>
      </c>
      <c r="E782" t="s">
        <v>79</v>
      </c>
      <c r="F782" t="s">
        <v>79</v>
      </c>
      <c r="G782">
        <v>0.08</v>
      </c>
      <c r="H782" t="s">
        <v>55</v>
      </c>
      <c r="I782">
        <v>-10</v>
      </c>
      <c r="J782" t="str">
        <f>HYPERLINK("https://www.eliteprospects.com/player/879108/nathan-gray")</f>
        <v>https://www.eliteprospects.com/player/879108/nathan-gray</v>
      </c>
      <c r="K782" t="s">
        <v>27</v>
      </c>
      <c r="L782" t="s">
        <v>631</v>
      </c>
      <c r="M782" t="s">
        <v>1296</v>
      </c>
      <c r="N782">
        <v>2</v>
      </c>
      <c r="O782" t="s">
        <v>636</v>
      </c>
      <c r="P782">
        <v>0.01</v>
      </c>
      <c r="Q782" t="s">
        <v>1488</v>
      </c>
      <c r="R782">
        <v>0</v>
      </c>
      <c r="S782">
        <v>0</v>
      </c>
      <c r="T782">
        <v>0</v>
      </c>
      <c r="U782">
        <v>0</v>
      </c>
      <c r="V782">
        <v>0</v>
      </c>
    </row>
    <row r="783" spans="1:22" x14ac:dyDescent="0.25">
      <c r="A783" t="s">
        <v>2075</v>
      </c>
      <c r="B783" t="s">
        <v>676</v>
      </c>
      <c r="C783">
        <v>27</v>
      </c>
      <c r="D783" t="s">
        <v>132</v>
      </c>
      <c r="E783" t="s">
        <v>79</v>
      </c>
      <c r="F783" t="s">
        <v>79</v>
      </c>
      <c r="G783">
        <v>7.0000000000000007E-2</v>
      </c>
      <c r="H783" t="s">
        <v>34</v>
      </c>
      <c r="I783">
        <v>-8</v>
      </c>
      <c r="J783" t="str">
        <f>HYPERLINK("https://www.eliteprospects.com/player/855900/jonas-kohn")</f>
        <v>https://www.eliteprospects.com/player/855900/jonas-kohn</v>
      </c>
      <c r="K783" t="s">
        <v>27</v>
      </c>
      <c r="L783" t="s">
        <v>631</v>
      </c>
      <c r="M783" t="s">
        <v>1296</v>
      </c>
      <c r="N783">
        <v>1</v>
      </c>
      <c r="O783" t="s">
        <v>634</v>
      </c>
      <c r="P783">
        <v>0.01</v>
      </c>
      <c r="Q783" t="s">
        <v>1488</v>
      </c>
      <c r="R783">
        <v>0</v>
      </c>
      <c r="S783">
        <v>0</v>
      </c>
      <c r="T783">
        <v>0</v>
      </c>
      <c r="U783">
        <v>0</v>
      </c>
      <c r="V783">
        <v>0</v>
      </c>
    </row>
    <row r="784" spans="1:22" x14ac:dyDescent="0.25">
      <c r="A784" t="s">
        <v>2076</v>
      </c>
      <c r="B784" t="s">
        <v>640</v>
      </c>
      <c r="C784">
        <v>28</v>
      </c>
      <c r="D784" t="s">
        <v>132</v>
      </c>
      <c r="E784" t="s">
        <v>79</v>
      </c>
      <c r="F784" t="s">
        <v>79</v>
      </c>
      <c r="G784">
        <v>7.0000000000000007E-2</v>
      </c>
      <c r="H784" t="s">
        <v>41</v>
      </c>
      <c r="I784">
        <v>-8</v>
      </c>
      <c r="J784" t="str">
        <f>HYPERLINK("https://www.eliteprospects.com/player/883528/cameron-jacobson")</f>
        <v>https://www.eliteprospects.com/player/883528/cameron-jacobson</v>
      </c>
      <c r="K784" t="s">
        <v>27</v>
      </c>
      <c r="L784" t="s">
        <v>631</v>
      </c>
      <c r="M784" t="s">
        <v>1296</v>
      </c>
      <c r="N784">
        <v>1</v>
      </c>
      <c r="O784" t="s">
        <v>634</v>
      </c>
      <c r="P784">
        <v>0.01</v>
      </c>
      <c r="Q784" t="s">
        <v>1488</v>
      </c>
      <c r="R784">
        <v>0</v>
      </c>
      <c r="S784">
        <v>0</v>
      </c>
      <c r="T784">
        <v>0</v>
      </c>
      <c r="U784">
        <v>0</v>
      </c>
      <c r="V784">
        <v>0</v>
      </c>
    </row>
    <row r="785" spans="1:22" x14ac:dyDescent="0.25">
      <c r="A785" t="s">
        <v>2077</v>
      </c>
      <c r="B785" t="s">
        <v>709</v>
      </c>
      <c r="C785">
        <v>32</v>
      </c>
      <c r="D785" t="s">
        <v>132</v>
      </c>
      <c r="E785" t="s">
        <v>79</v>
      </c>
      <c r="F785" t="s">
        <v>79</v>
      </c>
      <c r="G785">
        <v>0.06</v>
      </c>
      <c r="H785" t="s">
        <v>52</v>
      </c>
      <c r="I785">
        <v>-17</v>
      </c>
      <c r="J785" t="str">
        <f>HYPERLINK("https://www.eliteprospects.com/player/885641/daxon-yerex")</f>
        <v>https://www.eliteprospects.com/player/885641/daxon-yerex</v>
      </c>
      <c r="K785" t="s">
        <v>27</v>
      </c>
      <c r="L785" t="s">
        <v>631</v>
      </c>
      <c r="M785" t="s">
        <v>1296</v>
      </c>
      <c r="N785">
        <v>3</v>
      </c>
      <c r="O785" t="s">
        <v>639</v>
      </c>
      <c r="P785">
        <v>0.01</v>
      </c>
      <c r="Q785" t="s">
        <v>1488</v>
      </c>
      <c r="R785">
        <v>0</v>
      </c>
      <c r="S785">
        <v>0</v>
      </c>
      <c r="T785">
        <v>0</v>
      </c>
      <c r="U785">
        <v>0</v>
      </c>
      <c r="V785">
        <v>0</v>
      </c>
    </row>
    <row r="786" spans="1:22" x14ac:dyDescent="0.25">
      <c r="A786" t="s">
        <v>2078</v>
      </c>
      <c r="B786" t="s">
        <v>644</v>
      </c>
      <c r="C786">
        <v>35</v>
      </c>
      <c r="D786" t="s">
        <v>132</v>
      </c>
      <c r="E786" t="s">
        <v>79</v>
      </c>
      <c r="F786" t="s">
        <v>79</v>
      </c>
      <c r="G786">
        <v>0.06</v>
      </c>
      <c r="H786" t="s">
        <v>39</v>
      </c>
      <c r="I786">
        <v>-5</v>
      </c>
      <c r="J786" t="str">
        <f>HYPERLINK("https://www.eliteprospects.com/player/862399/phoenix-cahill")</f>
        <v>https://www.eliteprospects.com/player/862399/phoenix-cahill</v>
      </c>
      <c r="K786" t="s">
        <v>27</v>
      </c>
      <c r="L786" t="s">
        <v>631</v>
      </c>
      <c r="M786" t="s">
        <v>1296</v>
      </c>
      <c r="N786">
        <v>1</v>
      </c>
      <c r="O786" t="s">
        <v>634</v>
      </c>
      <c r="P786">
        <v>0.01</v>
      </c>
      <c r="Q786" t="s">
        <v>1488</v>
      </c>
      <c r="R786">
        <v>0</v>
      </c>
      <c r="S786">
        <v>0</v>
      </c>
      <c r="T786">
        <v>0</v>
      </c>
      <c r="U786">
        <v>0</v>
      </c>
      <c r="V786">
        <v>0</v>
      </c>
    </row>
    <row r="787" spans="1:22" x14ac:dyDescent="0.25">
      <c r="A787" t="s">
        <v>2079</v>
      </c>
      <c r="B787" t="s">
        <v>671</v>
      </c>
      <c r="C787">
        <v>11</v>
      </c>
      <c r="D787" t="s">
        <v>260</v>
      </c>
      <c r="E787" t="s">
        <v>132</v>
      </c>
      <c r="F787" t="s">
        <v>260</v>
      </c>
      <c r="G787">
        <v>0.09</v>
      </c>
      <c r="H787" t="s">
        <v>79</v>
      </c>
      <c r="I787">
        <v>5</v>
      </c>
      <c r="J787" t="str">
        <f>HYPERLINK("https://www.eliteprospects.com/player/963790/bryson-roberts")</f>
        <v>https://www.eliteprospects.com/player/963790/bryson-roberts</v>
      </c>
      <c r="K787" t="s">
        <v>27</v>
      </c>
      <c r="L787" t="s">
        <v>631</v>
      </c>
      <c r="M787" t="s">
        <v>1296</v>
      </c>
      <c r="N787">
        <v>1</v>
      </c>
      <c r="O787" t="s">
        <v>634</v>
      </c>
      <c r="P787">
        <v>0.01</v>
      </c>
      <c r="Q787" t="s">
        <v>1488</v>
      </c>
      <c r="R787">
        <v>0</v>
      </c>
      <c r="S787">
        <v>0</v>
      </c>
      <c r="T787">
        <v>0</v>
      </c>
      <c r="U787">
        <v>0</v>
      </c>
      <c r="V787">
        <v>0</v>
      </c>
    </row>
    <row r="788" spans="1:22" x14ac:dyDescent="0.25">
      <c r="A788" t="s">
        <v>2080</v>
      </c>
      <c r="B788" t="s">
        <v>640</v>
      </c>
      <c r="C788">
        <v>11</v>
      </c>
      <c r="D788" t="s">
        <v>260</v>
      </c>
      <c r="E788" t="s">
        <v>132</v>
      </c>
      <c r="F788" t="s">
        <v>260</v>
      </c>
      <c r="G788">
        <v>0.09</v>
      </c>
      <c r="H788" t="s">
        <v>51</v>
      </c>
      <c r="I788">
        <v>-2</v>
      </c>
      <c r="J788" t="str">
        <f>HYPERLINK("https://www.eliteprospects.com/player/879242/aaron-zulinick")</f>
        <v>https://www.eliteprospects.com/player/879242/aaron-zulinick</v>
      </c>
      <c r="K788" t="s">
        <v>27</v>
      </c>
      <c r="L788" t="s">
        <v>631</v>
      </c>
      <c r="M788" t="s">
        <v>1296</v>
      </c>
      <c r="N788">
        <v>2</v>
      </c>
      <c r="O788" t="s">
        <v>636</v>
      </c>
      <c r="P788">
        <v>0.01</v>
      </c>
      <c r="Q788" t="s">
        <v>1488</v>
      </c>
      <c r="R788">
        <v>0</v>
      </c>
      <c r="S788">
        <v>0</v>
      </c>
      <c r="T788">
        <v>0</v>
      </c>
      <c r="U788">
        <v>0</v>
      </c>
      <c r="V788">
        <v>0</v>
      </c>
    </row>
    <row r="789" spans="1:22" x14ac:dyDescent="0.25">
      <c r="A789" t="s">
        <v>2081</v>
      </c>
      <c r="B789" t="s">
        <v>657</v>
      </c>
      <c r="C789">
        <v>13</v>
      </c>
      <c r="D789" t="s">
        <v>132</v>
      </c>
      <c r="E789" t="s">
        <v>260</v>
      </c>
      <c r="F789" t="s">
        <v>260</v>
      </c>
      <c r="G789">
        <v>0.08</v>
      </c>
      <c r="H789" t="s">
        <v>26</v>
      </c>
      <c r="I789">
        <v>-4</v>
      </c>
      <c r="J789" t="str">
        <f>HYPERLINK("https://www.eliteprospects.com/player/597560/cohen-massey")</f>
        <v>https://www.eliteprospects.com/player/597560/cohen-massey</v>
      </c>
      <c r="K789" t="s">
        <v>27</v>
      </c>
      <c r="L789" t="s">
        <v>631</v>
      </c>
      <c r="M789" t="s">
        <v>1296</v>
      </c>
      <c r="N789">
        <v>3</v>
      </c>
      <c r="O789" t="s">
        <v>639</v>
      </c>
      <c r="P789">
        <v>0.01</v>
      </c>
      <c r="Q789" t="s">
        <v>1488</v>
      </c>
      <c r="R789">
        <v>0</v>
      </c>
      <c r="S789">
        <v>0</v>
      </c>
      <c r="T789">
        <v>0</v>
      </c>
      <c r="U789">
        <v>0</v>
      </c>
      <c r="V789">
        <v>0</v>
      </c>
    </row>
    <row r="790" spans="1:22" x14ac:dyDescent="0.25">
      <c r="A790" t="s">
        <v>2082</v>
      </c>
      <c r="B790" t="s">
        <v>633</v>
      </c>
      <c r="C790">
        <v>17</v>
      </c>
      <c r="D790" t="s">
        <v>132</v>
      </c>
      <c r="E790" t="s">
        <v>260</v>
      </c>
      <c r="F790" t="s">
        <v>260</v>
      </c>
      <c r="G790">
        <v>0.06</v>
      </c>
      <c r="H790" t="s">
        <v>26</v>
      </c>
      <c r="I790">
        <v>-6</v>
      </c>
      <c r="J790" t="str">
        <f>HYPERLINK("https://www.eliteprospects.com/player/804863/evan-markel")</f>
        <v>https://www.eliteprospects.com/player/804863/evan-markel</v>
      </c>
      <c r="K790" t="s">
        <v>27</v>
      </c>
      <c r="L790" t="s">
        <v>631</v>
      </c>
      <c r="M790" t="s">
        <v>1296</v>
      </c>
      <c r="N790">
        <v>1</v>
      </c>
      <c r="O790" t="s">
        <v>634</v>
      </c>
      <c r="P790">
        <v>0.01</v>
      </c>
      <c r="Q790" t="s">
        <v>1488</v>
      </c>
      <c r="R790">
        <v>0</v>
      </c>
      <c r="S790">
        <v>0</v>
      </c>
      <c r="T790">
        <v>0</v>
      </c>
      <c r="U790">
        <v>0</v>
      </c>
      <c r="V790">
        <v>0</v>
      </c>
    </row>
    <row r="791" spans="1:22" x14ac:dyDescent="0.25">
      <c r="A791" t="s">
        <v>2083</v>
      </c>
      <c r="B791" t="s">
        <v>657</v>
      </c>
      <c r="C791">
        <v>21</v>
      </c>
      <c r="D791" t="s">
        <v>132</v>
      </c>
      <c r="E791" t="s">
        <v>260</v>
      </c>
      <c r="F791" t="s">
        <v>260</v>
      </c>
      <c r="G791">
        <v>0.05</v>
      </c>
      <c r="H791" t="s">
        <v>65</v>
      </c>
      <c r="I791">
        <v>-11</v>
      </c>
      <c r="J791" t="str">
        <f>HYPERLINK("https://www.eliteprospects.com/player/762929/mykola-kosarev")</f>
        <v>https://www.eliteprospects.com/player/762929/mykola-kosarev</v>
      </c>
      <c r="K791" t="s">
        <v>27</v>
      </c>
      <c r="L791" t="s">
        <v>631</v>
      </c>
      <c r="M791" t="s">
        <v>1296</v>
      </c>
      <c r="N791">
        <v>1</v>
      </c>
      <c r="O791" t="s">
        <v>634</v>
      </c>
      <c r="P791">
        <v>0.01</v>
      </c>
      <c r="Q791" t="s">
        <v>1488</v>
      </c>
      <c r="R791">
        <v>0</v>
      </c>
      <c r="S791">
        <v>0</v>
      </c>
      <c r="T791">
        <v>0</v>
      </c>
      <c r="U791">
        <v>0</v>
      </c>
      <c r="V791">
        <v>0</v>
      </c>
    </row>
    <row r="792" spans="1:22" x14ac:dyDescent="0.25">
      <c r="A792" t="s">
        <v>2084</v>
      </c>
      <c r="B792" t="s">
        <v>702</v>
      </c>
      <c r="C792">
        <v>24</v>
      </c>
      <c r="D792" t="s">
        <v>132</v>
      </c>
      <c r="E792" t="s">
        <v>260</v>
      </c>
      <c r="F792" t="s">
        <v>260</v>
      </c>
      <c r="G792">
        <v>0.04</v>
      </c>
      <c r="H792" t="s">
        <v>45</v>
      </c>
      <c r="I792">
        <v>-6</v>
      </c>
      <c r="J792" t="str">
        <f>HYPERLINK("https://www.eliteprospects.com/player/884880/braydon-riggall")</f>
        <v>https://www.eliteprospects.com/player/884880/braydon-riggall</v>
      </c>
      <c r="K792" t="s">
        <v>27</v>
      </c>
      <c r="L792" t="s">
        <v>631</v>
      </c>
      <c r="M792" t="s">
        <v>1296</v>
      </c>
      <c r="N792">
        <v>2</v>
      </c>
      <c r="O792" t="s">
        <v>636</v>
      </c>
      <c r="P792">
        <v>0.01</v>
      </c>
      <c r="Q792" t="s">
        <v>1488</v>
      </c>
      <c r="R792">
        <v>0</v>
      </c>
      <c r="S792">
        <v>0</v>
      </c>
      <c r="T792">
        <v>0</v>
      </c>
      <c r="U792">
        <v>0</v>
      </c>
      <c r="V792">
        <v>0</v>
      </c>
    </row>
    <row r="793" spans="1:22" x14ac:dyDescent="0.25">
      <c r="A793" t="s">
        <v>2085</v>
      </c>
      <c r="B793" t="s">
        <v>653</v>
      </c>
      <c r="C793">
        <v>24</v>
      </c>
      <c r="D793" t="s">
        <v>132</v>
      </c>
      <c r="E793" t="s">
        <v>260</v>
      </c>
      <c r="F793" t="s">
        <v>260</v>
      </c>
      <c r="G793">
        <v>0.04</v>
      </c>
      <c r="H793" t="s">
        <v>265</v>
      </c>
      <c r="I793">
        <v>-3</v>
      </c>
      <c r="J793" t="str">
        <f>HYPERLINK("https://www.eliteprospects.com/player/889565/owen-hayden")</f>
        <v>https://www.eliteprospects.com/player/889565/owen-hayden</v>
      </c>
      <c r="K793" t="s">
        <v>27</v>
      </c>
      <c r="L793" t="s">
        <v>631</v>
      </c>
      <c r="M793" t="s">
        <v>1296</v>
      </c>
      <c r="N793">
        <v>1</v>
      </c>
      <c r="O793" t="s">
        <v>634</v>
      </c>
      <c r="P793">
        <v>0.01</v>
      </c>
      <c r="Q793" t="s">
        <v>1488</v>
      </c>
      <c r="R793">
        <v>0</v>
      </c>
      <c r="S793">
        <v>0</v>
      </c>
      <c r="T793">
        <v>0</v>
      </c>
      <c r="U793">
        <v>0</v>
      </c>
      <c r="V793">
        <v>0</v>
      </c>
    </row>
    <row r="794" spans="1:22" x14ac:dyDescent="0.25">
      <c r="A794" t="s">
        <v>2086</v>
      </c>
      <c r="B794" t="s">
        <v>667</v>
      </c>
      <c r="C794">
        <v>25</v>
      </c>
      <c r="D794" t="s">
        <v>132</v>
      </c>
      <c r="E794" t="s">
        <v>260</v>
      </c>
      <c r="F794" t="s">
        <v>260</v>
      </c>
      <c r="G794">
        <v>0.04</v>
      </c>
      <c r="H794" t="s">
        <v>57</v>
      </c>
      <c r="I794">
        <v>3</v>
      </c>
      <c r="J794" t="str">
        <f>HYPERLINK("https://www.eliteprospects.com/player/628119/jack-lavallee")</f>
        <v>https://www.eliteprospects.com/player/628119/jack-lavallee</v>
      </c>
      <c r="K794" t="s">
        <v>27</v>
      </c>
      <c r="L794" t="s">
        <v>631</v>
      </c>
      <c r="M794" t="s">
        <v>1296</v>
      </c>
      <c r="N794">
        <v>2</v>
      </c>
      <c r="O794" t="s">
        <v>636</v>
      </c>
      <c r="P794">
        <v>0.01</v>
      </c>
      <c r="Q794" t="s">
        <v>1488</v>
      </c>
      <c r="R794">
        <v>0</v>
      </c>
      <c r="S794">
        <v>0</v>
      </c>
      <c r="T794">
        <v>0</v>
      </c>
      <c r="U794">
        <v>0</v>
      </c>
      <c r="V794">
        <v>0</v>
      </c>
    </row>
    <row r="795" spans="1:22" x14ac:dyDescent="0.25">
      <c r="A795" t="s">
        <v>2087</v>
      </c>
      <c r="B795" t="s">
        <v>649</v>
      </c>
      <c r="C795">
        <v>29</v>
      </c>
      <c r="D795" t="s">
        <v>132</v>
      </c>
      <c r="E795" t="s">
        <v>260</v>
      </c>
      <c r="F795" t="s">
        <v>260</v>
      </c>
      <c r="G795">
        <v>0.03</v>
      </c>
      <c r="H795" t="s">
        <v>38</v>
      </c>
      <c r="I795">
        <v>-8</v>
      </c>
      <c r="J795" t="str">
        <f>HYPERLINK("https://www.eliteprospects.com/player/701510/jaxon-pisani")</f>
        <v>https://www.eliteprospects.com/player/701510/jaxon-pisani</v>
      </c>
      <c r="K795" t="s">
        <v>27</v>
      </c>
      <c r="L795" t="s">
        <v>631</v>
      </c>
      <c r="M795" t="s">
        <v>1296</v>
      </c>
      <c r="N795">
        <v>2</v>
      </c>
      <c r="O795" t="s">
        <v>636</v>
      </c>
      <c r="P795">
        <v>0</v>
      </c>
      <c r="Q795" t="s">
        <v>1488</v>
      </c>
      <c r="R795">
        <v>0</v>
      </c>
      <c r="S795">
        <v>0</v>
      </c>
      <c r="T795">
        <v>0</v>
      </c>
      <c r="U795">
        <v>0</v>
      </c>
      <c r="V795">
        <v>0</v>
      </c>
    </row>
    <row r="796" spans="1:22" x14ac:dyDescent="0.25">
      <c r="A796" t="s">
        <v>2088</v>
      </c>
      <c r="B796" t="s">
        <v>633</v>
      </c>
      <c r="C796">
        <v>34</v>
      </c>
      <c r="D796" t="s">
        <v>132</v>
      </c>
      <c r="E796" t="s">
        <v>260</v>
      </c>
      <c r="F796" t="s">
        <v>260</v>
      </c>
      <c r="G796">
        <v>0.03</v>
      </c>
      <c r="H796" t="s">
        <v>25</v>
      </c>
      <c r="I796">
        <v>-9</v>
      </c>
      <c r="J796" t="str">
        <f>HYPERLINK("https://www.eliteprospects.com/player/967125/madden-tymchak")</f>
        <v>https://www.eliteprospects.com/player/967125/madden-tymchak</v>
      </c>
      <c r="K796" t="s">
        <v>27</v>
      </c>
      <c r="L796" t="s">
        <v>631</v>
      </c>
      <c r="M796" t="s">
        <v>1296</v>
      </c>
      <c r="N796">
        <v>1</v>
      </c>
      <c r="O796" t="s">
        <v>634</v>
      </c>
      <c r="P796">
        <v>0</v>
      </c>
      <c r="Q796" t="s">
        <v>1488</v>
      </c>
      <c r="R796">
        <v>0</v>
      </c>
      <c r="S796">
        <v>0</v>
      </c>
      <c r="T796">
        <v>0</v>
      </c>
      <c r="U796">
        <v>0</v>
      </c>
      <c r="V796">
        <v>0</v>
      </c>
    </row>
    <row r="797" spans="1:22" x14ac:dyDescent="0.25">
      <c r="A797" t="s">
        <v>2089</v>
      </c>
      <c r="B797" t="s">
        <v>702</v>
      </c>
      <c r="C797">
        <v>35</v>
      </c>
      <c r="D797" t="s">
        <v>132</v>
      </c>
      <c r="E797" t="s">
        <v>260</v>
      </c>
      <c r="F797" t="s">
        <v>260</v>
      </c>
      <c r="G797">
        <v>0.03</v>
      </c>
      <c r="H797" t="s">
        <v>503</v>
      </c>
      <c r="I797">
        <v>-5</v>
      </c>
      <c r="J797" t="str">
        <f>HYPERLINK("https://www.eliteprospects.com/player/869430/jan-skok")</f>
        <v>https://www.eliteprospects.com/player/869430/jan-skok</v>
      </c>
      <c r="K797" t="s">
        <v>27</v>
      </c>
      <c r="L797" t="s">
        <v>631</v>
      </c>
      <c r="M797" t="s">
        <v>1296</v>
      </c>
      <c r="N797">
        <v>1</v>
      </c>
      <c r="O797" t="s">
        <v>634</v>
      </c>
      <c r="P797">
        <v>0</v>
      </c>
      <c r="Q797" t="s">
        <v>1488</v>
      </c>
      <c r="R797">
        <v>0</v>
      </c>
      <c r="S797">
        <v>0</v>
      </c>
      <c r="T797">
        <v>0</v>
      </c>
      <c r="U797">
        <v>0</v>
      </c>
      <c r="V797">
        <v>0</v>
      </c>
    </row>
    <row r="798" spans="1:22" x14ac:dyDescent="0.25">
      <c r="A798" t="s">
        <v>2090</v>
      </c>
      <c r="B798" t="s">
        <v>662</v>
      </c>
      <c r="C798">
        <v>11</v>
      </c>
      <c r="D798" t="s">
        <v>132</v>
      </c>
      <c r="E798" t="s">
        <v>132</v>
      </c>
      <c r="F798" t="s">
        <v>132</v>
      </c>
      <c r="G798">
        <v>0</v>
      </c>
      <c r="H798" t="s">
        <v>66</v>
      </c>
      <c r="I798">
        <v>2</v>
      </c>
      <c r="J798" t="str">
        <f>HYPERLINK("https://www.eliteprospects.com/player/891523/ethan-creran")</f>
        <v>https://www.eliteprospects.com/player/891523/ethan-creran</v>
      </c>
      <c r="K798" t="s">
        <v>27</v>
      </c>
      <c r="L798" t="s">
        <v>631</v>
      </c>
      <c r="M798" t="s">
        <v>1296</v>
      </c>
      <c r="N798">
        <v>1</v>
      </c>
      <c r="O798" t="s">
        <v>634</v>
      </c>
      <c r="P798">
        <v>0</v>
      </c>
      <c r="Q798" t="s">
        <v>1488</v>
      </c>
      <c r="R798">
        <v>0</v>
      </c>
      <c r="S798">
        <v>0</v>
      </c>
      <c r="T798">
        <v>0</v>
      </c>
      <c r="U798">
        <v>0</v>
      </c>
      <c r="V798">
        <v>0</v>
      </c>
    </row>
    <row r="799" spans="1:22" x14ac:dyDescent="0.25">
      <c r="A799" t="s">
        <v>2091</v>
      </c>
      <c r="B799" t="s">
        <v>686</v>
      </c>
      <c r="C799">
        <v>14</v>
      </c>
      <c r="D799" t="s">
        <v>132</v>
      </c>
      <c r="E799" t="s">
        <v>132</v>
      </c>
      <c r="F799" t="s">
        <v>132</v>
      </c>
      <c r="G799">
        <v>0</v>
      </c>
      <c r="H799" t="s">
        <v>132</v>
      </c>
      <c r="I799">
        <v>-4</v>
      </c>
      <c r="J799" t="str">
        <f>HYPERLINK("https://www.eliteprospects.com/player/956760/nikolas-ferry")</f>
        <v>https://www.eliteprospects.com/player/956760/nikolas-ferry</v>
      </c>
      <c r="K799" t="s">
        <v>27</v>
      </c>
      <c r="L799" t="s">
        <v>631</v>
      </c>
      <c r="M799" t="s">
        <v>1296</v>
      </c>
      <c r="N799">
        <v>1</v>
      </c>
      <c r="O799" t="s">
        <v>634</v>
      </c>
      <c r="P799">
        <v>0</v>
      </c>
      <c r="Q799" t="s">
        <v>1488</v>
      </c>
      <c r="R799">
        <v>0</v>
      </c>
      <c r="S799">
        <v>0</v>
      </c>
      <c r="T799">
        <v>0</v>
      </c>
      <c r="U799">
        <v>0</v>
      </c>
      <c r="V799">
        <v>0</v>
      </c>
    </row>
    <row r="800" spans="1:22" x14ac:dyDescent="0.25">
      <c r="A800" t="s">
        <v>2092</v>
      </c>
      <c r="B800" t="s">
        <v>660</v>
      </c>
      <c r="C800">
        <v>22</v>
      </c>
      <c r="D800" t="s">
        <v>132</v>
      </c>
      <c r="E800" t="s">
        <v>132</v>
      </c>
      <c r="F800" t="s">
        <v>132</v>
      </c>
      <c r="G800">
        <v>0</v>
      </c>
      <c r="H800" t="s">
        <v>45</v>
      </c>
      <c r="I800">
        <v>-8</v>
      </c>
      <c r="J800" t="str">
        <f>HYPERLINK("https://www.eliteprospects.com/player/908418/benson-hirst")</f>
        <v>https://www.eliteprospects.com/player/908418/benson-hirst</v>
      </c>
      <c r="K800" t="s">
        <v>27</v>
      </c>
      <c r="L800" t="s">
        <v>631</v>
      </c>
      <c r="M800" t="s">
        <v>1296</v>
      </c>
      <c r="N800">
        <v>1</v>
      </c>
      <c r="O800" t="s">
        <v>634</v>
      </c>
      <c r="P800">
        <v>0</v>
      </c>
      <c r="Q800" t="s">
        <v>1488</v>
      </c>
      <c r="R800">
        <v>0</v>
      </c>
      <c r="S800">
        <v>0</v>
      </c>
      <c r="T800">
        <v>0</v>
      </c>
      <c r="U800">
        <v>0</v>
      </c>
      <c r="V800">
        <v>0</v>
      </c>
    </row>
    <row r="801" spans="1:22" x14ac:dyDescent="0.25">
      <c r="A801" t="s">
        <v>2093</v>
      </c>
      <c r="B801" t="s">
        <v>644</v>
      </c>
      <c r="C801">
        <v>32</v>
      </c>
      <c r="D801" t="s">
        <v>132</v>
      </c>
      <c r="E801" t="s">
        <v>132</v>
      </c>
      <c r="F801" t="s">
        <v>132</v>
      </c>
      <c r="G801">
        <v>0</v>
      </c>
      <c r="H801" t="s">
        <v>69</v>
      </c>
      <c r="I801">
        <v>-9</v>
      </c>
      <c r="J801" t="str">
        <f>HYPERLINK("https://www.eliteprospects.com/player/881368/dermot-johnston")</f>
        <v>https://www.eliteprospects.com/player/881368/dermot-johnston</v>
      </c>
      <c r="K801" t="s">
        <v>27</v>
      </c>
      <c r="L801" t="s">
        <v>631</v>
      </c>
      <c r="M801" t="s">
        <v>1296</v>
      </c>
      <c r="N801">
        <v>2</v>
      </c>
      <c r="O801" t="s">
        <v>636</v>
      </c>
      <c r="P801">
        <v>0</v>
      </c>
      <c r="Q801" t="s">
        <v>1488</v>
      </c>
      <c r="R801">
        <v>0</v>
      </c>
      <c r="S801">
        <v>0</v>
      </c>
      <c r="T801">
        <v>0</v>
      </c>
      <c r="U801">
        <v>0</v>
      </c>
      <c r="V801">
        <v>0</v>
      </c>
    </row>
    <row r="802" spans="1:22" x14ac:dyDescent="0.25">
      <c r="A802" t="s">
        <v>2094</v>
      </c>
      <c r="B802" t="s">
        <v>820</v>
      </c>
      <c r="C802">
        <v>37</v>
      </c>
      <c r="D802" t="s">
        <v>78</v>
      </c>
      <c r="E802" t="s">
        <v>300</v>
      </c>
      <c r="F802" t="s">
        <v>503</v>
      </c>
      <c r="G802">
        <v>1.27</v>
      </c>
      <c r="H802" t="s">
        <v>38</v>
      </c>
      <c r="I802">
        <v>41</v>
      </c>
      <c r="J802" t="str">
        <f>HYPERLINK("https://www.eliteprospects.com/player/577026/tommy-bleyl")</f>
        <v>https://www.eliteprospects.com/player/577026/tommy-bleyl</v>
      </c>
      <c r="K802" t="s">
        <v>27</v>
      </c>
      <c r="L802" t="s">
        <v>804</v>
      </c>
      <c r="M802" t="s">
        <v>1296</v>
      </c>
      <c r="N802">
        <v>1</v>
      </c>
      <c r="O802" t="s">
        <v>816</v>
      </c>
      <c r="P802">
        <v>0.14000000000000001</v>
      </c>
      <c r="Q802" t="s">
        <v>1300</v>
      </c>
      <c r="R802">
        <v>42.9</v>
      </c>
      <c r="S802">
        <v>14.3</v>
      </c>
      <c r="T802">
        <v>7.1</v>
      </c>
      <c r="U802">
        <v>7.1</v>
      </c>
      <c r="V802">
        <v>28.6</v>
      </c>
    </row>
    <row r="803" spans="1:22" x14ac:dyDescent="0.25">
      <c r="A803" t="s">
        <v>2095</v>
      </c>
      <c r="B803" t="s">
        <v>808</v>
      </c>
      <c r="C803">
        <v>37</v>
      </c>
      <c r="D803" t="s">
        <v>66</v>
      </c>
      <c r="E803" t="s">
        <v>518</v>
      </c>
      <c r="F803" t="s">
        <v>277</v>
      </c>
      <c r="G803">
        <v>1.1100000000000001</v>
      </c>
      <c r="H803" t="s">
        <v>26</v>
      </c>
      <c r="I803">
        <v>33</v>
      </c>
      <c r="J803" t="str">
        <f>HYPERLINK("https://www.eliteprospects.com/player/689875/alex-huang")</f>
        <v>https://www.eliteprospects.com/player/689875/alex-huang</v>
      </c>
      <c r="K803" t="s">
        <v>27</v>
      </c>
      <c r="L803" t="s">
        <v>804</v>
      </c>
      <c r="M803" t="s">
        <v>1296</v>
      </c>
      <c r="N803">
        <v>3</v>
      </c>
      <c r="O803" t="s">
        <v>805</v>
      </c>
      <c r="P803">
        <v>0.13</v>
      </c>
      <c r="Q803" t="s">
        <v>1300</v>
      </c>
      <c r="R803">
        <v>42.9</v>
      </c>
      <c r="S803">
        <v>14.3</v>
      </c>
      <c r="T803">
        <v>7.1</v>
      </c>
      <c r="U803">
        <v>7.1</v>
      </c>
      <c r="V803">
        <v>28.6</v>
      </c>
    </row>
    <row r="804" spans="1:22" x14ac:dyDescent="0.25">
      <c r="A804" t="s">
        <v>2096</v>
      </c>
      <c r="B804" t="s">
        <v>832</v>
      </c>
      <c r="C804">
        <v>39</v>
      </c>
      <c r="D804" t="s">
        <v>32</v>
      </c>
      <c r="E804" t="s">
        <v>61</v>
      </c>
      <c r="F804" t="s">
        <v>518</v>
      </c>
      <c r="G804">
        <v>0.95</v>
      </c>
      <c r="H804" t="s">
        <v>47</v>
      </c>
      <c r="I804">
        <v>-13</v>
      </c>
      <c r="J804" t="str">
        <f>HYPERLINK("https://www.eliteprospects.com/player/577057/louis-alex-tremblay")</f>
        <v>https://www.eliteprospects.com/player/577057/louis-alex-tremblay</v>
      </c>
      <c r="K804" t="s">
        <v>27</v>
      </c>
      <c r="L804" t="s">
        <v>804</v>
      </c>
      <c r="M804" t="s">
        <v>1296</v>
      </c>
      <c r="N804">
        <v>3</v>
      </c>
      <c r="O804" t="s">
        <v>805</v>
      </c>
      <c r="P804">
        <v>0.11</v>
      </c>
      <c r="Q804" t="s">
        <v>1325</v>
      </c>
      <c r="R804">
        <v>37.5</v>
      </c>
      <c r="S804">
        <v>25</v>
      </c>
      <c r="T804">
        <v>37.5</v>
      </c>
      <c r="U804">
        <v>0</v>
      </c>
      <c r="V804">
        <v>0</v>
      </c>
    </row>
    <row r="805" spans="1:22" x14ac:dyDescent="0.25">
      <c r="A805" t="s">
        <v>2097</v>
      </c>
      <c r="B805" t="s">
        <v>818</v>
      </c>
      <c r="C805">
        <v>35</v>
      </c>
      <c r="D805" t="s">
        <v>57</v>
      </c>
      <c r="E805" t="s">
        <v>40</v>
      </c>
      <c r="F805" t="s">
        <v>280</v>
      </c>
      <c r="G805">
        <v>1.03</v>
      </c>
      <c r="H805" t="s">
        <v>265</v>
      </c>
      <c r="I805">
        <v>6</v>
      </c>
      <c r="J805" t="str">
        <f>HYPERLINK("https://www.eliteprospects.com/player/746649/xavier-villeneuve")</f>
        <v>https://www.eliteprospects.com/player/746649/xavier-villeneuve</v>
      </c>
      <c r="K805" t="s">
        <v>27</v>
      </c>
      <c r="L805" t="s">
        <v>804</v>
      </c>
      <c r="M805" t="s">
        <v>1296</v>
      </c>
      <c r="N805">
        <v>3</v>
      </c>
      <c r="O805" t="s">
        <v>805</v>
      </c>
      <c r="P805">
        <v>0.12</v>
      </c>
      <c r="Q805" t="s">
        <v>1309</v>
      </c>
      <c r="R805">
        <v>10</v>
      </c>
      <c r="S805">
        <v>10</v>
      </c>
      <c r="T805">
        <v>20</v>
      </c>
      <c r="U805">
        <v>20</v>
      </c>
      <c r="V805">
        <v>40</v>
      </c>
    </row>
    <row r="806" spans="1:22" x14ac:dyDescent="0.25">
      <c r="A806" t="s">
        <v>2098</v>
      </c>
      <c r="B806" t="s">
        <v>821</v>
      </c>
      <c r="C806">
        <v>38</v>
      </c>
      <c r="D806" t="s">
        <v>69</v>
      </c>
      <c r="E806" t="s">
        <v>47</v>
      </c>
      <c r="F806" t="s">
        <v>269</v>
      </c>
      <c r="G806">
        <v>0.87</v>
      </c>
      <c r="H806" t="s">
        <v>39</v>
      </c>
      <c r="I806">
        <v>-6</v>
      </c>
      <c r="J806" t="str">
        <f>HYPERLINK("https://www.eliteprospects.com/player/718482/marcus-kearsey")</f>
        <v>https://www.eliteprospects.com/player/718482/marcus-kearsey</v>
      </c>
      <c r="K806" t="s">
        <v>27</v>
      </c>
      <c r="L806" t="s">
        <v>804</v>
      </c>
      <c r="M806" t="s">
        <v>1296</v>
      </c>
      <c r="N806">
        <v>4</v>
      </c>
      <c r="O806" t="s">
        <v>809</v>
      </c>
      <c r="P806">
        <v>0.1</v>
      </c>
      <c r="Q806" t="s">
        <v>1325</v>
      </c>
      <c r="R806">
        <v>37.5</v>
      </c>
      <c r="S806">
        <v>25</v>
      </c>
      <c r="T806">
        <v>37.5</v>
      </c>
      <c r="U806">
        <v>0</v>
      </c>
      <c r="V806">
        <v>0</v>
      </c>
    </row>
    <row r="807" spans="1:22" x14ac:dyDescent="0.25">
      <c r="A807" t="s">
        <v>2099</v>
      </c>
      <c r="B807" t="s">
        <v>806</v>
      </c>
      <c r="C807">
        <v>38</v>
      </c>
      <c r="D807" t="s">
        <v>57</v>
      </c>
      <c r="E807" t="s">
        <v>61</v>
      </c>
      <c r="F807" t="s">
        <v>269</v>
      </c>
      <c r="G807">
        <v>0.87</v>
      </c>
      <c r="H807" t="s">
        <v>34</v>
      </c>
      <c r="I807">
        <v>2</v>
      </c>
      <c r="J807" t="str">
        <f>HYPERLINK("https://www.eliteprospects.com/player/597538/noah-laberge")</f>
        <v>https://www.eliteprospects.com/player/597538/noah-laberge</v>
      </c>
      <c r="K807" t="s">
        <v>27</v>
      </c>
      <c r="L807" t="s">
        <v>804</v>
      </c>
      <c r="M807" t="s">
        <v>1296</v>
      </c>
      <c r="N807">
        <v>3</v>
      </c>
      <c r="O807" t="s">
        <v>805</v>
      </c>
      <c r="P807">
        <v>0.1</v>
      </c>
      <c r="Q807" t="s">
        <v>1325</v>
      </c>
      <c r="R807">
        <v>22.2</v>
      </c>
      <c r="S807">
        <v>11.1</v>
      </c>
      <c r="T807">
        <v>44.4</v>
      </c>
      <c r="U807">
        <v>0</v>
      </c>
      <c r="V807">
        <v>22.2</v>
      </c>
    </row>
    <row r="808" spans="1:22" x14ac:dyDescent="0.25">
      <c r="A808" t="s">
        <v>2100</v>
      </c>
      <c r="B808" t="s">
        <v>823</v>
      </c>
      <c r="C808">
        <v>39</v>
      </c>
      <c r="D808" t="s">
        <v>69</v>
      </c>
      <c r="E808" t="s">
        <v>33</v>
      </c>
      <c r="F808" t="s">
        <v>25</v>
      </c>
      <c r="G808">
        <v>0.82</v>
      </c>
      <c r="H808" t="s">
        <v>52</v>
      </c>
      <c r="I808">
        <v>12</v>
      </c>
      <c r="J808" t="str">
        <f>HYPERLINK("https://www.eliteprospects.com/player/710730/cal-uens")</f>
        <v>https://www.eliteprospects.com/player/710730/cal-uens</v>
      </c>
      <c r="K808" t="s">
        <v>27</v>
      </c>
      <c r="L808" t="s">
        <v>804</v>
      </c>
      <c r="M808" t="s">
        <v>1296</v>
      </c>
      <c r="N808">
        <v>5</v>
      </c>
      <c r="O808" t="s">
        <v>620</v>
      </c>
      <c r="P808">
        <v>0.09</v>
      </c>
      <c r="Q808" t="s">
        <v>1300</v>
      </c>
      <c r="R808">
        <v>37.5</v>
      </c>
      <c r="S808">
        <v>12.5</v>
      </c>
      <c r="T808">
        <v>12.5</v>
      </c>
      <c r="U808">
        <v>12.5</v>
      </c>
      <c r="V808">
        <v>25</v>
      </c>
    </row>
    <row r="809" spans="1:22" x14ac:dyDescent="0.25">
      <c r="A809" t="s">
        <v>2101</v>
      </c>
      <c r="B809" t="s">
        <v>507</v>
      </c>
      <c r="C809">
        <v>31</v>
      </c>
      <c r="D809" t="s">
        <v>57</v>
      </c>
      <c r="E809" t="s">
        <v>47</v>
      </c>
      <c r="F809" t="s">
        <v>52</v>
      </c>
      <c r="G809">
        <v>0.9</v>
      </c>
      <c r="H809" t="s">
        <v>55</v>
      </c>
      <c r="I809">
        <v>9</v>
      </c>
      <c r="J809" t="str">
        <f>HYPERLINK("https://www.eliteprospects.com/player/610512/tomas-lavoie")</f>
        <v>https://www.eliteprospects.com/player/610512/tomas-lavoie</v>
      </c>
      <c r="K809" t="s">
        <v>27</v>
      </c>
      <c r="L809" t="s">
        <v>804</v>
      </c>
      <c r="M809" t="s">
        <v>1296</v>
      </c>
      <c r="N809">
        <v>4</v>
      </c>
      <c r="O809" t="s">
        <v>809</v>
      </c>
      <c r="P809">
        <v>0.1</v>
      </c>
      <c r="Q809" t="s">
        <v>1300</v>
      </c>
      <c r="R809">
        <v>37.5</v>
      </c>
      <c r="S809">
        <v>12.5</v>
      </c>
      <c r="T809">
        <v>12.5</v>
      </c>
      <c r="U809">
        <v>12.5</v>
      </c>
      <c r="V809">
        <v>25</v>
      </c>
    </row>
    <row r="810" spans="1:22" x14ac:dyDescent="0.25">
      <c r="A810" t="s">
        <v>2102</v>
      </c>
      <c r="B810" t="s">
        <v>507</v>
      </c>
      <c r="C810">
        <v>36</v>
      </c>
      <c r="D810" t="s">
        <v>32</v>
      </c>
      <c r="E810" t="s">
        <v>60</v>
      </c>
      <c r="F810" t="s">
        <v>61</v>
      </c>
      <c r="G810">
        <v>0.75</v>
      </c>
      <c r="H810" t="s">
        <v>187</v>
      </c>
      <c r="I810">
        <v>2</v>
      </c>
      <c r="J810" t="str">
        <f>HYPERLINK("https://www.eliteprospects.com/player/716098/evan-depatie")</f>
        <v>https://www.eliteprospects.com/player/716098/evan-depatie</v>
      </c>
      <c r="K810" t="s">
        <v>27</v>
      </c>
      <c r="L810" t="s">
        <v>804</v>
      </c>
      <c r="M810" t="s">
        <v>1296</v>
      </c>
      <c r="N810">
        <v>4</v>
      </c>
      <c r="O810" t="s">
        <v>809</v>
      </c>
      <c r="P810">
        <v>0.08</v>
      </c>
      <c r="Q810" t="s">
        <v>1325</v>
      </c>
      <c r="R810">
        <v>33.299999999999997</v>
      </c>
      <c r="S810">
        <v>16.7</v>
      </c>
      <c r="T810">
        <v>33.299999999999997</v>
      </c>
      <c r="U810">
        <v>16.7</v>
      </c>
      <c r="V810">
        <v>0</v>
      </c>
    </row>
    <row r="811" spans="1:22" x14ac:dyDescent="0.25">
      <c r="A811" t="s">
        <v>2103</v>
      </c>
      <c r="B811" t="s">
        <v>507</v>
      </c>
      <c r="C811">
        <v>33</v>
      </c>
      <c r="D811" t="s">
        <v>96</v>
      </c>
      <c r="E811" t="s">
        <v>47</v>
      </c>
      <c r="F811" t="s">
        <v>61</v>
      </c>
      <c r="G811">
        <v>0.82</v>
      </c>
      <c r="H811" t="s">
        <v>53</v>
      </c>
      <c r="I811">
        <v>5</v>
      </c>
      <c r="J811" t="str">
        <f>HYPERLINK("https://www.eliteprospects.com/player/599314/jordan-tourigny")</f>
        <v>https://www.eliteprospects.com/player/599314/jordan-tourigny</v>
      </c>
      <c r="K811" t="s">
        <v>27</v>
      </c>
      <c r="L811" t="s">
        <v>804</v>
      </c>
      <c r="M811" t="s">
        <v>1296</v>
      </c>
      <c r="N811">
        <v>5</v>
      </c>
      <c r="O811" t="s">
        <v>807</v>
      </c>
      <c r="P811">
        <v>0.09</v>
      </c>
      <c r="Q811" t="s">
        <v>1325</v>
      </c>
      <c r="R811">
        <v>22.2</v>
      </c>
      <c r="S811">
        <v>11.1</v>
      </c>
      <c r="T811">
        <v>44.4</v>
      </c>
      <c r="U811">
        <v>0</v>
      </c>
      <c r="V811">
        <v>22.2</v>
      </c>
    </row>
    <row r="812" spans="1:22" x14ac:dyDescent="0.25">
      <c r="A812" t="s">
        <v>2104</v>
      </c>
      <c r="B812" t="s">
        <v>507</v>
      </c>
      <c r="C812">
        <v>64</v>
      </c>
      <c r="D812" t="s">
        <v>57</v>
      </c>
      <c r="E812" t="s">
        <v>24</v>
      </c>
      <c r="F812" t="s">
        <v>125</v>
      </c>
      <c r="G812">
        <v>0.41</v>
      </c>
      <c r="H812" t="s">
        <v>81</v>
      </c>
      <c r="I812">
        <v>36</v>
      </c>
      <c r="J812" t="str">
        <f>HYPERLINK("https://www.eliteprospects.com/player/646882/xavier-daigle")</f>
        <v>https://www.eliteprospects.com/player/646882/xavier-daigle</v>
      </c>
      <c r="K812" t="s">
        <v>27</v>
      </c>
      <c r="L812" t="s">
        <v>804</v>
      </c>
      <c r="M812" t="s">
        <v>1296</v>
      </c>
      <c r="N812">
        <v>5</v>
      </c>
      <c r="O812" t="s">
        <v>807</v>
      </c>
      <c r="P812">
        <v>0.05</v>
      </c>
      <c r="Q812" t="s">
        <v>1309</v>
      </c>
      <c r="R812">
        <v>14.3</v>
      </c>
      <c r="S812">
        <v>28.6</v>
      </c>
      <c r="T812">
        <v>28.6</v>
      </c>
      <c r="U812">
        <v>0</v>
      </c>
      <c r="V812">
        <v>28.6</v>
      </c>
    </row>
    <row r="813" spans="1:22" x14ac:dyDescent="0.25">
      <c r="A813" t="s">
        <v>2105</v>
      </c>
      <c r="B813" t="s">
        <v>826</v>
      </c>
      <c r="C813">
        <v>40</v>
      </c>
      <c r="D813" t="s">
        <v>66</v>
      </c>
      <c r="E813" t="s">
        <v>33</v>
      </c>
      <c r="F813" t="s">
        <v>75</v>
      </c>
      <c r="G813">
        <v>0.63</v>
      </c>
      <c r="H813" t="s">
        <v>277</v>
      </c>
      <c r="I813">
        <v>11</v>
      </c>
      <c r="J813" t="str">
        <f>HYPERLINK("https://www.eliteprospects.com/player/597624/owen-keefe")</f>
        <v>https://www.eliteprospects.com/player/597624/owen-keefe</v>
      </c>
      <c r="K813" t="s">
        <v>27</v>
      </c>
      <c r="L813" t="s">
        <v>804</v>
      </c>
      <c r="M813" t="s">
        <v>1296</v>
      </c>
      <c r="N813">
        <v>1</v>
      </c>
      <c r="O813" t="s">
        <v>816</v>
      </c>
      <c r="P813">
        <v>7.0000000000000007E-2</v>
      </c>
      <c r="Q813" t="s">
        <v>1300</v>
      </c>
      <c r="R813">
        <v>42.9</v>
      </c>
      <c r="S813">
        <v>28.6</v>
      </c>
      <c r="T813">
        <v>28.6</v>
      </c>
      <c r="U813">
        <v>0</v>
      </c>
      <c r="V813">
        <v>0</v>
      </c>
    </row>
    <row r="814" spans="1:22" x14ac:dyDescent="0.25">
      <c r="A814" t="s">
        <v>2106</v>
      </c>
      <c r="B814" t="s">
        <v>812</v>
      </c>
      <c r="C814">
        <v>34</v>
      </c>
      <c r="D814" t="s">
        <v>57</v>
      </c>
      <c r="E814" t="s">
        <v>55</v>
      </c>
      <c r="F814" t="s">
        <v>81</v>
      </c>
      <c r="G814">
        <v>0.71</v>
      </c>
      <c r="H814" t="s">
        <v>65</v>
      </c>
      <c r="I814">
        <v>-6</v>
      </c>
      <c r="J814" t="str">
        <f>HYPERLINK("https://www.eliteprospects.com/player/763425/antoine-st-laurent")</f>
        <v>https://www.eliteprospects.com/player/763425/antoine-st-laurent</v>
      </c>
      <c r="K814" t="s">
        <v>27</v>
      </c>
      <c r="L814" t="s">
        <v>804</v>
      </c>
      <c r="M814" t="s">
        <v>1296</v>
      </c>
      <c r="N814">
        <v>2</v>
      </c>
      <c r="O814" t="s">
        <v>825</v>
      </c>
      <c r="P814">
        <v>0.08</v>
      </c>
      <c r="Q814" t="s">
        <v>245</v>
      </c>
      <c r="R814">
        <v>0</v>
      </c>
      <c r="S814">
        <v>44.4</v>
      </c>
      <c r="T814">
        <v>33.299999999999997</v>
      </c>
      <c r="U814">
        <v>0</v>
      </c>
      <c r="V814">
        <v>22.2</v>
      </c>
    </row>
    <row r="815" spans="1:22" x14ac:dyDescent="0.25">
      <c r="A815" t="s">
        <v>2107</v>
      </c>
      <c r="B815" t="s">
        <v>811</v>
      </c>
      <c r="C815">
        <v>38</v>
      </c>
      <c r="D815" t="s">
        <v>66</v>
      </c>
      <c r="E815" t="s">
        <v>24</v>
      </c>
      <c r="F815" t="s">
        <v>81</v>
      </c>
      <c r="G815">
        <v>0.63</v>
      </c>
      <c r="H815" t="s">
        <v>32</v>
      </c>
      <c r="I815">
        <v>32</v>
      </c>
      <c r="J815" t="str">
        <f>HYPERLINK("https://www.eliteprospects.com/player/722857/felix-plamondon")</f>
        <v>https://www.eliteprospects.com/player/722857/felix-plamondon</v>
      </c>
      <c r="K815" t="s">
        <v>27</v>
      </c>
      <c r="L815" t="s">
        <v>804</v>
      </c>
      <c r="M815" t="s">
        <v>1296</v>
      </c>
      <c r="N815">
        <v>4</v>
      </c>
      <c r="O815" t="s">
        <v>809</v>
      </c>
      <c r="P815">
        <v>7.0000000000000007E-2</v>
      </c>
      <c r="Q815" t="s">
        <v>1325</v>
      </c>
      <c r="R815">
        <v>44.4</v>
      </c>
      <c r="S815">
        <v>11.1</v>
      </c>
      <c r="T815">
        <v>44.4</v>
      </c>
      <c r="U815">
        <v>0</v>
      </c>
      <c r="V815">
        <v>0</v>
      </c>
    </row>
    <row r="816" spans="1:22" x14ac:dyDescent="0.25">
      <c r="A816" t="s">
        <v>2108</v>
      </c>
      <c r="B816" t="s">
        <v>824</v>
      </c>
      <c r="C816">
        <v>38</v>
      </c>
      <c r="D816" t="s">
        <v>79</v>
      </c>
      <c r="E816" t="s">
        <v>47</v>
      </c>
      <c r="F816" t="s">
        <v>81</v>
      </c>
      <c r="G816">
        <v>0.63</v>
      </c>
      <c r="H816" t="s">
        <v>23</v>
      </c>
      <c r="I816">
        <v>2</v>
      </c>
      <c r="J816" t="str">
        <f>HYPERLINK("https://www.eliteprospects.com/player/712192/owen-phillips")</f>
        <v>https://www.eliteprospects.com/player/712192/owen-phillips</v>
      </c>
      <c r="K816" t="s">
        <v>27</v>
      </c>
      <c r="L816" t="s">
        <v>804</v>
      </c>
      <c r="M816" t="s">
        <v>1296</v>
      </c>
      <c r="N816">
        <v>4</v>
      </c>
      <c r="O816" t="s">
        <v>809</v>
      </c>
      <c r="P816">
        <v>7.0000000000000007E-2</v>
      </c>
      <c r="Q816" t="s">
        <v>1325</v>
      </c>
      <c r="R816">
        <v>33.299999999999997</v>
      </c>
      <c r="S816">
        <v>16.7</v>
      </c>
      <c r="T816">
        <v>33.299999999999997</v>
      </c>
      <c r="U816">
        <v>16.7</v>
      </c>
      <c r="V816">
        <v>0</v>
      </c>
    </row>
    <row r="817" spans="1:22" x14ac:dyDescent="0.25">
      <c r="A817" t="s">
        <v>2109</v>
      </c>
      <c r="B817" t="s">
        <v>803</v>
      </c>
      <c r="C817">
        <v>38</v>
      </c>
      <c r="D817" t="s">
        <v>260</v>
      </c>
      <c r="E817" t="s">
        <v>84</v>
      </c>
      <c r="F817" t="s">
        <v>81</v>
      </c>
      <c r="G817">
        <v>0.63</v>
      </c>
      <c r="H817" t="s">
        <v>39</v>
      </c>
      <c r="I817">
        <v>-6</v>
      </c>
      <c r="J817" t="str">
        <f>HYPERLINK("https://www.eliteprospects.com/player/870116/benjamin-cossette-ayotte")</f>
        <v>https://www.eliteprospects.com/player/870116/benjamin-cossette-ayotte</v>
      </c>
      <c r="K817" t="s">
        <v>27</v>
      </c>
      <c r="L817" t="s">
        <v>804</v>
      </c>
      <c r="M817" t="s">
        <v>1296</v>
      </c>
      <c r="N817">
        <v>2</v>
      </c>
      <c r="O817" t="s">
        <v>825</v>
      </c>
      <c r="P817">
        <v>7.0000000000000007E-2</v>
      </c>
      <c r="Q817" t="s">
        <v>245</v>
      </c>
      <c r="R817">
        <v>0</v>
      </c>
      <c r="S817">
        <v>44.4</v>
      </c>
      <c r="T817">
        <v>33.299999999999997</v>
      </c>
      <c r="U817">
        <v>0</v>
      </c>
      <c r="V817">
        <v>22.2</v>
      </c>
    </row>
    <row r="818" spans="1:22" x14ac:dyDescent="0.25">
      <c r="A818" t="s">
        <v>2110</v>
      </c>
      <c r="B818" t="s">
        <v>808</v>
      </c>
      <c r="C818">
        <v>37</v>
      </c>
      <c r="D818" t="s">
        <v>78</v>
      </c>
      <c r="E818" t="s">
        <v>38</v>
      </c>
      <c r="F818" t="s">
        <v>84</v>
      </c>
      <c r="G818">
        <v>0.62</v>
      </c>
      <c r="H818" t="s">
        <v>26</v>
      </c>
      <c r="I818">
        <v>25</v>
      </c>
      <c r="J818" t="str">
        <f>HYPERLINK("https://www.eliteprospects.com/player/620205/peteris-bulans")</f>
        <v>https://www.eliteprospects.com/player/620205/peteris-bulans</v>
      </c>
      <c r="K818" t="s">
        <v>27</v>
      </c>
      <c r="L818" t="s">
        <v>804</v>
      </c>
      <c r="M818" t="s">
        <v>1296</v>
      </c>
      <c r="N818">
        <v>4</v>
      </c>
      <c r="O818" t="s">
        <v>809</v>
      </c>
      <c r="P818">
        <v>7.0000000000000007E-2</v>
      </c>
      <c r="Q818" t="s">
        <v>1325</v>
      </c>
      <c r="R818">
        <v>44.4</v>
      </c>
      <c r="S818">
        <v>11.1</v>
      </c>
      <c r="T818">
        <v>44.4</v>
      </c>
      <c r="U818">
        <v>0</v>
      </c>
      <c r="V818">
        <v>0</v>
      </c>
    </row>
    <row r="819" spans="1:22" x14ac:dyDescent="0.25">
      <c r="A819" t="s">
        <v>2111</v>
      </c>
      <c r="B819" t="s">
        <v>818</v>
      </c>
      <c r="C819">
        <v>39</v>
      </c>
      <c r="D819" t="s">
        <v>66</v>
      </c>
      <c r="E819" t="s">
        <v>55</v>
      </c>
      <c r="F819" t="s">
        <v>47</v>
      </c>
      <c r="G819">
        <v>0.56000000000000005</v>
      </c>
      <c r="H819" t="s">
        <v>47</v>
      </c>
      <c r="I819">
        <v>26</v>
      </c>
      <c r="J819" t="str">
        <f>HYPERLINK("https://www.eliteprospects.com/player/592903/theo-lemieux")</f>
        <v>https://www.eliteprospects.com/player/592903/theo-lemieux</v>
      </c>
      <c r="K819" t="s">
        <v>27</v>
      </c>
      <c r="L819" t="s">
        <v>804</v>
      </c>
      <c r="M819" t="s">
        <v>1296</v>
      </c>
      <c r="N819">
        <v>5</v>
      </c>
      <c r="O819" t="s">
        <v>807</v>
      </c>
      <c r="P819">
        <v>0.06</v>
      </c>
      <c r="Q819" t="s">
        <v>1309</v>
      </c>
      <c r="R819">
        <v>14.3</v>
      </c>
      <c r="S819">
        <v>28.6</v>
      </c>
      <c r="T819">
        <v>28.6</v>
      </c>
      <c r="U819">
        <v>0</v>
      </c>
      <c r="V819">
        <v>28.6</v>
      </c>
    </row>
    <row r="820" spans="1:22" x14ac:dyDescent="0.25">
      <c r="A820" t="s">
        <v>2112</v>
      </c>
      <c r="B820" t="s">
        <v>815</v>
      </c>
      <c r="C820">
        <v>35</v>
      </c>
      <c r="D820" t="s">
        <v>79</v>
      </c>
      <c r="E820" t="s">
        <v>24</v>
      </c>
      <c r="F820" t="s">
        <v>47</v>
      </c>
      <c r="G820">
        <v>0.63</v>
      </c>
      <c r="H820" t="s">
        <v>57</v>
      </c>
      <c r="I820">
        <v>-2</v>
      </c>
      <c r="J820" t="str">
        <f>HYPERLINK("https://www.eliteprospects.com/player/721275/matheo-lepage")</f>
        <v>https://www.eliteprospects.com/player/721275/matheo-lepage</v>
      </c>
      <c r="K820" t="s">
        <v>27</v>
      </c>
      <c r="L820" t="s">
        <v>804</v>
      </c>
      <c r="M820" t="s">
        <v>1296</v>
      </c>
      <c r="N820">
        <v>2</v>
      </c>
      <c r="O820" t="s">
        <v>825</v>
      </c>
      <c r="P820">
        <v>7.0000000000000007E-2</v>
      </c>
      <c r="Q820" t="s">
        <v>1300</v>
      </c>
      <c r="R820">
        <v>33.299999999999997</v>
      </c>
      <c r="S820">
        <v>22.2</v>
      </c>
      <c r="T820">
        <v>22.2</v>
      </c>
      <c r="U820">
        <v>11.1</v>
      </c>
      <c r="V820">
        <v>11.1</v>
      </c>
    </row>
    <row r="821" spans="1:22" x14ac:dyDescent="0.25">
      <c r="A821" t="s">
        <v>2113</v>
      </c>
      <c r="B821" t="s">
        <v>828</v>
      </c>
      <c r="C821">
        <v>37</v>
      </c>
      <c r="D821" t="s">
        <v>45</v>
      </c>
      <c r="E821" t="s">
        <v>23</v>
      </c>
      <c r="F821" t="s">
        <v>33</v>
      </c>
      <c r="G821">
        <v>0.56999999999999995</v>
      </c>
      <c r="H821" t="s">
        <v>24</v>
      </c>
      <c r="I821">
        <v>-21</v>
      </c>
      <c r="J821" t="str">
        <f>HYPERLINK("https://www.eliteprospects.com/player/893556/everett-baldwin")</f>
        <v>https://www.eliteprospects.com/player/893556/everett-baldwin</v>
      </c>
      <c r="K821" t="s">
        <v>27</v>
      </c>
      <c r="L821" t="s">
        <v>804</v>
      </c>
      <c r="M821" t="s">
        <v>1296</v>
      </c>
      <c r="N821">
        <v>1</v>
      </c>
      <c r="O821" t="s">
        <v>816</v>
      </c>
      <c r="P821">
        <v>0.06</v>
      </c>
      <c r="Q821" t="s">
        <v>1309</v>
      </c>
      <c r="R821">
        <v>0</v>
      </c>
      <c r="S821">
        <v>20</v>
      </c>
      <c r="T821">
        <v>40</v>
      </c>
      <c r="U821">
        <v>0</v>
      </c>
      <c r="V821">
        <v>40</v>
      </c>
    </row>
    <row r="822" spans="1:22" x14ac:dyDescent="0.25">
      <c r="A822" t="s">
        <v>2114</v>
      </c>
      <c r="B822" t="s">
        <v>828</v>
      </c>
      <c r="C822">
        <v>35</v>
      </c>
      <c r="D822" t="s">
        <v>96</v>
      </c>
      <c r="E822" t="s">
        <v>41</v>
      </c>
      <c r="F822" t="s">
        <v>24</v>
      </c>
      <c r="G822">
        <v>0.56999999999999995</v>
      </c>
      <c r="H822" t="s">
        <v>66</v>
      </c>
      <c r="I822">
        <v>-1</v>
      </c>
      <c r="J822" t="str">
        <f>HYPERLINK("https://www.eliteprospects.com/player/878286/olivier-duhamel")</f>
        <v>https://www.eliteprospects.com/player/878286/olivier-duhamel</v>
      </c>
      <c r="K822" t="s">
        <v>27</v>
      </c>
      <c r="L822" t="s">
        <v>804</v>
      </c>
      <c r="M822" t="s">
        <v>1296</v>
      </c>
      <c r="N822">
        <v>3</v>
      </c>
      <c r="O822" t="s">
        <v>805</v>
      </c>
      <c r="P822">
        <v>0.06</v>
      </c>
      <c r="Q822" t="s">
        <v>1300</v>
      </c>
      <c r="R822">
        <v>37.5</v>
      </c>
      <c r="S822">
        <v>37.5</v>
      </c>
      <c r="T822">
        <v>0</v>
      </c>
      <c r="U822">
        <v>12.5</v>
      </c>
      <c r="V822">
        <v>12.5</v>
      </c>
    </row>
    <row r="823" spans="1:22" x14ac:dyDescent="0.25">
      <c r="A823" t="s">
        <v>2115</v>
      </c>
      <c r="B823" t="s">
        <v>820</v>
      </c>
      <c r="C823">
        <v>38</v>
      </c>
      <c r="D823" t="s">
        <v>140</v>
      </c>
      <c r="E823" t="s">
        <v>60</v>
      </c>
      <c r="F823" t="s">
        <v>24</v>
      </c>
      <c r="G823">
        <v>0.53</v>
      </c>
      <c r="H823" t="s">
        <v>23</v>
      </c>
      <c r="I823">
        <v>35</v>
      </c>
      <c r="J823" t="str">
        <f>HYPERLINK("https://www.eliteprospects.com/player/597537/adam-fortier-gendron")</f>
        <v>https://www.eliteprospects.com/player/597537/adam-fortier-gendron</v>
      </c>
      <c r="K823" t="s">
        <v>27</v>
      </c>
      <c r="L823" t="s">
        <v>804</v>
      </c>
      <c r="M823" t="s">
        <v>1296</v>
      </c>
      <c r="N823">
        <v>4</v>
      </c>
      <c r="O823" t="s">
        <v>809</v>
      </c>
      <c r="P823">
        <v>0.06</v>
      </c>
      <c r="Q823" t="s">
        <v>1309</v>
      </c>
      <c r="R823">
        <v>14.3</v>
      </c>
      <c r="S823">
        <v>28.6</v>
      </c>
      <c r="T823">
        <v>28.6</v>
      </c>
      <c r="U823">
        <v>0</v>
      </c>
      <c r="V823">
        <v>28.6</v>
      </c>
    </row>
    <row r="824" spans="1:22" x14ac:dyDescent="0.25">
      <c r="A824" t="s">
        <v>2116</v>
      </c>
      <c r="B824" t="s">
        <v>865</v>
      </c>
      <c r="C824">
        <v>40</v>
      </c>
      <c r="D824" t="s">
        <v>66</v>
      </c>
      <c r="E824" t="s">
        <v>39</v>
      </c>
      <c r="F824" t="s">
        <v>55</v>
      </c>
      <c r="G824">
        <v>0.45</v>
      </c>
      <c r="H824" t="s">
        <v>66</v>
      </c>
      <c r="I824">
        <v>-5</v>
      </c>
      <c r="J824" t="str">
        <f>HYPERLINK("https://www.eliteprospects.com/player/714709/mattias-gilbert")</f>
        <v>https://www.eliteprospects.com/player/714709/mattias-gilbert</v>
      </c>
      <c r="K824" t="s">
        <v>27</v>
      </c>
      <c r="L824" t="s">
        <v>804</v>
      </c>
      <c r="M824" t="s">
        <v>1296</v>
      </c>
      <c r="N824">
        <v>4</v>
      </c>
      <c r="O824" t="s">
        <v>809</v>
      </c>
      <c r="P824">
        <v>0.05</v>
      </c>
      <c r="Q824" t="s">
        <v>1309</v>
      </c>
      <c r="R824">
        <v>0</v>
      </c>
      <c r="S824">
        <v>20</v>
      </c>
      <c r="T824">
        <v>40</v>
      </c>
      <c r="U824">
        <v>0</v>
      </c>
      <c r="V824">
        <v>40</v>
      </c>
    </row>
    <row r="825" spans="1:22" x14ac:dyDescent="0.25">
      <c r="A825" t="s">
        <v>2117</v>
      </c>
      <c r="B825" t="s">
        <v>803</v>
      </c>
      <c r="C825">
        <v>39</v>
      </c>
      <c r="D825" t="s">
        <v>140</v>
      </c>
      <c r="E825" t="s">
        <v>41</v>
      </c>
      <c r="F825" t="s">
        <v>55</v>
      </c>
      <c r="G825">
        <v>0.46</v>
      </c>
      <c r="H825" t="s">
        <v>23</v>
      </c>
      <c r="I825">
        <v>-12</v>
      </c>
      <c r="J825" t="str">
        <f>HYPERLINK("https://www.eliteprospects.com/player/661400/anthony-pare")</f>
        <v>https://www.eliteprospects.com/player/661400/anthony-pare</v>
      </c>
      <c r="K825" t="s">
        <v>27</v>
      </c>
      <c r="L825" t="s">
        <v>804</v>
      </c>
      <c r="M825" t="s">
        <v>1296</v>
      </c>
      <c r="N825">
        <v>4</v>
      </c>
      <c r="O825" t="s">
        <v>809</v>
      </c>
      <c r="P825">
        <v>0.05</v>
      </c>
      <c r="Q825" t="s">
        <v>1309</v>
      </c>
      <c r="R825">
        <v>0</v>
      </c>
      <c r="S825">
        <v>20</v>
      </c>
      <c r="T825">
        <v>40</v>
      </c>
      <c r="U825">
        <v>0</v>
      </c>
      <c r="V825">
        <v>40</v>
      </c>
    </row>
    <row r="826" spans="1:22" x14ac:dyDescent="0.25">
      <c r="A826" t="s">
        <v>2118</v>
      </c>
      <c r="B826" t="s">
        <v>821</v>
      </c>
      <c r="C826">
        <v>38</v>
      </c>
      <c r="D826" t="s">
        <v>260</v>
      </c>
      <c r="E826" t="s">
        <v>60</v>
      </c>
      <c r="F826" t="s">
        <v>55</v>
      </c>
      <c r="G826">
        <v>0.47</v>
      </c>
      <c r="H826" t="s">
        <v>26</v>
      </c>
      <c r="I826">
        <v>2</v>
      </c>
      <c r="J826" t="str">
        <f>HYPERLINK("https://www.eliteprospects.com/player/803922/owen-conrad")</f>
        <v>https://www.eliteprospects.com/player/803922/owen-conrad</v>
      </c>
      <c r="K826" t="s">
        <v>27</v>
      </c>
      <c r="L826" t="s">
        <v>804</v>
      </c>
      <c r="M826" t="s">
        <v>1296</v>
      </c>
      <c r="N826">
        <v>3</v>
      </c>
      <c r="O826" t="s">
        <v>805</v>
      </c>
      <c r="P826">
        <v>0.05</v>
      </c>
      <c r="Q826" t="s">
        <v>1300</v>
      </c>
      <c r="R826">
        <v>57.1</v>
      </c>
      <c r="S826">
        <v>28.6</v>
      </c>
      <c r="T826">
        <v>0</v>
      </c>
      <c r="U826">
        <v>14.3</v>
      </c>
      <c r="V826">
        <v>0</v>
      </c>
    </row>
    <row r="827" spans="1:22" x14ac:dyDescent="0.25">
      <c r="A827" t="s">
        <v>2119</v>
      </c>
      <c r="B827" t="s">
        <v>811</v>
      </c>
      <c r="C827">
        <v>33</v>
      </c>
      <c r="D827" t="s">
        <v>96</v>
      </c>
      <c r="E827" t="s">
        <v>23</v>
      </c>
      <c r="F827" t="s">
        <v>60</v>
      </c>
      <c r="G827">
        <v>0.52</v>
      </c>
      <c r="H827" t="s">
        <v>55</v>
      </c>
      <c r="I827">
        <v>13</v>
      </c>
      <c r="J827" t="str">
        <f>HYPERLINK("https://www.eliteprospects.com/player/722856/mathieu-plante")</f>
        <v>https://www.eliteprospects.com/player/722856/mathieu-plante</v>
      </c>
      <c r="K827" t="s">
        <v>27</v>
      </c>
      <c r="L827" t="s">
        <v>804</v>
      </c>
      <c r="M827" t="s">
        <v>1296</v>
      </c>
      <c r="N827">
        <v>3</v>
      </c>
      <c r="O827" t="s">
        <v>805</v>
      </c>
      <c r="P827">
        <v>0.06</v>
      </c>
      <c r="Q827" t="s">
        <v>1325</v>
      </c>
      <c r="R827">
        <v>18.2</v>
      </c>
      <c r="S827">
        <v>9.1</v>
      </c>
      <c r="T827">
        <v>63.6</v>
      </c>
      <c r="U827">
        <v>0</v>
      </c>
      <c r="V827">
        <v>9.1</v>
      </c>
    </row>
    <row r="828" spans="1:22" x14ac:dyDescent="0.25">
      <c r="A828" t="s">
        <v>2120</v>
      </c>
      <c r="B828" t="s">
        <v>823</v>
      </c>
      <c r="C828">
        <v>28</v>
      </c>
      <c r="D828" t="s">
        <v>79</v>
      </c>
      <c r="E828" t="s">
        <v>41</v>
      </c>
      <c r="F828" t="s">
        <v>60</v>
      </c>
      <c r="G828">
        <v>0.61</v>
      </c>
      <c r="H828" t="s">
        <v>41</v>
      </c>
      <c r="I828">
        <v>6</v>
      </c>
      <c r="J828" t="str">
        <f>HYPERLINK("https://www.eliteprospects.com/player/747957/alexandre-taillefer")</f>
        <v>https://www.eliteprospects.com/player/747957/alexandre-taillefer</v>
      </c>
      <c r="K828" t="s">
        <v>27</v>
      </c>
      <c r="L828" t="s">
        <v>804</v>
      </c>
      <c r="M828" t="s">
        <v>1296</v>
      </c>
      <c r="N828">
        <v>2</v>
      </c>
      <c r="O828" t="s">
        <v>825</v>
      </c>
      <c r="P828">
        <v>7.0000000000000007E-2</v>
      </c>
      <c r="Q828" t="s">
        <v>1300</v>
      </c>
      <c r="R828">
        <v>42.9</v>
      </c>
      <c r="S828">
        <v>28.6</v>
      </c>
      <c r="T828">
        <v>28.6</v>
      </c>
      <c r="U828">
        <v>0</v>
      </c>
      <c r="V828">
        <v>0</v>
      </c>
    </row>
    <row r="829" spans="1:22" x14ac:dyDescent="0.25">
      <c r="A829" t="s">
        <v>2121</v>
      </c>
      <c r="B829" t="s">
        <v>507</v>
      </c>
      <c r="C829">
        <v>32</v>
      </c>
      <c r="D829" t="s">
        <v>260</v>
      </c>
      <c r="E829" t="s">
        <v>38</v>
      </c>
      <c r="F829" t="s">
        <v>60</v>
      </c>
      <c r="G829">
        <v>0.53</v>
      </c>
      <c r="H829" t="s">
        <v>125</v>
      </c>
      <c r="I829">
        <v>-17</v>
      </c>
      <c r="J829" t="str">
        <f>HYPERLINK("https://www.eliteprospects.com/player/843589/jan-golicic")</f>
        <v>https://www.eliteprospects.com/player/843589/jan-golicic</v>
      </c>
      <c r="K829" t="s">
        <v>27</v>
      </c>
      <c r="L829" t="s">
        <v>804</v>
      </c>
      <c r="M829" t="s">
        <v>1296</v>
      </c>
      <c r="N829">
        <v>3</v>
      </c>
      <c r="O829" t="s">
        <v>805</v>
      </c>
      <c r="P829">
        <v>0.06</v>
      </c>
      <c r="Q829" t="s">
        <v>1309</v>
      </c>
      <c r="R829">
        <v>0</v>
      </c>
      <c r="S829">
        <v>20</v>
      </c>
      <c r="T829">
        <v>40</v>
      </c>
      <c r="U829">
        <v>0</v>
      </c>
      <c r="V829">
        <v>40</v>
      </c>
    </row>
    <row r="830" spans="1:22" x14ac:dyDescent="0.25">
      <c r="A830" t="s">
        <v>2122</v>
      </c>
      <c r="B830" t="s">
        <v>815</v>
      </c>
      <c r="C830">
        <v>34</v>
      </c>
      <c r="D830" t="s">
        <v>260</v>
      </c>
      <c r="E830" t="s">
        <v>38</v>
      </c>
      <c r="F830" t="s">
        <v>60</v>
      </c>
      <c r="G830">
        <v>0.5</v>
      </c>
      <c r="H830" t="s">
        <v>269</v>
      </c>
      <c r="I830">
        <v>-8</v>
      </c>
      <c r="J830" t="str">
        <f>HYPERLINK("https://www.eliteprospects.com/player/660791/simon-pier-brunet")</f>
        <v>https://www.eliteprospects.com/player/660791/simon-pier-brunet</v>
      </c>
      <c r="K830" t="s">
        <v>27</v>
      </c>
      <c r="L830" t="s">
        <v>804</v>
      </c>
      <c r="M830" t="s">
        <v>1296</v>
      </c>
      <c r="N830">
        <v>5</v>
      </c>
      <c r="O830" t="s">
        <v>807</v>
      </c>
      <c r="P830">
        <v>0.06</v>
      </c>
      <c r="Q830" t="s">
        <v>1309</v>
      </c>
      <c r="R830">
        <v>0</v>
      </c>
      <c r="S830">
        <v>20</v>
      </c>
      <c r="T830">
        <v>40</v>
      </c>
      <c r="U830">
        <v>0</v>
      </c>
      <c r="V830">
        <v>40</v>
      </c>
    </row>
    <row r="831" spans="1:22" x14ac:dyDescent="0.25">
      <c r="A831" t="s">
        <v>2123</v>
      </c>
      <c r="B831" t="s">
        <v>811</v>
      </c>
      <c r="C831">
        <v>32</v>
      </c>
      <c r="D831" t="s">
        <v>66</v>
      </c>
      <c r="E831" t="s">
        <v>23</v>
      </c>
      <c r="F831" t="s">
        <v>38</v>
      </c>
      <c r="G831">
        <v>0.5</v>
      </c>
      <c r="H831" t="s">
        <v>46</v>
      </c>
      <c r="I831">
        <v>7</v>
      </c>
      <c r="J831" t="str">
        <f>HYPERLINK("https://www.eliteprospects.com/player/759417/noah-mckinnon")</f>
        <v>https://www.eliteprospects.com/player/759417/noah-mckinnon</v>
      </c>
      <c r="K831" t="s">
        <v>27</v>
      </c>
      <c r="L831" t="s">
        <v>804</v>
      </c>
      <c r="M831" t="s">
        <v>1296</v>
      </c>
      <c r="N831">
        <v>3</v>
      </c>
      <c r="O831" t="s">
        <v>805</v>
      </c>
      <c r="P831">
        <v>0.06</v>
      </c>
      <c r="Q831" t="s">
        <v>1325</v>
      </c>
      <c r="R831">
        <v>18.2</v>
      </c>
      <c r="S831">
        <v>9.1</v>
      </c>
      <c r="T831">
        <v>63.6</v>
      </c>
      <c r="U831">
        <v>0</v>
      </c>
      <c r="V831">
        <v>9.1</v>
      </c>
    </row>
    <row r="832" spans="1:22" x14ac:dyDescent="0.25">
      <c r="A832" t="s">
        <v>2124</v>
      </c>
      <c r="B832" t="s">
        <v>808</v>
      </c>
      <c r="C832">
        <v>39</v>
      </c>
      <c r="D832" t="s">
        <v>79</v>
      </c>
      <c r="E832" t="s">
        <v>39</v>
      </c>
      <c r="F832" t="s">
        <v>38</v>
      </c>
      <c r="G832">
        <v>0.41</v>
      </c>
      <c r="H832" t="s">
        <v>47</v>
      </c>
      <c r="I832">
        <v>21</v>
      </c>
      <c r="J832" t="str">
        <f>HYPERLINK("https://www.eliteprospects.com/player/577050/alonso-gosselin")</f>
        <v>https://www.eliteprospects.com/player/577050/alonso-gosselin</v>
      </c>
      <c r="K832" t="s">
        <v>27</v>
      </c>
      <c r="L832" t="s">
        <v>804</v>
      </c>
      <c r="M832" t="s">
        <v>1296</v>
      </c>
      <c r="N832">
        <v>3</v>
      </c>
      <c r="O832" t="s">
        <v>805</v>
      </c>
      <c r="P832">
        <v>0.05</v>
      </c>
      <c r="Q832" t="s">
        <v>1309</v>
      </c>
      <c r="R832">
        <v>14.3</v>
      </c>
      <c r="S832">
        <v>28.6</v>
      </c>
      <c r="T832">
        <v>28.6</v>
      </c>
      <c r="U832">
        <v>0</v>
      </c>
      <c r="V832">
        <v>28.6</v>
      </c>
    </row>
    <row r="833" spans="1:22" x14ac:dyDescent="0.25">
      <c r="A833" t="s">
        <v>2125</v>
      </c>
      <c r="B833" t="s">
        <v>808</v>
      </c>
      <c r="C833">
        <v>39</v>
      </c>
      <c r="D833" t="s">
        <v>78</v>
      </c>
      <c r="E833" t="s">
        <v>26</v>
      </c>
      <c r="F833" t="s">
        <v>41</v>
      </c>
      <c r="G833">
        <v>0.38</v>
      </c>
      <c r="H833" t="s">
        <v>61</v>
      </c>
      <c r="I833">
        <v>15</v>
      </c>
      <c r="J833" t="str">
        <f>HYPERLINK("https://www.eliteprospects.com/player/720898/alexandre-desmarais")</f>
        <v>https://www.eliteprospects.com/player/720898/alexandre-desmarais</v>
      </c>
      <c r="K833" t="s">
        <v>27</v>
      </c>
      <c r="L833" t="s">
        <v>804</v>
      </c>
      <c r="M833" t="s">
        <v>1296</v>
      </c>
      <c r="N833">
        <v>3</v>
      </c>
      <c r="O833" t="s">
        <v>805</v>
      </c>
      <c r="P833">
        <v>0.04</v>
      </c>
      <c r="Q833" t="s">
        <v>1488</v>
      </c>
      <c r="R833">
        <v>0</v>
      </c>
      <c r="S833">
        <v>0</v>
      </c>
      <c r="T833">
        <v>0</v>
      </c>
      <c r="U833">
        <v>0</v>
      </c>
      <c r="V833">
        <v>0</v>
      </c>
    </row>
    <row r="834" spans="1:22" x14ac:dyDescent="0.25">
      <c r="A834" t="s">
        <v>2126</v>
      </c>
      <c r="B834" t="s">
        <v>826</v>
      </c>
      <c r="C834">
        <v>31</v>
      </c>
      <c r="D834" t="s">
        <v>96</v>
      </c>
      <c r="E834" t="s">
        <v>32</v>
      </c>
      <c r="F834" t="s">
        <v>41</v>
      </c>
      <c r="G834">
        <v>0.48</v>
      </c>
      <c r="H834" t="s">
        <v>66</v>
      </c>
      <c r="I834">
        <v>12</v>
      </c>
      <c r="J834" t="str">
        <f>HYPERLINK("https://www.eliteprospects.com/player/892667/xavier-cormier")</f>
        <v>https://www.eliteprospects.com/player/892667/xavier-cormier</v>
      </c>
      <c r="K834" t="s">
        <v>27</v>
      </c>
      <c r="L834" t="s">
        <v>804</v>
      </c>
      <c r="M834" t="s">
        <v>1296</v>
      </c>
      <c r="N834">
        <v>1</v>
      </c>
      <c r="O834" t="s">
        <v>816</v>
      </c>
      <c r="P834">
        <v>0.05</v>
      </c>
      <c r="Q834" t="s">
        <v>1325</v>
      </c>
      <c r="R834">
        <v>18.2</v>
      </c>
      <c r="S834">
        <v>9.1</v>
      </c>
      <c r="T834">
        <v>63.6</v>
      </c>
      <c r="U834">
        <v>0</v>
      </c>
      <c r="V834">
        <v>9.1</v>
      </c>
    </row>
    <row r="835" spans="1:22" x14ac:dyDescent="0.25">
      <c r="A835" t="s">
        <v>2127</v>
      </c>
      <c r="B835" t="s">
        <v>820</v>
      </c>
      <c r="C835">
        <v>38</v>
      </c>
      <c r="D835" t="s">
        <v>66</v>
      </c>
      <c r="E835" t="s">
        <v>69</v>
      </c>
      <c r="F835" t="s">
        <v>41</v>
      </c>
      <c r="G835">
        <v>0.39</v>
      </c>
      <c r="H835" t="s">
        <v>178</v>
      </c>
      <c r="I835">
        <v>14</v>
      </c>
      <c r="J835" t="str">
        <f>HYPERLINK("https://www.eliteprospects.com/player/597693/matthew-virgilio")</f>
        <v>https://www.eliteprospects.com/player/597693/matthew-virgilio</v>
      </c>
      <c r="K835" t="s">
        <v>27</v>
      </c>
      <c r="L835" t="s">
        <v>804</v>
      </c>
      <c r="M835" t="s">
        <v>1296</v>
      </c>
      <c r="N835">
        <v>4</v>
      </c>
      <c r="O835" t="s">
        <v>2128</v>
      </c>
      <c r="P835">
        <v>0.04</v>
      </c>
      <c r="Q835" t="s">
        <v>1488</v>
      </c>
      <c r="R835">
        <v>0</v>
      </c>
      <c r="S835">
        <v>0</v>
      </c>
      <c r="T835">
        <v>0</v>
      </c>
      <c r="U835">
        <v>0</v>
      </c>
      <c r="V835">
        <v>0</v>
      </c>
    </row>
    <row r="836" spans="1:22" x14ac:dyDescent="0.25">
      <c r="A836" t="s">
        <v>2129</v>
      </c>
      <c r="B836" t="s">
        <v>822</v>
      </c>
      <c r="C836">
        <v>40</v>
      </c>
      <c r="D836" t="s">
        <v>66</v>
      </c>
      <c r="E836" t="s">
        <v>69</v>
      </c>
      <c r="F836" t="s">
        <v>41</v>
      </c>
      <c r="G836">
        <v>0.38</v>
      </c>
      <c r="H836" t="s">
        <v>26</v>
      </c>
      <c r="I836">
        <v>9</v>
      </c>
      <c r="J836" t="str">
        <f>HYPERLINK("https://www.eliteprospects.com/player/679623/noah-jettelson")</f>
        <v>https://www.eliteprospects.com/player/679623/noah-jettelson</v>
      </c>
      <c r="K836" t="s">
        <v>27</v>
      </c>
      <c r="L836" t="s">
        <v>804</v>
      </c>
      <c r="M836" t="s">
        <v>1296</v>
      </c>
      <c r="N836">
        <v>1</v>
      </c>
      <c r="O836" t="s">
        <v>816</v>
      </c>
      <c r="P836">
        <v>0.04</v>
      </c>
      <c r="Q836" t="s">
        <v>1488</v>
      </c>
      <c r="R836">
        <v>0</v>
      </c>
      <c r="S836">
        <v>0</v>
      </c>
      <c r="T836">
        <v>0</v>
      </c>
      <c r="U836">
        <v>0</v>
      </c>
      <c r="V836">
        <v>0</v>
      </c>
    </row>
    <row r="837" spans="1:22" x14ac:dyDescent="0.25">
      <c r="A837" t="s">
        <v>2130</v>
      </c>
      <c r="B837" t="s">
        <v>823</v>
      </c>
      <c r="C837">
        <v>39</v>
      </c>
      <c r="D837" t="s">
        <v>140</v>
      </c>
      <c r="E837" t="s">
        <v>23</v>
      </c>
      <c r="F837" t="s">
        <v>41</v>
      </c>
      <c r="G837">
        <v>0.38</v>
      </c>
      <c r="H837" t="s">
        <v>60</v>
      </c>
      <c r="I837">
        <v>19</v>
      </c>
      <c r="J837" t="str">
        <f>HYPERLINK("https://www.eliteprospects.com/player/727836/etienne-desjardins")</f>
        <v>https://www.eliteprospects.com/player/727836/etienne-desjardins</v>
      </c>
      <c r="K837" t="s">
        <v>27</v>
      </c>
      <c r="L837" t="s">
        <v>804</v>
      </c>
      <c r="M837" t="s">
        <v>1296</v>
      </c>
      <c r="N837">
        <v>4</v>
      </c>
      <c r="O837" t="s">
        <v>809</v>
      </c>
      <c r="P837">
        <v>0.04</v>
      </c>
      <c r="Q837" t="s">
        <v>1488</v>
      </c>
      <c r="R837">
        <v>0</v>
      </c>
      <c r="S837">
        <v>0</v>
      </c>
      <c r="T837">
        <v>0</v>
      </c>
      <c r="U837">
        <v>0</v>
      </c>
      <c r="V837">
        <v>0</v>
      </c>
    </row>
    <row r="838" spans="1:22" x14ac:dyDescent="0.25">
      <c r="A838" t="s">
        <v>2131</v>
      </c>
      <c r="B838" t="s">
        <v>824</v>
      </c>
      <c r="C838">
        <v>27</v>
      </c>
      <c r="D838" t="s">
        <v>79</v>
      </c>
      <c r="E838" t="s">
        <v>65</v>
      </c>
      <c r="F838" t="s">
        <v>41</v>
      </c>
      <c r="G838">
        <v>0.56000000000000005</v>
      </c>
      <c r="H838" t="s">
        <v>23</v>
      </c>
      <c r="I838">
        <v>-10</v>
      </c>
      <c r="J838" t="str">
        <f>HYPERLINK("https://www.eliteprospects.com/player/872615/carlos-handel")</f>
        <v>https://www.eliteprospects.com/player/872615/carlos-handel</v>
      </c>
      <c r="K838" t="s">
        <v>27</v>
      </c>
      <c r="L838" t="s">
        <v>804</v>
      </c>
      <c r="M838" t="s">
        <v>1296</v>
      </c>
      <c r="N838">
        <v>2</v>
      </c>
      <c r="O838" t="s">
        <v>825</v>
      </c>
      <c r="P838">
        <v>0.06</v>
      </c>
      <c r="Q838" t="s">
        <v>1309</v>
      </c>
      <c r="R838">
        <v>0</v>
      </c>
      <c r="S838">
        <v>20</v>
      </c>
      <c r="T838">
        <v>40</v>
      </c>
      <c r="U838">
        <v>0</v>
      </c>
      <c r="V838">
        <v>40</v>
      </c>
    </row>
    <row r="839" spans="1:22" x14ac:dyDescent="0.25">
      <c r="A839" t="s">
        <v>2132</v>
      </c>
      <c r="B839" t="s">
        <v>806</v>
      </c>
      <c r="C839">
        <v>38</v>
      </c>
      <c r="D839" t="s">
        <v>79</v>
      </c>
      <c r="E839" t="s">
        <v>65</v>
      </c>
      <c r="F839" t="s">
        <v>41</v>
      </c>
      <c r="G839">
        <v>0.39</v>
      </c>
      <c r="H839" t="s">
        <v>544</v>
      </c>
      <c r="I839">
        <v>15</v>
      </c>
      <c r="J839" t="str">
        <f>HYPERLINK("https://www.eliteprospects.com/player/876161/will-reynolds")</f>
        <v>https://www.eliteprospects.com/player/876161/will-reynolds</v>
      </c>
      <c r="K839" t="s">
        <v>27</v>
      </c>
      <c r="L839" t="s">
        <v>804</v>
      </c>
      <c r="M839" t="s">
        <v>1296</v>
      </c>
      <c r="N839">
        <v>3</v>
      </c>
      <c r="O839" t="s">
        <v>805</v>
      </c>
      <c r="P839">
        <v>0.04</v>
      </c>
      <c r="Q839" t="s">
        <v>1488</v>
      </c>
      <c r="R839">
        <v>0</v>
      </c>
      <c r="S839">
        <v>0</v>
      </c>
      <c r="T839">
        <v>0</v>
      </c>
      <c r="U839">
        <v>0</v>
      </c>
      <c r="V839">
        <v>0</v>
      </c>
    </row>
    <row r="840" spans="1:22" x14ac:dyDescent="0.25">
      <c r="A840" t="s">
        <v>2133</v>
      </c>
      <c r="B840" t="s">
        <v>806</v>
      </c>
      <c r="C840">
        <v>40</v>
      </c>
      <c r="D840" t="s">
        <v>66</v>
      </c>
      <c r="E840" t="s">
        <v>32</v>
      </c>
      <c r="F840" t="s">
        <v>39</v>
      </c>
      <c r="G840">
        <v>0.35</v>
      </c>
      <c r="H840" t="s">
        <v>24</v>
      </c>
      <c r="I840">
        <v>17</v>
      </c>
      <c r="J840" t="str">
        <f>HYPERLINK("https://www.eliteprospects.com/player/644801/emile-perron")</f>
        <v>https://www.eliteprospects.com/player/644801/emile-perron</v>
      </c>
      <c r="K840" t="s">
        <v>27</v>
      </c>
      <c r="L840" t="s">
        <v>804</v>
      </c>
      <c r="M840" t="s">
        <v>1296</v>
      </c>
      <c r="N840">
        <v>5</v>
      </c>
      <c r="O840" t="s">
        <v>807</v>
      </c>
      <c r="P840">
        <v>0.04</v>
      </c>
      <c r="Q840" t="s">
        <v>1488</v>
      </c>
      <c r="R840">
        <v>0</v>
      </c>
      <c r="S840">
        <v>0</v>
      </c>
      <c r="T840">
        <v>0</v>
      </c>
      <c r="U840">
        <v>0</v>
      </c>
      <c r="V840">
        <v>0</v>
      </c>
    </row>
    <row r="841" spans="1:22" x14ac:dyDescent="0.25">
      <c r="A841" t="s">
        <v>2134</v>
      </c>
      <c r="B841" t="s">
        <v>507</v>
      </c>
      <c r="C841">
        <v>29</v>
      </c>
      <c r="D841" t="s">
        <v>79</v>
      </c>
      <c r="E841" t="s">
        <v>23</v>
      </c>
      <c r="F841" t="s">
        <v>39</v>
      </c>
      <c r="G841">
        <v>0.48</v>
      </c>
      <c r="H841" t="s">
        <v>23</v>
      </c>
      <c r="I841">
        <v>-7</v>
      </c>
      <c r="J841" t="str">
        <f>HYPERLINK("https://www.eliteprospects.com/player/796654/max-vilen")</f>
        <v>https://www.eliteprospects.com/player/796654/max-vilen</v>
      </c>
      <c r="K841" t="s">
        <v>27</v>
      </c>
      <c r="L841" t="s">
        <v>804</v>
      </c>
      <c r="M841" t="s">
        <v>1296</v>
      </c>
      <c r="N841">
        <v>1</v>
      </c>
      <c r="O841" t="s">
        <v>816</v>
      </c>
      <c r="P841">
        <v>0.05</v>
      </c>
      <c r="Q841" t="s">
        <v>1309</v>
      </c>
      <c r="R841">
        <v>0</v>
      </c>
      <c r="S841">
        <v>20</v>
      </c>
      <c r="T841">
        <v>40</v>
      </c>
      <c r="U841">
        <v>0</v>
      </c>
      <c r="V841">
        <v>40</v>
      </c>
    </row>
    <row r="842" spans="1:22" x14ac:dyDescent="0.25">
      <c r="A842" t="s">
        <v>2135</v>
      </c>
      <c r="B842" t="s">
        <v>824</v>
      </c>
      <c r="C842">
        <v>33</v>
      </c>
      <c r="D842" t="s">
        <v>79</v>
      </c>
      <c r="E842" t="s">
        <v>23</v>
      </c>
      <c r="F842" t="s">
        <v>39</v>
      </c>
      <c r="G842">
        <v>0.42</v>
      </c>
      <c r="H842" t="s">
        <v>32</v>
      </c>
      <c r="I842">
        <v>5</v>
      </c>
      <c r="J842" t="str">
        <f>HYPERLINK("https://www.eliteprospects.com/player/806442/eddy-doyle")</f>
        <v>https://www.eliteprospects.com/player/806442/eddy-doyle</v>
      </c>
      <c r="K842" t="s">
        <v>27</v>
      </c>
      <c r="L842" t="s">
        <v>804</v>
      </c>
      <c r="M842" t="s">
        <v>1296</v>
      </c>
      <c r="N842">
        <v>3</v>
      </c>
      <c r="O842" t="s">
        <v>805</v>
      </c>
      <c r="P842">
        <v>0.05</v>
      </c>
      <c r="Q842" t="s">
        <v>1300</v>
      </c>
      <c r="R842">
        <v>57.1</v>
      </c>
      <c r="S842">
        <v>28.6</v>
      </c>
      <c r="T842">
        <v>0</v>
      </c>
      <c r="U842">
        <v>14.3</v>
      </c>
      <c r="V842">
        <v>0</v>
      </c>
    </row>
    <row r="843" spans="1:22" x14ac:dyDescent="0.25">
      <c r="A843" t="s">
        <v>2136</v>
      </c>
      <c r="B843" t="s">
        <v>826</v>
      </c>
      <c r="C843">
        <v>33</v>
      </c>
      <c r="D843" t="s">
        <v>260</v>
      </c>
      <c r="E843" t="s">
        <v>65</v>
      </c>
      <c r="F843" t="s">
        <v>39</v>
      </c>
      <c r="G843">
        <v>0.42</v>
      </c>
      <c r="H843" t="s">
        <v>66</v>
      </c>
      <c r="I843">
        <v>9</v>
      </c>
      <c r="J843" t="str">
        <f>HYPERLINK("https://www.eliteprospects.com/player/958724/filip-kovalcik")</f>
        <v>https://www.eliteprospects.com/player/958724/filip-kovalcik</v>
      </c>
      <c r="K843" t="s">
        <v>27</v>
      </c>
      <c r="L843" t="s">
        <v>804</v>
      </c>
      <c r="M843" t="s">
        <v>1296</v>
      </c>
      <c r="N843">
        <v>1</v>
      </c>
      <c r="O843" t="s">
        <v>816</v>
      </c>
      <c r="P843">
        <v>0.05</v>
      </c>
      <c r="Q843" t="s">
        <v>1325</v>
      </c>
      <c r="R843">
        <v>18.2</v>
      </c>
      <c r="S843">
        <v>9.1</v>
      </c>
      <c r="T843">
        <v>63.6</v>
      </c>
      <c r="U843">
        <v>0</v>
      </c>
      <c r="V843">
        <v>9.1</v>
      </c>
    </row>
    <row r="844" spans="1:22" x14ac:dyDescent="0.25">
      <c r="A844" t="s">
        <v>2137</v>
      </c>
      <c r="B844" t="s">
        <v>507</v>
      </c>
      <c r="C844">
        <v>38</v>
      </c>
      <c r="D844" t="s">
        <v>79</v>
      </c>
      <c r="E844" t="s">
        <v>69</v>
      </c>
      <c r="F844" t="s">
        <v>65</v>
      </c>
      <c r="G844">
        <v>0.34</v>
      </c>
      <c r="H844" t="s">
        <v>55</v>
      </c>
      <c r="I844">
        <v>-6</v>
      </c>
      <c r="J844" t="str">
        <f>HYPERLINK("https://www.eliteprospects.com/player/880927/biagio-jr.-daniele")</f>
        <v>https://www.eliteprospects.com/player/880927/biagio-jr.-daniele</v>
      </c>
      <c r="K844" t="s">
        <v>27</v>
      </c>
      <c r="L844" t="s">
        <v>804</v>
      </c>
      <c r="M844" t="s">
        <v>1296</v>
      </c>
      <c r="N844">
        <v>2</v>
      </c>
      <c r="O844" t="s">
        <v>825</v>
      </c>
      <c r="P844">
        <v>0.04</v>
      </c>
      <c r="Q844" t="s">
        <v>1488</v>
      </c>
      <c r="R844">
        <v>0</v>
      </c>
      <c r="S844">
        <v>0</v>
      </c>
      <c r="T844">
        <v>0</v>
      </c>
      <c r="U844">
        <v>0</v>
      </c>
      <c r="V844">
        <v>0</v>
      </c>
    </row>
    <row r="845" spans="1:22" x14ac:dyDescent="0.25">
      <c r="A845" t="s">
        <v>2138</v>
      </c>
      <c r="B845" t="s">
        <v>812</v>
      </c>
      <c r="C845">
        <v>38</v>
      </c>
      <c r="D845" t="s">
        <v>79</v>
      </c>
      <c r="E845" t="s">
        <v>69</v>
      </c>
      <c r="F845" t="s">
        <v>65</v>
      </c>
      <c r="G845">
        <v>0.34</v>
      </c>
      <c r="H845" t="s">
        <v>47</v>
      </c>
      <c r="I845">
        <v>17</v>
      </c>
      <c r="J845" t="str">
        <f>HYPERLINK("https://www.eliteprospects.com/player/727113/alexis-lemire")</f>
        <v>https://www.eliteprospects.com/player/727113/alexis-lemire</v>
      </c>
      <c r="K845" t="s">
        <v>27</v>
      </c>
      <c r="L845" t="s">
        <v>804</v>
      </c>
      <c r="M845" t="s">
        <v>1296</v>
      </c>
      <c r="N845">
        <v>4</v>
      </c>
      <c r="O845" t="s">
        <v>809</v>
      </c>
      <c r="P845">
        <v>0.04</v>
      </c>
      <c r="Q845" t="s">
        <v>1488</v>
      </c>
      <c r="R845">
        <v>0</v>
      </c>
      <c r="S845">
        <v>0</v>
      </c>
      <c r="T845">
        <v>0</v>
      </c>
      <c r="U845">
        <v>0</v>
      </c>
      <c r="V845">
        <v>0</v>
      </c>
    </row>
    <row r="846" spans="1:22" x14ac:dyDescent="0.25">
      <c r="A846" t="s">
        <v>2139</v>
      </c>
      <c r="B846" t="s">
        <v>818</v>
      </c>
      <c r="C846">
        <v>38</v>
      </c>
      <c r="D846" t="s">
        <v>260</v>
      </c>
      <c r="E846" t="s">
        <v>23</v>
      </c>
      <c r="F846" t="s">
        <v>65</v>
      </c>
      <c r="G846">
        <v>0.34</v>
      </c>
      <c r="H846" t="s">
        <v>24</v>
      </c>
      <c r="I846">
        <v>17</v>
      </c>
      <c r="J846" t="str">
        <f>HYPERLINK("https://www.eliteprospects.com/player/577055/zackary-plamondon")</f>
        <v>https://www.eliteprospects.com/player/577055/zackary-plamondon</v>
      </c>
      <c r="K846" t="s">
        <v>27</v>
      </c>
      <c r="L846" t="s">
        <v>804</v>
      </c>
      <c r="M846" t="s">
        <v>1296</v>
      </c>
      <c r="N846">
        <v>3</v>
      </c>
      <c r="O846" t="s">
        <v>805</v>
      </c>
      <c r="P846">
        <v>0.04</v>
      </c>
      <c r="Q846" t="s">
        <v>1488</v>
      </c>
      <c r="R846">
        <v>0</v>
      </c>
      <c r="S846">
        <v>0</v>
      </c>
      <c r="T846">
        <v>0</v>
      </c>
      <c r="U846">
        <v>0</v>
      </c>
      <c r="V846">
        <v>0</v>
      </c>
    </row>
    <row r="847" spans="1:22" x14ac:dyDescent="0.25">
      <c r="A847" t="s">
        <v>2140</v>
      </c>
      <c r="B847" t="s">
        <v>815</v>
      </c>
      <c r="C847">
        <v>34</v>
      </c>
      <c r="D847" t="s">
        <v>132</v>
      </c>
      <c r="E847" t="s">
        <v>65</v>
      </c>
      <c r="F847" t="s">
        <v>65</v>
      </c>
      <c r="G847">
        <v>0.38</v>
      </c>
      <c r="H847" t="s">
        <v>38</v>
      </c>
      <c r="I847">
        <v>-11</v>
      </c>
      <c r="J847" t="str">
        <f>HYPERLINK("https://www.eliteprospects.com/player/747936/maddox-labre")</f>
        <v>https://www.eliteprospects.com/player/747936/maddox-labre</v>
      </c>
      <c r="K847" t="s">
        <v>27</v>
      </c>
      <c r="L847" t="s">
        <v>804</v>
      </c>
      <c r="M847" t="s">
        <v>1296</v>
      </c>
      <c r="N847">
        <v>3</v>
      </c>
      <c r="O847" t="s">
        <v>805</v>
      </c>
      <c r="P847">
        <v>0.04</v>
      </c>
      <c r="Q847" t="s">
        <v>1488</v>
      </c>
      <c r="R847">
        <v>0</v>
      </c>
      <c r="S847">
        <v>0</v>
      </c>
      <c r="T847">
        <v>0</v>
      </c>
      <c r="U847">
        <v>0</v>
      </c>
      <c r="V847">
        <v>0</v>
      </c>
    </row>
    <row r="848" spans="1:22" x14ac:dyDescent="0.25">
      <c r="A848" t="s">
        <v>2141</v>
      </c>
      <c r="B848" t="s">
        <v>856</v>
      </c>
      <c r="C848">
        <v>28</v>
      </c>
      <c r="D848" t="s">
        <v>96</v>
      </c>
      <c r="E848" t="s">
        <v>78</v>
      </c>
      <c r="F848" t="s">
        <v>23</v>
      </c>
      <c r="G848">
        <v>0.43</v>
      </c>
      <c r="H848" t="s">
        <v>65</v>
      </c>
      <c r="I848">
        <v>-4</v>
      </c>
      <c r="J848" t="str">
        <f>HYPERLINK("https://www.eliteprospects.com/player/673078/jack-martin")</f>
        <v>https://www.eliteprospects.com/player/673078/jack-martin</v>
      </c>
      <c r="K848" t="s">
        <v>27</v>
      </c>
      <c r="L848" t="s">
        <v>804</v>
      </c>
      <c r="M848" t="s">
        <v>1296</v>
      </c>
      <c r="N848">
        <v>5</v>
      </c>
      <c r="O848" t="s">
        <v>807</v>
      </c>
      <c r="P848">
        <v>0.05</v>
      </c>
      <c r="Q848" t="s">
        <v>1309</v>
      </c>
      <c r="R848">
        <v>0</v>
      </c>
      <c r="S848">
        <v>20</v>
      </c>
      <c r="T848">
        <v>40</v>
      </c>
      <c r="U848">
        <v>0</v>
      </c>
      <c r="V848">
        <v>40</v>
      </c>
    </row>
    <row r="849" spans="1:22" x14ac:dyDescent="0.25">
      <c r="A849" t="s">
        <v>2142</v>
      </c>
      <c r="B849" t="s">
        <v>821</v>
      </c>
      <c r="C849">
        <v>38</v>
      </c>
      <c r="D849" t="s">
        <v>79</v>
      </c>
      <c r="E849" t="s">
        <v>32</v>
      </c>
      <c r="F849" t="s">
        <v>23</v>
      </c>
      <c r="G849">
        <v>0.32</v>
      </c>
      <c r="H849" t="s">
        <v>53</v>
      </c>
      <c r="I849">
        <v>-3</v>
      </c>
      <c r="J849" t="str">
        <f>HYPERLINK("https://www.eliteprospects.com/player/803899/brady-peddle")</f>
        <v>https://www.eliteprospects.com/player/803899/brady-peddle</v>
      </c>
      <c r="K849" t="s">
        <v>27</v>
      </c>
      <c r="L849" t="s">
        <v>804</v>
      </c>
      <c r="M849" t="s">
        <v>1296</v>
      </c>
      <c r="N849">
        <v>1</v>
      </c>
      <c r="O849" t="s">
        <v>816</v>
      </c>
      <c r="P849">
        <v>0.04</v>
      </c>
      <c r="Q849" t="s">
        <v>1488</v>
      </c>
      <c r="R849">
        <v>0</v>
      </c>
      <c r="S849">
        <v>0</v>
      </c>
      <c r="T849">
        <v>0</v>
      </c>
      <c r="U849">
        <v>0</v>
      </c>
      <c r="V849">
        <v>0</v>
      </c>
    </row>
    <row r="850" spans="1:22" x14ac:dyDescent="0.25">
      <c r="A850" t="s">
        <v>2143</v>
      </c>
      <c r="B850" t="s">
        <v>848</v>
      </c>
      <c r="C850">
        <v>39</v>
      </c>
      <c r="D850" t="s">
        <v>79</v>
      </c>
      <c r="E850" t="s">
        <v>32</v>
      </c>
      <c r="F850" t="s">
        <v>23</v>
      </c>
      <c r="G850">
        <v>0.31</v>
      </c>
      <c r="H850" t="s">
        <v>265</v>
      </c>
      <c r="I850">
        <v>-22</v>
      </c>
      <c r="J850" t="str">
        <f>HYPERLINK("https://www.eliteprospects.com/player/599567/jeremie-dumas")</f>
        <v>https://www.eliteprospects.com/player/599567/jeremie-dumas</v>
      </c>
      <c r="K850" t="s">
        <v>27</v>
      </c>
      <c r="L850" t="s">
        <v>804</v>
      </c>
      <c r="M850" t="s">
        <v>1296</v>
      </c>
      <c r="N850">
        <v>5</v>
      </c>
      <c r="O850" t="s">
        <v>807</v>
      </c>
      <c r="P850">
        <v>0.04</v>
      </c>
      <c r="Q850" t="s">
        <v>1488</v>
      </c>
      <c r="R850">
        <v>0</v>
      </c>
      <c r="S850">
        <v>0</v>
      </c>
      <c r="T850">
        <v>0</v>
      </c>
      <c r="U850">
        <v>0</v>
      </c>
      <c r="V850">
        <v>0</v>
      </c>
    </row>
    <row r="851" spans="1:22" x14ac:dyDescent="0.25">
      <c r="A851" t="s">
        <v>2144</v>
      </c>
      <c r="B851" t="s">
        <v>812</v>
      </c>
      <c r="C851">
        <v>32</v>
      </c>
      <c r="D851" t="s">
        <v>260</v>
      </c>
      <c r="E851" t="s">
        <v>69</v>
      </c>
      <c r="F851" t="s">
        <v>23</v>
      </c>
      <c r="G851">
        <v>0.38</v>
      </c>
      <c r="H851" t="s">
        <v>55</v>
      </c>
      <c r="I851">
        <v>7</v>
      </c>
      <c r="J851" t="str">
        <f>HYPERLINK("https://www.eliteprospects.com/player/944329/guus-van-der-kaaij")</f>
        <v>https://www.eliteprospects.com/player/944329/guus-van-der-kaaij</v>
      </c>
      <c r="K851" t="s">
        <v>27</v>
      </c>
      <c r="L851" t="s">
        <v>804</v>
      </c>
      <c r="M851" t="s">
        <v>1296</v>
      </c>
      <c r="N851">
        <v>1</v>
      </c>
      <c r="O851" t="s">
        <v>816</v>
      </c>
      <c r="P851">
        <v>0.04</v>
      </c>
      <c r="Q851" t="s">
        <v>1488</v>
      </c>
      <c r="R851">
        <v>0</v>
      </c>
      <c r="S851">
        <v>0</v>
      </c>
      <c r="T851">
        <v>0</v>
      </c>
      <c r="U851">
        <v>0</v>
      </c>
      <c r="V851">
        <v>0</v>
      </c>
    </row>
    <row r="852" spans="1:22" x14ac:dyDescent="0.25">
      <c r="A852" t="s">
        <v>2145</v>
      </c>
      <c r="B852" t="s">
        <v>507</v>
      </c>
      <c r="C852">
        <v>39</v>
      </c>
      <c r="D852" t="s">
        <v>260</v>
      </c>
      <c r="E852" t="s">
        <v>69</v>
      </c>
      <c r="F852" t="s">
        <v>23</v>
      </c>
      <c r="G852">
        <v>0.31</v>
      </c>
      <c r="H852" t="s">
        <v>39</v>
      </c>
      <c r="I852">
        <v>12</v>
      </c>
      <c r="J852" t="str">
        <f>HYPERLINK("https://www.eliteprospects.com/player/744834/bo-damphousse")</f>
        <v>https://www.eliteprospects.com/player/744834/bo-damphousse</v>
      </c>
      <c r="K852" t="s">
        <v>27</v>
      </c>
      <c r="L852" t="s">
        <v>804</v>
      </c>
      <c r="M852" t="s">
        <v>1296</v>
      </c>
      <c r="N852">
        <v>3</v>
      </c>
      <c r="O852" t="s">
        <v>805</v>
      </c>
      <c r="P852">
        <v>0.04</v>
      </c>
      <c r="Q852" t="s">
        <v>1488</v>
      </c>
      <c r="R852">
        <v>0</v>
      </c>
      <c r="S852">
        <v>0</v>
      </c>
      <c r="T852">
        <v>0</v>
      </c>
      <c r="U852">
        <v>0</v>
      </c>
      <c r="V852">
        <v>0</v>
      </c>
    </row>
    <row r="853" spans="1:22" x14ac:dyDescent="0.25">
      <c r="A853" t="s">
        <v>2146</v>
      </c>
      <c r="B853" t="s">
        <v>832</v>
      </c>
      <c r="C853">
        <v>36</v>
      </c>
      <c r="D853" t="s">
        <v>96</v>
      </c>
      <c r="E853" t="s">
        <v>57</v>
      </c>
      <c r="F853" t="s">
        <v>69</v>
      </c>
      <c r="G853">
        <v>0.31</v>
      </c>
      <c r="H853" t="s">
        <v>26</v>
      </c>
      <c r="I853">
        <v>-3</v>
      </c>
      <c r="J853" t="str">
        <f>HYPERLINK("https://www.eliteprospects.com/player/885506/brandon-delarosbil")</f>
        <v>https://www.eliteprospects.com/player/885506/brandon-delarosbil</v>
      </c>
      <c r="K853" t="s">
        <v>27</v>
      </c>
      <c r="L853" t="s">
        <v>804</v>
      </c>
      <c r="M853" t="s">
        <v>1296</v>
      </c>
      <c r="N853">
        <v>2</v>
      </c>
      <c r="O853" t="s">
        <v>825</v>
      </c>
      <c r="P853">
        <v>0.04</v>
      </c>
      <c r="Q853" t="s">
        <v>1488</v>
      </c>
      <c r="R853">
        <v>0</v>
      </c>
      <c r="S853">
        <v>0</v>
      </c>
      <c r="T853">
        <v>0</v>
      </c>
      <c r="U853">
        <v>0</v>
      </c>
      <c r="V853">
        <v>0</v>
      </c>
    </row>
    <row r="854" spans="1:22" x14ac:dyDescent="0.25">
      <c r="A854" t="s">
        <v>2147</v>
      </c>
      <c r="B854" t="s">
        <v>856</v>
      </c>
      <c r="C854">
        <v>35</v>
      </c>
      <c r="D854" t="s">
        <v>66</v>
      </c>
      <c r="E854" t="s">
        <v>78</v>
      </c>
      <c r="F854" t="s">
        <v>69</v>
      </c>
      <c r="G854">
        <v>0.31</v>
      </c>
      <c r="H854" t="s">
        <v>24</v>
      </c>
      <c r="I854">
        <v>-9</v>
      </c>
      <c r="J854" t="str">
        <f>HYPERLINK("https://www.eliteprospects.com/player/765828/luca-nappiot")</f>
        <v>https://www.eliteprospects.com/player/765828/luca-nappiot</v>
      </c>
      <c r="K854" t="s">
        <v>27</v>
      </c>
      <c r="L854" t="s">
        <v>804</v>
      </c>
      <c r="M854" t="s">
        <v>1296</v>
      </c>
      <c r="N854">
        <v>1</v>
      </c>
      <c r="O854" t="s">
        <v>816</v>
      </c>
      <c r="P854">
        <v>0.04</v>
      </c>
      <c r="Q854" t="s">
        <v>1488</v>
      </c>
      <c r="R854">
        <v>0</v>
      </c>
      <c r="S854">
        <v>0</v>
      </c>
      <c r="T854">
        <v>0</v>
      </c>
      <c r="U854">
        <v>0</v>
      </c>
      <c r="V854">
        <v>0</v>
      </c>
    </row>
    <row r="855" spans="1:22" x14ac:dyDescent="0.25">
      <c r="A855" t="s">
        <v>2148</v>
      </c>
      <c r="B855" t="s">
        <v>832</v>
      </c>
      <c r="C855">
        <v>39</v>
      </c>
      <c r="D855" t="s">
        <v>66</v>
      </c>
      <c r="E855" t="s">
        <v>78</v>
      </c>
      <c r="F855" t="s">
        <v>69</v>
      </c>
      <c r="G855">
        <v>0.28000000000000003</v>
      </c>
      <c r="H855" t="s">
        <v>427</v>
      </c>
      <c r="I855">
        <v>-16</v>
      </c>
      <c r="J855" t="str">
        <f>HYPERLINK("https://www.eliteprospects.com/player/727930/sydney-gagnon")</f>
        <v>https://www.eliteprospects.com/player/727930/sydney-gagnon</v>
      </c>
      <c r="K855" t="s">
        <v>27</v>
      </c>
      <c r="L855" t="s">
        <v>804</v>
      </c>
      <c r="M855" t="s">
        <v>1296</v>
      </c>
      <c r="N855">
        <v>3</v>
      </c>
      <c r="O855" t="s">
        <v>805</v>
      </c>
      <c r="P855">
        <v>0.03</v>
      </c>
      <c r="Q855" t="s">
        <v>1488</v>
      </c>
      <c r="R855">
        <v>0</v>
      </c>
      <c r="S855">
        <v>0</v>
      </c>
      <c r="T855">
        <v>0</v>
      </c>
      <c r="U855">
        <v>0</v>
      </c>
      <c r="V855">
        <v>0</v>
      </c>
    </row>
    <row r="856" spans="1:22" x14ac:dyDescent="0.25">
      <c r="A856" t="s">
        <v>2149</v>
      </c>
      <c r="B856" t="s">
        <v>507</v>
      </c>
      <c r="C856">
        <v>37</v>
      </c>
      <c r="D856" t="s">
        <v>140</v>
      </c>
      <c r="E856" t="s">
        <v>26</v>
      </c>
      <c r="F856" t="s">
        <v>69</v>
      </c>
      <c r="G856">
        <v>0.3</v>
      </c>
      <c r="H856" t="s">
        <v>600</v>
      </c>
      <c r="I856">
        <v>20</v>
      </c>
      <c r="J856" t="str">
        <f>HYPERLINK("https://www.eliteprospects.com/player/646706/alexandre-carbonneau")</f>
        <v>https://www.eliteprospects.com/player/646706/alexandre-carbonneau</v>
      </c>
      <c r="K856" t="s">
        <v>27</v>
      </c>
      <c r="L856" t="s">
        <v>804</v>
      </c>
      <c r="M856" t="s">
        <v>1296</v>
      </c>
      <c r="N856">
        <v>3</v>
      </c>
      <c r="O856" t="s">
        <v>805</v>
      </c>
      <c r="P856">
        <v>0.03</v>
      </c>
      <c r="Q856" t="s">
        <v>1488</v>
      </c>
      <c r="R856">
        <v>0</v>
      </c>
      <c r="S856">
        <v>0</v>
      </c>
      <c r="T856">
        <v>0</v>
      </c>
      <c r="U856">
        <v>0</v>
      </c>
      <c r="V856">
        <v>0</v>
      </c>
    </row>
    <row r="857" spans="1:22" x14ac:dyDescent="0.25">
      <c r="A857" t="s">
        <v>2150</v>
      </c>
      <c r="B857" t="s">
        <v>812</v>
      </c>
      <c r="C857">
        <v>25</v>
      </c>
      <c r="D857" t="s">
        <v>79</v>
      </c>
      <c r="E857" t="s">
        <v>45</v>
      </c>
      <c r="F857" t="s">
        <v>69</v>
      </c>
      <c r="G857">
        <v>0.44</v>
      </c>
      <c r="H857" t="s">
        <v>57</v>
      </c>
      <c r="I857">
        <v>-5</v>
      </c>
      <c r="J857" t="str">
        <f>HYPERLINK("https://www.eliteprospects.com/player/592015/axel-dufresne")</f>
        <v>https://www.eliteprospects.com/player/592015/axel-dufresne</v>
      </c>
      <c r="K857" t="s">
        <v>27</v>
      </c>
      <c r="L857" t="s">
        <v>804</v>
      </c>
      <c r="M857" t="s">
        <v>1296</v>
      </c>
      <c r="N857">
        <v>5</v>
      </c>
      <c r="O857" t="s">
        <v>807</v>
      </c>
      <c r="P857">
        <v>0.05</v>
      </c>
      <c r="Q857" t="s">
        <v>1309</v>
      </c>
      <c r="R857">
        <v>0</v>
      </c>
      <c r="S857">
        <v>20</v>
      </c>
      <c r="T857">
        <v>40</v>
      </c>
      <c r="U857">
        <v>0</v>
      </c>
      <c r="V857">
        <v>40</v>
      </c>
    </row>
    <row r="858" spans="1:22" x14ac:dyDescent="0.25">
      <c r="A858" t="s">
        <v>2151</v>
      </c>
      <c r="B858" t="s">
        <v>824</v>
      </c>
      <c r="C858">
        <v>38</v>
      </c>
      <c r="D858" t="s">
        <v>79</v>
      </c>
      <c r="E858" t="s">
        <v>45</v>
      </c>
      <c r="F858" t="s">
        <v>69</v>
      </c>
      <c r="G858">
        <v>0.28999999999999998</v>
      </c>
      <c r="H858" t="s">
        <v>24</v>
      </c>
      <c r="I858">
        <v>-8</v>
      </c>
      <c r="J858" t="str">
        <f>HYPERLINK("https://www.eliteprospects.com/player/908578/malik-l-italien")</f>
        <v>https://www.eliteprospects.com/player/908578/malik-l-italien</v>
      </c>
      <c r="K858" t="s">
        <v>27</v>
      </c>
      <c r="L858" t="s">
        <v>804</v>
      </c>
      <c r="M858" t="s">
        <v>1296</v>
      </c>
      <c r="N858">
        <v>1</v>
      </c>
      <c r="O858" t="s">
        <v>816</v>
      </c>
      <c r="P858">
        <v>0.03</v>
      </c>
      <c r="Q858" t="s">
        <v>1488</v>
      </c>
      <c r="R858">
        <v>0</v>
      </c>
      <c r="S858">
        <v>0</v>
      </c>
      <c r="T858">
        <v>0</v>
      </c>
      <c r="U858">
        <v>0</v>
      </c>
      <c r="V858">
        <v>0</v>
      </c>
    </row>
    <row r="859" spans="1:22" x14ac:dyDescent="0.25">
      <c r="A859" t="s">
        <v>2152</v>
      </c>
      <c r="B859" t="s">
        <v>832</v>
      </c>
      <c r="C859">
        <v>37</v>
      </c>
      <c r="D859" t="s">
        <v>79</v>
      </c>
      <c r="E859" t="s">
        <v>26</v>
      </c>
      <c r="F859" t="s">
        <v>32</v>
      </c>
      <c r="G859">
        <v>0.27</v>
      </c>
      <c r="H859" t="s">
        <v>34</v>
      </c>
      <c r="I859">
        <v>-13</v>
      </c>
      <c r="J859" t="str">
        <f>HYPERLINK("https://www.eliteprospects.com/player/646866/jean-felix-lapointe")</f>
        <v>https://www.eliteprospects.com/player/646866/jean-felix-lapointe</v>
      </c>
      <c r="K859" t="s">
        <v>27</v>
      </c>
      <c r="L859" t="s">
        <v>804</v>
      </c>
      <c r="M859" t="s">
        <v>1296</v>
      </c>
      <c r="N859">
        <v>4</v>
      </c>
      <c r="O859" t="s">
        <v>809</v>
      </c>
      <c r="P859">
        <v>0.03</v>
      </c>
      <c r="Q859" t="s">
        <v>1488</v>
      </c>
      <c r="R859">
        <v>0</v>
      </c>
      <c r="S859">
        <v>0</v>
      </c>
      <c r="T859">
        <v>0</v>
      </c>
      <c r="U859">
        <v>0</v>
      </c>
      <c r="V859">
        <v>0</v>
      </c>
    </row>
    <row r="860" spans="1:22" x14ac:dyDescent="0.25">
      <c r="A860" t="s">
        <v>2153</v>
      </c>
      <c r="B860" t="s">
        <v>865</v>
      </c>
      <c r="C860">
        <v>38</v>
      </c>
      <c r="D860" t="s">
        <v>79</v>
      </c>
      <c r="E860" t="s">
        <v>26</v>
      </c>
      <c r="F860" t="s">
        <v>32</v>
      </c>
      <c r="G860">
        <v>0.26</v>
      </c>
      <c r="H860" t="s">
        <v>81</v>
      </c>
      <c r="I860">
        <v>-4</v>
      </c>
      <c r="J860" t="str">
        <f>HYPERLINK("https://www.eliteprospects.com/player/876253/drew-allison")</f>
        <v>https://www.eliteprospects.com/player/876253/drew-allison</v>
      </c>
      <c r="K860" t="s">
        <v>27</v>
      </c>
      <c r="L860" t="s">
        <v>804</v>
      </c>
      <c r="M860" t="s">
        <v>1296</v>
      </c>
      <c r="N860">
        <v>2</v>
      </c>
      <c r="O860" t="s">
        <v>825</v>
      </c>
      <c r="P860">
        <v>0.03</v>
      </c>
      <c r="Q860" t="s">
        <v>1488</v>
      </c>
      <c r="R860">
        <v>0</v>
      </c>
      <c r="S860">
        <v>0</v>
      </c>
      <c r="T860">
        <v>0</v>
      </c>
      <c r="U860">
        <v>0</v>
      </c>
      <c r="V860">
        <v>0</v>
      </c>
    </row>
    <row r="861" spans="1:22" x14ac:dyDescent="0.25">
      <c r="A861" t="s">
        <v>2154</v>
      </c>
      <c r="B861" t="s">
        <v>826</v>
      </c>
      <c r="C861">
        <v>40</v>
      </c>
      <c r="D861" t="s">
        <v>79</v>
      </c>
      <c r="E861" t="s">
        <v>78</v>
      </c>
      <c r="F861" t="s">
        <v>45</v>
      </c>
      <c r="G861">
        <v>0.23</v>
      </c>
      <c r="H861" t="s">
        <v>23</v>
      </c>
      <c r="I861">
        <v>6</v>
      </c>
      <c r="J861" t="str">
        <f>HYPERLINK("https://www.eliteprospects.com/player/668063/matteo-rotondi")</f>
        <v>https://www.eliteprospects.com/player/668063/matteo-rotondi</v>
      </c>
      <c r="K861" t="s">
        <v>27</v>
      </c>
      <c r="L861" t="s">
        <v>804</v>
      </c>
      <c r="M861" t="s">
        <v>1296</v>
      </c>
      <c r="N861">
        <v>5</v>
      </c>
      <c r="O861" t="s">
        <v>807</v>
      </c>
      <c r="P861">
        <v>0.03</v>
      </c>
      <c r="Q861" t="s">
        <v>1488</v>
      </c>
      <c r="R861">
        <v>0</v>
      </c>
      <c r="S861">
        <v>0</v>
      </c>
      <c r="T861">
        <v>0</v>
      </c>
      <c r="U861">
        <v>0</v>
      </c>
      <c r="V861">
        <v>0</v>
      </c>
    </row>
    <row r="862" spans="1:22" x14ac:dyDescent="0.25">
      <c r="A862" t="s">
        <v>2155</v>
      </c>
      <c r="B862" t="s">
        <v>822</v>
      </c>
      <c r="C862">
        <v>19</v>
      </c>
      <c r="D862" t="s">
        <v>260</v>
      </c>
      <c r="E862" t="s">
        <v>26</v>
      </c>
      <c r="F862" t="s">
        <v>45</v>
      </c>
      <c r="G862">
        <v>0.47</v>
      </c>
      <c r="H862" t="s">
        <v>47</v>
      </c>
      <c r="I862">
        <v>0</v>
      </c>
      <c r="J862" t="str">
        <f>HYPERLINK("https://www.eliteprospects.com/player/693221/jack-brauti")</f>
        <v>https://www.eliteprospects.com/player/693221/jack-brauti</v>
      </c>
      <c r="K862" t="s">
        <v>27</v>
      </c>
      <c r="L862" t="s">
        <v>804</v>
      </c>
      <c r="M862" t="s">
        <v>1296</v>
      </c>
      <c r="N862">
        <v>3</v>
      </c>
      <c r="O862" t="s">
        <v>894</v>
      </c>
      <c r="P862">
        <v>0.05</v>
      </c>
      <c r="Q862" t="s">
        <v>1300</v>
      </c>
      <c r="R862">
        <v>37.5</v>
      </c>
      <c r="S862">
        <v>37.5</v>
      </c>
      <c r="T862">
        <v>0</v>
      </c>
      <c r="U862">
        <v>12.5</v>
      </c>
      <c r="V862">
        <v>12.5</v>
      </c>
    </row>
    <row r="863" spans="1:22" x14ac:dyDescent="0.25">
      <c r="A863" t="s">
        <v>2156</v>
      </c>
      <c r="B863" t="s">
        <v>823</v>
      </c>
      <c r="C863">
        <v>35</v>
      </c>
      <c r="D863" t="s">
        <v>140</v>
      </c>
      <c r="E863" t="s">
        <v>96</v>
      </c>
      <c r="F863" t="s">
        <v>26</v>
      </c>
      <c r="G863">
        <v>0.23</v>
      </c>
      <c r="H863" t="s">
        <v>497</v>
      </c>
      <c r="I863">
        <v>5</v>
      </c>
      <c r="J863" t="str">
        <f>HYPERLINK("https://www.eliteprospects.com/player/852128/logan-brennan")</f>
        <v>https://www.eliteprospects.com/player/852128/logan-brennan</v>
      </c>
      <c r="K863" t="s">
        <v>27</v>
      </c>
      <c r="L863" t="s">
        <v>804</v>
      </c>
      <c r="M863" t="s">
        <v>1296</v>
      </c>
      <c r="N863">
        <v>1</v>
      </c>
      <c r="O863" t="s">
        <v>816</v>
      </c>
      <c r="P863">
        <v>0.03</v>
      </c>
      <c r="Q863" t="s">
        <v>1488</v>
      </c>
      <c r="R863">
        <v>0</v>
      </c>
      <c r="S863">
        <v>0</v>
      </c>
      <c r="T863">
        <v>0</v>
      </c>
      <c r="U863">
        <v>0</v>
      </c>
      <c r="V863">
        <v>0</v>
      </c>
    </row>
    <row r="864" spans="1:22" x14ac:dyDescent="0.25">
      <c r="A864" t="s">
        <v>2157</v>
      </c>
      <c r="B864" t="s">
        <v>818</v>
      </c>
      <c r="C864">
        <v>39</v>
      </c>
      <c r="D864" t="s">
        <v>79</v>
      </c>
      <c r="E864" t="s">
        <v>57</v>
      </c>
      <c r="F864" t="s">
        <v>26</v>
      </c>
      <c r="G864">
        <v>0.21</v>
      </c>
      <c r="H864" t="s">
        <v>81</v>
      </c>
      <c r="I864">
        <v>19</v>
      </c>
      <c r="J864" t="str">
        <f>HYPERLINK("https://www.eliteprospects.com/player/259004/olivier-filaj")</f>
        <v>https://www.eliteprospects.com/player/259004/olivier-filaj</v>
      </c>
      <c r="K864" t="s">
        <v>27</v>
      </c>
      <c r="L864" t="s">
        <v>804</v>
      </c>
      <c r="M864" t="s">
        <v>1296</v>
      </c>
      <c r="N864">
        <v>4</v>
      </c>
      <c r="O864" t="s">
        <v>809</v>
      </c>
      <c r="P864">
        <v>0.02</v>
      </c>
      <c r="Q864" t="s">
        <v>1488</v>
      </c>
      <c r="R864">
        <v>0</v>
      </c>
      <c r="S864">
        <v>0</v>
      </c>
      <c r="T864">
        <v>0</v>
      </c>
      <c r="U864">
        <v>0</v>
      </c>
      <c r="V864">
        <v>0</v>
      </c>
    </row>
    <row r="865" spans="1:22" x14ac:dyDescent="0.25">
      <c r="A865" t="s">
        <v>2158</v>
      </c>
      <c r="B865" t="s">
        <v>507</v>
      </c>
      <c r="C865">
        <v>34</v>
      </c>
      <c r="D865" t="s">
        <v>260</v>
      </c>
      <c r="E865" t="s">
        <v>78</v>
      </c>
      <c r="F865" t="s">
        <v>26</v>
      </c>
      <c r="G865">
        <v>0.24</v>
      </c>
      <c r="H865" t="s">
        <v>84</v>
      </c>
      <c r="I865">
        <v>2</v>
      </c>
      <c r="J865" t="str">
        <f>HYPERLINK("https://www.eliteprospects.com/player/723525/carl-otto-magnusson")</f>
        <v>https://www.eliteprospects.com/player/723525/carl-otto-magnusson</v>
      </c>
      <c r="K865" t="s">
        <v>27</v>
      </c>
      <c r="L865" t="s">
        <v>804</v>
      </c>
      <c r="M865" t="s">
        <v>1296</v>
      </c>
      <c r="N865">
        <v>1</v>
      </c>
      <c r="O865" t="s">
        <v>816</v>
      </c>
      <c r="P865">
        <v>0.03</v>
      </c>
      <c r="Q865" t="s">
        <v>1488</v>
      </c>
      <c r="R865">
        <v>0</v>
      </c>
      <c r="S865">
        <v>0</v>
      </c>
      <c r="T865">
        <v>0</v>
      </c>
      <c r="U865">
        <v>0</v>
      </c>
      <c r="V865">
        <v>0</v>
      </c>
    </row>
    <row r="866" spans="1:22" x14ac:dyDescent="0.25">
      <c r="A866" t="s">
        <v>2159</v>
      </c>
      <c r="B866" t="s">
        <v>820</v>
      </c>
      <c r="C866">
        <v>36</v>
      </c>
      <c r="D866" t="s">
        <v>260</v>
      </c>
      <c r="E866" t="s">
        <v>78</v>
      </c>
      <c r="F866" t="s">
        <v>26</v>
      </c>
      <c r="G866">
        <v>0.22</v>
      </c>
      <c r="H866" t="s">
        <v>589</v>
      </c>
      <c r="I866">
        <v>12</v>
      </c>
      <c r="J866" t="str">
        <f>HYPERLINK("https://www.eliteprospects.com/player/865077/eerik-wallenius")</f>
        <v>https://www.eliteprospects.com/player/865077/eerik-wallenius</v>
      </c>
      <c r="K866" t="s">
        <v>27</v>
      </c>
      <c r="L866" t="s">
        <v>804</v>
      </c>
      <c r="M866" t="s">
        <v>1296</v>
      </c>
      <c r="N866">
        <v>1</v>
      </c>
      <c r="O866" t="s">
        <v>816</v>
      </c>
      <c r="P866">
        <v>0.02</v>
      </c>
      <c r="Q866" t="s">
        <v>1488</v>
      </c>
      <c r="R866">
        <v>0</v>
      </c>
      <c r="S866">
        <v>0</v>
      </c>
      <c r="T866">
        <v>0</v>
      </c>
      <c r="U866">
        <v>0</v>
      </c>
      <c r="V866">
        <v>0</v>
      </c>
    </row>
    <row r="867" spans="1:22" x14ac:dyDescent="0.25">
      <c r="A867" t="s">
        <v>2160</v>
      </c>
      <c r="B867" t="s">
        <v>832</v>
      </c>
      <c r="C867">
        <v>39</v>
      </c>
      <c r="D867" t="s">
        <v>260</v>
      </c>
      <c r="E867" t="s">
        <v>78</v>
      </c>
      <c r="F867" t="s">
        <v>26</v>
      </c>
      <c r="G867">
        <v>0.21</v>
      </c>
      <c r="H867" t="s">
        <v>489</v>
      </c>
      <c r="I867">
        <v>-16</v>
      </c>
      <c r="J867" t="str">
        <f>HYPERLINK("https://www.eliteprospects.com/player/599569/eloi-bourdeau")</f>
        <v>https://www.eliteprospects.com/player/599569/eloi-bourdeau</v>
      </c>
      <c r="K867" t="s">
        <v>27</v>
      </c>
      <c r="L867" t="s">
        <v>804</v>
      </c>
      <c r="M867" t="s">
        <v>1296</v>
      </c>
      <c r="N867">
        <v>4</v>
      </c>
      <c r="O867" t="s">
        <v>809</v>
      </c>
      <c r="P867">
        <v>0.02</v>
      </c>
      <c r="Q867" t="s">
        <v>1488</v>
      </c>
      <c r="R867">
        <v>0</v>
      </c>
      <c r="S867">
        <v>0</v>
      </c>
      <c r="T867">
        <v>0</v>
      </c>
      <c r="U867">
        <v>0</v>
      </c>
      <c r="V867">
        <v>0</v>
      </c>
    </row>
    <row r="868" spans="1:22" x14ac:dyDescent="0.25">
      <c r="A868" t="s">
        <v>2161</v>
      </c>
      <c r="B868" t="s">
        <v>828</v>
      </c>
      <c r="C868">
        <v>38</v>
      </c>
      <c r="D868" t="s">
        <v>132</v>
      </c>
      <c r="E868" t="s">
        <v>26</v>
      </c>
      <c r="F868" t="s">
        <v>26</v>
      </c>
      <c r="G868">
        <v>0.21</v>
      </c>
      <c r="H868" t="s">
        <v>24</v>
      </c>
      <c r="I868">
        <v>-10</v>
      </c>
      <c r="J868" t="str">
        <f>HYPERLINK("https://www.eliteprospects.com/player/707136/julien-wasmer")</f>
        <v>https://www.eliteprospects.com/player/707136/julien-wasmer</v>
      </c>
      <c r="K868" t="s">
        <v>27</v>
      </c>
      <c r="L868" t="s">
        <v>804</v>
      </c>
      <c r="M868" t="s">
        <v>1296</v>
      </c>
      <c r="N868">
        <v>2</v>
      </c>
      <c r="O868" t="s">
        <v>825</v>
      </c>
      <c r="P868">
        <v>0.02</v>
      </c>
      <c r="Q868" t="s">
        <v>1488</v>
      </c>
      <c r="R868">
        <v>0</v>
      </c>
      <c r="S868">
        <v>0</v>
      </c>
      <c r="T868">
        <v>0</v>
      </c>
      <c r="U868">
        <v>0</v>
      </c>
      <c r="V868">
        <v>0</v>
      </c>
    </row>
    <row r="869" spans="1:22" x14ac:dyDescent="0.25">
      <c r="A869" t="s">
        <v>2162</v>
      </c>
      <c r="B869" t="s">
        <v>826</v>
      </c>
      <c r="C869">
        <v>39</v>
      </c>
      <c r="D869" t="s">
        <v>132</v>
      </c>
      <c r="E869" t="s">
        <v>26</v>
      </c>
      <c r="F869" t="s">
        <v>26</v>
      </c>
      <c r="G869">
        <v>0.21</v>
      </c>
      <c r="H869" t="s">
        <v>66</v>
      </c>
      <c r="I869">
        <v>9</v>
      </c>
      <c r="J869" t="str">
        <f>HYPERLINK("https://www.eliteprospects.com/player/905937/owen-ronson")</f>
        <v>https://www.eliteprospects.com/player/905937/owen-ronson</v>
      </c>
      <c r="K869" t="s">
        <v>27</v>
      </c>
      <c r="L869" t="s">
        <v>804</v>
      </c>
      <c r="M869" t="s">
        <v>1296</v>
      </c>
      <c r="N869">
        <v>2</v>
      </c>
      <c r="O869" t="s">
        <v>825</v>
      </c>
      <c r="P869">
        <v>0.02</v>
      </c>
      <c r="Q869" t="s">
        <v>1488</v>
      </c>
      <c r="R869">
        <v>0</v>
      </c>
      <c r="S869">
        <v>0</v>
      </c>
      <c r="T869">
        <v>0</v>
      </c>
      <c r="U869">
        <v>0</v>
      </c>
      <c r="V869">
        <v>0</v>
      </c>
    </row>
    <row r="870" spans="1:22" x14ac:dyDescent="0.25">
      <c r="A870" t="s">
        <v>2163</v>
      </c>
      <c r="B870" t="s">
        <v>507</v>
      </c>
      <c r="C870">
        <v>39</v>
      </c>
      <c r="D870" t="s">
        <v>132</v>
      </c>
      <c r="E870" t="s">
        <v>26</v>
      </c>
      <c r="F870" t="s">
        <v>26</v>
      </c>
      <c r="G870">
        <v>0.21</v>
      </c>
      <c r="H870" t="s">
        <v>2164</v>
      </c>
      <c r="I870">
        <v>9</v>
      </c>
      <c r="J870" t="str">
        <f>HYPERLINK("https://www.eliteprospects.com/player/679662/jonathan-prud-homme")</f>
        <v>https://www.eliteprospects.com/player/679662/jonathan-prud-homme</v>
      </c>
      <c r="K870" t="s">
        <v>27</v>
      </c>
      <c r="L870" t="s">
        <v>804</v>
      </c>
      <c r="M870" t="s">
        <v>1296</v>
      </c>
      <c r="N870">
        <v>3</v>
      </c>
      <c r="O870" t="s">
        <v>805</v>
      </c>
      <c r="P870">
        <v>0.02</v>
      </c>
      <c r="Q870" t="s">
        <v>1488</v>
      </c>
      <c r="R870">
        <v>0</v>
      </c>
      <c r="S870">
        <v>0</v>
      </c>
      <c r="T870">
        <v>0</v>
      </c>
      <c r="U870">
        <v>0</v>
      </c>
      <c r="V870">
        <v>0</v>
      </c>
    </row>
    <row r="871" spans="1:22" x14ac:dyDescent="0.25">
      <c r="A871" t="s">
        <v>2165</v>
      </c>
      <c r="B871" t="s">
        <v>507</v>
      </c>
      <c r="C871">
        <v>37</v>
      </c>
      <c r="D871" t="s">
        <v>66</v>
      </c>
      <c r="E871" t="s">
        <v>140</v>
      </c>
      <c r="F871" t="s">
        <v>78</v>
      </c>
      <c r="G871">
        <v>0.19</v>
      </c>
      <c r="H871" t="s">
        <v>427</v>
      </c>
      <c r="I871">
        <v>-21</v>
      </c>
      <c r="J871" t="str">
        <f>HYPERLINK("https://www.eliteprospects.com/player/763400/alexis-mathieu")</f>
        <v>https://www.eliteprospects.com/player/763400/alexis-mathieu</v>
      </c>
      <c r="K871" t="s">
        <v>27</v>
      </c>
      <c r="L871" t="s">
        <v>804</v>
      </c>
      <c r="M871" t="s">
        <v>1296</v>
      </c>
      <c r="N871">
        <v>3</v>
      </c>
      <c r="O871" t="s">
        <v>805</v>
      </c>
      <c r="P871">
        <v>0.02</v>
      </c>
      <c r="Q871" t="s">
        <v>1488</v>
      </c>
      <c r="R871">
        <v>0</v>
      </c>
      <c r="S871">
        <v>0</v>
      </c>
      <c r="T871">
        <v>0</v>
      </c>
      <c r="U871">
        <v>0</v>
      </c>
      <c r="V871">
        <v>0</v>
      </c>
    </row>
    <row r="872" spans="1:22" x14ac:dyDescent="0.25">
      <c r="A872" t="s">
        <v>2166</v>
      </c>
      <c r="B872" t="s">
        <v>848</v>
      </c>
      <c r="C872">
        <v>30</v>
      </c>
      <c r="D872" t="s">
        <v>140</v>
      </c>
      <c r="E872" t="s">
        <v>66</v>
      </c>
      <c r="F872" t="s">
        <v>78</v>
      </c>
      <c r="G872">
        <v>0.23</v>
      </c>
      <c r="H872" t="s">
        <v>61</v>
      </c>
      <c r="I872">
        <v>-3</v>
      </c>
      <c r="J872" t="str">
        <f>HYPERLINK("https://www.eliteprospects.com/player/887190/zachary-roussy")</f>
        <v>https://www.eliteprospects.com/player/887190/zachary-roussy</v>
      </c>
      <c r="K872" t="s">
        <v>27</v>
      </c>
      <c r="L872" t="s">
        <v>804</v>
      </c>
      <c r="M872" t="s">
        <v>1296</v>
      </c>
      <c r="N872">
        <v>1</v>
      </c>
      <c r="O872" t="s">
        <v>816</v>
      </c>
      <c r="P872">
        <v>0.03</v>
      </c>
      <c r="Q872" t="s">
        <v>1488</v>
      </c>
      <c r="R872">
        <v>0</v>
      </c>
      <c r="S872">
        <v>0</v>
      </c>
      <c r="T872">
        <v>0</v>
      </c>
      <c r="U872">
        <v>0</v>
      </c>
      <c r="V872">
        <v>0</v>
      </c>
    </row>
    <row r="873" spans="1:22" x14ac:dyDescent="0.25">
      <c r="A873" t="s">
        <v>2167</v>
      </c>
      <c r="B873" t="s">
        <v>803</v>
      </c>
      <c r="C873">
        <v>39</v>
      </c>
      <c r="D873" t="s">
        <v>140</v>
      </c>
      <c r="E873" t="s">
        <v>66</v>
      </c>
      <c r="F873" t="s">
        <v>78</v>
      </c>
      <c r="G873">
        <v>0.18</v>
      </c>
      <c r="H873" t="s">
        <v>39</v>
      </c>
      <c r="I873">
        <v>-9</v>
      </c>
      <c r="J873" t="str">
        <f>HYPERLINK("https://www.eliteprospects.com/player/772967/alexis-fortin")</f>
        <v>https://www.eliteprospects.com/player/772967/alexis-fortin</v>
      </c>
      <c r="K873" t="s">
        <v>27</v>
      </c>
      <c r="L873" t="s">
        <v>804</v>
      </c>
      <c r="M873" t="s">
        <v>1296</v>
      </c>
      <c r="N873">
        <v>3</v>
      </c>
      <c r="O873" t="s">
        <v>805</v>
      </c>
      <c r="P873">
        <v>0.02</v>
      </c>
      <c r="Q873" t="s">
        <v>1488</v>
      </c>
      <c r="R873">
        <v>0</v>
      </c>
      <c r="S873">
        <v>0</v>
      </c>
      <c r="T873">
        <v>0</v>
      </c>
      <c r="U873">
        <v>0</v>
      </c>
      <c r="V873">
        <v>0</v>
      </c>
    </row>
    <row r="874" spans="1:22" x14ac:dyDescent="0.25">
      <c r="A874" t="s">
        <v>2168</v>
      </c>
      <c r="B874" t="s">
        <v>822</v>
      </c>
      <c r="C874">
        <v>35</v>
      </c>
      <c r="D874" t="s">
        <v>79</v>
      </c>
      <c r="E874" t="s">
        <v>96</v>
      </c>
      <c r="F874" t="s">
        <v>78</v>
      </c>
      <c r="G874">
        <v>0.2</v>
      </c>
      <c r="H874" t="s">
        <v>26</v>
      </c>
      <c r="I874">
        <v>9</v>
      </c>
      <c r="J874" t="str">
        <f>HYPERLINK("https://www.eliteprospects.com/player/806149/jacob-de-ladurantaye")</f>
        <v>https://www.eliteprospects.com/player/806149/jacob-de-ladurantaye</v>
      </c>
      <c r="K874" t="s">
        <v>27</v>
      </c>
      <c r="L874" t="s">
        <v>804</v>
      </c>
      <c r="M874" t="s">
        <v>1296</v>
      </c>
      <c r="N874">
        <v>2</v>
      </c>
      <c r="O874" t="s">
        <v>825</v>
      </c>
      <c r="P874">
        <v>0.02</v>
      </c>
      <c r="Q874" t="s">
        <v>1488</v>
      </c>
      <c r="R874">
        <v>0</v>
      </c>
      <c r="S874">
        <v>0</v>
      </c>
      <c r="T874">
        <v>0</v>
      </c>
      <c r="U874">
        <v>0</v>
      </c>
      <c r="V874">
        <v>0</v>
      </c>
    </row>
    <row r="875" spans="1:22" x14ac:dyDescent="0.25">
      <c r="A875" t="s">
        <v>2169</v>
      </c>
      <c r="B875" t="s">
        <v>824</v>
      </c>
      <c r="C875">
        <v>38</v>
      </c>
      <c r="D875" t="s">
        <v>79</v>
      </c>
      <c r="E875" t="s">
        <v>96</v>
      </c>
      <c r="F875" t="s">
        <v>78</v>
      </c>
      <c r="G875">
        <v>0.18</v>
      </c>
      <c r="H875" t="s">
        <v>66</v>
      </c>
      <c r="I875">
        <v>-5</v>
      </c>
      <c r="J875" t="str">
        <f>HYPERLINK("https://www.eliteprospects.com/player/978999/cameron-minella")</f>
        <v>https://www.eliteprospects.com/player/978999/cameron-minella</v>
      </c>
      <c r="K875" t="s">
        <v>27</v>
      </c>
      <c r="L875" t="s">
        <v>804</v>
      </c>
      <c r="M875" t="s">
        <v>1296</v>
      </c>
      <c r="N875">
        <v>1</v>
      </c>
      <c r="O875" t="s">
        <v>816</v>
      </c>
      <c r="P875">
        <v>0.02</v>
      </c>
      <c r="Q875" t="s">
        <v>1488</v>
      </c>
      <c r="R875">
        <v>0</v>
      </c>
      <c r="S875">
        <v>0</v>
      </c>
      <c r="T875">
        <v>0</v>
      </c>
      <c r="U875">
        <v>0</v>
      </c>
      <c r="V875">
        <v>0</v>
      </c>
    </row>
    <row r="876" spans="1:22" x14ac:dyDescent="0.25">
      <c r="A876" t="s">
        <v>2170</v>
      </c>
      <c r="B876" t="s">
        <v>811</v>
      </c>
      <c r="C876">
        <v>17</v>
      </c>
      <c r="D876" t="s">
        <v>260</v>
      </c>
      <c r="E876" t="s">
        <v>57</v>
      </c>
      <c r="F876" t="s">
        <v>78</v>
      </c>
      <c r="G876">
        <v>0.41</v>
      </c>
      <c r="H876" t="s">
        <v>81</v>
      </c>
      <c r="I876">
        <v>5</v>
      </c>
      <c r="J876" t="str">
        <f>HYPERLINK("https://www.eliteprospects.com/player/718561/julien-lanthier")</f>
        <v>https://www.eliteprospects.com/player/718561/julien-lanthier</v>
      </c>
      <c r="K876" t="s">
        <v>27</v>
      </c>
      <c r="L876" t="s">
        <v>804</v>
      </c>
      <c r="M876" t="s">
        <v>1296</v>
      </c>
      <c r="N876">
        <v>4</v>
      </c>
      <c r="O876" t="s">
        <v>809</v>
      </c>
      <c r="P876">
        <v>0.05</v>
      </c>
      <c r="Q876" t="s">
        <v>1325</v>
      </c>
      <c r="R876">
        <v>18.2</v>
      </c>
      <c r="S876">
        <v>9.1</v>
      </c>
      <c r="T876">
        <v>63.6</v>
      </c>
      <c r="U876">
        <v>0</v>
      </c>
      <c r="V876">
        <v>9.1</v>
      </c>
    </row>
    <row r="877" spans="1:22" x14ac:dyDescent="0.25">
      <c r="A877" t="s">
        <v>2171</v>
      </c>
      <c r="B877" t="s">
        <v>507</v>
      </c>
      <c r="C877">
        <v>31</v>
      </c>
      <c r="D877" t="s">
        <v>260</v>
      </c>
      <c r="E877" t="s">
        <v>57</v>
      </c>
      <c r="F877" t="s">
        <v>78</v>
      </c>
      <c r="G877">
        <v>0.23</v>
      </c>
      <c r="H877" t="s">
        <v>39</v>
      </c>
      <c r="I877">
        <v>1</v>
      </c>
      <c r="J877" t="str">
        <f>HYPERLINK("https://www.eliteprospects.com/player/673059/dylan-mackinnon")</f>
        <v>https://www.eliteprospects.com/player/673059/dylan-mackinnon</v>
      </c>
      <c r="K877" t="s">
        <v>27</v>
      </c>
      <c r="L877" t="s">
        <v>804</v>
      </c>
      <c r="M877" t="s">
        <v>1296</v>
      </c>
      <c r="N877">
        <v>5</v>
      </c>
      <c r="O877" t="s">
        <v>807</v>
      </c>
      <c r="P877">
        <v>0.03</v>
      </c>
      <c r="Q877" t="s">
        <v>1488</v>
      </c>
      <c r="R877">
        <v>0</v>
      </c>
      <c r="S877">
        <v>0</v>
      </c>
      <c r="T877">
        <v>0</v>
      </c>
      <c r="U877">
        <v>0</v>
      </c>
      <c r="V877">
        <v>0</v>
      </c>
    </row>
    <row r="878" spans="1:22" x14ac:dyDescent="0.25">
      <c r="A878" t="s">
        <v>2172</v>
      </c>
      <c r="B878" t="s">
        <v>507</v>
      </c>
      <c r="C878">
        <v>40</v>
      </c>
      <c r="D878" t="s">
        <v>260</v>
      </c>
      <c r="E878" t="s">
        <v>57</v>
      </c>
      <c r="F878" t="s">
        <v>78</v>
      </c>
      <c r="G878">
        <v>0.18</v>
      </c>
      <c r="H878" t="s">
        <v>75</v>
      </c>
      <c r="I878">
        <v>11</v>
      </c>
      <c r="J878" t="str">
        <f>HYPERLINK("https://www.eliteprospects.com/player/684089/yan-gaudreau")</f>
        <v>https://www.eliteprospects.com/player/684089/yan-gaudreau</v>
      </c>
      <c r="K878" t="s">
        <v>27</v>
      </c>
      <c r="L878" t="s">
        <v>804</v>
      </c>
      <c r="M878" t="s">
        <v>1296</v>
      </c>
      <c r="N878">
        <v>3</v>
      </c>
      <c r="O878" t="s">
        <v>805</v>
      </c>
      <c r="P878">
        <v>0.02</v>
      </c>
      <c r="Q878" t="s">
        <v>1488</v>
      </c>
      <c r="R878">
        <v>0</v>
      </c>
      <c r="S878">
        <v>0</v>
      </c>
      <c r="T878">
        <v>0</v>
      </c>
      <c r="U878">
        <v>0</v>
      </c>
      <c r="V878">
        <v>0</v>
      </c>
    </row>
    <row r="879" spans="1:22" x14ac:dyDescent="0.25">
      <c r="A879" t="s">
        <v>2173</v>
      </c>
      <c r="B879" t="s">
        <v>826</v>
      </c>
      <c r="C879">
        <v>24</v>
      </c>
      <c r="D879" t="s">
        <v>132</v>
      </c>
      <c r="E879" t="s">
        <v>78</v>
      </c>
      <c r="F879" t="s">
        <v>78</v>
      </c>
      <c r="G879">
        <v>0.28999999999999998</v>
      </c>
      <c r="H879" t="s">
        <v>60</v>
      </c>
      <c r="I879">
        <v>10</v>
      </c>
      <c r="J879" t="str">
        <f>HYPERLINK("https://www.eliteprospects.com/player/914130/cooper-campbell")</f>
        <v>https://www.eliteprospects.com/player/914130/cooper-campbell</v>
      </c>
      <c r="K879" t="s">
        <v>27</v>
      </c>
      <c r="L879" t="s">
        <v>804</v>
      </c>
      <c r="M879" t="s">
        <v>1296</v>
      </c>
      <c r="N879">
        <v>1</v>
      </c>
      <c r="O879" t="s">
        <v>816</v>
      </c>
      <c r="P879">
        <v>0.03</v>
      </c>
      <c r="Q879" t="s">
        <v>1488</v>
      </c>
      <c r="R879">
        <v>0</v>
      </c>
      <c r="S879">
        <v>0</v>
      </c>
      <c r="T879">
        <v>0</v>
      </c>
      <c r="U879">
        <v>0</v>
      </c>
      <c r="V879">
        <v>0</v>
      </c>
    </row>
    <row r="880" spans="1:22" x14ac:dyDescent="0.25">
      <c r="A880" t="s">
        <v>2174</v>
      </c>
      <c r="B880" t="s">
        <v>820</v>
      </c>
      <c r="C880">
        <v>27</v>
      </c>
      <c r="D880" t="s">
        <v>132</v>
      </c>
      <c r="E880" t="s">
        <v>78</v>
      </c>
      <c r="F880" t="s">
        <v>78</v>
      </c>
      <c r="G880">
        <v>0.26</v>
      </c>
      <c r="H880" t="s">
        <v>41</v>
      </c>
      <c r="I880">
        <v>4</v>
      </c>
      <c r="J880" t="str">
        <f>HYPERLINK("https://www.eliteprospects.com/player/781217/aiden-diamond")</f>
        <v>https://www.eliteprospects.com/player/781217/aiden-diamond</v>
      </c>
      <c r="K880" t="s">
        <v>27</v>
      </c>
      <c r="L880" t="s">
        <v>804</v>
      </c>
      <c r="M880" t="s">
        <v>1296</v>
      </c>
      <c r="N880">
        <v>2</v>
      </c>
      <c r="O880" t="s">
        <v>825</v>
      </c>
      <c r="P880">
        <v>0.03</v>
      </c>
      <c r="Q880" t="s">
        <v>1488</v>
      </c>
      <c r="R880">
        <v>0</v>
      </c>
      <c r="S880">
        <v>0</v>
      </c>
      <c r="T880">
        <v>0</v>
      </c>
      <c r="U880">
        <v>0</v>
      </c>
      <c r="V880">
        <v>0</v>
      </c>
    </row>
    <row r="881" spans="1:22" x14ac:dyDescent="0.25">
      <c r="A881" t="s">
        <v>2175</v>
      </c>
      <c r="B881" t="s">
        <v>823</v>
      </c>
      <c r="C881">
        <v>23</v>
      </c>
      <c r="D881" t="s">
        <v>79</v>
      </c>
      <c r="E881" t="s">
        <v>66</v>
      </c>
      <c r="F881" t="s">
        <v>57</v>
      </c>
      <c r="G881">
        <v>0.26</v>
      </c>
      <c r="H881" t="s">
        <v>51</v>
      </c>
      <c r="I881">
        <v>2</v>
      </c>
      <c r="J881" t="str">
        <f>HYPERLINK("https://www.eliteprospects.com/player/745779/charlie-morrison")</f>
        <v>https://www.eliteprospects.com/player/745779/charlie-morrison</v>
      </c>
      <c r="K881" t="s">
        <v>27</v>
      </c>
      <c r="L881" t="s">
        <v>804</v>
      </c>
      <c r="M881" t="s">
        <v>1296</v>
      </c>
      <c r="N881">
        <v>2</v>
      </c>
      <c r="O881" t="s">
        <v>825</v>
      </c>
      <c r="P881">
        <v>0.03</v>
      </c>
      <c r="Q881" t="s">
        <v>1488</v>
      </c>
      <c r="R881">
        <v>0</v>
      </c>
      <c r="S881">
        <v>0</v>
      </c>
      <c r="T881">
        <v>0</v>
      </c>
      <c r="U881">
        <v>0</v>
      </c>
      <c r="V881">
        <v>0</v>
      </c>
    </row>
    <row r="882" spans="1:22" x14ac:dyDescent="0.25">
      <c r="A882" t="s">
        <v>2176</v>
      </c>
      <c r="B882" t="s">
        <v>828</v>
      </c>
      <c r="C882">
        <v>27</v>
      </c>
      <c r="D882" t="s">
        <v>79</v>
      </c>
      <c r="E882" t="s">
        <v>66</v>
      </c>
      <c r="F882" t="s">
        <v>57</v>
      </c>
      <c r="G882">
        <v>0.22</v>
      </c>
      <c r="H882" t="s">
        <v>132</v>
      </c>
      <c r="I882">
        <v>11</v>
      </c>
      <c r="J882" t="str">
        <f>HYPERLINK("https://www.eliteprospects.com/player/898377/oskar-drabczynski")</f>
        <v>https://www.eliteprospects.com/player/898377/oskar-drabczynski</v>
      </c>
      <c r="K882" t="s">
        <v>27</v>
      </c>
      <c r="L882" t="s">
        <v>804</v>
      </c>
      <c r="M882" t="s">
        <v>1296</v>
      </c>
      <c r="N882">
        <v>1</v>
      </c>
      <c r="O882" t="s">
        <v>816</v>
      </c>
      <c r="P882">
        <v>0.02</v>
      </c>
      <c r="Q882" t="s">
        <v>1488</v>
      </c>
      <c r="R882">
        <v>0</v>
      </c>
      <c r="S882">
        <v>0</v>
      </c>
      <c r="T882">
        <v>0</v>
      </c>
      <c r="U882">
        <v>0</v>
      </c>
      <c r="V882">
        <v>0</v>
      </c>
    </row>
    <row r="883" spans="1:22" x14ac:dyDescent="0.25">
      <c r="A883" t="s">
        <v>2177</v>
      </c>
      <c r="B883" t="s">
        <v>803</v>
      </c>
      <c r="C883">
        <v>31</v>
      </c>
      <c r="D883" t="s">
        <v>79</v>
      </c>
      <c r="E883" t="s">
        <v>66</v>
      </c>
      <c r="F883" t="s">
        <v>57</v>
      </c>
      <c r="G883">
        <v>0.19</v>
      </c>
      <c r="H883" t="s">
        <v>638</v>
      </c>
      <c r="I883">
        <v>-4</v>
      </c>
      <c r="J883" t="str">
        <f>HYPERLINK("https://www.eliteprospects.com/player/889796/jacob-gouchie")</f>
        <v>https://www.eliteprospects.com/player/889796/jacob-gouchie</v>
      </c>
      <c r="K883" t="s">
        <v>27</v>
      </c>
      <c r="L883" t="s">
        <v>804</v>
      </c>
      <c r="M883" t="s">
        <v>1296</v>
      </c>
      <c r="N883">
        <v>2</v>
      </c>
      <c r="O883" t="s">
        <v>825</v>
      </c>
      <c r="P883">
        <v>0.02</v>
      </c>
      <c r="Q883" t="s">
        <v>1488</v>
      </c>
      <c r="R883">
        <v>0</v>
      </c>
      <c r="S883">
        <v>0</v>
      </c>
      <c r="T883">
        <v>0</v>
      </c>
      <c r="U883">
        <v>0</v>
      </c>
      <c r="V883">
        <v>0</v>
      </c>
    </row>
    <row r="884" spans="1:22" x14ac:dyDescent="0.25">
      <c r="A884" t="s">
        <v>2178</v>
      </c>
      <c r="B884" t="s">
        <v>507</v>
      </c>
      <c r="C884">
        <v>33</v>
      </c>
      <c r="D884" t="s">
        <v>260</v>
      </c>
      <c r="E884" t="s">
        <v>96</v>
      </c>
      <c r="F884" t="s">
        <v>57</v>
      </c>
      <c r="G884">
        <v>0.18</v>
      </c>
      <c r="H884" t="s">
        <v>57</v>
      </c>
      <c r="I884">
        <v>-10</v>
      </c>
      <c r="J884" t="str">
        <f>HYPERLINK("https://www.eliteprospects.com/player/852804/brady-flynn")</f>
        <v>https://www.eliteprospects.com/player/852804/brady-flynn</v>
      </c>
      <c r="K884" t="s">
        <v>27</v>
      </c>
      <c r="L884" t="s">
        <v>804</v>
      </c>
      <c r="M884" t="s">
        <v>1296</v>
      </c>
      <c r="N884">
        <v>2</v>
      </c>
      <c r="O884" t="s">
        <v>825</v>
      </c>
      <c r="P884">
        <v>0.02</v>
      </c>
      <c r="Q884" t="s">
        <v>1488</v>
      </c>
      <c r="R884">
        <v>0</v>
      </c>
      <c r="S884">
        <v>0</v>
      </c>
      <c r="T884">
        <v>0</v>
      </c>
      <c r="U884">
        <v>0</v>
      </c>
      <c r="V884">
        <v>0</v>
      </c>
    </row>
    <row r="885" spans="1:22" x14ac:dyDescent="0.25">
      <c r="A885" t="s">
        <v>2179</v>
      </c>
      <c r="B885" t="s">
        <v>823</v>
      </c>
      <c r="C885">
        <v>33</v>
      </c>
      <c r="D885" t="s">
        <v>260</v>
      </c>
      <c r="E885" t="s">
        <v>96</v>
      </c>
      <c r="F885" t="s">
        <v>57</v>
      </c>
      <c r="G885">
        <v>0.18</v>
      </c>
      <c r="H885" t="s">
        <v>69</v>
      </c>
      <c r="I885">
        <v>-5</v>
      </c>
      <c r="J885" t="str">
        <f>HYPERLINK("https://www.eliteprospects.com/player/689946/freddy-meyer")</f>
        <v>https://www.eliteprospects.com/player/689946/freddy-meyer</v>
      </c>
      <c r="K885" t="s">
        <v>27</v>
      </c>
      <c r="L885" t="s">
        <v>804</v>
      </c>
      <c r="M885" t="s">
        <v>1296</v>
      </c>
      <c r="N885">
        <v>1</v>
      </c>
      <c r="O885" t="s">
        <v>816</v>
      </c>
      <c r="P885">
        <v>0.02</v>
      </c>
      <c r="Q885" t="s">
        <v>1488</v>
      </c>
      <c r="R885">
        <v>0</v>
      </c>
      <c r="S885">
        <v>0</v>
      </c>
      <c r="T885">
        <v>0</v>
      </c>
      <c r="U885">
        <v>0</v>
      </c>
      <c r="V885">
        <v>0</v>
      </c>
    </row>
    <row r="886" spans="1:22" x14ac:dyDescent="0.25">
      <c r="A886" t="s">
        <v>2180</v>
      </c>
      <c r="B886" t="s">
        <v>823</v>
      </c>
      <c r="C886">
        <v>25</v>
      </c>
      <c r="D886" t="s">
        <v>132</v>
      </c>
      <c r="E886" t="s">
        <v>57</v>
      </c>
      <c r="F886" t="s">
        <v>57</v>
      </c>
      <c r="G886">
        <v>0.24</v>
      </c>
      <c r="H886" t="s">
        <v>32</v>
      </c>
      <c r="I886">
        <v>3</v>
      </c>
      <c r="J886" t="str">
        <f>HYPERLINK("https://www.eliteprospects.com/player/701452/thomas-charbonneau")</f>
        <v>https://www.eliteprospects.com/player/701452/thomas-charbonneau</v>
      </c>
      <c r="K886" t="s">
        <v>27</v>
      </c>
      <c r="L886" t="s">
        <v>804</v>
      </c>
      <c r="M886" t="s">
        <v>1296</v>
      </c>
      <c r="N886">
        <v>1</v>
      </c>
      <c r="O886" t="s">
        <v>816</v>
      </c>
      <c r="P886">
        <v>0.03</v>
      </c>
      <c r="Q886" t="s">
        <v>1488</v>
      </c>
      <c r="R886">
        <v>0</v>
      </c>
      <c r="S886">
        <v>0</v>
      </c>
      <c r="T886">
        <v>0</v>
      </c>
      <c r="U886">
        <v>0</v>
      </c>
      <c r="V886">
        <v>0</v>
      </c>
    </row>
    <row r="887" spans="1:22" x14ac:dyDescent="0.25">
      <c r="A887" t="s">
        <v>2181</v>
      </c>
      <c r="B887" t="s">
        <v>507</v>
      </c>
      <c r="C887">
        <v>29</v>
      </c>
      <c r="D887" t="s">
        <v>132</v>
      </c>
      <c r="E887" t="s">
        <v>57</v>
      </c>
      <c r="F887" t="s">
        <v>57</v>
      </c>
      <c r="G887">
        <v>0.21</v>
      </c>
      <c r="H887" t="s">
        <v>55</v>
      </c>
      <c r="I887">
        <v>-9</v>
      </c>
      <c r="J887" t="str">
        <f>HYPERLINK("https://www.eliteprospects.com/player/957296/patryk-zubek")</f>
        <v>https://www.eliteprospects.com/player/957296/patryk-zubek</v>
      </c>
      <c r="K887" t="s">
        <v>27</v>
      </c>
      <c r="L887" t="s">
        <v>804</v>
      </c>
      <c r="M887" t="s">
        <v>1296</v>
      </c>
      <c r="N887">
        <v>1</v>
      </c>
      <c r="O887" t="s">
        <v>816</v>
      </c>
      <c r="P887">
        <v>0.02</v>
      </c>
      <c r="Q887" t="s">
        <v>1488</v>
      </c>
      <c r="R887">
        <v>0</v>
      </c>
      <c r="S887">
        <v>0</v>
      </c>
      <c r="T887">
        <v>0</v>
      </c>
      <c r="U887">
        <v>0</v>
      </c>
      <c r="V887">
        <v>0</v>
      </c>
    </row>
    <row r="888" spans="1:22" x14ac:dyDescent="0.25">
      <c r="A888" t="s">
        <v>2182</v>
      </c>
      <c r="B888" t="s">
        <v>806</v>
      </c>
      <c r="C888">
        <v>34</v>
      </c>
      <c r="D888" t="s">
        <v>132</v>
      </c>
      <c r="E888" t="s">
        <v>57</v>
      </c>
      <c r="F888" t="s">
        <v>57</v>
      </c>
      <c r="G888">
        <v>0.18</v>
      </c>
      <c r="H888" t="s">
        <v>32</v>
      </c>
      <c r="I888">
        <v>-8</v>
      </c>
      <c r="J888" t="str">
        <f>HYPERLINK("https://www.eliteprospects.com/player/999201/quinn-norman")</f>
        <v>https://www.eliteprospects.com/player/999201/quinn-norman</v>
      </c>
      <c r="K888" t="s">
        <v>27</v>
      </c>
      <c r="L888" t="s">
        <v>804</v>
      </c>
      <c r="M888" t="s">
        <v>1296</v>
      </c>
      <c r="N888">
        <v>1</v>
      </c>
      <c r="O888" t="s">
        <v>816</v>
      </c>
      <c r="P888">
        <v>0.02</v>
      </c>
      <c r="Q888" t="s">
        <v>1488</v>
      </c>
      <c r="R888">
        <v>0</v>
      </c>
      <c r="S888">
        <v>0</v>
      </c>
      <c r="T888">
        <v>0</v>
      </c>
      <c r="U888">
        <v>0</v>
      </c>
      <c r="V888">
        <v>0</v>
      </c>
    </row>
    <row r="889" spans="1:22" x14ac:dyDescent="0.25">
      <c r="A889" t="s">
        <v>2183</v>
      </c>
      <c r="B889" t="s">
        <v>822</v>
      </c>
      <c r="C889">
        <v>28</v>
      </c>
      <c r="D889" t="s">
        <v>140</v>
      </c>
      <c r="E889" t="s">
        <v>79</v>
      </c>
      <c r="F889" t="s">
        <v>96</v>
      </c>
      <c r="G889">
        <v>0.18</v>
      </c>
      <c r="H889" t="s">
        <v>277</v>
      </c>
      <c r="I889">
        <v>1</v>
      </c>
      <c r="J889" t="str">
        <f>HYPERLINK("https://www.eliteprospects.com/player/806444/will-murphy")</f>
        <v>https://www.eliteprospects.com/player/806444/will-murphy</v>
      </c>
      <c r="K889" t="s">
        <v>27</v>
      </c>
      <c r="L889" t="s">
        <v>804</v>
      </c>
      <c r="M889" t="s">
        <v>1296</v>
      </c>
      <c r="N889">
        <v>3</v>
      </c>
      <c r="O889" t="s">
        <v>805</v>
      </c>
      <c r="P889">
        <v>0.02</v>
      </c>
      <c r="Q889" t="s">
        <v>1488</v>
      </c>
      <c r="R889">
        <v>0</v>
      </c>
      <c r="S889">
        <v>0</v>
      </c>
      <c r="T889">
        <v>0</v>
      </c>
      <c r="U889">
        <v>0</v>
      </c>
      <c r="V889">
        <v>0</v>
      </c>
    </row>
    <row r="890" spans="1:22" x14ac:dyDescent="0.25">
      <c r="A890" t="s">
        <v>2184</v>
      </c>
      <c r="B890" t="s">
        <v>865</v>
      </c>
      <c r="C890">
        <v>34</v>
      </c>
      <c r="D890" t="s">
        <v>140</v>
      </c>
      <c r="E890" t="s">
        <v>79</v>
      </c>
      <c r="F890" t="s">
        <v>96</v>
      </c>
      <c r="G890">
        <v>0.15</v>
      </c>
      <c r="H890" t="s">
        <v>32</v>
      </c>
      <c r="I890">
        <v>-7</v>
      </c>
      <c r="J890" t="str">
        <f>HYPERLINK("https://www.eliteprospects.com/player/805225/zachary-hachey")</f>
        <v>https://www.eliteprospects.com/player/805225/zachary-hachey</v>
      </c>
      <c r="K890" t="s">
        <v>27</v>
      </c>
      <c r="L890" t="s">
        <v>804</v>
      </c>
      <c r="M890" t="s">
        <v>1296</v>
      </c>
      <c r="N890">
        <v>1</v>
      </c>
      <c r="O890" t="s">
        <v>816</v>
      </c>
      <c r="P890">
        <v>0.02</v>
      </c>
      <c r="Q890" t="s">
        <v>1488</v>
      </c>
      <c r="R890">
        <v>0</v>
      </c>
      <c r="S890">
        <v>0</v>
      </c>
      <c r="T890">
        <v>0</v>
      </c>
      <c r="U890">
        <v>0</v>
      </c>
      <c r="V890">
        <v>0</v>
      </c>
    </row>
    <row r="891" spans="1:22" x14ac:dyDescent="0.25">
      <c r="A891" t="s">
        <v>2185</v>
      </c>
      <c r="B891" t="s">
        <v>828</v>
      </c>
      <c r="C891">
        <v>18</v>
      </c>
      <c r="D891" t="s">
        <v>79</v>
      </c>
      <c r="E891" t="s">
        <v>140</v>
      </c>
      <c r="F891" t="s">
        <v>96</v>
      </c>
      <c r="G891">
        <v>0.28000000000000003</v>
      </c>
      <c r="H891" t="s">
        <v>57</v>
      </c>
      <c r="I891">
        <v>1</v>
      </c>
      <c r="J891" t="str">
        <f>HYPERLINK("https://www.eliteprospects.com/player/877117/cameron-chartrand")</f>
        <v>https://www.eliteprospects.com/player/877117/cameron-chartrand</v>
      </c>
      <c r="K891" t="s">
        <v>27</v>
      </c>
      <c r="L891" t="s">
        <v>804</v>
      </c>
      <c r="M891" t="s">
        <v>1296</v>
      </c>
      <c r="N891">
        <v>1</v>
      </c>
      <c r="O891" t="s">
        <v>816</v>
      </c>
      <c r="P891">
        <v>0.03</v>
      </c>
      <c r="Q891" t="s">
        <v>1488</v>
      </c>
      <c r="R891">
        <v>0</v>
      </c>
      <c r="S891">
        <v>0</v>
      </c>
      <c r="T891">
        <v>0</v>
      </c>
      <c r="U891">
        <v>0</v>
      </c>
      <c r="V891">
        <v>0</v>
      </c>
    </row>
    <row r="892" spans="1:22" x14ac:dyDescent="0.25">
      <c r="A892" t="s">
        <v>2186</v>
      </c>
      <c r="B892" t="s">
        <v>803</v>
      </c>
      <c r="C892">
        <v>35</v>
      </c>
      <c r="D892" t="s">
        <v>79</v>
      </c>
      <c r="E892" t="s">
        <v>140</v>
      </c>
      <c r="F892" t="s">
        <v>96</v>
      </c>
      <c r="G892">
        <v>0.14000000000000001</v>
      </c>
      <c r="H892" t="s">
        <v>65</v>
      </c>
      <c r="I892">
        <v>5</v>
      </c>
      <c r="J892" t="str">
        <f>HYPERLINK("https://www.eliteprospects.com/player/755225/hemrick-carbonneau")</f>
        <v>https://www.eliteprospects.com/player/755225/hemrick-carbonneau</v>
      </c>
      <c r="K892" t="s">
        <v>27</v>
      </c>
      <c r="L892" t="s">
        <v>804</v>
      </c>
      <c r="M892" t="s">
        <v>1296</v>
      </c>
      <c r="N892">
        <v>3</v>
      </c>
      <c r="O892" t="s">
        <v>805</v>
      </c>
      <c r="P892">
        <v>0.02</v>
      </c>
      <c r="Q892" t="s">
        <v>1488</v>
      </c>
      <c r="R892">
        <v>0</v>
      </c>
      <c r="S892">
        <v>0</v>
      </c>
      <c r="T892">
        <v>0</v>
      </c>
      <c r="U892">
        <v>0</v>
      </c>
      <c r="V892">
        <v>0</v>
      </c>
    </row>
    <row r="893" spans="1:22" x14ac:dyDescent="0.25">
      <c r="A893" t="s">
        <v>2187</v>
      </c>
      <c r="B893" t="s">
        <v>822</v>
      </c>
      <c r="C893">
        <v>36</v>
      </c>
      <c r="D893" t="s">
        <v>79</v>
      </c>
      <c r="E893" t="s">
        <v>140</v>
      </c>
      <c r="F893" t="s">
        <v>96</v>
      </c>
      <c r="G893">
        <v>0.14000000000000001</v>
      </c>
      <c r="H893" t="s">
        <v>40</v>
      </c>
      <c r="I893">
        <v>-12</v>
      </c>
      <c r="J893" t="str">
        <f>HYPERLINK("https://www.eliteprospects.com/player/889802/aiden-mccullough")</f>
        <v>https://www.eliteprospects.com/player/889802/aiden-mccullough</v>
      </c>
      <c r="K893" t="s">
        <v>27</v>
      </c>
      <c r="L893" t="s">
        <v>804</v>
      </c>
      <c r="M893" t="s">
        <v>1296</v>
      </c>
      <c r="N893">
        <v>2</v>
      </c>
      <c r="O893" t="s">
        <v>825</v>
      </c>
      <c r="P893">
        <v>0.02</v>
      </c>
      <c r="Q893" t="s">
        <v>1488</v>
      </c>
      <c r="R893">
        <v>0</v>
      </c>
      <c r="S893">
        <v>0</v>
      </c>
      <c r="T893">
        <v>0</v>
      </c>
      <c r="U893">
        <v>0</v>
      </c>
      <c r="V893">
        <v>0</v>
      </c>
    </row>
    <row r="894" spans="1:22" x14ac:dyDescent="0.25">
      <c r="A894" t="s">
        <v>2188</v>
      </c>
      <c r="B894" t="s">
        <v>812</v>
      </c>
      <c r="C894">
        <v>37</v>
      </c>
      <c r="D894" t="s">
        <v>79</v>
      </c>
      <c r="E894" t="s">
        <v>140</v>
      </c>
      <c r="F894" t="s">
        <v>96</v>
      </c>
      <c r="G894">
        <v>0.14000000000000001</v>
      </c>
      <c r="H894" t="s">
        <v>51</v>
      </c>
      <c r="I894">
        <v>-1</v>
      </c>
      <c r="J894" t="str">
        <f>HYPERLINK("https://www.eliteprospects.com/player/755216/tristan-langlois")</f>
        <v>https://www.eliteprospects.com/player/755216/tristan-langlois</v>
      </c>
      <c r="K894" t="s">
        <v>27</v>
      </c>
      <c r="L894" t="s">
        <v>804</v>
      </c>
      <c r="M894" t="s">
        <v>1296</v>
      </c>
      <c r="N894">
        <v>2</v>
      </c>
      <c r="O894" t="s">
        <v>825</v>
      </c>
      <c r="P894">
        <v>0.02</v>
      </c>
      <c r="Q894" t="s">
        <v>1488</v>
      </c>
      <c r="R894">
        <v>0</v>
      </c>
      <c r="S894">
        <v>0</v>
      </c>
      <c r="T894">
        <v>0</v>
      </c>
      <c r="U894">
        <v>0</v>
      </c>
      <c r="V894">
        <v>0</v>
      </c>
    </row>
    <row r="895" spans="1:22" x14ac:dyDescent="0.25">
      <c r="A895" t="s">
        <v>2189</v>
      </c>
      <c r="B895" t="s">
        <v>856</v>
      </c>
      <c r="C895">
        <v>11</v>
      </c>
      <c r="D895" t="s">
        <v>260</v>
      </c>
      <c r="E895" t="s">
        <v>66</v>
      </c>
      <c r="F895" t="s">
        <v>96</v>
      </c>
      <c r="G895">
        <v>0.45</v>
      </c>
      <c r="H895" t="s">
        <v>57</v>
      </c>
      <c r="I895">
        <v>-4</v>
      </c>
      <c r="J895" t="str">
        <f>HYPERLINK("https://www.eliteprospects.com/player/646847/olivier-theberge")</f>
        <v>https://www.eliteprospects.com/player/646847/olivier-theberge</v>
      </c>
      <c r="K895" t="s">
        <v>27</v>
      </c>
      <c r="L895" t="s">
        <v>804</v>
      </c>
      <c r="M895" t="s">
        <v>1296</v>
      </c>
      <c r="N895">
        <v>6</v>
      </c>
      <c r="O895" t="s">
        <v>968</v>
      </c>
      <c r="P895">
        <v>0.05</v>
      </c>
      <c r="Q895" t="s">
        <v>1309</v>
      </c>
      <c r="R895">
        <v>0</v>
      </c>
      <c r="S895">
        <v>20</v>
      </c>
      <c r="T895">
        <v>40</v>
      </c>
      <c r="U895">
        <v>0</v>
      </c>
      <c r="V895">
        <v>40</v>
      </c>
    </row>
    <row r="896" spans="1:22" x14ac:dyDescent="0.25">
      <c r="A896" t="s">
        <v>2190</v>
      </c>
      <c r="B896" t="s">
        <v>507</v>
      </c>
      <c r="C896">
        <v>26</v>
      </c>
      <c r="D896" t="s">
        <v>260</v>
      </c>
      <c r="E896" t="s">
        <v>66</v>
      </c>
      <c r="F896" t="s">
        <v>96</v>
      </c>
      <c r="G896">
        <v>0.19</v>
      </c>
      <c r="H896" t="s">
        <v>125</v>
      </c>
      <c r="I896">
        <v>10</v>
      </c>
      <c r="J896" t="str">
        <f>HYPERLINK("https://www.eliteprospects.com/player/654405/mathieu-taillefer")</f>
        <v>https://www.eliteprospects.com/player/654405/mathieu-taillefer</v>
      </c>
      <c r="K896" t="s">
        <v>27</v>
      </c>
      <c r="L896" t="s">
        <v>804</v>
      </c>
      <c r="M896" t="s">
        <v>1296</v>
      </c>
      <c r="N896">
        <v>2</v>
      </c>
      <c r="O896" t="s">
        <v>825</v>
      </c>
      <c r="P896">
        <v>0.02</v>
      </c>
      <c r="Q896" t="s">
        <v>1488</v>
      </c>
      <c r="R896">
        <v>0</v>
      </c>
      <c r="S896">
        <v>0</v>
      </c>
      <c r="T896">
        <v>0</v>
      </c>
      <c r="U896">
        <v>0</v>
      </c>
      <c r="V896">
        <v>0</v>
      </c>
    </row>
    <row r="897" spans="1:22" x14ac:dyDescent="0.25">
      <c r="A897" t="s">
        <v>2191</v>
      </c>
      <c r="B897" t="s">
        <v>821</v>
      </c>
      <c r="C897">
        <v>38</v>
      </c>
      <c r="D897" t="s">
        <v>260</v>
      </c>
      <c r="E897" t="s">
        <v>66</v>
      </c>
      <c r="F897" t="s">
        <v>96</v>
      </c>
      <c r="G897">
        <v>0.13</v>
      </c>
      <c r="H897" t="s">
        <v>55</v>
      </c>
      <c r="I897">
        <v>-2</v>
      </c>
      <c r="J897" t="str">
        <f>HYPERLINK("https://www.eliteprospects.com/player/689984/nikita-voyaga")</f>
        <v>https://www.eliteprospects.com/player/689984/nikita-voyaga</v>
      </c>
      <c r="K897" t="s">
        <v>27</v>
      </c>
      <c r="L897" t="s">
        <v>804</v>
      </c>
      <c r="M897" t="s">
        <v>1296</v>
      </c>
      <c r="N897">
        <v>2</v>
      </c>
      <c r="O897" t="s">
        <v>825</v>
      </c>
      <c r="P897">
        <v>0.01</v>
      </c>
      <c r="Q897" t="s">
        <v>1488</v>
      </c>
      <c r="R897">
        <v>0</v>
      </c>
      <c r="S897">
        <v>0</v>
      </c>
      <c r="T897">
        <v>0</v>
      </c>
      <c r="U897">
        <v>0</v>
      </c>
      <c r="V897">
        <v>0</v>
      </c>
    </row>
    <row r="898" spans="1:22" x14ac:dyDescent="0.25">
      <c r="A898" t="s">
        <v>2192</v>
      </c>
      <c r="B898" t="s">
        <v>848</v>
      </c>
      <c r="C898">
        <v>38</v>
      </c>
      <c r="D898" t="s">
        <v>260</v>
      </c>
      <c r="E898" t="s">
        <v>66</v>
      </c>
      <c r="F898" t="s">
        <v>96</v>
      </c>
      <c r="G898">
        <v>0.13</v>
      </c>
      <c r="H898" t="s">
        <v>2164</v>
      </c>
      <c r="I898">
        <v>-11</v>
      </c>
      <c r="J898" t="str">
        <f>HYPERLINK("https://www.eliteprospects.com/player/888967/michel-myloserdnyy")</f>
        <v>https://www.eliteprospects.com/player/888967/michel-myloserdnyy</v>
      </c>
      <c r="K898" t="s">
        <v>27</v>
      </c>
      <c r="L898" t="s">
        <v>804</v>
      </c>
      <c r="M898" t="s">
        <v>1296</v>
      </c>
      <c r="N898">
        <v>2</v>
      </c>
      <c r="O898" t="s">
        <v>825</v>
      </c>
      <c r="P898">
        <v>0.01</v>
      </c>
      <c r="Q898" t="s">
        <v>1488</v>
      </c>
      <c r="R898">
        <v>0</v>
      </c>
      <c r="S898">
        <v>0</v>
      </c>
      <c r="T898">
        <v>0</v>
      </c>
      <c r="U898">
        <v>0</v>
      </c>
      <c r="V898">
        <v>0</v>
      </c>
    </row>
    <row r="899" spans="1:22" x14ac:dyDescent="0.25">
      <c r="A899" t="s">
        <v>2193</v>
      </c>
      <c r="B899" t="s">
        <v>865</v>
      </c>
      <c r="C899">
        <v>40</v>
      </c>
      <c r="D899" t="s">
        <v>260</v>
      </c>
      <c r="E899" t="s">
        <v>66</v>
      </c>
      <c r="F899" t="s">
        <v>96</v>
      </c>
      <c r="G899">
        <v>0.13</v>
      </c>
      <c r="H899" t="s">
        <v>187</v>
      </c>
      <c r="I899">
        <v>-29</v>
      </c>
      <c r="J899" t="str">
        <f>HYPERLINK("https://www.eliteprospects.com/player/727701/samuel-brunet")</f>
        <v>https://www.eliteprospects.com/player/727701/samuel-brunet</v>
      </c>
      <c r="K899" t="s">
        <v>27</v>
      </c>
      <c r="L899" t="s">
        <v>804</v>
      </c>
      <c r="M899" t="s">
        <v>1296</v>
      </c>
      <c r="N899">
        <v>2</v>
      </c>
      <c r="O899" t="s">
        <v>825</v>
      </c>
      <c r="P899">
        <v>0.01</v>
      </c>
      <c r="Q899" t="s">
        <v>1488</v>
      </c>
      <c r="R899">
        <v>0</v>
      </c>
      <c r="S899">
        <v>0</v>
      </c>
      <c r="T899">
        <v>0</v>
      </c>
      <c r="U899">
        <v>0</v>
      </c>
      <c r="V899">
        <v>0</v>
      </c>
    </row>
    <row r="900" spans="1:22" x14ac:dyDescent="0.25">
      <c r="A900" t="s">
        <v>2194</v>
      </c>
      <c r="B900" t="s">
        <v>865</v>
      </c>
      <c r="C900">
        <v>19</v>
      </c>
      <c r="D900" t="s">
        <v>132</v>
      </c>
      <c r="E900" t="s">
        <v>96</v>
      </c>
      <c r="F900" t="s">
        <v>96</v>
      </c>
      <c r="G900">
        <v>0.26</v>
      </c>
      <c r="H900" t="s">
        <v>66</v>
      </c>
      <c r="I900">
        <v>-8</v>
      </c>
      <c r="J900" t="str">
        <f>HYPERLINK("https://www.eliteprospects.com/player/884545/toby-almstedt")</f>
        <v>https://www.eliteprospects.com/player/884545/toby-almstedt</v>
      </c>
      <c r="K900" t="s">
        <v>27</v>
      </c>
      <c r="L900" t="s">
        <v>804</v>
      </c>
      <c r="M900" t="s">
        <v>1296</v>
      </c>
      <c r="N900">
        <v>1</v>
      </c>
      <c r="O900" t="s">
        <v>816</v>
      </c>
      <c r="P900">
        <v>0.03</v>
      </c>
      <c r="Q900" t="s">
        <v>1488</v>
      </c>
      <c r="R900">
        <v>0</v>
      </c>
      <c r="S900">
        <v>0</v>
      </c>
      <c r="T900">
        <v>0</v>
      </c>
      <c r="U900">
        <v>0</v>
      </c>
      <c r="V900">
        <v>0</v>
      </c>
    </row>
    <row r="901" spans="1:22" x14ac:dyDescent="0.25">
      <c r="A901" t="s">
        <v>2195</v>
      </c>
      <c r="B901" t="s">
        <v>821</v>
      </c>
      <c r="C901">
        <v>38</v>
      </c>
      <c r="D901" t="s">
        <v>132</v>
      </c>
      <c r="E901" t="s">
        <v>96</v>
      </c>
      <c r="F901" t="s">
        <v>96</v>
      </c>
      <c r="G901">
        <v>0.13</v>
      </c>
      <c r="H901" t="s">
        <v>46</v>
      </c>
      <c r="I901">
        <v>5</v>
      </c>
      <c r="J901" t="str">
        <f>HYPERLINK("https://www.eliteprospects.com/player/872399/emile-alexandro-lemieux-goupil")</f>
        <v>https://www.eliteprospects.com/player/872399/emile-alexandro-lemieux-goupil</v>
      </c>
      <c r="K901" t="s">
        <v>27</v>
      </c>
      <c r="L901" t="s">
        <v>804</v>
      </c>
      <c r="M901" t="s">
        <v>1296</v>
      </c>
      <c r="N901">
        <v>2</v>
      </c>
      <c r="O901" t="s">
        <v>825</v>
      </c>
      <c r="P901">
        <v>0.01</v>
      </c>
      <c r="Q901" t="s">
        <v>1488</v>
      </c>
      <c r="R901">
        <v>0</v>
      </c>
      <c r="S901">
        <v>0</v>
      </c>
      <c r="T901">
        <v>0</v>
      </c>
      <c r="U901">
        <v>0</v>
      </c>
      <c r="V901">
        <v>0</v>
      </c>
    </row>
    <row r="902" spans="1:22" x14ac:dyDescent="0.25">
      <c r="A902" t="s">
        <v>2196</v>
      </c>
      <c r="B902" t="s">
        <v>806</v>
      </c>
      <c r="C902">
        <v>22</v>
      </c>
      <c r="D902" t="s">
        <v>260</v>
      </c>
      <c r="E902" t="s">
        <v>140</v>
      </c>
      <c r="F902" t="s">
        <v>66</v>
      </c>
      <c r="G902">
        <v>0.18</v>
      </c>
      <c r="H902" t="s">
        <v>32</v>
      </c>
      <c r="I902">
        <v>-1</v>
      </c>
      <c r="J902" t="str">
        <f>HYPERLINK("https://www.eliteprospects.com/player/887242/benjamin-girard")</f>
        <v>https://www.eliteprospects.com/player/887242/benjamin-girard</v>
      </c>
      <c r="K902" t="s">
        <v>27</v>
      </c>
      <c r="L902" t="s">
        <v>804</v>
      </c>
      <c r="M902" t="s">
        <v>1296</v>
      </c>
      <c r="N902">
        <v>1</v>
      </c>
      <c r="O902" t="s">
        <v>816</v>
      </c>
      <c r="P902">
        <v>0.02</v>
      </c>
      <c r="Q902" t="s">
        <v>1488</v>
      </c>
      <c r="R902">
        <v>0</v>
      </c>
      <c r="S902">
        <v>0</v>
      </c>
      <c r="T902">
        <v>0</v>
      </c>
      <c r="U902">
        <v>0</v>
      </c>
      <c r="V902">
        <v>0</v>
      </c>
    </row>
    <row r="903" spans="1:22" x14ac:dyDescent="0.25">
      <c r="A903" t="s">
        <v>2197</v>
      </c>
      <c r="B903" t="s">
        <v>828</v>
      </c>
      <c r="C903">
        <v>27</v>
      </c>
      <c r="D903" t="s">
        <v>260</v>
      </c>
      <c r="E903" t="s">
        <v>140</v>
      </c>
      <c r="F903" t="s">
        <v>66</v>
      </c>
      <c r="G903">
        <v>0.15</v>
      </c>
      <c r="H903" t="s">
        <v>24</v>
      </c>
      <c r="I903">
        <v>0</v>
      </c>
      <c r="J903" t="str">
        <f>HYPERLINK("https://www.eliteprospects.com/player/851969/vincent-croteau")</f>
        <v>https://www.eliteprospects.com/player/851969/vincent-croteau</v>
      </c>
      <c r="K903" t="s">
        <v>27</v>
      </c>
      <c r="L903" t="s">
        <v>804</v>
      </c>
      <c r="M903" t="s">
        <v>1296</v>
      </c>
      <c r="N903">
        <v>1</v>
      </c>
      <c r="O903" t="s">
        <v>816</v>
      </c>
      <c r="P903">
        <v>0.02</v>
      </c>
      <c r="Q903" t="s">
        <v>1488</v>
      </c>
      <c r="R903">
        <v>0</v>
      </c>
      <c r="S903">
        <v>0</v>
      </c>
      <c r="T903">
        <v>0</v>
      </c>
      <c r="U903">
        <v>0</v>
      </c>
      <c r="V903">
        <v>0</v>
      </c>
    </row>
    <row r="904" spans="1:22" x14ac:dyDescent="0.25">
      <c r="A904" t="s">
        <v>2198</v>
      </c>
      <c r="B904" t="s">
        <v>811</v>
      </c>
      <c r="C904">
        <v>29</v>
      </c>
      <c r="D904" t="s">
        <v>260</v>
      </c>
      <c r="E904" t="s">
        <v>140</v>
      </c>
      <c r="F904" t="s">
        <v>66</v>
      </c>
      <c r="G904">
        <v>0.14000000000000001</v>
      </c>
      <c r="H904" t="s">
        <v>39</v>
      </c>
      <c r="I904">
        <v>8</v>
      </c>
      <c r="J904" t="str">
        <f>HYPERLINK("https://www.eliteprospects.com/player/760919/mickael-chapdelaine")</f>
        <v>https://www.eliteprospects.com/player/760919/mickael-chapdelaine</v>
      </c>
      <c r="K904" t="s">
        <v>27</v>
      </c>
      <c r="L904" t="s">
        <v>804</v>
      </c>
      <c r="M904" t="s">
        <v>1296</v>
      </c>
      <c r="N904">
        <v>3</v>
      </c>
      <c r="O904" t="s">
        <v>805</v>
      </c>
      <c r="P904">
        <v>0.02</v>
      </c>
      <c r="Q904" t="s">
        <v>1488</v>
      </c>
      <c r="R904">
        <v>0</v>
      </c>
      <c r="S904">
        <v>0</v>
      </c>
      <c r="T904">
        <v>0</v>
      </c>
      <c r="U904">
        <v>0</v>
      </c>
      <c r="V904">
        <v>0</v>
      </c>
    </row>
    <row r="905" spans="1:22" x14ac:dyDescent="0.25">
      <c r="A905" t="s">
        <v>2199</v>
      </c>
      <c r="B905" t="s">
        <v>856</v>
      </c>
      <c r="C905">
        <v>37</v>
      </c>
      <c r="D905" t="s">
        <v>260</v>
      </c>
      <c r="E905" t="s">
        <v>140</v>
      </c>
      <c r="F905" t="s">
        <v>66</v>
      </c>
      <c r="G905">
        <v>0.11</v>
      </c>
      <c r="H905" t="s">
        <v>32</v>
      </c>
      <c r="I905">
        <v>-13</v>
      </c>
      <c r="J905" t="str">
        <f>HYPERLINK("https://www.eliteprospects.com/player/890925/justin-beaulieu")</f>
        <v>https://www.eliteprospects.com/player/890925/justin-beaulieu</v>
      </c>
      <c r="K905" t="s">
        <v>27</v>
      </c>
      <c r="L905" t="s">
        <v>804</v>
      </c>
      <c r="M905" t="s">
        <v>1296</v>
      </c>
      <c r="N905">
        <v>1</v>
      </c>
      <c r="O905" t="s">
        <v>816</v>
      </c>
      <c r="P905">
        <v>0.01</v>
      </c>
      <c r="Q905" t="s">
        <v>1488</v>
      </c>
      <c r="R905">
        <v>0</v>
      </c>
      <c r="S905">
        <v>0</v>
      </c>
      <c r="T905">
        <v>0</v>
      </c>
      <c r="U905">
        <v>0</v>
      </c>
      <c r="V905">
        <v>0</v>
      </c>
    </row>
    <row r="906" spans="1:22" x14ac:dyDescent="0.25">
      <c r="A906" t="s">
        <v>2200</v>
      </c>
      <c r="B906" t="s">
        <v>848</v>
      </c>
      <c r="C906">
        <v>35</v>
      </c>
      <c r="D906" t="s">
        <v>132</v>
      </c>
      <c r="E906" t="s">
        <v>66</v>
      </c>
      <c r="F906" t="s">
        <v>66</v>
      </c>
      <c r="G906">
        <v>0.11</v>
      </c>
      <c r="H906" t="s">
        <v>39</v>
      </c>
      <c r="I906">
        <v>1</v>
      </c>
      <c r="J906" t="str">
        <f>HYPERLINK("https://www.eliteprospects.com/player/897610/drew-mclennan")</f>
        <v>https://www.eliteprospects.com/player/897610/drew-mclennan</v>
      </c>
      <c r="K906" t="s">
        <v>27</v>
      </c>
      <c r="L906" t="s">
        <v>804</v>
      </c>
      <c r="M906" t="s">
        <v>1296</v>
      </c>
      <c r="N906">
        <v>1</v>
      </c>
      <c r="O906" t="s">
        <v>816</v>
      </c>
      <c r="P906">
        <v>0.01</v>
      </c>
      <c r="Q906" t="s">
        <v>1488</v>
      </c>
      <c r="R906">
        <v>0</v>
      </c>
      <c r="S906">
        <v>0</v>
      </c>
      <c r="T906">
        <v>0</v>
      </c>
      <c r="U906">
        <v>0</v>
      </c>
      <c r="V906">
        <v>0</v>
      </c>
    </row>
    <row r="907" spans="1:22" x14ac:dyDescent="0.25">
      <c r="A907" t="s">
        <v>2201</v>
      </c>
      <c r="B907" t="s">
        <v>803</v>
      </c>
      <c r="C907">
        <v>35</v>
      </c>
      <c r="D907" t="s">
        <v>132</v>
      </c>
      <c r="E907" t="s">
        <v>66</v>
      </c>
      <c r="F907" t="s">
        <v>66</v>
      </c>
      <c r="G907">
        <v>0.11</v>
      </c>
      <c r="H907" t="s">
        <v>40</v>
      </c>
      <c r="I907">
        <v>-5</v>
      </c>
      <c r="J907" t="str">
        <f>HYPERLINK("https://www.eliteprospects.com/player/908486/eduard-bondar")</f>
        <v>https://www.eliteprospects.com/player/908486/eduard-bondar</v>
      </c>
      <c r="K907" t="s">
        <v>27</v>
      </c>
      <c r="L907" t="s">
        <v>804</v>
      </c>
      <c r="M907" t="s">
        <v>1296</v>
      </c>
      <c r="N907">
        <v>2</v>
      </c>
      <c r="O907" t="s">
        <v>825</v>
      </c>
      <c r="P907">
        <v>0.01</v>
      </c>
      <c r="Q907" t="s">
        <v>1488</v>
      </c>
      <c r="R907">
        <v>0</v>
      </c>
      <c r="S907">
        <v>0</v>
      </c>
      <c r="T907">
        <v>0</v>
      </c>
      <c r="U907">
        <v>0</v>
      </c>
      <c r="V907">
        <v>0</v>
      </c>
    </row>
    <row r="908" spans="1:22" x14ac:dyDescent="0.25">
      <c r="A908" t="s">
        <v>2202</v>
      </c>
      <c r="B908" t="s">
        <v>815</v>
      </c>
      <c r="C908">
        <v>39</v>
      </c>
      <c r="D908" t="s">
        <v>132</v>
      </c>
      <c r="E908" t="s">
        <v>66</v>
      </c>
      <c r="F908" t="s">
        <v>66</v>
      </c>
      <c r="G908">
        <v>0.1</v>
      </c>
      <c r="H908" t="s">
        <v>512</v>
      </c>
      <c r="I908">
        <v>-11</v>
      </c>
      <c r="J908" t="str">
        <f>HYPERLINK("https://www.eliteprospects.com/player/760894/arno-delisle")</f>
        <v>https://www.eliteprospects.com/player/760894/arno-delisle</v>
      </c>
      <c r="K908" t="s">
        <v>27</v>
      </c>
      <c r="L908" t="s">
        <v>804</v>
      </c>
      <c r="M908" t="s">
        <v>1296</v>
      </c>
      <c r="N908">
        <v>2</v>
      </c>
      <c r="O908" t="s">
        <v>825</v>
      </c>
      <c r="P908">
        <v>0.01</v>
      </c>
      <c r="Q908" t="s">
        <v>1488</v>
      </c>
      <c r="R908">
        <v>0</v>
      </c>
      <c r="S908">
        <v>0</v>
      </c>
      <c r="T908">
        <v>0</v>
      </c>
      <c r="U908">
        <v>0</v>
      </c>
      <c r="V908">
        <v>0</v>
      </c>
    </row>
    <row r="909" spans="1:22" x14ac:dyDescent="0.25">
      <c r="A909" t="s">
        <v>2203</v>
      </c>
      <c r="B909" t="s">
        <v>507</v>
      </c>
      <c r="C909">
        <v>25</v>
      </c>
      <c r="D909" t="s">
        <v>79</v>
      </c>
      <c r="E909" t="s">
        <v>260</v>
      </c>
      <c r="F909" t="s">
        <v>140</v>
      </c>
      <c r="G909">
        <v>0.12</v>
      </c>
      <c r="H909" t="s">
        <v>66</v>
      </c>
      <c r="I909">
        <v>-3</v>
      </c>
      <c r="J909" t="str">
        <f>HYPERLINK("https://www.eliteprospects.com/player/743554/james-roberts")</f>
        <v>https://www.eliteprospects.com/player/743554/james-roberts</v>
      </c>
      <c r="K909" t="s">
        <v>27</v>
      </c>
      <c r="L909" t="s">
        <v>804</v>
      </c>
      <c r="M909" t="s">
        <v>1296</v>
      </c>
      <c r="N909">
        <v>3</v>
      </c>
      <c r="O909" t="s">
        <v>805</v>
      </c>
      <c r="P909">
        <v>0.01</v>
      </c>
      <c r="Q909" t="s">
        <v>1488</v>
      </c>
      <c r="R909">
        <v>0</v>
      </c>
      <c r="S909">
        <v>0</v>
      </c>
      <c r="T909">
        <v>0</v>
      </c>
      <c r="U909">
        <v>0</v>
      </c>
      <c r="V909">
        <v>0</v>
      </c>
    </row>
    <row r="910" spans="1:22" x14ac:dyDescent="0.25">
      <c r="A910" t="s">
        <v>2204</v>
      </c>
      <c r="B910" t="s">
        <v>824</v>
      </c>
      <c r="C910">
        <v>12</v>
      </c>
      <c r="D910" t="s">
        <v>260</v>
      </c>
      <c r="E910" t="s">
        <v>79</v>
      </c>
      <c r="F910" t="s">
        <v>140</v>
      </c>
      <c r="G910">
        <v>0.25</v>
      </c>
      <c r="H910" t="s">
        <v>57</v>
      </c>
      <c r="I910">
        <v>-5</v>
      </c>
      <c r="J910" t="str">
        <f>HYPERLINK("https://www.eliteprospects.com/player/679263/lincoln-waugh")</f>
        <v>https://www.eliteprospects.com/player/679263/lincoln-waugh</v>
      </c>
      <c r="K910" t="s">
        <v>27</v>
      </c>
      <c r="L910" t="s">
        <v>804</v>
      </c>
      <c r="M910" t="s">
        <v>1296</v>
      </c>
      <c r="N910">
        <v>4</v>
      </c>
      <c r="O910" t="s">
        <v>809</v>
      </c>
      <c r="P910">
        <v>0.03</v>
      </c>
      <c r="Q910" t="s">
        <v>1488</v>
      </c>
      <c r="R910">
        <v>0</v>
      </c>
      <c r="S910">
        <v>0</v>
      </c>
      <c r="T910">
        <v>0</v>
      </c>
      <c r="U910">
        <v>0</v>
      </c>
      <c r="V910">
        <v>0</v>
      </c>
    </row>
    <row r="911" spans="1:22" x14ac:dyDescent="0.25">
      <c r="A911" t="s">
        <v>2205</v>
      </c>
      <c r="B911" t="s">
        <v>811</v>
      </c>
      <c r="C911">
        <v>17</v>
      </c>
      <c r="D911" t="s">
        <v>132</v>
      </c>
      <c r="E911" t="s">
        <v>140</v>
      </c>
      <c r="F911" t="s">
        <v>140</v>
      </c>
      <c r="G911">
        <v>0.18</v>
      </c>
      <c r="H911" t="s">
        <v>39</v>
      </c>
      <c r="I911">
        <v>4</v>
      </c>
      <c r="J911" t="str">
        <f>HYPERLINK("https://www.eliteprospects.com/player/871214/louis-felix-gagnon")</f>
        <v>https://www.eliteprospects.com/player/871214/louis-felix-gagnon</v>
      </c>
      <c r="K911" t="s">
        <v>27</v>
      </c>
      <c r="L911" t="s">
        <v>804</v>
      </c>
      <c r="M911" t="s">
        <v>1296</v>
      </c>
      <c r="N911">
        <v>2</v>
      </c>
      <c r="O911" t="s">
        <v>825</v>
      </c>
      <c r="P911">
        <v>0.02</v>
      </c>
      <c r="Q911" t="s">
        <v>1488</v>
      </c>
      <c r="R911">
        <v>0</v>
      </c>
      <c r="S911">
        <v>0</v>
      </c>
      <c r="T911">
        <v>0</v>
      </c>
      <c r="U911">
        <v>0</v>
      </c>
      <c r="V911">
        <v>0</v>
      </c>
    </row>
    <row r="912" spans="1:22" x14ac:dyDescent="0.25">
      <c r="A912" t="s">
        <v>2206</v>
      </c>
      <c r="B912" t="s">
        <v>820</v>
      </c>
      <c r="C912">
        <v>21</v>
      </c>
      <c r="D912" t="s">
        <v>132</v>
      </c>
      <c r="E912" t="s">
        <v>140</v>
      </c>
      <c r="F912" t="s">
        <v>140</v>
      </c>
      <c r="G912">
        <v>0.14000000000000001</v>
      </c>
      <c r="H912" t="s">
        <v>57</v>
      </c>
      <c r="I912">
        <v>-1</v>
      </c>
      <c r="J912" t="str">
        <f>HYPERLINK("https://www.eliteprospects.com/player/806427/jackson-batchilder")</f>
        <v>https://www.eliteprospects.com/player/806427/jackson-batchilder</v>
      </c>
      <c r="K912" t="s">
        <v>27</v>
      </c>
      <c r="L912" t="s">
        <v>804</v>
      </c>
      <c r="M912" t="s">
        <v>1296</v>
      </c>
      <c r="N912">
        <v>2</v>
      </c>
      <c r="O912" t="s">
        <v>825</v>
      </c>
      <c r="P912">
        <v>0.02</v>
      </c>
      <c r="Q912" t="s">
        <v>1488</v>
      </c>
      <c r="R912">
        <v>0</v>
      </c>
      <c r="S912">
        <v>0</v>
      </c>
      <c r="T912">
        <v>0</v>
      </c>
      <c r="U912">
        <v>0</v>
      </c>
      <c r="V912">
        <v>0</v>
      </c>
    </row>
    <row r="913" spans="1:22" x14ac:dyDescent="0.25">
      <c r="A913" t="s">
        <v>2207</v>
      </c>
      <c r="B913" t="s">
        <v>806</v>
      </c>
      <c r="C913">
        <v>24</v>
      </c>
      <c r="D913" t="s">
        <v>132</v>
      </c>
      <c r="E913" t="s">
        <v>140</v>
      </c>
      <c r="F913" t="s">
        <v>140</v>
      </c>
      <c r="G913">
        <v>0.13</v>
      </c>
      <c r="H913" t="s">
        <v>23</v>
      </c>
      <c r="I913">
        <v>-8</v>
      </c>
      <c r="J913" t="str">
        <f>HYPERLINK("https://www.eliteprospects.com/player/760887/jayden-lazare")</f>
        <v>https://www.eliteprospects.com/player/760887/jayden-lazare</v>
      </c>
      <c r="K913" t="s">
        <v>27</v>
      </c>
      <c r="L913" t="s">
        <v>804</v>
      </c>
      <c r="M913" t="s">
        <v>1296</v>
      </c>
      <c r="N913">
        <v>2</v>
      </c>
      <c r="O913" t="s">
        <v>825</v>
      </c>
      <c r="P913">
        <v>0.01</v>
      </c>
      <c r="Q913" t="s">
        <v>1488</v>
      </c>
      <c r="R913">
        <v>0</v>
      </c>
      <c r="S913">
        <v>0</v>
      </c>
      <c r="T913">
        <v>0</v>
      </c>
      <c r="U913">
        <v>0</v>
      </c>
      <c r="V913">
        <v>0</v>
      </c>
    </row>
    <row r="914" spans="1:22" x14ac:dyDescent="0.25">
      <c r="A914" t="s">
        <v>2208</v>
      </c>
      <c r="B914" t="s">
        <v>856</v>
      </c>
      <c r="C914">
        <v>25</v>
      </c>
      <c r="D914" t="s">
        <v>132</v>
      </c>
      <c r="E914" t="s">
        <v>140</v>
      </c>
      <c r="F914" t="s">
        <v>140</v>
      </c>
      <c r="G914">
        <v>0.12</v>
      </c>
      <c r="H914" t="s">
        <v>57</v>
      </c>
      <c r="I914">
        <v>0</v>
      </c>
      <c r="J914" t="str">
        <f>HYPERLINK("https://www.eliteprospects.com/player/806152/benjamin-benoit-rioux")</f>
        <v>https://www.eliteprospects.com/player/806152/benjamin-benoit-rioux</v>
      </c>
      <c r="K914" t="s">
        <v>27</v>
      </c>
      <c r="L914" t="s">
        <v>804</v>
      </c>
      <c r="M914" t="s">
        <v>1296</v>
      </c>
      <c r="N914">
        <v>3</v>
      </c>
      <c r="O914" t="s">
        <v>805</v>
      </c>
      <c r="P914">
        <v>0.01</v>
      </c>
      <c r="Q914" t="s">
        <v>1488</v>
      </c>
      <c r="R914">
        <v>0</v>
      </c>
      <c r="S914">
        <v>0</v>
      </c>
      <c r="T914">
        <v>0</v>
      </c>
      <c r="U914">
        <v>0</v>
      </c>
      <c r="V914">
        <v>0</v>
      </c>
    </row>
    <row r="915" spans="1:22" x14ac:dyDescent="0.25">
      <c r="A915" t="s">
        <v>2209</v>
      </c>
      <c r="B915" t="s">
        <v>832</v>
      </c>
      <c r="C915">
        <v>32</v>
      </c>
      <c r="D915" t="s">
        <v>132</v>
      </c>
      <c r="E915" t="s">
        <v>140</v>
      </c>
      <c r="F915" t="s">
        <v>140</v>
      </c>
      <c r="G915">
        <v>0.09</v>
      </c>
      <c r="H915" t="s">
        <v>57</v>
      </c>
      <c r="I915">
        <v>-2</v>
      </c>
      <c r="J915" t="str">
        <f>HYPERLINK("https://www.eliteprospects.com/player/828932/zachary-gagnon")</f>
        <v>https://www.eliteprospects.com/player/828932/zachary-gagnon</v>
      </c>
      <c r="K915" t="s">
        <v>27</v>
      </c>
      <c r="L915" t="s">
        <v>804</v>
      </c>
      <c r="M915" t="s">
        <v>1296</v>
      </c>
      <c r="N915">
        <v>2</v>
      </c>
      <c r="O915" t="s">
        <v>825</v>
      </c>
      <c r="P915">
        <v>0.01</v>
      </c>
      <c r="Q915" t="s">
        <v>1488</v>
      </c>
      <c r="R915">
        <v>0</v>
      </c>
      <c r="S915">
        <v>0</v>
      </c>
      <c r="T915">
        <v>0</v>
      </c>
      <c r="U915">
        <v>0</v>
      </c>
      <c r="V915">
        <v>0</v>
      </c>
    </row>
    <row r="916" spans="1:22" x14ac:dyDescent="0.25">
      <c r="A916" t="s">
        <v>2210</v>
      </c>
      <c r="B916" t="s">
        <v>507</v>
      </c>
      <c r="C916">
        <v>16</v>
      </c>
      <c r="D916" t="s">
        <v>260</v>
      </c>
      <c r="E916" t="s">
        <v>260</v>
      </c>
      <c r="F916" t="s">
        <v>79</v>
      </c>
      <c r="G916">
        <v>0.13</v>
      </c>
      <c r="H916" t="s">
        <v>26</v>
      </c>
      <c r="I916">
        <v>-2</v>
      </c>
      <c r="J916" t="str">
        <f>HYPERLINK("https://www.eliteprospects.com/player/772964/nathan-wright")</f>
        <v>https://www.eliteprospects.com/player/772964/nathan-wright</v>
      </c>
      <c r="K916" t="s">
        <v>27</v>
      </c>
      <c r="L916" t="s">
        <v>804</v>
      </c>
      <c r="M916" t="s">
        <v>1296</v>
      </c>
      <c r="N916">
        <v>3</v>
      </c>
      <c r="O916" t="s">
        <v>805</v>
      </c>
      <c r="P916">
        <v>0.01</v>
      </c>
      <c r="Q916" t="s">
        <v>1488</v>
      </c>
      <c r="R916">
        <v>0</v>
      </c>
      <c r="S916">
        <v>0</v>
      </c>
      <c r="T916">
        <v>0</v>
      </c>
      <c r="U916">
        <v>0</v>
      </c>
      <c r="V916">
        <v>0</v>
      </c>
    </row>
    <row r="917" spans="1:22" x14ac:dyDescent="0.25">
      <c r="A917" t="s">
        <v>2211</v>
      </c>
      <c r="B917" t="s">
        <v>848</v>
      </c>
      <c r="C917">
        <v>18</v>
      </c>
      <c r="D917" t="s">
        <v>260</v>
      </c>
      <c r="E917" t="s">
        <v>260</v>
      </c>
      <c r="F917" t="s">
        <v>79</v>
      </c>
      <c r="G917">
        <v>0.11</v>
      </c>
      <c r="H917" t="s">
        <v>66</v>
      </c>
      <c r="I917">
        <v>-4</v>
      </c>
      <c r="J917" t="str">
        <f>HYPERLINK("https://www.eliteprospects.com/player/886989/wassim-rabbath")</f>
        <v>https://www.eliteprospects.com/player/886989/wassim-rabbath</v>
      </c>
      <c r="K917" t="s">
        <v>27</v>
      </c>
      <c r="L917" t="s">
        <v>804</v>
      </c>
      <c r="M917" t="s">
        <v>1296</v>
      </c>
      <c r="N917">
        <v>2</v>
      </c>
      <c r="O917" t="s">
        <v>825</v>
      </c>
      <c r="P917">
        <v>0.01</v>
      </c>
      <c r="Q917" t="s">
        <v>1488</v>
      </c>
      <c r="R917">
        <v>0</v>
      </c>
      <c r="S917">
        <v>0</v>
      </c>
      <c r="T917">
        <v>0</v>
      </c>
      <c r="U917">
        <v>0</v>
      </c>
      <c r="V917">
        <v>0</v>
      </c>
    </row>
    <row r="918" spans="1:22" x14ac:dyDescent="0.25">
      <c r="A918" t="s">
        <v>2212</v>
      </c>
      <c r="B918" t="s">
        <v>507</v>
      </c>
      <c r="C918">
        <v>28</v>
      </c>
      <c r="D918" t="s">
        <v>260</v>
      </c>
      <c r="E918" t="s">
        <v>260</v>
      </c>
      <c r="F918" t="s">
        <v>79</v>
      </c>
      <c r="G918">
        <v>7.0000000000000007E-2</v>
      </c>
      <c r="H918" t="s">
        <v>53</v>
      </c>
      <c r="I918">
        <v>7</v>
      </c>
      <c r="J918" t="str">
        <f>HYPERLINK("https://www.eliteprospects.com/player/716371/nathan-nadeau")</f>
        <v>https://www.eliteprospects.com/player/716371/nathan-nadeau</v>
      </c>
      <c r="K918" t="s">
        <v>27</v>
      </c>
      <c r="L918" t="s">
        <v>804</v>
      </c>
      <c r="M918" t="s">
        <v>1296</v>
      </c>
      <c r="N918">
        <v>1</v>
      </c>
      <c r="O918" t="s">
        <v>816</v>
      </c>
      <c r="P918">
        <v>0.01</v>
      </c>
      <c r="Q918" t="s">
        <v>1488</v>
      </c>
      <c r="R918">
        <v>0</v>
      </c>
      <c r="S918">
        <v>0</v>
      </c>
      <c r="T918">
        <v>0</v>
      </c>
      <c r="U918">
        <v>0</v>
      </c>
      <c r="V918">
        <v>0</v>
      </c>
    </row>
    <row r="919" spans="1:22" x14ac:dyDescent="0.25">
      <c r="A919" t="s">
        <v>2213</v>
      </c>
      <c r="B919" t="s">
        <v>815</v>
      </c>
      <c r="C919">
        <v>33</v>
      </c>
      <c r="D919" t="s">
        <v>260</v>
      </c>
      <c r="E919" t="s">
        <v>260</v>
      </c>
      <c r="F919" t="s">
        <v>79</v>
      </c>
      <c r="G919">
        <v>0.06</v>
      </c>
      <c r="H919" t="s">
        <v>53</v>
      </c>
      <c r="I919">
        <v>-11</v>
      </c>
      <c r="J919" t="str">
        <f>HYPERLINK("https://www.eliteprospects.com/player/885499/cohen-paquet")</f>
        <v>https://www.eliteprospects.com/player/885499/cohen-paquet</v>
      </c>
      <c r="K919" t="s">
        <v>27</v>
      </c>
      <c r="L919" t="s">
        <v>804</v>
      </c>
      <c r="M919" t="s">
        <v>1296</v>
      </c>
      <c r="N919">
        <v>2</v>
      </c>
      <c r="O919" t="s">
        <v>825</v>
      </c>
      <c r="P919">
        <v>0.01</v>
      </c>
      <c r="Q919" t="s">
        <v>1488</v>
      </c>
      <c r="R919">
        <v>0</v>
      </c>
      <c r="S919">
        <v>0</v>
      </c>
      <c r="T919">
        <v>0</v>
      </c>
      <c r="U919">
        <v>0</v>
      </c>
      <c r="V919">
        <v>0</v>
      </c>
    </row>
    <row r="920" spans="1:22" x14ac:dyDescent="0.25">
      <c r="A920" t="s">
        <v>2214</v>
      </c>
      <c r="B920" t="s">
        <v>815</v>
      </c>
      <c r="C920">
        <v>37</v>
      </c>
      <c r="D920" t="s">
        <v>260</v>
      </c>
      <c r="E920" t="s">
        <v>260</v>
      </c>
      <c r="F920" t="s">
        <v>79</v>
      </c>
      <c r="G920">
        <v>0.05</v>
      </c>
      <c r="H920" t="s">
        <v>38</v>
      </c>
      <c r="I920">
        <v>-12</v>
      </c>
      <c r="J920" t="str">
        <f>HYPERLINK("https://www.eliteprospects.com/player/714904/maxime-dodier")</f>
        <v>https://www.eliteprospects.com/player/714904/maxime-dodier</v>
      </c>
      <c r="K920" t="s">
        <v>27</v>
      </c>
      <c r="L920" t="s">
        <v>804</v>
      </c>
      <c r="M920" t="s">
        <v>1296</v>
      </c>
      <c r="N920">
        <v>1</v>
      </c>
      <c r="O920" t="s">
        <v>816</v>
      </c>
      <c r="P920">
        <v>0.01</v>
      </c>
      <c r="Q920" t="s">
        <v>1488</v>
      </c>
      <c r="R920">
        <v>0</v>
      </c>
      <c r="S920">
        <v>0</v>
      </c>
      <c r="T920">
        <v>0</v>
      </c>
      <c r="U920">
        <v>0</v>
      </c>
      <c r="V920">
        <v>0</v>
      </c>
    </row>
    <row r="921" spans="1:22" x14ac:dyDescent="0.25">
      <c r="A921" t="s">
        <v>2215</v>
      </c>
      <c r="B921" t="s">
        <v>856</v>
      </c>
      <c r="C921">
        <v>15</v>
      </c>
      <c r="D921" t="s">
        <v>132</v>
      </c>
      <c r="E921" t="s">
        <v>79</v>
      </c>
      <c r="F921" t="s">
        <v>79</v>
      </c>
      <c r="G921">
        <v>0.13</v>
      </c>
      <c r="H921" t="s">
        <v>57</v>
      </c>
      <c r="I921">
        <v>-7</v>
      </c>
      <c r="J921" t="str">
        <f>HYPERLINK("https://www.eliteprospects.com/player/903355/luka-romaniak")</f>
        <v>https://www.eliteprospects.com/player/903355/luka-romaniak</v>
      </c>
      <c r="K921" t="s">
        <v>27</v>
      </c>
      <c r="L921" t="s">
        <v>804</v>
      </c>
      <c r="M921" t="s">
        <v>1296</v>
      </c>
      <c r="N921">
        <v>1</v>
      </c>
      <c r="O921" t="s">
        <v>816</v>
      </c>
      <c r="P921">
        <v>0.01</v>
      </c>
      <c r="Q921" t="s">
        <v>1488</v>
      </c>
      <c r="R921">
        <v>0</v>
      </c>
      <c r="S921">
        <v>0</v>
      </c>
      <c r="T921">
        <v>0</v>
      </c>
      <c r="U921">
        <v>0</v>
      </c>
      <c r="V921">
        <v>0</v>
      </c>
    </row>
    <row r="922" spans="1:22" x14ac:dyDescent="0.25">
      <c r="A922" t="s">
        <v>2216</v>
      </c>
      <c r="B922" t="s">
        <v>821</v>
      </c>
      <c r="C922">
        <v>15</v>
      </c>
      <c r="D922" t="s">
        <v>132</v>
      </c>
      <c r="E922" t="s">
        <v>79</v>
      </c>
      <c r="F922" t="s">
        <v>79</v>
      </c>
      <c r="G922">
        <v>0.13</v>
      </c>
      <c r="H922" t="s">
        <v>65</v>
      </c>
      <c r="I922">
        <v>-4</v>
      </c>
      <c r="J922" t="str">
        <f>HYPERLINK("https://www.eliteprospects.com/player/692289/maxwell-jardine")</f>
        <v>https://www.eliteprospects.com/player/692289/maxwell-jardine</v>
      </c>
      <c r="K922" t="s">
        <v>27</v>
      </c>
      <c r="L922" t="s">
        <v>804</v>
      </c>
      <c r="M922" t="s">
        <v>1296</v>
      </c>
      <c r="N922">
        <v>3</v>
      </c>
      <c r="O922" t="s">
        <v>805</v>
      </c>
      <c r="P922">
        <v>0.01</v>
      </c>
      <c r="Q922" t="s">
        <v>1488</v>
      </c>
      <c r="R922">
        <v>0</v>
      </c>
      <c r="S922">
        <v>0</v>
      </c>
      <c r="T922">
        <v>0</v>
      </c>
      <c r="U922">
        <v>0</v>
      </c>
      <c r="V922">
        <v>0</v>
      </c>
    </row>
    <row r="923" spans="1:22" x14ac:dyDescent="0.25">
      <c r="A923" t="s">
        <v>2217</v>
      </c>
      <c r="B923" t="s">
        <v>856</v>
      </c>
      <c r="C923">
        <v>18</v>
      </c>
      <c r="D923" t="s">
        <v>132</v>
      </c>
      <c r="E923" t="s">
        <v>79</v>
      </c>
      <c r="F923" t="s">
        <v>79</v>
      </c>
      <c r="G923">
        <v>0.11</v>
      </c>
      <c r="H923" t="s">
        <v>66</v>
      </c>
      <c r="I923">
        <v>-5</v>
      </c>
      <c r="J923" t="str">
        <f>HYPERLINK("https://www.eliteprospects.com/player/871540/guillaume-gleason")</f>
        <v>https://www.eliteprospects.com/player/871540/guillaume-gleason</v>
      </c>
      <c r="K923" t="s">
        <v>27</v>
      </c>
      <c r="L923" t="s">
        <v>804</v>
      </c>
      <c r="M923" t="s">
        <v>1296</v>
      </c>
      <c r="N923">
        <v>1</v>
      </c>
      <c r="O923" t="s">
        <v>816</v>
      </c>
      <c r="P923">
        <v>0.01</v>
      </c>
      <c r="Q923" t="s">
        <v>1488</v>
      </c>
      <c r="R923">
        <v>0</v>
      </c>
      <c r="S923">
        <v>0</v>
      </c>
      <c r="T923">
        <v>0</v>
      </c>
      <c r="U923">
        <v>0</v>
      </c>
      <c r="V923">
        <v>0</v>
      </c>
    </row>
    <row r="924" spans="1:22" x14ac:dyDescent="0.25">
      <c r="A924" t="s">
        <v>2218</v>
      </c>
      <c r="B924" t="s">
        <v>832</v>
      </c>
      <c r="C924">
        <v>23</v>
      </c>
      <c r="D924" t="s">
        <v>132</v>
      </c>
      <c r="E924" t="s">
        <v>79</v>
      </c>
      <c r="F924" t="s">
        <v>79</v>
      </c>
      <c r="G924">
        <v>0.09</v>
      </c>
      <c r="H924" t="s">
        <v>66</v>
      </c>
      <c r="I924">
        <v>1</v>
      </c>
      <c r="J924" t="str">
        <f>HYPERLINK("https://www.eliteprospects.com/player/877004/reinis-auzins")</f>
        <v>https://www.eliteprospects.com/player/877004/reinis-auzins</v>
      </c>
      <c r="K924" t="s">
        <v>27</v>
      </c>
      <c r="L924" t="s">
        <v>804</v>
      </c>
      <c r="M924" t="s">
        <v>1296</v>
      </c>
      <c r="N924">
        <v>1</v>
      </c>
      <c r="O924" t="s">
        <v>816</v>
      </c>
      <c r="P924">
        <v>0.01</v>
      </c>
      <c r="Q924" t="s">
        <v>1488</v>
      </c>
      <c r="R924">
        <v>0</v>
      </c>
      <c r="S924">
        <v>0</v>
      </c>
      <c r="T924">
        <v>0</v>
      </c>
      <c r="U924">
        <v>0</v>
      </c>
      <c r="V924">
        <v>0</v>
      </c>
    </row>
    <row r="925" spans="1:22" x14ac:dyDescent="0.25">
      <c r="A925" t="s">
        <v>2219</v>
      </c>
      <c r="B925" t="s">
        <v>856</v>
      </c>
      <c r="C925">
        <v>26</v>
      </c>
      <c r="D925" t="s">
        <v>132</v>
      </c>
      <c r="E925" t="s">
        <v>79</v>
      </c>
      <c r="F925" t="s">
        <v>79</v>
      </c>
      <c r="G925">
        <v>0.08</v>
      </c>
      <c r="H925" t="s">
        <v>269</v>
      </c>
      <c r="I925">
        <v>-5</v>
      </c>
      <c r="J925" t="str">
        <f>HYPERLINK("https://www.eliteprospects.com/player/811028/connor-sturgeon")</f>
        <v>https://www.eliteprospects.com/player/811028/connor-sturgeon</v>
      </c>
      <c r="K925" t="s">
        <v>27</v>
      </c>
      <c r="L925" t="s">
        <v>804</v>
      </c>
      <c r="M925" t="s">
        <v>1296</v>
      </c>
      <c r="N925">
        <v>3</v>
      </c>
      <c r="O925" t="s">
        <v>805</v>
      </c>
      <c r="P925">
        <v>0.01</v>
      </c>
      <c r="Q925" t="s">
        <v>1488</v>
      </c>
      <c r="R925">
        <v>0</v>
      </c>
      <c r="S925">
        <v>0</v>
      </c>
      <c r="T925">
        <v>0</v>
      </c>
      <c r="U925">
        <v>0</v>
      </c>
      <c r="V925">
        <v>0</v>
      </c>
    </row>
    <row r="926" spans="1:22" x14ac:dyDescent="0.25">
      <c r="A926" t="s">
        <v>2220</v>
      </c>
      <c r="B926" t="s">
        <v>822</v>
      </c>
      <c r="C926">
        <v>35</v>
      </c>
      <c r="D926" t="s">
        <v>132</v>
      </c>
      <c r="E926" t="s">
        <v>79</v>
      </c>
      <c r="F926" t="s">
        <v>79</v>
      </c>
      <c r="G926">
        <v>0.06</v>
      </c>
      <c r="H926" t="s">
        <v>47</v>
      </c>
      <c r="I926">
        <v>-11</v>
      </c>
      <c r="J926" t="str">
        <f>HYPERLINK("https://www.eliteprospects.com/player/835407/samuel-kupec")</f>
        <v>https://www.eliteprospects.com/player/835407/samuel-kupec</v>
      </c>
      <c r="K926" t="s">
        <v>27</v>
      </c>
      <c r="L926" t="s">
        <v>804</v>
      </c>
      <c r="M926" t="s">
        <v>1296</v>
      </c>
      <c r="N926">
        <v>2</v>
      </c>
      <c r="O926" t="s">
        <v>825</v>
      </c>
      <c r="P926">
        <v>0.01</v>
      </c>
      <c r="Q926" t="s">
        <v>1488</v>
      </c>
      <c r="R926">
        <v>0</v>
      </c>
      <c r="S926">
        <v>0</v>
      </c>
      <c r="T926">
        <v>0</v>
      </c>
      <c r="U926">
        <v>0</v>
      </c>
      <c r="V926">
        <v>0</v>
      </c>
    </row>
    <row r="927" spans="1:22" x14ac:dyDescent="0.25">
      <c r="A927" t="s">
        <v>2221</v>
      </c>
      <c r="B927" t="s">
        <v>812</v>
      </c>
      <c r="C927">
        <v>27</v>
      </c>
      <c r="D927" t="s">
        <v>260</v>
      </c>
      <c r="E927" t="s">
        <v>132</v>
      </c>
      <c r="F927" t="s">
        <v>260</v>
      </c>
      <c r="G927">
        <v>0.04</v>
      </c>
      <c r="H927" t="s">
        <v>66</v>
      </c>
      <c r="I927">
        <v>-6</v>
      </c>
      <c r="J927" t="str">
        <f>HYPERLINK("https://www.eliteprospects.com/player/710451/jacob-hamel")</f>
        <v>https://www.eliteprospects.com/player/710451/jacob-hamel</v>
      </c>
      <c r="K927" t="s">
        <v>27</v>
      </c>
      <c r="L927" t="s">
        <v>804</v>
      </c>
      <c r="M927" t="s">
        <v>1296</v>
      </c>
      <c r="N927">
        <v>2</v>
      </c>
      <c r="O927" t="s">
        <v>825</v>
      </c>
      <c r="P927">
        <v>0</v>
      </c>
      <c r="Q927" t="s">
        <v>1488</v>
      </c>
      <c r="R927">
        <v>0</v>
      </c>
      <c r="S927">
        <v>0</v>
      </c>
      <c r="T927">
        <v>0</v>
      </c>
      <c r="U927">
        <v>0</v>
      </c>
      <c r="V927">
        <v>0</v>
      </c>
    </row>
    <row r="928" spans="1:22" x14ac:dyDescent="0.25">
      <c r="A928" t="s">
        <v>2222</v>
      </c>
      <c r="B928" t="s">
        <v>821</v>
      </c>
      <c r="C928">
        <v>10</v>
      </c>
      <c r="D928" t="s">
        <v>132</v>
      </c>
      <c r="E928" t="s">
        <v>260</v>
      </c>
      <c r="F928" t="s">
        <v>260</v>
      </c>
      <c r="G928">
        <v>0.1</v>
      </c>
      <c r="H928" t="s">
        <v>57</v>
      </c>
      <c r="I928">
        <v>-2</v>
      </c>
      <c r="J928" t="str">
        <f>HYPERLINK("https://www.eliteprospects.com/player/814141/daniel-chen")</f>
        <v>https://www.eliteprospects.com/player/814141/daniel-chen</v>
      </c>
      <c r="K928" t="s">
        <v>27</v>
      </c>
      <c r="L928" t="s">
        <v>804</v>
      </c>
      <c r="M928" t="s">
        <v>1296</v>
      </c>
      <c r="N928">
        <v>3</v>
      </c>
      <c r="O928" t="s">
        <v>894</v>
      </c>
      <c r="P928">
        <v>0.01</v>
      </c>
      <c r="Q928" t="s">
        <v>1488</v>
      </c>
      <c r="R928">
        <v>0</v>
      </c>
      <c r="S928">
        <v>0</v>
      </c>
      <c r="T928">
        <v>0</v>
      </c>
      <c r="U928">
        <v>0</v>
      </c>
      <c r="V928">
        <v>0</v>
      </c>
    </row>
    <row r="929" spans="1:22" x14ac:dyDescent="0.25">
      <c r="A929" t="s">
        <v>2223</v>
      </c>
      <c r="B929" t="s">
        <v>815</v>
      </c>
      <c r="C929">
        <v>15</v>
      </c>
      <c r="D929" t="s">
        <v>132</v>
      </c>
      <c r="E929" t="s">
        <v>260</v>
      </c>
      <c r="F929" t="s">
        <v>260</v>
      </c>
      <c r="G929">
        <v>7.0000000000000007E-2</v>
      </c>
      <c r="H929" t="s">
        <v>78</v>
      </c>
      <c r="I929">
        <v>-4</v>
      </c>
      <c r="J929" t="str">
        <f>HYPERLINK("https://www.eliteprospects.com/player/871538/alain-bourdeau")</f>
        <v>https://www.eliteprospects.com/player/871538/alain-bourdeau</v>
      </c>
      <c r="K929" t="s">
        <v>27</v>
      </c>
      <c r="L929" t="s">
        <v>804</v>
      </c>
      <c r="M929" t="s">
        <v>1296</v>
      </c>
      <c r="N929">
        <v>1</v>
      </c>
      <c r="O929" t="s">
        <v>816</v>
      </c>
      <c r="P929">
        <v>0.01</v>
      </c>
      <c r="Q929" t="s">
        <v>1488</v>
      </c>
      <c r="R929">
        <v>0</v>
      </c>
      <c r="S929">
        <v>0</v>
      </c>
      <c r="T929">
        <v>0</v>
      </c>
      <c r="U929">
        <v>0</v>
      </c>
      <c r="V929">
        <v>0</v>
      </c>
    </row>
    <row r="930" spans="1:22" x14ac:dyDescent="0.25">
      <c r="A930" t="s">
        <v>2224</v>
      </c>
      <c r="B930" t="s">
        <v>848</v>
      </c>
      <c r="C930">
        <v>17</v>
      </c>
      <c r="D930" t="s">
        <v>132</v>
      </c>
      <c r="E930" t="s">
        <v>260</v>
      </c>
      <c r="F930" t="s">
        <v>260</v>
      </c>
      <c r="G930">
        <v>0.06</v>
      </c>
      <c r="H930" t="s">
        <v>26</v>
      </c>
      <c r="I930">
        <v>-3</v>
      </c>
      <c r="J930" t="str">
        <f>HYPERLINK("https://www.eliteprospects.com/player/762987/justin-blais")</f>
        <v>https://www.eliteprospects.com/player/762987/justin-blais</v>
      </c>
      <c r="K930" t="s">
        <v>27</v>
      </c>
      <c r="L930" t="s">
        <v>804</v>
      </c>
      <c r="M930" t="s">
        <v>1296</v>
      </c>
      <c r="N930">
        <v>3</v>
      </c>
      <c r="O930" t="s">
        <v>805</v>
      </c>
      <c r="P930">
        <v>0.01</v>
      </c>
      <c r="Q930" t="s">
        <v>1488</v>
      </c>
      <c r="R930">
        <v>0</v>
      </c>
      <c r="S930">
        <v>0</v>
      </c>
      <c r="T930">
        <v>0</v>
      </c>
      <c r="U930">
        <v>0</v>
      </c>
      <c r="V930">
        <v>0</v>
      </c>
    </row>
    <row r="931" spans="1:22" x14ac:dyDescent="0.25">
      <c r="A931" t="s">
        <v>2225</v>
      </c>
      <c r="B931" t="s">
        <v>812</v>
      </c>
      <c r="C931">
        <v>17</v>
      </c>
      <c r="D931" t="s">
        <v>132</v>
      </c>
      <c r="E931" t="s">
        <v>260</v>
      </c>
      <c r="F931" t="s">
        <v>260</v>
      </c>
      <c r="G931">
        <v>0.06</v>
      </c>
      <c r="H931" t="s">
        <v>47</v>
      </c>
      <c r="I931">
        <v>4</v>
      </c>
      <c r="J931" t="str">
        <f>HYPERLINK("https://www.eliteprospects.com/player/904776/brayden-kaldenbach")</f>
        <v>https://www.eliteprospects.com/player/904776/brayden-kaldenbach</v>
      </c>
      <c r="K931" t="s">
        <v>27</v>
      </c>
      <c r="L931" t="s">
        <v>804</v>
      </c>
      <c r="M931" t="s">
        <v>1296</v>
      </c>
      <c r="N931">
        <v>1</v>
      </c>
      <c r="O931" t="s">
        <v>816</v>
      </c>
      <c r="P931">
        <v>0.01</v>
      </c>
      <c r="Q931" t="s">
        <v>1488</v>
      </c>
      <c r="R931">
        <v>0</v>
      </c>
      <c r="S931">
        <v>0</v>
      </c>
      <c r="T931">
        <v>0</v>
      </c>
      <c r="U931">
        <v>0</v>
      </c>
      <c r="V931">
        <v>0</v>
      </c>
    </row>
    <row r="932" spans="1:22" x14ac:dyDescent="0.25">
      <c r="A932" t="s">
        <v>2226</v>
      </c>
      <c r="B932" t="s">
        <v>865</v>
      </c>
      <c r="C932">
        <v>18</v>
      </c>
      <c r="D932" t="s">
        <v>132</v>
      </c>
      <c r="E932" t="s">
        <v>260</v>
      </c>
      <c r="F932" t="s">
        <v>260</v>
      </c>
      <c r="G932">
        <v>0.06</v>
      </c>
      <c r="H932" t="s">
        <v>57</v>
      </c>
      <c r="I932">
        <v>-8</v>
      </c>
      <c r="J932" t="str">
        <f>HYPERLINK("https://www.eliteprospects.com/player/843363/aaron-murphy")</f>
        <v>https://www.eliteprospects.com/player/843363/aaron-murphy</v>
      </c>
      <c r="K932" t="s">
        <v>27</v>
      </c>
      <c r="L932" t="s">
        <v>804</v>
      </c>
      <c r="M932" t="s">
        <v>1296</v>
      </c>
      <c r="N932">
        <v>2</v>
      </c>
      <c r="O932" t="s">
        <v>825</v>
      </c>
      <c r="P932">
        <v>0.01</v>
      </c>
      <c r="Q932" t="s">
        <v>1488</v>
      </c>
      <c r="R932">
        <v>0</v>
      </c>
      <c r="S932">
        <v>0</v>
      </c>
      <c r="T932">
        <v>0</v>
      </c>
      <c r="U932">
        <v>0</v>
      </c>
      <c r="V932">
        <v>0</v>
      </c>
    </row>
    <row r="933" spans="1:22" x14ac:dyDescent="0.25">
      <c r="A933" t="s">
        <v>2227</v>
      </c>
      <c r="B933" t="s">
        <v>865</v>
      </c>
      <c r="C933">
        <v>21</v>
      </c>
      <c r="D933" t="s">
        <v>132</v>
      </c>
      <c r="E933" t="s">
        <v>260</v>
      </c>
      <c r="F933" t="s">
        <v>260</v>
      </c>
      <c r="G933">
        <v>0.05</v>
      </c>
      <c r="H933" t="s">
        <v>41</v>
      </c>
      <c r="I933">
        <v>-5</v>
      </c>
      <c r="J933" t="str">
        <f>HYPERLINK("https://www.eliteprospects.com/player/882725/maxime-lapointe")</f>
        <v>https://www.eliteprospects.com/player/882725/maxime-lapointe</v>
      </c>
      <c r="K933" t="s">
        <v>27</v>
      </c>
      <c r="L933" t="s">
        <v>804</v>
      </c>
      <c r="M933" t="s">
        <v>1296</v>
      </c>
      <c r="N933">
        <v>2</v>
      </c>
      <c r="O933" t="s">
        <v>825</v>
      </c>
      <c r="P933">
        <v>0.01</v>
      </c>
      <c r="Q933" t="s">
        <v>1488</v>
      </c>
      <c r="R933">
        <v>0</v>
      </c>
      <c r="S933">
        <v>0</v>
      </c>
      <c r="T933">
        <v>0</v>
      </c>
      <c r="U933">
        <v>0</v>
      </c>
      <c r="V933">
        <v>0</v>
      </c>
    </row>
    <row r="934" spans="1:22" x14ac:dyDescent="0.25">
      <c r="A934" t="s">
        <v>2228</v>
      </c>
      <c r="B934" t="s">
        <v>856</v>
      </c>
      <c r="C934">
        <v>10</v>
      </c>
      <c r="D934" t="s">
        <v>132</v>
      </c>
      <c r="E934" t="s">
        <v>132</v>
      </c>
      <c r="F934" t="s">
        <v>132</v>
      </c>
      <c r="G934">
        <v>0</v>
      </c>
      <c r="H934" t="s">
        <v>132</v>
      </c>
      <c r="I934">
        <v>-5</v>
      </c>
      <c r="J934" t="str">
        <f>HYPERLINK("https://www.eliteprospects.com/player/806426/nate-ostridge")</f>
        <v>https://www.eliteprospects.com/player/806426/nate-ostridge</v>
      </c>
      <c r="K934" t="s">
        <v>27</v>
      </c>
      <c r="L934" t="s">
        <v>804</v>
      </c>
      <c r="M934" t="s">
        <v>1296</v>
      </c>
      <c r="N934">
        <v>1</v>
      </c>
      <c r="O934" t="s">
        <v>816</v>
      </c>
      <c r="P934">
        <v>0</v>
      </c>
      <c r="Q934" t="s">
        <v>1488</v>
      </c>
      <c r="R934">
        <v>0</v>
      </c>
      <c r="S934">
        <v>0</v>
      </c>
      <c r="T934">
        <v>0</v>
      </c>
      <c r="U934">
        <v>0</v>
      </c>
      <c r="V934">
        <v>0</v>
      </c>
    </row>
    <row r="935" spans="1:22" x14ac:dyDescent="0.25">
      <c r="A935" t="s">
        <v>2229</v>
      </c>
      <c r="B935" t="s">
        <v>507</v>
      </c>
      <c r="C935">
        <v>13</v>
      </c>
      <c r="D935" t="s">
        <v>132</v>
      </c>
      <c r="E935" t="s">
        <v>132</v>
      </c>
      <c r="F935" t="s">
        <v>132</v>
      </c>
      <c r="G935">
        <v>0</v>
      </c>
      <c r="H935" t="s">
        <v>66</v>
      </c>
      <c r="I935">
        <v>-4</v>
      </c>
      <c r="J935" t="str">
        <f>HYPERLINK("https://www.eliteprospects.com/player/888430/dominik-necak")</f>
        <v>https://www.eliteprospects.com/player/888430/dominik-necak</v>
      </c>
      <c r="K935" t="s">
        <v>27</v>
      </c>
      <c r="L935" t="s">
        <v>804</v>
      </c>
      <c r="M935" t="s">
        <v>1296</v>
      </c>
      <c r="N935">
        <v>1</v>
      </c>
      <c r="O935" t="s">
        <v>816</v>
      </c>
      <c r="P935">
        <v>0</v>
      </c>
      <c r="Q935" t="s">
        <v>1488</v>
      </c>
      <c r="R935">
        <v>0</v>
      </c>
      <c r="S935">
        <v>0</v>
      </c>
      <c r="T935">
        <v>0</v>
      </c>
      <c r="U935">
        <v>0</v>
      </c>
      <c r="V935">
        <v>0</v>
      </c>
    </row>
    <row r="936" spans="1:22" x14ac:dyDescent="0.25">
      <c r="A936" t="s">
        <v>2230</v>
      </c>
      <c r="B936" t="s">
        <v>808</v>
      </c>
      <c r="C936">
        <v>16</v>
      </c>
      <c r="D936" t="s">
        <v>132</v>
      </c>
      <c r="E936" t="s">
        <v>132</v>
      </c>
      <c r="F936" t="s">
        <v>132</v>
      </c>
      <c r="G936">
        <v>0</v>
      </c>
      <c r="H936" t="s">
        <v>45</v>
      </c>
      <c r="I936">
        <v>-3</v>
      </c>
      <c r="J936" t="str">
        <f>HYPERLINK("https://www.eliteprospects.com/player/729644/colby-train")</f>
        <v>https://www.eliteprospects.com/player/729644/colby-train</v>
      </c>
      <c r="K936" t="s">
        <v>27</v>
      </c>
      <c r="L936" t="s">
        <v>804</v>
      </c>
      <c r="M936" t="s">
        <v>1296</v>
      </c>
      <c r="N936">
        <v>3</v>
      </c>
      <c r="O936" t="s">
        <v>805</v>
      </c>
      <c r="P936">
        <v>0</v>
      </c>
      <c r="Q936" t="s">
        <v>1488</v>
      </c>
      <c r="R936">
        <v>0</v>
      </c>
      <c r="S936">
        <v>0</v>
      </c>
      <c r="T936">
        <v>0</v>
      </c>
      <c r="U936">
        <v>0</v>
      </c>
      <c r="V936">
        <v>0</v>
      </c>
    </row>
    <row r="937" spans="1:22" x14ac:dyDescent="0.25">
      <c r="A937" t="s">
        <v>2231</v>
      </c>
      <c r="B937" t="s">
        <v>821</v>
      </c>
      <c r="C937">
        <v>17</v>
      </c>
      <c r="D937" t="s">
        <v>132</v>
      </c>
      <c r="E937" t="s">
        <v>132</v>
      </c>
      <c r="F937" t="s">
        <v>132</v>
      </c>
      <c r="G937">
        <v>0</v>
      </c>
      <c r="H937" t="s">
        <v>66</v>
      </c>
      <c r="I937">
        <v>-1</v>
      </c>
      <c r="J937" t="str">
        <f>HYPERLINK("https://www.eliteprospects.com/player/576990/aiden-macisaac")</f>
        <v>https://www.eliteprospects.com/player/576990/aiden-macisaac</v>
      </c>
      <c r="K937" t="s">
        <v>27</v>
      </c>
      <c r="L937" t="s">
        <v>804</v>
      </c>
      <c r="M937" t="s">
        <v>1296</v>
      </c>
      <c r="N937">
        <v>1</v>
      </c>
      <c r="O937" t="s">
        <v>816</v>
      </c>
      <c r="P937">
        <v>0</v>
      </c>
      <c r="Q937" t="s">
        <v>1488</v>
      </c>
      <c r="R937">
        <v>0</v>
      </c>
      <c r="S937">
        <v>0</v>
      </c>
      <c r="T937">
        <v>0</v>
      </c>
      <c r="U937">
        <v>0</v>
      </c>
      <c r="V937">
        <v>0</v>
      </c>
    </row>
    <row r="938" spans="1:22" x14ac:dyDescent="0.25">
      <c r="A938" t="s">
        <v>2232</v>
      </c>
      <c r="B938" t="s">
        <v>824</v>
      </c>
      <c r="C938">
        <v>23</v>
      </c>
      <c r="D938" t="s">
        <v>132</v>
      </c>
      <c r="E938" t="s">
        <v>132</v>
      </c>
      <c r="F938" t="s">
        <v>132</v>
      </c>
      <c r="G938">
        <v>0</v>
      </c>
      <c r="H938" t="s">
        <v>66</v>
      </c>
      <c r="I938">
        <v>-12</v>
      </c>
      <c r="J938" t="str">
        <f>HYPERLINK("https://www.eliteprospects.com/player/923272/justin-chiras")</f>
        <v>https://www.eliteprospects.com/player/923272/justin-chiras</v>
      </c>
      <c r="K938" t="s">
        <v>27</v>
      </c>
      <c r="L938" t="s">
        <v>804</v>
      </c>
      <c r="M938" t="s">
        <v>1296</v>
      </c>
      <c r="N938">
        <v>2</v>
      </c>
      <c r="O938" t="s">
        <v>825</v>
      </c>
      <c r="P938">
        <v>0</v>
      </c>
      <c r="Q938" t="s">
        <v>1488</v>
      </c>
      <c r="R938">
        <v>0</v>
      </c>
      <c r="S938">
        <v>0</v>
      </c>
      <c r="T938">
        <v>0</v>
      </c>
      <c r="U938">
        <v>0</v>
      </c>
      <c r="V938">
        <v>0</v>
      </c>
    </row>
    <row r="939" spans="1:22" x14ac:dyDescent="0.25">
      <c r="A939" t="s">
        <v>2233</v>
      </c>
      <c r="B939" t="s">
        <v>926</v>
      </c>
      <c r="C939">
        <v>20</v>
      </c>
      <c r="D939" t="s">
        <v>45</v>
      </c>
      <c r="E939" t="s">
        <v>65</v>
      </c>
      <c r="F939" t="s">
        <v>47</v>
      </c>
      <c r="G939">
        <v>1.1000000000000001</v>
      </c>
      <c r="H939" t="s">
        <v>55</v>
      </c>
      <c r="I939">
        <v>27</v>
      </c>
      <c r="J939" t="str">
        <f>HYPERLINK("https://www.eliteprospects.com/player/325973/jake-lee")</f>
        <v>https://www.eliteprospects.com/player/325973/jake-lee</v>
      </c>
      <c r="K939" t="s">
        <v>27</v>
      </c>
      <c r="L939" t="s">
        <v>918</v>
      </c>
      <c r="M939" t="s">
        <v>1296</v>
      </c>
      <c r="N939">
        <v>6</v>
      </c>
      <c r="O939" t="s">
        <v>927</v>
      </c>
      <c r="P939">
        <v>0.14000000000000001</v>
      </c>
      <c r="Q939" t="s">
        <v>1300</v>
      </c>
      <c r="R939">
        <v>42.9</v>
      </c>
      <c r="S939">
        <v>14.3</v>
      </c>
      <c r="T939">
        <v>7.1</v>
      </c>
      <c r="U939">
        <v>7.1</v>
      </c>
      <c r="V939">
        <v>28.6</v>
      </c>
    </row>
    <row r="940" spans="1:22" x14ac:dyDescent="0.25">
      <c r="A940" t="s">
        <v>2234</v>
      </c>
      <c r="B940" t="s">
        <v>1015</v>
      </c>
      <c r="C940">
        <v>18</v>
      </c>
      <c r="D940" t="s">
        <v>79</v>
      </c>
      <c r="E940" t="s">
        <v>24</v>
      </c>
      <c r="F940" t="s">
        <v>47</v>
      </c>
      <c r="G940">
        <v>1.22</v>
      </c>
      <c r="H940" t="s">
        <v>39</v>
      </c>
      <c r="I940">
        <v>-11</v>
      </c>
      <c r="J940" t="str">
        <f>HYPERLINK("https://www.eliteprospects.com/player/200735/dawson-davidson")</f>
        <v>https://www.eliteprospects.com/player/200735/dawson-davidson</v>
      </c>
      <c r="K940" t="s">
        <v>27</v>
      </c>
      <c r="L940" t="s">
        <v>918</v>
      </c>
      <c r="M940" t="s">
        <v>1296</v>
      </c>
      <c r="N940">
        <v>4</v>
      </c>
      <c r="O940" t="s">
        <v>940</v>
      </c>
      <c r="P940">
        <v>0.15</v>
      </c>
      <c r="Q940" t="s">
        <v>1300</v>
      </c>
      <c r="R940">
        <v>40</v>
      </c>
      <c r="S940">
        <v>40</v>
      </c>
      <c r="T940">
        <v>0</v>
      </c>
      <c r="U940">
        <v>0</v>
      </c>
      <c r="V940">
        <v>20</v>
      </c>
    </row>
    <row r="941" spans="1:22" x14ac:dyDescent="0.25">
      <c r="A941" t="s">
        <v>2235</v>
      </c>
      <c r="B941" t="s">
        <v>939</v>
      </c>
      <c r="C941">
        <v>18</v>
      </c>
      <c r="D941" t="s">
        <v>140</v>
      </c>
      <c r="E941" t="s">
        <v>60</v>
      </c>
      <c r="F941" t="s">
        <v>24</v>
      </c>
      <c r="G941">
        <v>1.1100000000000001</v>
      </c>
      <c r="H941" t="s">
        <v>39</v>
      </c>
      <c r="I941">
        <v>11</v>
      </c>
      <c r="J941" t="str">
        <f>HYPERLINK("https://www.eliteprospects.com/player/403796/landon-kosior")</f>
        <v>https://www.eliteprospects.com/player/403796/landon-kosior</v>
      </c>
      <c r="K941" t="s">
        <v>27</v>
      </c>
      <c r="L941" t="s">
        <v>918</v>
      </c>
      <c r="M941" t="s">
        <v>1296</v>
      </c>
      <c r="N941">
        <v>6</v>
      </c>
      <c r="O941" t="s">
        <v>924</v>
      </c>
      <c r="P941">
        <v>0.14000000000000001</v>
      </c>
      <c r="Q941" t="s">
        <v>1300</v>
      </c>
      <c r="R941">
        <v>42.9</v>
      </c>
      <c r="S941">
        <v>14.3</v>
      </c>
      <c r="T941">
        <v>7.1</v>
      </c>
      <c r="U941">
        <v>7.1</v>
      </c>
      <c r="V941">
        <v>28.6</v>
      </c>
    </row>
    <row r="942" spans="1:22" x14ac:dyDescent="0.25">
      <c r="A942" t="s">
        <v>2236</v>
      </c>
      <c r="B942" t="s">
        <v>1038</v>
      </c>
      <c r="C942">
        <v>18</v>
      </c>
      <c r="D942" t="s">
        <v>140</v>
      </c>
      <c r="E942" t="s">
        <v>60</v>
      </c>
      <c r="F942" t="s">
        <v>24</v>
      </c>
      <c r="G942">
        <v>1.1100000000000001</v>
      </c>
      <c r="H942" t="s">
        <v>38</v>
      </c>
      <c r="I942">
        <v>0</v>
      </c>
      <c r="J942" t="str">
        <f>HYPERLINK("https://www.eliteprospects.com/player/418374/mark-cooper")</f>
        <v>https://www.eliteprospects.com/player/418374/mark-cooper</v>
      </c>
      <c r="K942" t="s">
        <v>27</v>
      </c>
      <c r="L942" t="s">
        <v>918</v>
      </c>
      <c r="M942" t="s">
        <v>1296</v>
      </c>
      <c r="N942">
        <v>3</v>
      </c>
      <c r="O942" t="s">
        <v>1039</v>
      </c>
      <c r="P942">
        <v>0.14000000000000001</v>
      </c>
      <c r="Q942" t="s">
        <v>1309</v>
      </c>
      <c r="R942">
        <v>25</v>
      </c>
      <c r="S942">
        <v>25</v>
      </c>
      <c r="T942">
        <v>0</v>
      </c>
      <c r="U942">
        <v>0</v>
      </c>
      <c r="V942">
        <v>50</v>
      </c>
    </row>
    <row r="943" spans="1:22" x14ac:dyDescent="0.25">
      <c r="A943" t="s">
        <v>2237</v>
      </c>
      <c r="B943" t="s">
        <v>1011</v>
      </c>
      <c r="C943">
        <v>20</v>
      </c>
      <c r="D943" t="s">
        <v>57</v>
      </c>
      <c r="E943" t="s">
        <v>65</v>
      </c>
      <c r="F943" t="s">
        <v>51</v>
      </c>
      <c r="G943">
        <v>0.95</v>
      </c>
      <c r="H943" t="s">
        <v>81</v>
      </c>
      <c r="I943">
        <v>1</v>
      </c>
      <c r="J943" t="str">
        <f>HYPERLINK("https://www.eliteprospects.com/player/504241/charlie-callaghan")</f>
        <v>https://www.eliteprospects.com/player/504241/charlie-callaghan</v>
      </c>
      <c r="K943" t="s">
        <v>27</v>
      </c>
      <c r="L943" t="s">
        <v>918</v>
      </c>
      <c r="M943" t="s">
        <v>1296</v>
      </c>
      <c r="N943">
        <v>7</v>
      </c>
      <c r="O943" t="s">
        <v>919</v>
      </c>
      <c r="P943">
        <v>0.12</v>
      </c>
      <c r="Q943" t="s">
        <v>1300</v>
      </c>
      <c r="R943">
        <v>33.299999999999997</v>
      </c>
      <c r="S943">
        <v>33.299999999999997</v>
      </c>
      <c r="T943">
        <v>16.7</v>
      </c>
      <c r="U943">
        <v>16.7</v>
      </c>
      <c r="V943">
        <v>0</v>
      </c>
    </row>
    <row r="944" spans="1:22" x14ac:dyDescent="0.25">
      <c r="A944" t="s">
        <v>2238</v>
      </c>
      <c r="B944" t="s">
        <v>923</v>
      </c>
      <c r="C944">
        <v>20</v>
      </c>
      <c r="D944" t="s">
        <v>66</v>
      </c>
      <c r="E944" t="s">
        <v>41</v>
      </c>
      <c r="F944" t="s">
        <v>51</v>
      </c>
      <c r="G944">
        <v>0.95</v>
      </c>
      <c r="H944" t="s">
        <v>57</v>
      </c>
      <c r="I944">
        <v>18</v>
      </c>
      <c r="J944" t="str">
        <f>HYPERLINK("https://www.eliteprospects.com/player/350248/sean-strange")</f>
        <v>https://www.eliteprospects.com/player/350248/sean-strange</v>
      </c>
      <c r="K944" t="s">
        <v>27</v>
      </c>
      <c r="L944" t="s">
        <v>918</v>
      </c>
      <c r="M944" t="s">
        <v>1296</v>
      </c>
      <c r="N944">
        <v>6</v>
      </c>
      <c r="O944" t="s">
        <v>932</v>
      </c>
      <c r="P944">
        <v>0.12</v>
      </c>
      <c r="Q944" t="s">
        <v>1300</v>
      </c>
      <c r="R944">
        <v>42.9</v>
      </c>
      <c r="S944">
        <v>14.3</v>
      </c>
      <c r="T944">
        <v>7.1</v>
      </c>
      <c r="U944">
        <v>7.1</v>
      </c>
      <c r="V944">
        <v>28.6</v>
      </c>
    </row>
    <row r="945" spans="1:22" x14ac:dyDescent="0.25">
      <c r="A945" t="s">
        <v>2239</v>
      </c>
      <c r="B945" t="s">
        <v>926</v>
      </c>
      <c r="C945">
        <v>20</v>
      </c>
      <c r="D945" t="s">
        <v>79</v>
      </c>
      <c r="E945" t="s">
        <v>60</v>
      </c>
      <c r="F945" t="s">
        <v>51</v>
      </c>
      <c r="G945">
        <v>0.95</v>
      </c>
      <c r="H945" t="s">
        <v>57</v>
      </c>
      <c r="I945">
        <v>15</v>
      </c>
      <c r="J945" t="str">
        <f>HYPERLINK("https://www.eliteprospects.com/player/691857/jace-weir")</f>
        <v>https://www.eliteprospects.com/player/691857/jace-weir</v>
      </c>
      <c r="K945" t="s">
        <v>27</v>
      </c>
      <c r="L945" t="s">
        <v>918</v>
      </c>
      <c r="M945" t="s">
        <v>1296</v>
      </c>
      <c r="N945">
        <v>6</v>
      </c>
      <c r="O945" t="s">
        <v>950</v>
      </c>
      <c r="P945">
        <v>0.12</v>
      </c>
      <c r="Q945" t="s">
        <v>1300</v>
      </c>
      <c r="R945">
        <v>42.9</v>
      </c>
      <c r="S945">
        <v>14.3</v>
      </c>
      <c r="T945">
        <v>7.1</v>
      </c>
      <c r="U945">
        <v>7.1</v>
      </c>
      <c r="V945">
        <v>28.6</v>
      </c>
    </row>
    <row r="946" spans="1:22" x14ac:dyDescent="0.25">
      <c r="A946" t="s">
        <v>2240</v>
      </c>
      <c r="B946" t="s">
        <v>947</v>
      </c>
      <c r="C946">
        <v>18</v>
      </c>
      <c r="D946" t="s">
        <v>78</v>
      </c>
      <c r="E946" t="s">
        <v>69</v>
      </c>
      <c r="F946" t="s">
        <v>55</v>
      </c>
      <c r="G946">
        <v>1</v>
      </c>
      <c r="H946" t="s">
        <v>26</v>
      </c>
      <c r="I946">
        <v>0</v>
      </c>
      <c r="J946" t="str">
        <f>HYPERLINK("https://www.eliteprospects.com/player/415731/nathan-allensen")</f>
        <v>https://www.eliteprospects.com/player/415731/nathan-allensen</v>
      </c>
      <c r="K946" t="s">
        <v>27</v>
      </c>
      <c r="L946" t="s">
        <v>918</v>
      </c>
      <c r="M946" t="s">
        <v>1296</v>
      </c>
      <c r="N946">
        <v>5</v>
      </c>
      <c r="O946" t="s">
        <v>935</v>
      </c>
      <c r="P946">
        <v>0.12</v>
      </c>
      <c r="Q946" t="s">
        <v>1309</v>
      </c>
      <c r="R946">
        <v>25</v>
      </c>
      <c r="S946">
        <v>25</v>
      </c>
      <c r="T946">
        <v>0</v>
      </c>
      <c r="U946">
        <v>0</v>
      </c>
      <c r="V946">
        <v>50</v>
      </c>
    </row>
    <row r="947" spans="1:22" x14ac:dyDescent="0.25">
      <c r="A947" t="s">
        <v>2241</v>
      </c>
      <c r="B947" t="s">
        <v>961</v>
      </c>
      <c r="C947">
        <v>17</v>
      </c>
      <c r="D947" t="s">
        <v>96</v>
      </c>
      <c r="E947" t="s">
        <v>65</v>
      </c>
      <c r="F947" t="s">
        <v>55</v>
      </c>
      <c r="G947">
        <v>1.06</v>
      </c>
      <c r="H947" t="s">
        <v>512</v>
      </c>
      <c r="I947">
        <v>0</v>
      </c>
      <c r="J947" t="str">
        <f>HYPERLINK("https://www.eliteprospects.com/player/351170/eric-van-impe")</f>
        <v>https://www.eliteprospects.com/player/351170/eric-van-impe</v>
      </c>
      <c r="K947" t="s">
        <v>27</v>
      </c>
      <c r="L947" t="s">
        <v>918</v>
      </c>
      <c r="M947" t="s">
        <v>1296</v>
      </c>
      <c r="N947">
        <v>6</v>
      </c>
      <c r="O947" t="s">
        <v>927</v>
      </c>
      <c r="P947">
        <v>0.13</v>
      </c>
      <c r="Q947" t="s">
        <v>1309</v>
      </c>
      <c r="R947">
        <v>25</v>
      </c>
      <c r="S947">
        <v>25</v>
      </c>
      <c r="T947">
        <v>0</v>
      </c>
      <c r="U947">
        <v>0</v>
      </c>
      <c r="V947">
        <v>50</v>
      </c>
    </row>
    <row r="948" spans="1:22" x14ac:dyDescent="0.25">
      <c r="A948" t="s">
        <v>2242</v>
      </c>
      <c r="B948" t="s">
        <v>942</v>
      </c>
      <c r="C948">
        <v>17</v>
      </c>
      <c r="D948" t="s">
        <v>96</v>
      </c>
      <c r="E948" t="s">
        <v>23</v>
      </c>
      <c r="F948" t="s">
        <v>60</v>
      </c>
      <c r="G948">
        <v>1</v>
      </c>
      <c r="H948" t="s">
        <v>66</v>
      </c>
      <c r="I948">
        <v>0</v>
      </c>
      <c r="J948" t="str">
        <f>HYPERLINK("https://www.eliteprospects.com/player/689712/giuseppe-ianniello")</f>
        <v>https://www.eliteprospects.com/player/689712/giuseppe-ianniello</v>
      </c>
      <c r="K948" t="s">
        <v>27</v>
      </c>
      <c r="L948" t="s">
        <v>918</v>
      </c>
      <c r="M948" t="s">
        <v>1296</v>
      </c>
      <c r="N948">
        <v>3</v>
      </c>
      <c r="O948" t="s">
        <v>1002</v>
      </c>
      <c r="P948">
        <v>0.12</v>
      </c>
      <c r="Q948" t="s">
        <v>1309</v>
      </c>
      <c r="R948">
        <v>25</v>
      </c>
      <c r="S948">
        <v>25</v>
      </c>
      <c r="T948">
        <v>0</v>
      </c>
      <c r="U948">
        <v>0</v>
      </c>
      <c r="V948">
        <v>50</v>
      </c>
    </row>
    <row r="949" spans="1:22" x14ac:dyDescent="0.25">
      <c r="A949" t="s">
        <v>2243</v>
      </c>
      <c r="B949" t="s">
        <v>954</v>
      </c>
      <c r="C949">
        <v>18</v>
      </c>
      <c r="D949" t="s">
        <v>66</v>
      </c>
      <c r="E949" t="s">
        <v>65</v>
      </c>
      <c r="F949" t="s">
        <v>60</v>
      </c>
      <c r="G949">
        <v>0.94</v>
      </c>
      <c r="H949" t="s">
        <v>280</v>
      </c>
      <c r="I949">
        <v>0</v>
      </c>
      <c r="J949" t="str">
        <f>HYPERLINK("https://www.eliteprospects.com/player/649085/alexis-daviault")</f>
        <v>https://www.eliteprospects.com/player/649085/alexis-daviault</v>
      </c>
      <c r="K949" t="s">
        <v>27</v>
      </c>
      <c r="L949" t="s">
        <v>918</v>
      </c>
      <c r="M949" t="s">
        <v>1296</v>
      </c>
      <c r="N949">
        <v>5</v>
      </c>
      <c r="O949" t="s">
        <v>1008</v>
      </c>
      <c r="P949">
        <v>0.12</v>
      </c>
      <c r="Q949" t="s">
        <v>1309</v>
      </c>
      <c r="R949">
        <v>25</v>
      </c>
      <c r="S949">
        <v>25</v>
      </c>
      <c r="T949">
        <v>0</v>
      </c>
      <c r="U949">
        <v>0</v>
      </c>
      <c r="V949">
        <v>50</v>
      </c>
    </row>
    <row r="950" spans="1:22" x14ac:dyDescent="0.25">
      <c r="A950" t="s">
        <v>2244</v>
      </c>
      <c r="B950" t="s">
        <v>966</v>
      </c>
      <c r="C950">
        <v>18</v>
      </c>
      <c r="D950" t="s">
        <v>140</v>
      </c>
      <c r="E950" t="s">
        <v>39</v>
      </c>
      <c r="F950" t="s">
        <v>60</v>
      </c>
      <c r="G950">
        <v>0.94</v>
      </c>
      <c r="H950" t="s">
        <v>24</v>
      </c>
      <c r="I950">
        <v>12</v>
      </c>
      <c r="J950" t="str">
        <f>HYPERLINK("https://www.eliteprospects.com/player/503166/tyler-deline")</f>
        <v>https://www.eliteprospects.com/player/503166/tyler-deline</v>
      </c>
      <c r="K950" t="s">
        <v>27</v>
      </c>
      <c r="L950" t="s">
        <v>918</v>
      </c>
      <c r="M950" t="s">
        <v>1296</v>
      </c>
      <c r="N950">
        <v>6</v>
      </c>
      <c r="O950" t="s">
        <v>995</v>
      </c>
      <c r="P950">
        <v>0.12</v>
      </c>
      <c r="Q950" t="s">
        <v>1300</v>
      </c>
      <c r="R950">
        <v>42.9</v>
      </c>
      <c r="S950">
        <v>14.3</v>
      </c>
      <c r="T950">
        <v>7.1</v>
      </c>
      <c r="U950">
        <v>7.1</v>
      </c>
      <c r="V950">
        <v>28.6</v>
      </c>
    </row>
    <row r="951" spans="1:22" x14ac:dyDescent="0.25">
      <c r="A951" t="s">
        <v>2245</v>
      </c>
      <c r="B951" t="s">
        <v>939</v>
      </c>
      <c r="C951">
        <v>17</v>
      </c>
      <c r="D951" t="s">
        <v>140</v>
      </c>
      <c r="E951" t="s">
        <v>65</v>
      </c>
      <c r="F951" t="s">
        <v>38</v>
      </c>
      <c r="G951">
        <v>0.94</v>
      </c>
      <c r="H951" t="s">
        <v>26</v>
      </c>
      <c r="I951">
        <v>6</v>
      </c>
      <c r="J951" t="str">
        <f>HYPERLINK("https://www.eliteprospects.com/player/326546/rhett-rhinehart")</f>
        <v>https://www.eliteprospects.com/player/326546/rhett-rhinehart</v>
      </c>
      <c r="K951" t="s">
        <v>27</v>
      </c>
      <c r="L951" t="s">
        <v>918</v>
      </c>
      <c r="M951" t="s">
        <v>1417</v>
      </c>
      <c r="N951">
        <v>6</v>
      </c>
      <c r="O951" t="s">
        <v>927</v>
      </c>
      <c r="P951">
        <v>0.12</v>
      </c>
      <c r="Q951" t="s">
        <v>1309</v>
      </c>
      <c r="R951">
        <v>10</v>
      </c>
      <c r="S951">
        <v>10</v>
      </c>
      <c r="T951">
        <v>20</v>
      </c>
      <c r="U951">
        <v>20</v>
      </c>
      <c r="V951">
        <v>40</v>
      </c>
    </row>
    <row r="952" spans="1:22" x14ac:dyDescent="0.25">
      <c r="A952" t="s">
        <v>2246</v>
      </c>
      <c r="B952" t="s">
        <v>934</v>
      </c>
      <c r="C952">
        <v>19</v>
      </c>
      <c r="D952" t="s">
        <v>79</v>
      </c>
      <c r="E952" t="s">
        <v>39</v>
      </c>
      <c r="F952" t="s">
        <v>38</v>
      </c>
      <c r="G952">
        <v>0.84</v>
      </c>
      <c r="H952" t="s">
        <v>55</v>
      </c>
      <c r="I952">
        <v>17</v>
      </c>
      <c r="J952" t="str">
        <f>HYPERLINK("https://www.eliteprospects.com/player/710467/luca-d-amato")</f>
        <v>https://www.eliteprospects.com/player/710467/luca-d-amato</v>
      </c>
      <c r="K952" t="s">
        <v>27</v>
      </c>
      <c r="L952" t="s">
        <v>918</v>
      </c>
      <c r="M952" t="s">
        <v>1296</v>
      </c>
      <c r="N952">
        <v>5</v>
      </c>
      <c r="O952" t="s">
        <v>1008</v>
      </c>
      <c r="P952">
        <v>0.1</v>
      </c>
      <c r="Q952" t="s">
        <v>1309</v>
      </c>
      <c r="R952">
        <v>25</v>
      </c>
      <c r="S952">
        <v>25</v>
      </c>
      <c r="T952">
        <v>16.7</v>
      </c>
      <c r="U952">
        <v>8.3000000000000007</v>
      </c>
      <c r="V952">
        <v>25</v>
      </c>
    </row>
    <row r="953" spans="1:22" x14ac:dyDescent="0.25">
      <c r="A953" t="s">
        <v>2247</v>
      </c>
      <c r="B953" t="s">
        <v>977</v>
      </c>
      <c r="C953">
        <v>17</v>
      </c>
      <c r="D953" t="s">
        <v>26</v>
      </c>
      <c r="E953" t="s">
        <v>78</v>
      </c>
      <c r="F953" t="s">
        <v>41</v>
      </c>
      <c r="G953">
        <v>0.88</v>
      </c>
      <c r="H953" t="s">
        <v>55</v>
      </c>
      <c r="I953">
        <v>0</v>
      </c>
      <c r="J953" t="str">
        <f>HYPERLINK("https://www.eliteprospects.com/player/418495/dylan-schives")</f>
        <v>https://www.eliteprospects.com/player/418495/dylan-schives</v>
      </c>
      <c r="K953" t="s">
        <v>27</v>
      </c>
      <c r="L953" t="s">
        <v>918</v>
      </c>
      <c r="M953" t="s">
        <v>1296</v>
      </c>
      <c r="N953">
        <v>4</v>
      </c>
      <c r="O953" t="s">
        <v>1192</v>
      </c>
      <c r="P953">
        <v>0.11</v>
      </c>
      <c r="Q953" t="s">
        <v>245</v>
      </c>
      <c r="R953">
        <v>14.3</v>
      </c>
      <c r="S953">
        <v>42.9</v>
      </c>
      <c r="T953">
        <v>28.6</v>
      </c>
      <c r="U953">
        <v>0</v>
      </c>
      <c r="V953">
        <v>14.3</v>
      </c>
    </row>
    <row r="954" spans="1:22" x14ac:dyDescent="0.25">
      <c r="A954" t="s">
        <v>2248</v>
      </c>
      <c r="B954" t="s">
        <v>966</v>
      </c>
      <c r="C954">
        <v>20</v>
      </c>
      <c r="D954" t="s">
        <v>57</v>
      </c>
      <c r="E954" t="s">
        <v>45</v>
      </c>
      <c r="F954" t="s">
        <v>41</v>
      </c>
      <c r="G954">
        <v>0.75</v>
      </c>
      <c r="H954" t="s">
        <v>32</v>
      </c>
      <c r="I954">
        <v>0</v>
      </c>
      <c r="J954" t="str">
        <f>HYPERLINK("https://www.eliteprospects.com/player/563050/brayden-schmitt")</f>
        <v>https://www.eliteprospects.com/player/563050/brayden-schmitt</v>
      </c>
      <c r="K954" t="s">
        <v>27</v>
      </c>
      <c r="L954" t="s">
        <v>918</v>
      </c>
      <c r="M954" t="s">
        <v>1296</v>
      </c>
      <c r="N954">
        <v>6</v>
      </c>
      <c r="O954" t="s">
        <v>968</v>
      </c>
      <c r="P954">
        <v>0.09</v>
      </c>
      <c r="Q954" t="s">
        <v>245</v>
      </c>
      <c r="R954">
        <v>14.3</v>
      </c>
      <c r="S954">
        <v>42.9</v>
      </c>
      <c r="T954">
        <v>28.6</v>
      </c>
      <c r="U954">
        <v>0</v>
      </c>
      <c r="V954">
        <v>14.3</v>
      </c>
    </row>
    <row r="955" spans="1:22" x14ac:dyDescent="0.25">
      <c r="A955" t="s">
        <v>2249</v>
      </c>
      <c r="B955" t="s">
        <v>997</v>
      </c>
      <c r="C955">
        <v>15</v>
      </c>
      <c r="D955" t="s">
        <v>96</v>
      </c>
      <c r="E955" t="s">
        <v>45</v>
      </c>
      <c r="F955" t="s">
        <v>39</v>
      </c>
      <c r="G955">
        <v>0.93</v>
      </c>
      <c r="H955" t="s">
        <v>32</v>
      </c>
      <c r="I955">
        <v>0</v>
      </c>
      <c r="J955" t="str">
        <f>HYPERLINK("https://www.eliteprospects.com/player/290166/simon-lavigne")</f>
        <v>https://www.eliteprospects.com/player/290166/simon-lavigne</v>
      </c>
      <c r="K955" t="s">
        <v>27</v>
      </c>
      <c r="L955" t="s">
        <v>918</v>
      </c>
      <c r="M955" t="s">
        <v>1296</v>
      </c>
      <c r="N955">
        <v>6</v>
      </c>
      <c r="O955" t="s">
        <v>937</v>
      </c>
      <c r="P955">
        <v>0.12</v>
      </c>
      <c r="Q955" t="s">
        <v>1309</v>
      </c>
      <c r="R955">
        <v>25</v>
      </c>
      <c r="S955">
        <v>25</v>
      </c>
      <c r="T955">
        <v>0</v>
      </c>
      <c r="U955">
        <v>0</v>
      </c>
      <c r="V955">
        <v>50</v>
      </c>
    </row>
    <row r="956" spans="1:22" x14ac:dyDescent="0.25">
      <c r="A956" t="s">
        <v>2250</v>
      </c>
      <c r="B956" t="s">
        <v>931</v>
      </c>
      <c r="C956">
        <v>20</v>
      </c>
      <c r="D956" t="s">
        <v>96</v>
      </c>
      <c r="E956" t="s">
        <v>45</v>
      </c>
      <c r="F956" t="s">
        <v>39</v>
      </c>
      <c r="G956">
        <v>0.7</v>
      </c>
      <c r="H956" t="s">
        <v>66</v>
      </c>
      <c r="I956">
        <v>10</v>
      </c>
      <c r="J956" t="str">
        <f>HYPERLINK("https://www.eliteprospects.com/player/476551/remy-aquilon")</f>
        <v>https://www.eliteprospects.com/player/476551/remy-aquilon</v>
      </c>
      <c r="K956" t="s">
        <v>27</v>
      </c>
      <c r="L956" t="s">
        <v>918</v>
      </c>
      <c r="M956" t="s">
        <v>1296</v>
      </c>
      <c r="N956">
        <v>6</v>
      </c>
      <c r="O956" t="s">
        <v>927</v>
      </c>
      <c r="P956">
        <v>0.09</v>
      </c>
      <c r="Q956" t="s">
        <v>1309</v>
      </c>
      <c r="R956">
        <v>25</v>
      </c>
      <c r="S956">
        <v>25</v>
      </c>
      <c r="T956">
        <v>16.7</v>
      </c>
      <c r="U956">
        <v>8.3000000000000007</v>
      </c>
      <c r="V956">
        <v>25</v>
      </c>
    </row>
    <row r="957" spans="1:22" x14ac:dyDescent="0.25">
      <c r="A957" t="s">
        <v>2251</v>
      </c>
      <c r="B957" t="s">
        <v>997</v>
      </c>
      <c r="C957">
        <v>18</v>
      </c>
      <c r="D957" t="s">
        <v>66</v>
      </c>
      <c r="E957" t="s">
        <v>32</v>
      </c>
      <c r="F957" t="s">
        <v>39</v>
      </c>
      <c r="G957">
        <v>0.78</v>
      </c>
      <c r="H957" t="s">
        <v>55</v>
      </c>
      <c r="I957">
        <v>0</v>
      </c>
      <c r="J957" t="str">
        <f>HYPERLINK("https://www.eliteprospects.com/player/295659/sean-larochelle")</f>
        <v>https://www.eliteprospects.com/player/295659/sean-larochelle</v>
      </c>
      <c r="K957" t="s">
        <v>27</v>
      </c>
      <c r="L957" t="s">
        <v>918</v>
      </c>
      <c r="M957" t="s">
        <v>1296</v>
      </c>
      <c r="N957">
        <v>6</v>
      </c>
      <c r="O957" t="s">
        <v>937</v>
      </c>
      <c r="P957">
        <v>0.1</v>
      </c>
      <c r="Q957" t="s">
        <v>245</v>
      </c>
      <c r="R957">
        <v>14.3</v>
      </c>
      <c r="S957">
        <v>42.9</v>
      </c>
      <c r="T957">
        <v>28.6</v>
      </c>
      <c r="U957">
        <v>0</v>
      </c>
      <c r="V957">
        <v>14.3</v>
      </c>
    </row>
    <row r="958" spans="1:22" x14ac:dyDescent="0.25">
      <c r="A958" t="s">
        <v>2252</v>
      </c>
      <c r="B958" t="s">
        <v>959</v>
      </c>
      <c r="C958">
        <v>18</v>
      </c>
      <c r="D958" t="s">
        <v>66</v>
      </c>
      <c r="E958" t="s">
        <v>45</v>
      </c>
      <c r="F958" t="s">
        <v>65</v>
      </c>
      <c r="G958">
        <v>0.72</v>
      </c>
      <c r="H958" t="s">
        <v>32</v>
      </c>
      <c r="I958">
        <v>0</v>
      </c>
      <c r="J958" t="str">
        <f>HYPERLINK("https://www.eliteprospects.com/player/425651/thomas-belzile")</f>
        <v>https://www.eliteprospects.com/player/425651/thomas-belzile</v>
      </c>
      <c r="K958" t="s">
        <v>27</v>
      </c>
      <c r="L958" t="s">
        <v>918</v>
      </c>
      <c r="M958" t="s">
        <v>1296</v>
      </c>
      <c r="N958">
        <v>6</v>
      </c>
      <c r="O958" t="s">
        <v>921</v>
      </c>
      <c r="P958">
        <v>0.09</v>
      </c>
      <c r="Q958" t="s">
        <v>245</v>
      </c>
      <c r="R958">
        <v>14.3</v>
      </c>
      <c r="S958">
        <v>42.9</v>
      </c>
      <c r="T958">
        <v>28.6</v>
      </c>
      <c r="U958">
        <v>0</v>
      </c>
      <c r="V958">
        <v>14.3</v>
      </c>
    </row>
    <row r="959" spans="1:22" x14ac:dyDescent="0.25">
      <c r="A959" t="s">
        <v>2253</v>
      </c>
      <c r="B959" t="s">
        <v>957</v>
      </c>
      <c r="C959">
        <v>19</v>
      </c>
      <c r="D959" t="s">
        <v>66</v>
      </c>
      <c r="E959" t="s">
        <v>45</v>
      </c>
      <c r="F959" t="s">
        <v>65</v>
      </c>
      <c r="G959">
        <v>0.68</v>
      </c>
      <c r="H959" t="s">
        <v>499</v>
      </c>
      <c r="I959">
        <v>-1</v>
      </c>
      <c r="J959" t="str">
        <f>HYPERLINK("https://www.eliteprospects.com/player/413102/logan-dowhaniuk")</f>
        <v>https://www.eliteprospects.com/player/413102/logan-dowhaniuk</v>
      </c>
      <c r="K959" t="s">
        <v>27</v>
      </c>
      <c r="L959" t="s">
        <v>918</v>
      </c>
      <c r="M959" t="s">
        <v>1296</v>
      </c>
      <c r="N959">
        <v>6</v>
      </c>
      <c r="O959" t="s">
        <v>924</v>
      </c>
      <c r="P959">
        <v>0.08</v>
      </c>
      <c r="Q959" t="s">
        <v>1300</v>
      </c>
      <c r="R959">
        <v>33.299999999999997</v>
      </c>
      <c r="S959">
        <v>22.2</v>
      </c>
      <c r="T959">
        <v>22.2</v>
      </c>
      <c r="U959">
        <v>11.1</v>
      </c>
      <c r="V959">
        <v>11.1</v>
      </c>
    </row>
    <row r="960" spans="1:22" x14ac:dyDescent="0.25">
      <c r="A960" t="s">
        <v>2254</v>
      </c>
      <c r="B960" t="s">
        <v>917</v>
      </c>
      <c r="C960">
        <v>20</v>
      </c>
      <c r="D960" t="s">
        <v>140</v>
      </c>
      <c r="E960" t="s">
        <v>32</v>
      </c>
      <c r="F960" t="s">
        <v>65</v>
      </c>
      <c r="G960">
        <v>0.65</v>
      </c>
      <c r="H960" t="s">
        <v>53</v>
      </c>
      <c r="I960">
        <v>-15</v>
      </c>
      <c r="J960" t="str">
        <f>HYPERLINK("https://www.eliteprospects.com/player/503983/ethan-ritchie")</f>
        <v>https://www.eliteprospects.com/player/503983/ethan-ritchie</v>
      </c>
      <c r="K960" t="s">
        <v>27</v>
      </c>
      <c r="L960" t="s">
        <v>918</v>
      </c>
      <c r="M960" t="s">
        <v>1296</v>
      </c>
      <c r="N960">
        <v>6</v>
      </c>
      <c r="O960" t="s">
        <v>970</v>
      </c>
      <c r="P960">
        <v>0.08</v>
      </c>
      <c r="Q960" t="s">
        <v>245</v>
      </c>
      <c r="R960">
        <v>0</v>
      </c>
      <c r="S960">
        <v>44.4</v>
      </c>
      <c r="T960">
        <v>33.299999999999997</v>
      </c>
      <c r="U960">
        <v>0</v>
      </c>
      <c r="V960">
        <v>22.2</v>
      </c>
    </row>
    <row r="961" spans="1:22" x14ac:dyDescent="0.25">
      <c r="A961" t="s">
        <v>2255</v>
      </c>
      <c r="B961" t="s">
        <v>1118</v>
      </c>
      <c r="C961">
        <v>18</v>
      </c>
      <c r="D961" t="s">
        <v>260</v>
      </c>
      <c r="E961" t="s">
        <v>23</v>
      </c>
      <c r="F961" t="s">
        <v>65</v>
      </c>
      <c r="G961">
        <v>0.72</v>
      </c>
      <c r="H961" t="s">
        <v>55</v>
      </c>
      <c r="I961">
        <v>-13</v>
      </c>
      <c r="J961" t="str">
        <f>HYPERLINK("https://www.eliteprospects.com/player/201836/blake-heward")</f>
        <v>https://www.eliteprospects.com/player/201836/blake-heward</v>
      </c>
      <c r="K961" t="s">
        <v>27</v>
      </c>
      <c r="L961" t="s">
        <v>918</v>
      </c>
      <c r="M961" t="s">
        <v>1296</v>
      </c>
      <c r="N961">
        <v>4</v>
      </c>
      <c r="O961" t="s">
        <v>978</v>
      </c>
      <c r="P961">
        <v>0.09</v>
      </c>
      <c r="Q961" t="s">
        <v>1325</v>
      </c>
      <c r="R961">
        <v>37.5</v>
      </c>
      <c r="S961">
        <v>25</v>
      </c>
      <c r="T961">
        <v>37.5</v>
      </c>
      <c r="U961">
        <v>0</v>
      </c>
      <c r="V961">
        <v>0</v>
      </c>
    </row>
    <row r="962" spans="1:22" x14ac:dyDescent="0.25">
      <c r="A962" t="s">
        <v>2256</v>
      </c>
      <c r="B962" t="s">
        <v>934</v>
      </c>
      <c r="C962">
        <v>20</v>
      </c>
      <c r="D962" t="s">
        <v>260</v>
      </c>
      <c r="E962" t="s">
        <v>23</v>
      </c>
      <c r="F962" t="s">
        <v>65</v>
      </c>
      <c r="G962">
        <v>0.65</v>
      </c>
      <c r="H962" t="s">
        <v>66</v>
      </c>
      <c r="I962">
        <v>12</v>
      </c>
      <c r="J962" t="str">
        <f>HYPERLINK("https://www.eliteprospects.com/player/530053/justin-nolet")</f>
        <v>https://www.eliteprospects.com/player/530053/justin-nolet</v>
      </c>
      <c r="K962" t="s">
        <v>27</v>
      </c>
      <c r="L962" t="s">
        <v>918</v>
      </c>
      <c r="M962" t="s">
        <v>1296</v>
      </c>
      <c r="N962">
        <v>7</v>
      </c>
      <c r="O962" t="s">
        <v>2257</v>
      </c>
      <c r="P962">
        <v>0.08</v>
      </c>
      <c r="Q962" t="s">
        <v>1325</v>
      </c>
      <c r="R962">
        <v>44.4</v>
      </c>
      <c r="S962">
        <v>11.1</v>
      </c>
      <c r="T962">
        <v>44.4</v>
      </c>
      <c r="U962">
        <v>0</v>
      </c>
      <c r="V962">
        <v>0</v>
      </c>
    </row>
    <row r="963" spans="1:22" x14ac:dyDescent="0.25">
      <c r="A963" t="s">
        <v>2258</v>
      </c>
      <c r="B963" t="s">
        <v>942</v>
      </c>
      <c r="C963">
        <v>18</v>
      </c>
      <c r="D963" t="s">
        <v>132</v>
      </c>
      <c r="E963" t="s">
        <v>65</v>
      </c>
      <c r="F963" t="s">
        <v>65</v>
      </c>
      <c r="G963">
        <v>0.72</v>
      </c>
      <c r="H963" t="s">
        <v>79</v>
      </c>
      <c r="I963">
        <v>0</v>
      </c>
      <c r="J963" t="str">
        <f>HYPERLINK("https://www.eliteprospects.com/player/351631/hunter-donohoe")</f>
        <v>https://www.eliteprospects.com/player/351631/hunter-donohoe</v>
      </c>
      <c r="K963" t="s">
        <v>27</v>
      </c>
      <c r="L963" t="s">
        <v>918</v>
      </c>
      <c r="M963" t="s">
        <v>1296</v>
      </c>
      <c r="N963">
        <v>5</v>
      </c>
      <c r="O963" t="s">
        <v>988</v>
      </c>
      <c r="P963">
        <v>0.09</v>
      </c>
      <c r="Q963" t="s">
        <v>245</v>
      </c>
      <c r="R963">
        <v>14.3</v>
      </c>
      <c r="S963">
        <v>42.9</v>
      </c>
      <c r="T963">
        <v>28.6</v>
      </c>
      <c r="U963">
        <v>0</v>
      </c>
      <c r="V963">
        <v>14.3</v>
      </c>
    </row>
    <row r="964" spans="1:22" x14ac:dyDescent="0.25">
      <c r="A964" t="s">
        <v>2259</v>
      </c>
      <c r="B964" t="s">
        <v>923</v>
      </c>
      <c r="C964">
        <v>14</v>
      </c>
      <c r="D964" t="s">
        <v>57</v>
      </c>
      <c r="E964" t="s">
        <v>57</v>
      </c>
      <c r="F964" t="s">
        <v>23</v>
      </c>
      <c r="G964">
        <v>0.86</v>
      </c>
      <c r="H964" t="s">
        <v>57</v>
      </c>
      <c r="I964">
        <v>12</v>
      </c>
      <c r="J964" t="str">
        <f>HYPERLINK("https://www.eliteprospects.com/player/407565/connor-horning")</f>
        <v>https://www.eliteprospects.com/player/407565/connor-horning</v>
      </c>
      <c r="K964" t="s">
        <v>27</v>
      </c>
      <c r="L964" t="s">
        <v>918</v>
      </c>
      <c r="M964" t="s">
        <v>1296</v>
      </c>
      <c r="N964">
        <v>6</v>
      </c>
      <c r="O964" t="s">
        <v>927</v>
      </c>
      <c r="P964">
        <v>0.11</v>
      </c>
      <c r="Q964" t="s">
        <v>1309</v>
      </c>
      <c r="R964">
        <v>25</v>
      </c>
      <c r="S964">
        <v>25</v>
      </c>
      <c r="T964">
        <v>16.7</v>
      </c>
      <c r="U964">
        <v>8.3000000000000007</v>
      </c>
      <c r="V964">
        <v>25</v>
      </c>
    </row>
    <row r="965" spans="1:22" x14ac:dyDescent="0.25">
      <c r="A965" t="s">
        <v>2260</v>
      </c>
      <c r="B965" t="s">
        <v>998</v>
      </c>
      <c r="C965">
        <v>18</v>
      </c>
      <c r="D965" t="s">
        <v>96</v>
      </c>
      <c r="E965" t="s">
        <v>78</v>
      </c>
      <c r="F965" t="s">
        <v>23</v>
      </c>
      <c r="G965">
        <v>0.67</v>
      </c>
      <c r="H965" t="s">
        <v>66</v>
      </c>
      <c r="I965">
        <v>0</v>
      </c>
      <c r="J965" t="str">
        <f>HYPERLINK("https://www.eliteprospects.com/player/504236/michael-renwick")</f>
        <v>https://www.eliteprospects.com/player/504236/michael-renwick</v>
      </c>
      <c r="K965" t="s">
        <v>27</v>
      </c>
      <c r="L965" t="s">
        <v>918</v>
      </c>
      <c r="M965" t="s">
        <v>1296</v>
      </c>
      <c r="N965">
        <v>7</v>
      </c>
      <c r="O965" t="s">
        <v>919</v>
      </c>
      <c r="P965">
        <v>0.08</v>
      </c>
      <c r="Q965" t="s">
        <v>1300</v>
      </c>
      <c r="R965">
        <v>33.299999999999997</v>
      </c>
      <c r="S965">
        <v>22.2</v>
      </c>
      <c r="T965">
        <v>22.2</v>
      </c>
      <c r="U965">
        <v>11.1</v>
      </c>
      <c r="V965">
        <v>11.1</v>
      </c>
    </row>
    <row r="966" spans="1:22" x14ac:dyDescent="0.25">
      <c r="A966" t="s">
        <v>2261</v>
      </c>
      <c r="B966" t="s">
        <v>977</v>
      </c>
      <c r="C966">
        <v>17</v>
      </c>
      <c r="D966" t="s">
        <v>140</v>
      </c>
      <c r="E966" t="s">
        <v>45</v>
      </c>
      <c r="F966" t="s">
        <v>23</v>
      </c>
      <c r="G966">
        <v>0.71</v>
      </c>
      <c r="H966" t="s">
        <v>79</v>
      </c>
      <c r="I966">
        <v>0</v>
      </c>
      <c r="J966" t="str">
        <f>HYPERLINK("https://www.eliteprospects.com/player/334047/matt-mcnamara")</f>
        <v>https://www.eliteprospects.com/player/334047/matt-mcnamara</v>
      </c>
      <c r="K966" t="s">
        <v>27</v>
      </c>
      <c r="L966" t="s">
        <v>918</v>
      </c>
      <c r="M966" t="s">
        <v>1296</v>
      </c>
      <c r="N966">
        <v>5</v>
      </c>
      <c r="O966" t="s">
        <v>955</v>
      </c>
      <c r="P966">
        <v>0.09</v>
      </c>
      <c r="Q966" t="s">
        <v>245</v>
      </c>
      <c r="R966">
        <v>14.3</v>
      </c>
      <c r="S966">
        <v>42.9</v>
      </c>
      <c r="T966">
        <v>28.6</v>
      </c>
      <c r="U966">
        <v>0</v>
      </c>
      <c r="V966">
        <v>14.3</v>
      </c>
    </row>
    <row r="967" spans="1:22" x14ac:dyDescent="0.25">
      <c r="A967" t="s">
        <v>2262</v>
      </c>
      <c r="B967" t="s">
        <v>1049</v>
      </c>
      <c r="C967">
        <v>18</v>
      </c>
      <c r="D967" t="s">
        <v>140</v>
      </c>
      <c r="E967" t="s">
        <v>45</v>
      </c>
      <c r="F967" t="s">
        <v>23</v>
      </c>
      <c r="G967">
        <v>0.67</v>
      </c>
      <c r="H967" t="s">
        <v>23</v>
      </c>
      <c r="I967">
        <v>-7</v>
      </c>
      <c r="J967" t="str">
        <f>HYPERLINK("https://www.eliteprospects.com/player/483394/lucas-brenton")</f>
        <v>https://www.eliteprospects.com/player/483394/lucas-brenton</v>
      </c>
      <c r="K967" t="s">
        <v>27</v>
      </c>
      <c r="L967" t="s">
        <v>918</v>
      </c>
      <c r="M967" t="s">
        <v>1296</v>
      </c>
      <c r="N967">
        <v>7</v>
      </c>
      <c r="O967" t="s">
        <v>2263</v>
      </c>
      <c r="P967">
        <v>0.08</v>
      </c>
      <c r="Q967" t="s">
        <v>245</v>
      </c>
      <c r="R967">
        <v>0</v>
      </c>
      <c r="S967">
        <v>44.4</v>
      </c>
      <c r="T967">
        <v>33.299999999999997</v>
      </c>
      <c r="U967">
        <v>0</v>
      </c>
      <c r="V967">
        <v>22.2</v>
      </c>
    </row>
    <row r="968" spans="1:22" x14ac:dyDescent="0.25">
      <c r="A968" t="s">
        <v>2264</v>
      </c>
      <c r="B968" t="s">
        <v>926</v>
      </c>
      <c r="C968">
        <v>19</v>
      </c>
      <c r="D968" t="s">
        <v>140</v>
      </c>
      <c r="E968" t="s">
        <v>45</v>
      </c>
      <c r="F968" t="s">
        <v>23</v>
      </c>
      <c r="G968">
        <v>0.63</v>
      </c>
      <c r="H968" t="s">
        <v>26</v>
      </c>
      <c r="I968">
        <v>14</v>
      </c>
      <c r="J968" t="str">
        <f>HYPERLINK("https://www.eliteprospects.com/player/560054/kayden-sadhra-kang")</f>
        <v>https://www.eliteprospects.com/player/560054/kayden-sadhra-kang</v>
      </c>
      <c r="K968" t="s">
        <v>27</v>
      </c>
      <c r="L968" t="s">
        <v>918</v>
      </c>
      <c r="M968" t="s">
        <v>1296</v>
      </c>
      <c r="N968">
        <v>5</v>
      </c>
      <c r="O968" t="s">
        <v>979</v>
      </c>
      <c r="P968">
        <v>0.08</v>
      </c>
      <c r="Q968" t="s">
        <v>1325</v>
      </c>
      <c r="R968">
        <v>44.4</v>
      </c>
      <c r="S968">
        <v>11.1</v>
      </c>
      <c r="T968">
        <v>44.4</v>
      </c>
      <c r="U968">
        <v>0</v>
      </c>
      <c r="V968">
        <v>0</v>
      </c>
    </row>
    <row r="969" spans="1:22" x14ac:dyDescent="0.25">
      <c r="A969" t="s">
        <v>2265</v>
      </c>
      <c r="B969" t="s">
        <v>917</v>
      </c>
      <c r="C969">
        <v>18</v>
      </c>
      <c r="D969" t="s">
        <v>79</v>
      </c>
      <c r="E969" t="s">
        <v>32</v>
      </c>
      <c r="F969" t="s">
        <v>23</v>
      </c>
      <c r="G969">
        <v>0.67</v>
      </c>
      <c r="H969" t="s">
        <v>79</v>
      </c>
      <c r="I969">
        <v>8</v>
      </c>
      <c r="J969" t="str">
        <f>HYPERLINK("https://www.eliteprospects.com/player/485870/connor-olson")</f>
        <v>https://www.eliteprospects.com/player/485870/connor-olson</v>
      </c>
      <c r="K969" t="s">
        <v>27</v>
      </c>
      <c r="L969" t="s">
        <v>918</v>
      </c>
      <c r="M969" t="s">
        <v>1296</v>
      </c>
      <c r="N969">
        <v>5</v>
      </c>
      <c r="O969" t="s">
        <v>973</v>
      </c>
      <c r="P969">
        <v>0.08</v>
      </c>
      <c r="Q969" t="s">
        <v>1325</v>
      </c>
      <c r="R969">
        <v>44.4</v>
      </c>
      <c r="S969">
        <v>11.1</v>
      </c>
      <c r="T969">
        <v>44.4</v>
      </c>
      <c r="U969">
        <v>0</v>
      </c>
      <c r="V969">
        <v>0</v>
      </c>
    </row>
    <row r="970" spans="1:22" x14ac:dyDescent="0.25">
      <c r="A970" t="s">
        <v>2266</v>
      </c>
      <c r="B970" t="s">
        <v>917</v>
      </c>
      <c r="C970">
        <v>20</v>
      </c>
      <c r="D970" t="s">
        <v>79</v>
      </c>
      <c r="E970" t="s">
        <v>32</v>
      </c>
      <c r="F970" t="s">
        <v>23</v>
      </c>
      <c r="G970">
        <v>0.6</v>
      </c>
      <c r="H970" t="s">
        <v>26</v>
      </c>
      <c r="I970">
        <v>3</v>
      </c>
      <c r="J970" t="str">
        <f>HYPERLINK("https://www.eliteprospects.com/player/618658/jacob-holmes")</f>
        <v>https://www.eliteprospects.com/player/618658/jacob-holmes</v>
      </c>
      <c r="K970" t="s">
        <v>27</v>
      </c>
      <c r="L970" t="s">
        <v>918</v>
      </c>
      <c r="M970" t="s">
        <v>1296</v>
      </c>
      <c r="N970">
        <v>7</v>
      </c>
      <c r="O970" t="s">
        <v>948</v>
      </c>
      <c r="P970">
        <v>0.08</v>
      </c>
      <c r="Q970" t="s">
        <v>1325</v>
      </c>
      <c r="R970">
        <v>33.299999999999997</v>
      </c>
      <c r="S970">
        <v>16.7</v>
      </c>
      <c r="T970">
        <v>33.299999999999997</v>
      </c>
      <c r="U970">
        <v>16.7</v>
      </c>
      <c r="V970">
        <v>0</v>
      </c>
    </row>
    <row r="971" spans="1:22" x14ac:dyDescent="0.25">
      <c r="A971" t="s">
        <v>2267</v>
      </c>
      <c r="B971" t="s">
        <v>957</v>
      </c>
      <c r="C971">
        <v>20</v>
      </c>
      <c r="D971" t="s">
        <v>79</v>
      </c>
      <c r="E971" t="s">
        <v>32</v>
      </c>
      <c r="F971" t="s">
        <v>23</v>
      </c>
      <c r="G971">
        <v>0.6</v>
      </c>
      <c r="H971" t="s">
        <v>25</v>
      </c>
      <c r="I971">
        <v>8</v>
      </c>
      <c r="J971" t="str">
        <f>HYPERLINK("https://www.eliteprospects.com/player/559019/keaton-dowhaniuk")</f>
        <v>https://www.eliteprospects.com/player/559019/keaton-dowhaniuk</v>
      </c>
      <c r="K971" t="s">
        <v>27</v>
      </c>
      <c r="L971" t="s">
        <v>918</v>
      </c>
      <c r="M971" t="s">
        <v>1296</v>
      </c>
      <c r="N971">
        <v>7</v>
      </c>
      <c r="O971" t="s">
        <v>2263</v>
      </c>
      <c r="P971">
        <v>0.08</v>
      </c>
      <c r="Q971" t="s">
        <v>1300</v>
      </c>
      <c r="R971">
        <v>42.9</v>
      </c>
      <c r="S971">
        <v>28.6</v>
      </c>
      <c r="T971">
        <v>28.6</v>
      </c>
      <c r="U971">
        <v>0</v>
      </c>
      <c r="V971">
        <v>0</v>
      </c>
    </row>
    <row r="972" spans="1:22" x14ac:dyDescent="0.25">
      <c r="A972" t="s">
        <v>2268</v>
      </c>
      <c r="B972" t="s">
        <v>1020</v>
      </c>
      <c r="C972">
        <v>20</v>
      </c>
      <c r="D972" t="s">
        <v>96</v>
      </c>
      <c r="E972" t="s">
        <v>57</v>
      </c>
      <c r="F972" t="s">
        <v>69</v>
      </c>
      <c r="G972">
        <v>0.55000000000000004</v>
      </c>
      <c r="H972" t="s">
        <v>39</v>
      </c>
      <c r="I972">
        <v>-18</v>
      </c>
      <c r="J972" t="str">
        <f>HYPERLINK("https://www.eliteprospects.com/player/476574/jonathan-krahn")</f>
        <v>https://www.eliteprospects.com/player/476574/jonathan-krahn</v>
      </c>
      <c r="K972" t="s">
        <v>27</v>
      </c>
      <c r="L972" t="s">
        <v>918</v>
      </c>
      <c r="M972" t="s">
        <v>1546</v>
      </c>
      <c r="N972">
        <v>3</v>
      </c>
      <c r="O972" t="s">
        <v>962</v>
      </c>
      <c r="P972">
        <v>7.0000000000000007E-2</v>
      </c>
      <c r="Q972" t="s">
        <v>245</v>
      </c>
      <c r="R972">
        <v>0</v>
      </c>
      <c r="S972">
        <v>44.4</v>
      </c>
      <c r="T972">
        <v>33.299999999999997</v>
      </c>
      <c r="U972">
        <v>0</v>
      </c>
      <c r="V972">
        <v>22.2</v>
      </c>
    </row>
    <row r="973" spans="1:22" x14ac:dyDescent="0.25">
      <c r="A973" t="s">
        <v>2269</v>
      </c>
      <c r="B973" t="s">
        <v>1001</v>
      </c>
      <c r="C973">
        <v>14</v>
      </c>
      <c r="D973" t="s">
        <v>140</v>
      </c>
      <c r="E973" t="s">
        <v>26</v>
      </c>
      <c r="F973" t="s">
        <v>69</v>
      </c>
      <c r="G973">
        <v>0.79</v>
      </c>
      <c r="H973" t="s">
        <v>66</v>
      </c>
      <c r="I973">
        <v>-13</v>
      </c>
      <c r="J973" t="str">
        <f>HYPERLINK("https://www.eliteprospects.com/player/504038/jack-harper")</f>
        <v>https://www.eliteprospects.com/player/504038/jack-harper</v>
      </c>
      <c r="K973" t="s">
        <v>27</v>
      </c>
      <c r="L973" t="s">
        <v>918</v>
      </c>
      <c r="M973" t="s">
        <v>1296</v>
      </c>
      <c r="N973">
        <v>7</v>
      </c>
      <c r="O973" t="s">
        <v>919</v>
      </c>
      <c r="P973">
        <v>0.1</v>
      </c>
      <c r="Q973" t="s">
        <v>1325</v>
      </c>
      <c r="R973">
        <v>37.5</v>
      </c>
      <c r="S973">
        <v>25</v>
      </c>
      <c r="T973">
        <v>37.5</v>
      </c>
      <c r="U973">
        <v>0</v>
      </c>
      <c r="V973">
        <v>0</v>
      </c>
    </row>
    <row r="974" spans="1:22" x14ac:dyDescent="0.25">
      <c r="A974" t="s">
        <v>2270</v>
      </c>
      <c r="B974" t="s">
        <v>1036</v>
      </c>
      <c r="C974">
        <v>19</v>
      </c>
      <c r="D974" t="s">
        <v>140</v>
      </c>
      <c r="E974" t="s">
        <v>26</v>
      </c>
      <c r="F974" t="s">
        <v>69</v>
      </c>
      <c r="G974">
        <v>0.57999999999999996</v>
      </c>
      <c r="H974" t="s">
        <v>32</v>
      </c>
      <c r="I974">
        <v>0</v>
      </c>
      <c r="J974" t="str">
        <f>HYPERLINK("https://www.eliteprospects.com/player/273728/stephen-calisti")</f>
        <v>https://www.eliteprospects.com/player/273728/stephen-calisti</v>
      </c>
      <c r="K974" t="s">
        <v>27</v>
      </c>
      <c r="L974" t="s">
        <v>918</v>
      </c>
      <c r="M974" t="s">
        <v>1296</v>
      </c>
      <c r="N974">
        <v>5</v>
      </c>
      <c r="O974" t="s">
        <v>1237</v>
      </c>
      <c r="P974">
        <v>7.0000000000000007E-2</v>
      </c>
      <c r="Q974" t="s">
        <v>1300</v>
      </c>
      <c r="R974">
        <v>33.299999999999997</v>
      </c>
      <c r="S974">
        <v>22.2</v>
      </c>
      <c r="T974">
        <v>22.2</v>
      </c>
      <c r="U974">
        <v>11.1</v>
      </c>
      <c r="V974">
        <v>11.1</v>
      </c>
    </row>
    <row r="975" spans="1:22" x14ac:dyDescent="0.25">
      <c r="A975" t="s">
        <v>2271</v>
      </c>
      <c r="B975" t="s">
        <v>931</v>
      </c>
      <c r="C975">
        <v>10</v>
      </c>
      <c r="D975" t="s">
        <v>79</v>
      </c>
      <c r="E975" t="s">
        <v>45</v>
      </c>
      <c r="F975" t="s">
        <v>69</v>
      </c>
      <c r="G975">
        <v>1.1000000000000001</v>
      </c>
      <c r="H975" t="s">
        <v>66</v>
      </c>
      <c r="I975">
        <v>5</v>
      </c>
      <c r="J975" t="str">
        <f>HYPERLINK("https://www.eliteprospects.com/player/476695/clay-hanus")</f>
        <v>https://www.eliteprospects.com/player/476695/clay-hanus</v>
      </c>
      <c r="K975" t="s">
        <v>27</v>
      </c>
      <c r="L975" t="s">
        <v>918</v>
      </c>
      <c r="M975" t="s">
        <v>1296</v>
      </c>
      <c r="N975">
        <v>6</v>
      </c>
      <c r="O975" t="s">
        <v>927</v>
      </c>
      <c r="P975">
        <v>0.14000000000000001</v>
      </c>
      <c r="Q975" t="s">
        <v>1300</v>
      </c>
      <c r="R975">
        <v>42.9</v>
      </c>
      <c r="S975">
        <v>14.3</v>
      </c>
      <c r="T975">
        <v>7.1</v>
      </c>
      <c r="U975">
        <v>7.1</v>
      </c>
      <c r="V975">
        <v>28.6</v>
      </c>
    </row>
    <row r="976" spans="1:22" x14ac:dyDescent="0.25">
      <c r="A976" t="s">
        <v>2272</v>
      </c>
      <c r="B976" t="s">
        <v>954</v>
      </c>
      <c r="C976">
        <v>17</v>
      </c>
      <c r="D976" t="s">
        <v>260</v>
      </c>
      <c r="E976" t="s">
        <v>32</v>
      </c>
      <c r="F976" t="s">
        <v>69</v>
      </c>
      <c r="G976">
        <v>0.65</v>
      </c>
      <c r="H976" t="s">
        <v>132</v>
      </c>
      <c r="I976">
        <v>0</v>
      </c>
      <c r="J976" t="str">
        <f>HYPERLINK("https://www.eliteprospects.com/player/648080/nicolas-bilodeau")</f>
        <v>https://www.eliteprospects.com/player/648080/nicolas-bilodeau</v>
      </c>
      <c r="K976" t="s">
        <v>27</v>
      </c>
      <c r="L976" t="s">
        <v>918</v>
      </c>
      <c r="M976" t="s">
        <v>1296</v>
      </c>
      <c r="N976">
        <v>4</v>
      </c>
      <c r="O976" t="s">
        <v>1051</v>
      </c>
      <c r="P976">
        <v>0.08</v>
      </c>
      <c r="Q976" t="s">
        <v>1300</v>
      </c>
      <c r="R976">
        <v>33.299999999999997</v>
      </c>
      <c r="S976">
        <v>22.2</v>
      </c>
      <c r="T976">
        <v>22.2</v>
      </c>
      <c r="U976">
        <v>11.1</v>
      </c>
      <c r="V976">
        <v>11.1</v>
      </c>
    </row>
    <row r="977" spans="1:22" x14ac:dyDescent="0.25">
      <c r="A977" t="s">
        <v>2273</v>
      </c>
      <c r="B977" t="s">
        <v>931</v>
      </c>
      <c r="C977">
        <v>20</v>
      </c>
      <c r="D977" t="s">
        <v>260</v>
      </c>
      <c r="E977" t="s">
        <v>32</v>
      </c>
      <c r="F977" t="s">
        <v>69</v>
      </c>
      <c r="G977">
        <v>0.55000000000000004</v>
      </c>
      <c r="H977" t="s">
        <v>24</v>
      </c>
      <c r="I977">
        <v>20</v>
      </c>
      <c r="J977" t="str">
        <f>HYPERLINK("https://www.eliteprospects.com/player/281933/kyle-walker")</f>
        <v>https://www.eliteprospects.com/player/281933/kyle-walker</v>
      </c>
      <c r="K977" t="s">
        <v>27</v>
      </c>
      <c r="L977" t="s">
        <v>918</v>
      </c>
      <c r="M977" t="s">
        <v>1296</v>
      </c>
      <c r="N977">
        <v>6</v>
      </c>
      <c r="O977" t="s">
        <v>932</v>
      </c>
      <c r="P977">
        <v>7.0000000000000007E-2</v>
      </c>
      <c r="Q977" t="s">
        <v>1325</v>
      </c>
      <c r="R977">
        <v>44.4</v>
      </c>
      <c r="S977">
        <v>11.1</v>
      </c>
      <c r="T977">
        <v>44.4</v>
      </c>
      <c r="U977">
        <v>0</v>
      </c>
      <c r="V977">
        <v>0</v>
      </c>
    </row>
    <row r="978" spans="1:22" x14ac:dyDescent="0.25">
      <c r="A978" t="s">
        <v>2274</v>
      </c>
      <c r="B978" t="s">
        <v>1003</v>
      </c>
      <c r="C978">
        <v>14</v>
      </c>
      <c r="D978" t="s">
        <v>132</v>
      </c>
      <c r="E978" t="s">
        <v>69</v>
      </c>
      <c r="F978" t="s">
        <v>69</v>
      </c>
      <c r="G978">
        <v>0.79</v>
      </c>
      <c r="H978" t="s">
        <v>23</v>
      </c>
      <c r="I978">
        <v>0</v>
      </c>
      <c r="J978" t="str">
        <f>HYPERLINK("https://www.eliteprospects.com/player/295303/antoine-desrochers")</f>
        <v>https://www.eliteprospects.com/player/295303/antoine-desrochers</v>
      </c>
      <c r="K978" t="s">
        <v>27</v>
      </c>
      <c r="L978" t="s">
        <v>918</v>
      </c>
      <c r="M978" t="s">
        <v>1296</v>
      </c>
      <c r="N978">
        <v>6</v>
      </c>
      <c r="O978" t="s">
        <v>921</v>
      </c>
      <c r="P978">
        <v>0.1</v>
      </c>
      <c r="Q978" t="s">
        <v>245</v>
      </c>
      <c r="R978">
        <v>14.3</v>
      </c>
      <c r="S978">
        <v>42.9</v>
      </c>
      <c r="T978">
        <v>28.6</v>
      </c>
      <c r="U978">
        <v>0</v>
      </c>
      <c r="V978">
        <v>14.3</v>
      </c>
    </row>
    <row r="979" spans="1:22" x14ac:dyDescent="0.25">
      <c r="A979" t="s">
        <v>2275</v>
      </c>
      <c r="B979" t="s">
        <v>944</v>
      </c>
      <c r="C979">
        <v>20</v>
      </c>
      <c r="D979" t="s">
        <v>140</v>
      </c>
      <c r="E979" t="s">
        <v>78</v>
      </c>
      <c r="F979" t="s">
        <v>32</v>
      </c>
      <c r="G979">
        <v>0.5</v>
      </c>
      <c r="H979" t="s">
        <v>81</v>
      </c>
      <c r="I979">
        <v>6</v>
      </c>
      <c r="J979" t="str">
        <f>HYPERLINK("https://www.eliteprospects.com/player/272854/denis-toner")</f>
        <v>https://www.eliteprospects.com/player/272854/denis-toner</v>
      </c>
      <c r="K979" t="s">
        <v>27</v>
      </c>
      <c r="L979" t="s">
        <v>918</v>
      </c>
      <c r="M979" t="s">
        <v>1296</v>
      </c>
      <c r="N979">
        <v>5</v>
      </c>
      <c r="O979" t="s">
        <v>945</v>
      </c>
      <c r="P979">
        <v>0.06</v>
      </c>
      <c r="Q979" t="s">
        <v>1325</v>
      </c>
      <c r="R979">
        <v>18.2</v>
      </c>
      <c r="S979">
        <v>9.1</v>
      </c>
      <c r="T979">
        <v>63.6</v>
      </c>
      <c r="U979">
        <v>0</v>
      </c>
      <c r="V979">
        <v>9.1</v>
      </c>
    </row>
    <row r="980" spans="1:22" x14ac:dyDescent="0.25">
      <c r="A980" t="s">
        <v>2276</v>
      </c>
      <c r="B980" t="s">
        <v>1053</v>
      </c>
      <c r="C980">
        <v>17</v>
      </c>
      <c r="D980" t="s">
        <v>79</v>
      </c>
      <c r="E980" t="s">
        <v>26</v>
      </c>
      <c r="F980" t="s">
        <v>32</v>
      </c>
      <c r="G980">
        <v>0.59</v>
      </c>
      <c r="H980" t="s">
        <v>23</v>
      </c>
      <c r="I980">
        <v>0</v>
      </c>
      <c r="J980" t="str">
        <f>HYPERLINK("https://www.eliteprospects.com/player/416979/brandon-mccartney")</f>
        <v>https://www.eliteprospects.com/player/416979/brandon-mccartney</v>
      </c>
      <c r="K980" t="s">
        <v>27</v>
      </c>
      <c r="L980" t="s">
        <v>918</v>
      </c>
      <c r="M980" t="s">
        <v>1296</v>
      </c>
      <c r="N980">
        <v>2</v>
      </c>
      <c r="O980" t="s">
        <v>1021</v>
      </c>
      <c r="P980">
        <v>7.0000000000000007E-2</v>
      </c>
      <c r="Q980" t="s">
        <v>1300</v>
      </c>
      <c r="R980">
        <v>33.299999999999997</v>
      </c>
      <c r="S980">
        <v>22.2</v>
      </c>
      <c r="T980">
        <v>22.2</v>
      </c>
      <c r="U980">
        <v>11.1</v>
      </c>
      <c r="V980">
        <v>11.1</v>
      </c>
    </row>
    <row r="981" spans="1:22" x14ac:dyDescent="0.25">
      <c r="A981" t="s">
        <v>2277</v>
      </c>
      <c r="B981" t="s">
        <v>1001</v>
      </c>
      <c r="C981">
        <v>19</v>
      </c>
      <c r="D981" t="s">
        <v>79</v>
      </c>
      <c r="E981" t="s">
        <v>26</v>
      </c>
      <c r="F981" t="s">
        <v>32</v>
      </c>
      <c r="G981">
        <v>0.53</v>
      </c>
      <c r="H981" t="s">
        <v>518</v>
      </c>
      <c r="I981">
        <v>-27</v>
      </c>
      <c r="J981" t="str">
        <f>HYPERLINK("https://www.eliteprospects.com/player/337757/ethan-martini")</f>
        <v>https://www.eliteprospects.com/player/337757/ethan-martini</v>
      </c>
      <c r="K981" t="s">
        <v>27</v>
      </c>
      <c r="L981" t="s">
        <v>918</v>
      </c>
      <c r="M981" t="s">
        <v>1296</v>
      </c>
      <c r="N981">
        <v>4</v>
      </c>
      <c r="O981" t="s">
        <v>2278</v>
      </c>
      <c r="P981">
        <v>7.0000000000000007E-2</v>
      </c>
      <c r="Q981" t="s">
        <v>245</v>
      </c>
      <c r="R981">
        <v>0</v>
      </c>
      <c r="S981">
        <v>44.4</v>
      </c>
      <c r="T981">
        <v>33.299999999999997</v>
      </c>
      <c r="U981">
        <v>0</v>
      </c>
      <c r="V981">
        <v>22.2</v>
      </c>
    </row>
    <row r="982" spans="1:22" x14ac:dyDescent="0.25">
      <c r="A982" t="s">
        <v>2279</v>
      </c>
      <c r="B982" t="s">
        <v>1032</v>
      </c>
      <c r="C982">
        <v>12</v>
      </c>
      <c r="D982" t="s">
        <v>132</v>
      </c>
      <c r="E982" t="s">
        <v>32</v>
      </c>
      <c r="F982" t="s">
        <v>32</v>
      </c>
      <c r="G982">
        <v>0.83</v>
      </c>
      <c r="H982" t="s">
        <v>39</v>
      </c>
      <c r="I982">
        <v>0</v>
      </c>
      <c r="J982" t="str">
        <f>HYPERLINK("https://www.eliteprospects.com/player/417813/sam-mckinney")</f>
        <v>https://www.eliteprospects.com/player/417813/sam-mckinney</v>
      </c>
      <c r="K982" t="s">
        <v>27</v>
      </c>
      <c r="L982" t="s">
        <v>918</v>
      </c>
      <c r="M982" t="s">
        <v>1296</v>
      </c>
      <c r="N982">
        <v>5</v>
      </c>
      <c r="O982" t="s">
        <v>1094</v>
      </c>
      <c r="P982">
        <v>0.1</v>
      </c>
      <c r="Q982" t="s">
        <v>245</v>
      </c>
      <c r="R982">
        <v>14.3</v>
      </c>
      <c r="S982">
        <v>42.9</v>
      </c>
      <c r="T982">
        <v>28.6</v>
      </c>
      <c r="U982">
        <v>0</v>
      </c>
      <c r="V982">
        <v>14.3</v>
      </c>
    </row>
    <row r="983" spans="1:22" x14ac:dyDescent="0.25">
      <c r="A983" t="s">
        <v>2280</v>
      </c>
      <c r="B983" t="s">
        <v>997</v>
      </c>
      <c r="C983">
        <v>18</v>
      </c>
      <c r="D983" t="s">
        <v>66</v>
      </c>
      <c r="E983" t="s">
        <v>96</v>
      </c>
      <c r="F983" t="s">
        <v>45</v>
      </c>
      <c r="G983">
        <v>0.5</v>
      </c>
      <c r="H983" t="s">
        <v>66</v>
      </c>
      <c r="I983">
        <v>0</v>
      </c>
      <c r="J983" t="str">
        <f>HYPERLINK("https://www.eliteprospects.com/player/499905/xavier-laurent")</f>
        <v>https://www.eliteprospects.com/player/499905/xavier-laurent</v>
      </c>
      <c r="K983" t="s">
        <v>27</v>
      </c>
      <c r="L983" t="s">
        <v>918</v>
      </c>
      <c r="M983" t="s">
        <v>1296</v>
      </c>
      <c r="N983">
        <v>1</v>
      </c>
      <c r="O983" t="s">
        <v>984</v>
      </c>
      <c r="P983">
        <v>0.06</v>
      </c>
      <c r="Q983" t="s">
        <v>1300</v>
      </c>
      <c r="R983">
        <v>37.5</v>
      </c>
      <c r="S983">
        <v>37.5</v>
      </c>
      <c r="T983">
        <v>0</v>
      </c>
      <c r="U983">
        <v>12.5</v>
      </c>
      <c r="V983">
        <v>12.5</v>
      </c>
    </row>
    <row r="984" spans="1:22" x14ac:dyDescent="0.25">
      <c r="A984" t="s">
        <v>2281</v>
      </c>
      <c r="B984" t="s">
        <v>917</v>
      </c>
      <c r="C984">
        <v>14</v>
      </c>
      <c r="D984" t="s">
        <v>140</v>
      </c>
      <c r="E984" t="s">
        <v>57</v>
      </c>
      <c r="F984" t="s">
        <v>45</v>
      </c>
      <c r="G984">
        <v>0.64</v>
      </c>
      <c r="H984" t="s">
        <v>66</v>
      </c>
      <c r="I984">
        <v>5</v>
      </c>
      <c r="J984" t="str">
        <f>HYPERLINK("https://www.eliteprospects.com/player/563418/ryan-hopkins")</f>
        <v>https://www.eliteprospects.com/player/563418/ryan-hopkins</v>
      </c>
      <c r="K984" t="s">
        <v>27</v>
      </c>
      <c r="L984" t="s">
        <v>918</v>
      </c>
      <c r="M984" t="s">
        <v>1296</v>
      </c>
      <c r="N984">
        <v>2</v>
      </c>
      <c r="O984" t="s">
        <v>1076</v>
      </c>
      <c r="P984">
        <v>0.08</v>
      </c>
      <c r="Q984" t="s">
        <v>1300</v>
      </c>
      <c r="R984">
        <v>42.9</v>
      </c>
      <c r="S984">
        <v>28.6</v>
      </c>
      <c r="T984">
        <v>28.6</v>
      </c>
      <c r="U984">
        <v>0</v>
      </c>
      <c r="V984">
        <v>0</v>
      </c>
    </row>
    <row r="985" spans="1:22" x14ac:dyDescent="0.25">
      <c r="A985" t="s">
        <v>2282</v>
      </c>
      <c r="B985" t="s">
        <v>1015</v>
      </c>
      <c r="C985">
        <v>14</v>
      </c>
      <c r="D985" t="s">
        <v>140</v>
      </c>
      <c r="E985" t="s">
        <v>57</v>
      </c>
      <c r="F985" t="s">
        <v>45</v>
      </c>
      <c r="G985">
        <v>0.64</v>
      </c>
      <c r="H985" t="s">
        <v>24</v>
      </c>
      <c r="I985">
        <v>5</v>
      </c>
      <c r="J985" t="str">
        <f>HYPERLINK("https://www.eliteprospects.com/player/422105/mason-ward")</f>
        <v>https://www.eliteprospects.com/player/422105/mason-ward</v>
      </c>
      <c r="K985" t="s">
        <v>27</v>
      </c>
      <c r="L985" t="s">
        <v>918</v>
      </c>
      <c r="M985" t="s">
        <v>1296</v>
      </c>
      <c r="N985">
        <v>6</v>
      </c>
      <c r="O985" t="s">
        <v>924</v>
      </c>
      <c r="P985">
        <v>0.08</v>
      </c>
      <c r="Q985" t="s">
        <v>1300</v>
      </c>
      <c r="R985">
        <v>42.9</v>
      </c>
      <c r="S985">
        <v>28.6</v>
      </c>
      <c r="T985">
        <v>28.6</v>
      </c>
      <c r="U985">
        <v>0</v>
      </c>
      <c r="V985">
        <v>0</v>
      </c>
    </row>
    <row r="986" spans="1:22" x14ac:dyDescent="0.25">
      <c r="A986" t="s">
        <v>2283</v>
      </c>
      <c r="B986" t="s">
        <v>944</v>
      </c>
      <c r="C986">
        <v>20</v>
      </c>
      <c r="D986" t="s">
        <v>140</v>
      </c>
      <c r="E986" t="s">
        <v>57</v>
      </c>
      <c r="F986" t="s">
        <v>45</v>
      </c>
      <c r="G986">
        <v>0.45</v>
      </c>
      <c r="H986" t="s">
        <v>32</v>
      </c>
      <c r="I986">
        <v>10</v>
      </c>
      <c r="J986" t="str">
        <f>HYPERLINK("https://www.eliteprospects.com/player/410533/thomas-pelletier")</f>
        <v>https://www.eliteprospects.com/player/410533/thomas-pelletier</v>
      </c>
      <c r="K986" t="s">
        <v>27</v>
      </c>
      <c r="L986" t="s">
        <v>918</v>
      </c>
      <c r="M986" t="s">
        <v>1296</v>
      </c>
      <c r="N986">
        <v>6</v>
      </c>
      <c r="O986" t="s">
        <v>937</v>
      </c>
      <c r="P986">
        <v>0.06</v>
      </c>
      <c r="Q986" t="s">
        <v>1309</v>
      </c>
      <c r="R986">
        <v>14.3</v>
      </c>
      <c r="S986">
        <v>28.6</v>
      </c>
      <c r="T986">
        <v>28.6</v>
      </c>
      <c r="U986">
        <v>0</v>
      </c>
      <c r="V986">
        <v>28.6</v>
      </c>
    </row>
    <row r="987" spans="1:22" x14ac:dyDescent="0.25">
      <c r="A987" t="s">
        <v>2284</v>
      </c>
      <c r="B987" t="s">
        <v>972</v>
      </c>
      <c r="C987">
        <v>18</v>
      </c>
      <c r="D987" t="s">
        <v>79</v>
      </c>
      <c r="E987" t="s">
        <v>78</v>
      </c>
      <c r="F987" t="s">
        <v>45</v>
      </c>
      <c r="G987">
        <v>0.5</v>
      </c>
      <c r="H987" t="s">
        <v>178</v>
      </c>
      <c r="I987">
        <v>0</v>
      </c>
      <c r="J987" t="str">
        <f>HYPERLINK("https://www.eliteprospects.com/player/723099/naaman-hofer")</f>
        <v>https://www.eliteprospects.com/player/723099/naaman-hofer</v>
      </c>
      <c r="K987" t="s">
        <v>27</v>
      </c>
      <c r="L987" t="s">
        <v>918</v>
      </c>
      <c r="M987" t="s">
        <v>1296</v>
      </c>
      <c r="N987">
        <v>1</v>
      </c>
      <c r="O987" t="s">
        <v>984</v>
      </c>
      <c r="P987">
        <v>0.06</v>
      </c>
      <c r="Q987" t="s">
        <v>1300</v>
      </c>
      <c r="R987">
        <v>37.5</v>
      </c>
      <c r="S987">
        <v>37.5</v>
      </c>
      <c r="T987">
        <v>0</v>
      </c>
      <c r="U987">
        <v>12.5</v>
      </c>
      <c r="V987">
        <v>12.5</v>
      </c>
    </row>
    <row r="988" spans="1:22" x14ac:dyDescent="0.25">
      <c r="A988" t="s">
        <v>2285</v>
      </c>
      <c r="B988" t="s">
        <v>1011</v>
      </c>
      <c r="C988">
        <v>20</v>
      </c>
      <c r="D988" t="s">
        <v>79</v>
      </c>
      <c r="E988" t="s">
        <v>78</v>
      </c>
      <c r="F988" t="s">
        <v>45</v>
      </c>
      <c r="G988">
        <v>0.45</v>
      </c>
      <c r="H988" t="s">
        <v>23</v>
      </c>
      <c r="I988">
        <v>-6</v>
      </c>
      <c r="J988" t="str">
        <f>HYPERLINK("https://www.eliteprospects.com/player/413065/raegan-wiles")</f>
        <v>https://www.eliteprospects.com/player/413065/raegan-wiles</v>
      </c>
      <c r="K988" t="s">
        <v>27</v>
      </c>
      <c r="L988" t="s">
        <v>918</v>
      </c>
      <c r="M988" t="s">
        <v>1296</v>
      </c>
      <c r="N988">
        <v>6</v>
      </c>
      <c r="O988" t="s">
        <v>924</v>
      </c>
      <c r="P988">
        <v>0.06</v>
      </c>
      <c r="Q988" t="s">
        <v>1309</v>
      </c>
      <c r="R988">
        <v>0</v>
      </c>
      <c r="S988">
        <v>20</v>
      </c>
      <c r="T988">
        <v>40</v>
      </c>
      <c r="U988">
        <v>0</v>
      </c>
      <c r="V988">
        <v>40</v>
      </c>
    </row>
    <row r="989" spans="1:22" x14ac:dyDescent="0.25">
      <c r="A989" t="s">
        <v>2286</v>
      </c>
      <c r="B989" t="s">
        <v>926</v>
      </c>
      <c r="C989">
        <v>20</v>
      </c>
      <c r="D989" t="s">
        <v>79</v>
      </c>
      <c r="E989" t="s">
        <v>78</v>
      </c>
      <c r="F989" t="s">
        <v>45</v>
      </c>
      <c r="G989">
        <v>0.45</v>
      </c>
      <c r="H989" t="s">
        <v>39</v>
      </c>
      <c r="I989">
        <v>6</v>
      </c>
      <c r="J989" t="str">
        <f>HYPERLINK("https://www.eliteprospects.com/player/477388/alex-serraglio")</f>
        <v>https://www.eliteprospects.com/player/477388/alex-serraglio</v>
      </c>
      <c r="K989" t="s">
        <v>27</v>
      </c>
      <c r="L989" t="s">
        <v>918</v>
      </c>
      <c r="M989" t="s">
        <v>1296</v>
      </c>
      <c r="N989">
        <v>5</v>
      </c>
      <c r="O989" t="s">
        <v>979</v>
      </c>
      <c r="P989">
        <v>0.06</v>
      </c>
      <c r="Q989" t="s">
        <v>1325</v>
      </c>
      <c r="R989">
        <v>18.2</v>
      </c>
      <c r="S989">
        <v>9.1</v>
      </c>
      <c r="T989">
        <v>63.6</v>
      </c>
      <c r="U989">
        <v>0</v>
      </c>
      <c r="V989">
        <v>9.1</v>
      </c>
    </row>
    <row r="990" spans="1:22" x14ac:dyDescent="0.25">
      <c r="A990" t="s">
        <v>2287</v>
      </c>
      <c r="B990" t="s">
        <v>991</v>
      </c>
      <c r="C990">
        <v>18</v>
      </c>
      <c r="D990" t="s">
        <v>260</v>
      </c>
      <c r="E990" t="s">
        <v>26</v>
      </c>
      <c r="F990" t="s">
        <v>45</v>
      </c>
      <c r="G990">
        <v>0.5</v>
      </c>
      <c r="H990" t="s">
        <v>26</v>
      </c>
      <c r="I990">
        <v>0</v>
      </c>
      <c r="J990" t="str">
        <f>HYPERLINK("https://www.eliteprospects.com/player/657570/alexis-beaulac")</f>
        <v>https://www.eliteprospects.com/player/657570/alexis-beaulac</v>
      </c>
      <c r="K990" t="s">
        <v>27</v>
      </c>
      <c r="L990" t="s">
        <v>918</v>
      </c>
      <c r="M990" t="s">
        <v>1296</v>
      </c>
      <c r="N990">
        <v>3</v>
      </c>
      <c r="O990" t="s">
        <v>1002</v>
      </c>
      <c r="P990">
        <v>0.06</v>
      </c>
      <c r="Q990" t="s">
        <v>1300</v>
      </c>
      <c r="R990">
        <v>37.5</v>
      </c>
      <c r="S990">
        <v>37.5</v>
      </c>
      <c r="T990">
        <v>0</v>
      </c>
      <c r="U990">
        <v>12.5</v>
      </c>
      <c r="V990">
        <v>12.5</v>
      </c>
    </row>
    <row r="991" spans="1:22" x14ac:dyDescent="0.25">
      <c r="A991" t="s">
        <v>2288</v>
      </c>
      <c r="B991" t="s">
        <v>966</v>
      </c>
      <c r="C991">
        <v>18</v>
      </c>
      <c r="D991" t="s">
        <v>132</v>
      </c>
      <c r="E991" t="s">
        <v>45</v>
      </c>
      <c r="F991" t="s">
        <v>45</v>
      </c>
      <c r="G991">
        <v>0.5</v>
      </c>
      <c r="H991" t="s">
        <v>47</v>
      </c>
      <c r="I991">
        <v>8</v>
      </c>
      <c r="J991" t="str">
        <f>HYPERLINK("https://www.eliteprospects.com/player/390207/cameron-whynot")</f>
        <v>https://www.eliteprospects.com/player/390207/cameron-whynot</v>
      </c>
      <c r="K991" t="s">
        <v>27</v>
      </c>
      <c r="L991" t="s">
        <v>918</v>
      </c>
      <c r="M991" t="s">
        <v>1296</v>
      </c>
      <c r="N991">
        <v>6</v>
      </c>
      <c r="O991" t="s">
        <v>921</v>
      </c>
      <c r="P991">
        <v>0.06</v>
      </c>
      <c r="Q991" t="s">
        <v>1309</v>
      </c>
      <c r="R991">
        <v>14.3</v>
      </c>
      <c r="S991">
        <v>28.6</v>
      </c>
      <c r="T991">
        <v>28.6</v>
      </c>
      <c r="U991">
        <v>0</v>
      </c>
      <c r="V991">
        <v>28.6</v>
      </c>
    </row>
    <row r="992" spans="1:22" x14ac:dyDescent="0.25">
      <c r="A992" t="s">
        <v>2289</v>
      </c>
      <c r="B992" t="s">
        <v>966</v>
      </c>
      <c r="C992">
        <v>18</v>
      </c>
      <c r="D992" t="s">
        <v>140</v>
      </c>
      <c r="E992" t="s">
        <v>96</v>
      </c>
      <c r="F992" t="s">
        <v>26</v>
      </c>
      <c r="G992">
        <v>0.44</v>
      </c>
      <c r="H992" t="s">
        <v>111</v>
      </c>
      <c r="I992">
        <v>-1</v>
      </c>
      <c r="J992" t="str">
        <f>HYPERLINK("https://www.eliteprospects.com/player/424303/brendan-tomilson")</f>
        <v>https://www.eliteprospects.com/player/424303/brendan-tomilson</v>
      </c>
      <c r="K992" t="s">
        <v>27</v>
      </c>
      <c r="L992" t="s">
        <v>918</v>
      </c>
      <c r="M992" t="s">
        <v>1296</v>
      </c>
      <c r="N992">
        <v>5</v>
      </c>
      <c r="O992" t="s">
        <v>973</v>
      </c>
      <c r="P992">
        <v>0.06</v>
      </c>
      <c r="Q992" t="s">
        <v>1300</v>
      </c>
      <c r="R992">
        <v>37.5</v>
      </c>
      <c r="S992">
        <v>37.5</v>
      </c>
      <c r="T992">
        <v>0</v>
      </c>
      <c r="U992">
        <v>12.5</v>
      </c>
      <c r="V992">
        <v>12.5</v>
      </c>
    </row>
    <row r="993" spans="1:22" x14ac:dyDescent="0.25">
      <c r="A993" t="s">
        <v>2290</v>
      </c>
      <c r="B993" t="s">
        <v>1015</v>
      </c>
      <c r="C993">
        <v>18</v>
      </c>
      <c r="D993" t="s">
        <v>79</v>
      </c>
      <c r="E993" t="s">
        <v>57</v>
      </c>
      <c r="F993" t="s">
        <v>26</v>
      </c>
      <c r="G993">
        <v>0.44</v>
      </c>
      <c r="H993" t="s">
        <v>79</v>
      </c>
      <c r="I993">
        <v>2</v>
      </c>
      <c r="J993" t="str">
        <f>HYPERLINK("https://www.eliteprospects.com/player/475614/blake-gustafson")</f>
        <v>https://www.eliteprospects.com/player/475614/blake-gustafson</v>
      </c>
      <c r="K993" t="s">
        <v>27</v>
      </c>
      <c r="L993" t="s">
        <v>918</v>
      </c>
      <c r="M993" t="s">
        <v>1296</v>
      </c>
      <c r="N993">
        <v>6</v>
      </c>
      <c r="O993" t="s">
        <v>924</v>
      </c>
      <c r="P993">
        <v>0.06</v>
      </c>
      <c r="Q993" t="s">
        <v>1300</v>
      </c>
      <c r="R993">
        <v>57.1</v>
      </c>
      <c r="S993">
        <v>28.6</v>
      </c>
      <c r="T993">
        <v>0</v>
      </c>
      <c r="U993">
        <v>14.3</v>
      </c>
      <c r="V993">
        <v>0</v>
      </c>
    </row>
    <row r="994" spans="1:22" x14ac:dyDescent="0.25">
      <c r="A994" t="s">
        <v>2291</v>
      </c>
      <c r="B994" t="s">
        <v>1038</v>
      </c>
      <c r="C994">
        <v>18</v>
      </c>
      <c r="D994" t="s">
        <v>79</v>
      </c>
      <c r="E994" t="s">
        <v>57</v>
      </c>
      <c r="F994" t="s">
        <v>26</v>
      </c>
      <c r="G994">
        <v>0.44</v>
      </c>
      <c r="H994" t="s">
        <v>40</v>
      </c>
      <c r="I994">
        <v>0</v>
      </c>
      <c r="J994" t="str">
        <f>HYPERLINK("https://www.eliteprospects.com/player/408223/aiden-reeves")</f>
        <v>https://www.eliteprospects.com/player/408223/aiden-reeves</v>
      </c>
      <c r="K994" t="s">
        <v>27</v>
      </c>
      <c r="L994" t="s">
        <v>918</v>
      </c>
      <c r="M994" t="s">
        <v>1296</v>
      </c>
      <c r="N994">
        <v>5</v>
      </c>
      <c r="O994" t="s">
        <v>2292</v>
      </c>
      <c r="P994">
        <v>0.06</v>
      </c>
      <c r="Q994" t="s">
        <v>1300</v>
      </c>
      <c r="R994">
        <v>37.5</v>
      </c>
      <c r="S994">
        <v>37.5</v>
      </c>
      <c r="T994">
        <v>0</v>
      </c>
      <c r="U994">
        <v>12.5</v>
      </c>
      <c r="V994">
        <v>12.5</v>
      </c>
    </row>
    <row r="995" spans="1:22" x14ac:dyDescent="0.25">
      <c r="A995" t="s">
        <v>2293</v>
      </c>
      <c r="B995" t="s">
        <v>934</v>
      </c>
      <c r="C995">
        <v>18</v>
      </c>
      <c r="D995" t="s">
        <v>79</v>
      </c>
      <c r="E995" t="s">
        <v>57</v>
      </c>
      <c r="F995" t="s">
        <v>26</v>
      </c>
      <c r="G995">
        <v>0.44</v>
      </c>
      <c r="H995" t="s">
        <v>277</v>
      </c>
      <c r="I995">
        <v>1</v>
      </c>
      <c r="J995" t="str">
        <f>HYPERLINK("https://www.eliteprospects.com/player/416856/colton-kamerrer")</f>
        <v>https://www.eliteprospects.com/player/416856/colton-kamerrer</v>
      </c>
      <c r="K995" t="s">
        <v>27</v>
      </c>
      <c r="L995" t="s">
        <v>918</v>
      </c>
      <c r="M995" t="s">
        <v>1296</v>
      </c>
      <c r="N995">
        <v>5</v>
      </c>
      <c r="O995" t="s">
        <v>935</v>
      </c>
      <c r="P995">
        <v>0.06</v>
      </c>
      <c r="Q995" t="s">
        <v>1300</v>
      </c>
      <c r="R995">
        <v>57.1</v>
      </c>
      <c r="S995">
        <v>28.6</v>
      </c>
      <c r="T995">
        <v>0</v>
      </c>
      <c r="U995">
        <v>14.3</v>
      </c>
      <c r="V995">
        <v>0</v>
      </c>
    </row>
    <row r="996" spans="1:22" x14ac:dyDescent="0.25">
      <c r="A996" t="s">
        <v>2294</v>
      </c>
      <c r="B996" t="s">
        <v>986</v>
      </c>
      <c r="C996">
        <v>18</v>
      </c>
      <c r="D996" t="s">
        <v>132</v>
      </c>
      <c r="E996" t="s">
        <v>26</v>
      </c>
      <c r="F996" t="s">
        <v>26</v>
      </c>
      <c r="G996">
        <v>0.44</v>
      </c>
      <c r="H996" t="s">
        <v>32</v>
      </c>
      <c r="I996">
        <v>0</v>
      </c>
      <c r="J996" t="str">
        <f>HYPERLINK("https://www.eliteprospects.com/player/648960/kai-stothers")</f>
        <v>https://www.eliteprospects.com/player/648960/kai-stothers</v>
      </c>
      <c r="K996" t="s">
        <v>27</v>
      </c>
      <c r="L996" t="s">
        <v>918</v>
      </c>
      <c r="M996" t="s">
        <v>1296</v>
      </c>
      <c r="N996">
        <v>1</v>
      </c>
      <c r="O996" t="s">
        <v>984</v>
      </c>
      <c r="P996">
        <v>0.06</v>
      </c>
      <c r="Q996" t="s">
        <v>1300</v>
      </c>
      <c r="R996">
        <v>37.5</v>
      </c>
      <c r="S996">
        <v>37.5</v>
      </c>
      <c r="T996">
        <v>0</v>
      </c>
      <c r="U996">
        <v>12.5</v>
      </c>
      <c r="V996">
        <v>12.5</v>
      </c>
    </row>
    <row r="997" spans="1:22" x14ac:dyDescent="0.25">
      <c r="A997" t="s">
        <v>2295</v>
      </c>
      <c r="B997" t="s">
        <v>923</v>
      </c>
      <c r="C997">
        <v>18</v>
      </c>
      <c r="D997" t="s">
        <v>132</v>
      </c>
      <c r="E997" t="s">
        <v>26</v>
      </c>
      <c r="F997" t="s">
        <v>26</v>
      </c>
      <c r="G997">
        <v>0.44</v>
      </c>
      <c r="H997" t="s">
        <v>55</v>
      </c>
      <c r="I997">
        <v>13</v>
      </c>
      <c r="J997" t="str">
        <f>HYPERLINK("https://www.eliteprospects.com/player/477347/dylan-anderson")</f>
        <v>https://www.eliteprospects.com/player/477347/dylan-anderson</v>
      </c>
      <c r="K997" t="s">
        <v>27</v>
      </c>
      <c r="L997" t="s">
        <v>918</v>
      </c>
      <c r="M997" t="s">
        <v>1296</v>
      </c>
      <c r="N997">
        <v>6</v>
      </c>
      <c r="O997" t="s">
        <v>924</v>
      </c>
      <c r="P997">
        <v>0.06</v>
      </c>
      <c r="Q997" t="s">
        <v>1309</v>
      </c>
      <c r="R997">
        <v>14.3</v>
      </c>
      <c r="S997">
        <v>28.6</v>
      </c>
      <c r="T997">
        <v>28.6</v>
      </c>
      <c r="U997">
        <v>0</v>
      </c>
      <c r="V997">
        <v>28.6</v>
      </c>
    </row>
    <row r="998" spans="1:22" x14ac:dyDescent="0.25">
      <c r="A998" t="s">
        <v>2296</v>
      </c>
      <c r="B998" t="s">
        <v>959</v>
      </c>
      <c r="C998">
        <v>18</v>
      </c>
      <c r="D998" t="s">
        <v>140</v>
      </c>
      <c r="E998" t="s">
        <v>66</v>
      </c>
      <c r="F998" t="s">
        <v>78</v>
      </c>
      <c r="G998">
        <v>0.39</v>
      </c>
      <c r="H998" t="s">
        <v>57</v>
      </c>
      <c r="I998">
        <v>0</v>
      </c>
      <c r="J998" t="str">
        <f>HYPERLINK("https://www.eliteprospects.com/player/503997/alex-blanchard")</f>
        <v>https://www.eliteprospects.com/player/503997/alex-blanchard</v>
      </c>
      <c r="K998" t="s">
        <v>27</v>
      </c>
      <c r="L998" t="s">
        <v>918</v>
      </c>
      <c r="M998" t="s">
        <v>1296</v>
      </c>
      <c r="N998">
        <v>5</v>
      </c>
      <c r="O998" t="s">
        <v>973</v>
      </c>
      <c r="P998">
        <v>0.05</v>
      </c>
      <c r="Q998" t="s">
        <v>1300</v>
      </c>
      <c r="R998">
        <v>37.5</v>
      </c>
      <c r="S998">
        <v>37.5</v>
      </c>
      <c r="T998">
        <v>0</v>
      </c>
      <c r="U998">
        <v>12.5</v>
      </c>
      <c r="V998">
        <v>12.5</v>
      </c>
    </row>
    <row r="999" spans="1:22" x14ac:dyDescent="0.25">
      <c r="A999" t="s">
        <v>2297</v>
      </c>
      <c r="B999" t="s">
        <v>957</v>
      </c>
      <c r="C999">
        <v>11</v>
      </c>
      <c r="D999" t="s">
        <v>79</v>
      </c>
      <c r="E999" t="s">
        <v>96</v>
      </c>
      <c r="F999" t="s">
        <v>78</v>
      </c>
      <c r="G999">
        <v>0.64</v>
      </c>
      <c r="H999" t="s">
        <v>57</v>
      </c>
      <c r="I999">
        <v>8</v>
      </c>
      <c r="J999" t="str">
        <f>HYPERLINK("https://www.eliteprospects.com/player/505704/brody-tallman")</f>
        <v>https://www.eliteprospects.com/player/505704/brody-tallman</v>
      </c>
      <c r="K999" t="s">
        <v>27</v>
      </c>
      <c r="L999" t="s">
        <v>918</v>
      </c>
      <c r="M999" t="s">
        <v>1296</v>
      </c>
      <c r="N999">
        <v>3</v>
      </c>
      <c r="O999" t="s">
        <v>2298</v>
      </c>
      <c r="P999">
        <v>0.08</v>
      </c>
      <c r="Q999" t="s">
        <v>1325</v>
      </c>
      <c r="R999">
        <v>44.4</v>
      </c>
      <c r="S999">
        <v>11.1</v>
      </c>
      <c r="T999">
        <v>44.4</v>
      </c>
      <c r="U999">
        <v>0</v>
      </c>
      <c r="V999">
        <v>0</v>
      </c>
    </row>
    <row r="1000" spans="1:22" x14ac:dyDescent="0.25">
      <c r="A1000" t="s">
        <v>2299</v>
      </c>
      <c r="B1000" t="s">
        <v>1036</v>
      </c>
      <c r="C1000">
        <v>13</v>
      </c>
      <c r="D1000" t="s">
        <v>79</v>
      </c>
      <c r="E1000" t="s">
        <v>96</v>
      </c>
      <c r="F1000" t="s">
        <v>78</v>
      </c>
      <c r="G1000">
        <v>0.54</v>
      </c>
      <c r="H1000" t="s">
        <v>23</v>
      </c>
      <c r="I1000">
        <v>0</v>
      </c>
      <c r="J1000" t="str">
        <f>HYPERLINK("https://www.eliteprospects.com/player/351181/rylan-thiessen")</f>
        <v>https://www.eliteprospects.com/player/351181/rylan-thiessen</v>
      </c>
      <c r="K1000" t="s">
        <v>27</v>
      </c>
      <c r="L1000" t="s">
        <v>918</v>
      </c>
      <c r="M1000" t="s">
        <v>1296</v>
      </c>
      <c r="N1000">
        <v>6</v>
      </c>
      <c r="O1000" t="s">
        <v>927</v>
      </c>
      <c r="P1000">
        <v>7.0000000000000007E-2</v>
      </c>
      <c r="Q1000" t="s">
        <v>1300</v>
      </c>
      <c r="R1000">
        <v>33.299999999999997</v>
      </c>
      <c r="S1000">
        <v>22.2</v>
      </c>
      <c r="T1000">
        <v>22.2</v>
      </c>
      <c r="U1000">
        <v>11.1</v>
      </c>
      <c r="V1000">
        <v>11.1</v>
      </c>
    </row>
    <row r="1001" spans="1:22" x14ac:dyDescent="0.25">
      <c r="A1001" t="s">
        <v>2300</v>
      </c>
      <c r="B1001" t="s">
        <v>929</v>
      </c>
      <c r="C1001">
        <v>14</v>
      </c>
      <c r="D1001" t="s">
        <v>79</v>
      </c>
      <c r="E1001" t="s">
        <v>96</v>
      </c>
      <c r="F1001" t="s">
        <v>78</v>
      </c>
      <c r="G1001">
        <v>0.5</v>
      </c>
      <c r="H1001" t="s">
        <v>60</v>
      </c>
      <c r="I1001">
        <v>14</v>
      </c>
      <c r="J1001" t="str">
        <f>HYPERLINK("https://www.eliteprospects.com/player/505195/derek-pys")</f>
        <v>https://www.eliteprospects.com/player/505195/derek-pys</v>
      </c>
      <c r="K1001" t="s">
        <v>27</v>
      </c>
      <c r="L1001" t="s">
        <v>918</v>
      </c>
      <c r="M1001" t="s">
        <v>1296</v>
      </c>
      <c r="N1001">
        <v>2</v>
      </c>
      <c r="O1001" t="s">
        <v>1076</v>
      </c>
      <c r="P1001">
        <v>0.06</v>
      </c>
      <c r="Q1001" t="s">
        <v>1309</v>
      </c>
      <c r="R1001">
        <v>14.3</v>
      </c>
      <c r="S1001">
        <v>28.6</v>
      </c>
      <c r="T1001">
        <v>28.6</v>
      </c>
      <c r="U1001">
        <v>0</v>
      </c>
      <c r="V1001">
        <v>28.6</v>
      </c>
    </row>
    <row r="1002" spans="1:22" x14ac:dyDescent="0.25">
      <c r="A1002" t="s">
        <v>2301</v>
      </c>
      <c r="B1002" t="s">
        <v>972</v>
      </c>
      <c r="C1002">
        <v>16</v>
      </c>
      <c r="D1002" t="s">
        <v>79</v>
      </c>
      <c r="E1002" t="s">
        <v>96</v>
      </c>
      <c r="F1002" t="s">
        <v>78</v>
      </c>
      <c r="G1002">
        <v>0.44</v>
      </c>
      <c r="H1002" t="s">
        <v>66</v>
      </c>
      <c r="I1002">
        <v>0</v>
      </c>
      <c r="J1002" t="str">
        <f>HYPERLINK("https://www.eliteprospects.com/player/564866/jack-cook")</f>
        <v>https://www.eliteprospects.com/player/564866/jack-cook</v>
      </c>
      <c r="K1002" t="s">
        <v>27</v>
      </c>
      <c r="L1002" t="s">
        <v>918</v>
      </c>
      <c r="M1002" t="s">
        <v>1296</v>
      </c>
      <c r="N1002">
        <v>1</v>
      </c>
      <c r="O1002" t="s">
        <v>984</v>
      </c>
      <c r="P1002">
        <v>0.06</v>
      </c>
      <c r="Q1002" t="s">
        <v>1300</v>
      </c>
      <c r="R1002">
        <v>37.5</v>
      </c>
      <c r="S1002">
        <v>37.5</v>
      </c>
      <c r="T1002">
        <v>0</v>
      </c>
      <c r="U1002">
        <v>12.5</v>
      </c>
      <c r="V1002">
        <v>12.5</v>
      </c>
    </row>
    <row r="1003" spans="1:22" x14ac:dyDescent="0.25">
      <c r="A1003" t="s">
        <v>2302</v>
      </c>
      <c r="B1003" t="s">
        <v>1038</v>
      </c>
      <c r="C1003">
        <v>17</v>
      </c>
      <c r="D1003" t="s">
        <v>79</v>
      </c>
      <c r="E1003" t="s">
        <v>96</v>
      </c>
      <c r="F1003" t="s">
        <v>78</v>
      </c>
      <c r="G1003">
        <v>0.41</v>
      </c>
      <c r="H1003" t="s">
        <v>26</v>
      </c>
      <c r="I1003">
        <v>0</v>
      </c>
      <c r="J1003" t="str">
        <f>HYPERLINK("https://www.eliteprospects.com/player/505279/thomas-gangl")</f>
        <v>https://www.eliteprospects.com/player/505279/thomas-gangl</v>
      </c>
      <c r="K1003" t="s">
        <v>27</v>
      </c>
      <c r="L1003" t="s">
        <v>918</v>
      </c>
      <c r="M1003" t="s">
        <v>1296</v>
      </c>
      <c r="N1003">
        <v>3</v>
      </c>
      <c r="O1003" t="s">
        <v>1039</v>
      </c>
      <c r="P1003">
        <v>0.05</v>
      </c>
      <c r="Q1003" t="s">
        <v>1300</v>
      </c>
      <c r="R1003">
        <v>37.5</v>
      </c>
      <c r="S1003">
        <v>37.5</v>
      </c>
      <c r="T1003">
        <v>0</v>
      </c>
      <c r="U1003">
        <v>12.5</v>
      </c>
      <c r="V1003">
        <v>12.5</v>
      </c>
    </row>
    <row r="1004" spans="1:22" x14ac:dyDescent="0.25">
      <c r="A1004" t="s">
        <v>2303</v>
      </c>
      <c r="B1004" t="s">
        <v>972</v>
      </c>
      <c r="C1004">
        <v>18</v>
      </c>
      <c r="D1004" t="s">
        <v>79</v>
      </c>
      <c r="E1004" t="s">
        <v>96</v>
      </c>
      <c r="F1004" t="s">
        <v>78</v>
      </c>
      <c r="G1004">
        <v>0.39</v>
      </c>
      <c r="H1004" t="s">
        <v>132</v>
      </c>
      <c r="I1004">
        <v>0</v>
      </c>
      <c r="J1004" t="str">
        <f>HYPERLINK("https://www.eliteprospects.com/player/582483/wil-murphy")</f>
        <v>https://www.eliteprospects.com/player/582483/wil-murphy</v>
      </c>
      <c r="K1004" t="s">
        <v>27</v>
      </c>
      <c r="L1004" t="s">
        <v>918</v>
      </c>
      <c r="M1004" t="s">
        <v>1296</v>
      </c>
      <c r="N1004">
        <v>1</v>
      </c>
      <c r="O1004" t="s">
        <v>984</v>
      </c>
      <c r="P1004">
        <v>0.05</v>
      </c>
      <c r="Q1004" t="s">
        <v>1300</v>
      </c>
      <c r="R1004">
        <v>37.5</v>
      </c>
      <c r="S1004">
        <v>37.5</v>
      </c>
      <c r="T1004">
        <v>0</v>
      </c>
      <c r="U1004">
        <v>12.5</v>
      </c>
      <c r="V1004">
        <v>12.5</v>
      </c>
    </row>
    <row r="1005" spans="1:22" x14ac:dyDescent="0.25">
      <c r="A1005" t="s">
        <v>2304</v>
      </c>
      <c r="B1005" t="s">
        <v>929</v>
      </c>
      <c r="C1005">
        <v>20</v>
      </c>
      <c r="D1005" t="s">
        <v>79</v>
      </c>
      <c r="E1005" t="s">
        <v>96</v>
      </c>
      <c r="F1005" t="s">
        <v>78</v>
      </c>
      <c r="G1005">
        <v>0.35</v>
      </c>
      <c r="H1005" t="s">
        <v>26</v>
      </c>
      <c r="I1005">
        <v>9</v>
      </c>
      <c r="J1005" t="str">
        <f>HYPERLINK("https://www.eliteprospects.com/player/405927/cole-larkin")</f>
        <v>https://www.eliteprospects.com/player/405927/cole-larkin</v>
      </c>
      <c r="K1005" t="s">
        <v>27</v>
      </c>
      <c r="L1005" t="s">
        <v>918</v>
      </c>
      <c r="M1005" t="s">
        <v>1296</v>
      </c>
      <c r="N1005">
        <v>6</v>
      </c>
      <c r="O1005" t="s">
        <v>921</v>
      </c>
      <c r="P1005">
        <v>0.04</v>
      </c>
      <c r="Q1005" t="s">
        <v>1488</v>
      </c>
      <c r="R1005">
        <v>0</v>
      </c>
      <c r="S1005">
        <v>0</v>
      </c>
      <c r="T1005">
        <v>0</v>
      </c>
      <c r="U1005">
        <v>0</v>
      </c>
      <c r="V1005">
        <v>0</v>
      </c>
    </row>
    <row r="1006" spans="1:22" x14ac:dyDescent="0.25">
      <c r="A1006" t="s">
        <v>2305</v>
      </c>
      <c r="B1006" t="s">
        <v>957</v>
      </c>
      <c r="C1006">
        <v>20</v>
      </c>
      <c r="D1006" t="s">
        <v>79</v>
      </c>
      <c r="E1006" t="s">
        <v>96</v>
      </c>
      <c r="F1006" t="s">
        <v>78</v>
      </c>
      <c r="G1006">
        <v>0.35</v>
      </c>
      <c r="H1006" t="s">
        <v>23</v>
      </c>
      <c r="I1006">
        <v>-7</v>
      </c>
      <c r="J1006" t="str">
        <f>HYPERLINK("https://www.eliteprospects.com/player/413478/brett-bamber")</f>
        <v>https://www.eliteprospects.com/player/413478/brett-bamber</v>
      </c>
      <c r="K1006" t="s">
        <v>27</v>
      </c>
      <c r="L1006" t="s">
        <v>918</v>
      </c>
      <c r="M1006" t="s">
        <v>1296</v>
      </c>
      <c r="N1006">
        <v>4</v>
      </c>
      <c r="O1006" t="s">
        <v>1150</v>
      </c>
      <c r="P1006">
        <v>0.04</v>
      </c>
      <c r="Q1006" t="s">
        <v>1488</v>
      </c>
      <c r="R1006">
        <v>0</v>
      </c>
      <c r="S1006">
        <v>0</v>
      </c>
      <c r="T1006">
        <v>0</v>
      </c>
      <c r="U1006">
        <v>0</v>
      </c>
      <c r="V1006">
        <v>0</v>
      </c>
    </row>
    <row r="1007" spans="1:22" x14ac:dyDescent="0.25">
      <c r="A1007" t="s">
        <v>2306</v>
      </c>
      <c r="B1007" t="s">
        <v>966</v>
      </c>
      <c r="C1007">
        <v>20</v>
      </c>
      <c r="D1007" t="s">
        <v>79</v>
      </c>
      <c r="E1007" t="s">
        <v>96</v>
      </c>
      <c r="F1007" t="s">
        <v>78</v>
      </c>
      <c r="G1007">
        <v>0.35</v>
      </c>
      <c r="H1007" t="s">
        <v>24</v>
      </c>
      <c r="I1007">
        <v>-3</v>
      </c>
      <c r="J1007" t="str">
        <f>HYPERLINK("https://www.eliteprospects.com/player/492236/conor-shortall")</f>
        <v>https://www.eliteprospects.com/player/492236/conor-shortall</v>
      </c>
      <c r="K1007" t="s">
        <v>27</v>
      </c>
      <c r="L1007" t="s">
        <v>918</v>
      </c>
      <c r="M1007" t="s">
        <v>1296</v>
      </c>
      <c r="N1007">
        <v>5</v>
      </c>
      <c r="O1007" t="s">
        <v>930</v>
      </c>
      <c r="P1007">
        <v>0.04</v>
      </c>
      <c r="Q1007" t="s">
        <v>1488</v>
      </c>
      <c r="R1007">
        <v>0</v>
      </c>
      <c r="S1007">
        <v>0</v>
      </c>
      <c r="T1007">
        <v>0</v>
      </c>
      <c r="U1007">
        <v>0</v>
      </c>
      <c r="V1007">
        <v>0</v>
      </c>
    </row>
    <row r="1008" spans="1:22" x14ac:dyDescent="0.25">
      <c r="A1008" t="s">
        <v>2307</v>
      </c>
      <c r="B1008" t="s">
        <v>961</v>
      </c>
      <c r="C1008">
        <v>12</v>
      </c>
      <c r="D1008" t="s">
        <v>260</v>
      </c>
      <c r="E1008" t="s">
        <v>57</v>
      </c>
      <c r="F1008" t="s">
        <v>78</v>
      </c>
      <c r="G1008">
        <v>0.57999999999999996</v>
      </c>
      <c r="H1008" t="s">
        <v>125</v>
      </c>
      <c r="I1008">
        <v>0</v>
      </c>
      <c r="J1008" t="str">
        <f>HYPERLINK("https://www.eliteprospects.com/player/620344/shawn-ramsey")</f>
        <v>https://www.eliteprospects.com/player/620344/shawn-ramsey</v>
      </c>
      <c r="K1008" t="s">
        <v>27</v>
      </c>
      <c r="L1008" t="s">
        <v>918</v>
      </c>
      <c r="M1008" t="s">
        <v>1296</v>
      </c>
      <c r="N1008">
        <v>2</v>
      </c>
      <c r="O1008" t="s">
        <v>1076</v>
      </c>
      <c r="P1008">
        <v>7.0000000000000007E-2</v>
      </c>
      <c r="Q1008" t="s">
        <v>1300</v>
      </c>
      <c r="R1008">
        <v>33.299999999999997</v>
      </c>
      <c r="S1008">
        <v>22.2</v>
      </c>
      <c r="T1008">
        <v>22.2</v>
      </c>
      <c r="U1008">
        <v>11.1</v>
      </c>
      <c r="V1008">
        <v>11.1</v>
      </c>
    </row>
    <row r="1009" spans="1:22" x14ac:dyDescent="0.25">
      <c r="A1009" t="s">
        <v>2308</v>
      </c>
      <c r="B1009" t="s">
        <v>954</v>
      </c>
      <c r="C1009">
        <v>13</v>
      </c>
      <c r="D1009" t="s">
        <v>260</v>
      </c>
      <c r="E1009" t="s">
        <v>57</v>
      </c>
      <c r="F1009" t="s">
        <v>78</v>
      </c>
      <c r="G1009">
        <v>0.54</v>
      </c>
      <c r="H1009" t="s">
        <v>23</v>
      </c>
      <c r="I1009">
        <v>0</v>
      </c>
      <c r="J1009" t="str">
        <f>HYPERLINK("https://www.eliteprospects.com/player/355487/peter-stratis")</f>
        <v>https://www.eliteprospects.com/player/355487/peter-stratis</v>
      </c>
      <c r="K1009" t="s">
        <v>27</v>
      </c>
      <c r="L1009" t="s">
        <v>918</v>
      </c>
      <c r="M1009" t="s">
        <v>1296</v>
      </c>
      <c r="N1009">
        <v>5</v>
      </c>
      <c r="O1009" t="s">
        <v>955</v>
      </c>
      <c r="P1009">
        <v>7.0000000000000007E-2</v>
      </c>
      <c r="Q1009" t="s">
        <v>1300</v>
      </c>
      <c r="R1009">
        <v>33.299999999999997</v>
      </c>
      <c r="S1009">
        <v>22.2</v>
      </c>
      <c r="T1009">
        <v>22.2</v>
      </c>
      <c r="U1009">
        <v>11.1</v>
      </c>
      <c r="V1009">
        <v>11.1</v>
      </c>
    </row>
    <row r="1010" spans="1:22" x14ac:dyDescent="0.25">
      <c r="A1010" t="s">
        <v>2309</v>
      </c>
      <c r="B1010" t="s">
        <v>1032</v>
      </c>
      <c r="C1010">
        <v>15</v>
      </c>
      <c r="D1010" t="s">
        <v>260</v>
      </c>
      <c r="E1010" t="s">
        <v>57</v>
      </c>
      <c r="F1010" t="s">
        <v>78</v>
      </c>
      <c r="G1010">
        <v>0.47</v>
      </c>
      <c r="H1010" t="s">
        <v>57</v>
      </c>
      <c r="I1010">
        <v>0</v>
      </c>
      <c r="J1010" t="str">
        <f>HYPERLINK("https://www.eliteprospects.com/player/342195/brendan-bays")</f>
        <v>https://www.eliteprospects.com/player/342195/brendan-bays</v>
      </c>
      <c r="K1010" t="s">
        <v>27</v>
      </c>
      <c r="L1010" t="s">
        <v>918</v>
      </c>
      <c r="M1010" t="s">
        <v>1296</v>
      </c>
      <c r="N1010">
        <v>4</v>
      </c>
      <c r="O1010" t="s">
        <v>1192</v>
      </c>
      <c r="P1010">
        <v>0.06</v>
      </c>
      <c r="Q1010" t="s">
        <v>1300</v>
      </c>
      <c r="R1010">
        <v>37.5</v>
      </c>
      <c r="S1010">
        <v>37.5</v>
      </c>
      <c r="T1010">
        <v>0</v>
      </c>
      <c r="U1010">
        <v>12.5</v>
      </c>
      <c r="V1010">
        <v>12.5</v>
      </c>
    </row>
    <row r="1011" spans="1:22" x14ac:dyDescent="0.25">
      <c r="A1011" t="s">
        <v>2310</v>
      </c>
      <c r="B1011" t="s">
        <v>939</v>
      </c>
      <c r="C1011">
        <v>16</v>
      </c>
      <c r="D1011" t="s">
        <v>260</v>
      </c>
      <c r="E1011" t="s">
        <v>57</v>
      </c>
      <c r="F1011" t="s">
        <v>78</v>
      </c>
      <c r="G1011">
        <v>0.44</v>
      </c>
      <c r="H1011" t="s">
        <v>79</v>
      </c>
      <c r="I1011">
        <v>12</v>
      </c>
      <c r="J1011" t="str">
        <f>HYPERLINK("https://www.eliteprospects.com/player/486494/logan-bairos")</f>
        <v>https://www.eliteprospects.com/player/486494/logan-bairos</v>
      </c>
      <c r="K1011" t="s">
        <v>27</v>
      </c>
      <c r="L1011" t="s">
        <v>918</v>
      </c>
      <c r="M1011" t="s">
        <v>1296</v>
      </c>
      <c r="N1011">
        <v>6</v>
      </c>
      <c r="O1011" t="s">
        <v>950</v>
      </c>
      <c r="P1011">
        <v>0.06</v>
      </c>
      <c r="Q1011" t="s">
        <v>1309</v>
      </c>
      <c r="R1011">
        <v>14.3</v>
      </c>
      <c r="S1011">
        <v>28.6</v>
      </c>
      <c r="T1011">
        <v>28.6</v>
      </c>
      <c r="U1011">
        <v>0</v>
      </c>
      <c r="V1011">
        <v>28.6</v>
      </c>
    </row>
    <row r="1012" spans="1:22" x14ac:dyDescent="0.25">
      <c r="A1012" t="s">
        <v>2311</v>
      </c>
      <c r="B1012" t="s">
        <v>944</v>
      </c>
      <c r="C1012">
        <v>18</v>
      </c>
      <c r="D1012" t="s">
        <v>260</v>
      </c>
      <c r="E1012" t="s">
        <v>57</v>
      </c>
      <c r="F1012" t="s">
        <v>78</v>
      </c>
      <c r="G1012">
        <v>0.39</v>
      </c>
      <c r="H1012" t="s">
        <v>55</v>
      </c>
      <c r="I1012">
        <v>4</v>
      </c>
      <c r="J1012" t="str">
        <f>HYPERLINK("https://www.eliteprospects.com/player/559042/simon-maltais")</f>
        <v>https://www.eliteprospects.com/player/559042/simon-maltais</v>
      </c>
      <c r="K1012" t="s">
        <v>27</v>
      </c>
      <c r="L1012" t="s">
        <v>918</v>
      </c>
      <c r="M1012" t="s">
        <v>1296</v>
      </c>
      <c r="N1012">
        <v>5</v>
      </c>
      <c r="O1012" t="s">
        <v>930</v>
      </c>
      <c r="P1012">
        <v>0.05</v>
      </c>
      <c r="Q1012" t="s">
        <v>1325</v>
      </c>
      <c r="R1012">
        <v>18.2</v>
      </c>
      <c r="S1012">
        <v>9.1</v>
      </c>
      <c r="T1012">
        <v>63.6</v>
      </c>
      <c r="U1012">
        <v>0</v>
      </c>
      <c r="V1012">
        <v>9.1</v>
      </c>
    </row>
    <row r="1013" spans="1:22" x14ac:dyDescent="0.25">
      <c r="A1013" t="s">
        <v>2312</v>
      </c>
      <c r="B1013" t="s">
        <v>1003</v>
      </c>
      <c r="C1013">
        <v>18</v>
      </c>
      <c r="D1013" t="s">
        <v>260</v>
      </c>
      <c r="E1013" t="s">
        <v>57</v>
      </c>
      <c r="F1013" t="s">
        <v>78</v>
      </c>
      <c r="G1013">
        <v>0.39</v>
      </c>
      <c r="H1013" t="s">
        <v>178</v>
      </c>
      <c r="I1013">
        <v>0</v>
      </c>
      <c r="J1013" t="str">
        <f>HYPERLINK("https://www.eliteprospects.com/player/295309/jeremy-michaud")</f>
        <v>https://www.eliteprospects.com/player/295309/jeremy-michaud</v>
      </c>
      <c r="K1013" t="s">
        <v>27</v>
      </c>
      <c r="L1013" t="s">
        <v>918</v>
      </c>
      <c r="M1013" t="s">
        <v>1296</v>
      </c>
      <c r="N1013">
        <v>6</v>
      </c>
      <c r="O1013" t="s">
        <v>937</v>
      </c>
      <c r="P1013">
        <v>0.05</v>
      </c>
      <c r="Q1013" t="s">
        <v>1300</v>
      </c>
      <c r="R1013">
        <v>37.5</v>
      </c>
      <c r="S1013">
        <v>37.5</v>
      </c>
      <c r="T1013">
        <v>0</v>
      </c>
      <c r="U1013">
        <v>12.5</v>
      </c>
      <c r="V1013">
        <v>12.5</v>
      </c>
    </row>
    <row r="1014" spans="1:22" x14ac:dyDescent="0.25">
      <c r="A1014" t="s">
        <v>2313</v>
      </c>
      <c r="B1014" t="s">
        <v>990</v>
      </c>
      <c r="C1014">
        <v>19</v>
      </c>
      <c r="D1014" t="s">
        <v>260</v>
      </c>
      <c r="E1014" t="s">
        <v>57</v>
      </c>
      <c r="F1014" t="s">
        <v>78</v>
      </c>
      <c r="G1014">
        <v>0.37</v>
      </c>
      <c r="H1014" t="s">
        <v>125</v>
      </c>
      <c r="I1014">
        <v>0</v>
      </c>
      <c r="J1014" t="str">
        <f>HYPERLINK("https://www.eliteprospects.com/player/413014/loris-rafanomezantsoa")</f>
        <v>https://www.eliteprospects.com/player/413014/loris-rafanomezantsoa</v>
      </c>
      <c r="K1014" t="s">
        <v>27</v>
      </c>
      <c r="L1014" t="s">
        <v>918</v>
      </c>
      <c r="M1014" t="s">
        <v>1296</v>
      </c>
      <c r="N1014">
        <v>6</v>
      </c>
      <c r="O1014" t="s">
        <v>921</v>
      </c>
      <c r="P1014">
        <v>0.05</v>
      </c>
      <c r="Q1014" t="s">
        <v>1300</v>
      </c>
      <c r="R1014">
        <v>37.5</v>
      </c>
      <c r="S1014">
        <v>37.5</v>
      </c>
      <c r="T1014">
        <v>0</v>
      </c>
      <c r="U1014">
        <v>12.5</v>
      </c>
      <c r="V1014">
        <v>12.5</v>
      </c>
    </row>
    <row r="1015" spans="1:22" x14ac:dyDescent="0.25">
      <c r="A1015" t="s">
        <v>2314</v>
      </c>
      <c r="B1015" t="s">
        <v>1020</v>
      </c>
      <c r="C1015">
        <v>20</v>
      </c>
      <c r="D1015" t="s">
        <v>260</v>
      </c>
      <c r="E1015" t="s">
        <v>57</v>
      </c>
      <c r="F1015" t="s">
        <v>78</v>
      </c>
      <c r="G1015">
        <v>0.35</v>
      </c>
      <c r="H1015" t="s">
        <v>32</v>
      </c>
      <c r="I1015">
        <v>-21</v>
      </c>
      <c r="J1015" t="str">
        <f>HYPERLINK("https://www.eliteprospects.com/player/580567/zack-whittaker")</f>
        <v>https://www.eliteprospects.com/player/580567/zack-whittaker</v>
      </c>
      <c r="K1015" t="s">
        <v>27</v>
      </c>
      <c r="L1015" t="s">
        <v>918</v>
      </c>
      <c r="M1015" t="s">
        <v>1296</v>
      </c>
      <c r="N1015">
        <v>1</v>
      </c>
      <c r="O1015" t="s">
        <v>984</v>
      </c>
      <c r="P1015">
        <v>0.04</v>
      </c>
      <c r="Q1015" t="s">
        <v>1488</v>
      </c>
      <c r="R1015">
        <v>0</v>
      </c>
      <c r="S1015">
        <v>0</v>
      </c>
      <c r="T1015">
        <v>0</v>
      </c>
      <c r="U1015">
        <v>0</v>
      </c>
      <c r="V1015">
        <v>0</v>
      </c>
    </row>
    <row r="1016" spans="1:22" x14ac:dyDescent="0.25">
      <c r="A1016" t="s">
        <v>2315</v>
      </c>
      <c r="B1016" t="s">
        <v>939</v>
      </c>
      <c r="C1016">
        <v>12</v>
      </c>
      <c r="D1016" t="s">
        <v>132</v>
      </c>
      <c r="E1016" t="s">
        <v>78</v>
      </c>
      <c r="F1016" t="s">
        <v>78</v>
      </c>
      <c r="G1016">
        <v>0.57999999999999996</v>
      </c>
      <c r="H1016" t="s">
        <v>23</v>
      </c>
      <c r="I1016">
        <v>16</v>
      </c>
      <c r="J1016" t="str">
        <f>HYPERLINK("https://www.eliteprospects.com/player/571045/ben-saunderson")</f>
        <v>https://www.eliteprospects.com/player/571045/ben-saunderson</v>
      </c>
      <c r="K1016" t="s">
        <v>27</v>
      </c>
      <c r="L1016" t="s">
        <v>918</v>
      </c>
      <c r="M1016" t="s">
        <v>1296</v>
      </c>
      <c r="N1016">
        <v>6</v>
      </c>
      <c r="O1016" t="s">
        <v>950</v>
      </c>
      <c r="P1016">
        <v>7.0000000000000007E-2</v>
      </c>
      <c r="Q1016" t="s">
        <v>1325</v>
      </c>
      <c r="R1016">
        <v>44.4</v>
      </c>
      <c r="S1016">
        <v>11.1</v>
      </c>
      <c r="T1016">
        <v>44.4</v>
      </c>
      <c r="U1016">
        <v>0</v>
      </c>
      <c r="V1016">
        <v>0</v>
      </c>
    </row>
    <row r="1017" spans="1:22" x14ac:dyDescent="0.25">
      <c r="A1017" t="s">
        <v>2316</v>
      </c>
      <c r="B1017" t="s">
        <v>947</v>
      </c>
      <c r="C1017">
        <v>16</v>
      </c>
      <c r="D1017" t="s">
        <v>132</v>
      </c>
      <c r="E1017" t="s">
        <v>78</v>
      </c>
      <c r="F1017" t="s">
        <v>78</v>
      </c>
      <c r="G1017">
        <v>0.44</v>
      </c>
      <c r="H1017" t="s">
        <v>38</v>
      </c>
      <c r="I1017">
        <v>0</v>
      </c>
      <c r="J1017" t="str">
        <f>HYPERLINK("https://www.eliteprospects.com/player/418525/duncan-penman")</f>
        <v>https://www.eliteprospects.com/player/418525/duncan-penman</v>
      </c>
      <c r="K1017" t="s">
        <v>27</v>
      </c>
      <c r="L1017" t="s">
        <v>918</v>
      </c>
      <c r="M1017" t="s">
        <v>1296</v>
      </c>
      <c r="N1017">
        <v>5</v>
      </c>
      <c r="O1017" t="s">
        <v>955</v>
      </c>
      <c r="P1017">
        <v>0.06</v>
      </c>
      <c r="Q1017" t="s">
        <v>1300</v>
      </c>
      <c r="R1017">
        <v>37.5</v>
      </c>
      <c r="S1017">
        <v>37.5</v>
      </c>
      <c r="T1017">
        <v>0</v>
      </c>
      <c r="U1017">
        <v>12.5</v>
      </c>
      <c r="V1017">
        <v>12.5</v>
      </c>
    </row>
    <row r="1018" spans="1:22" x14ac:dyDescent="0.25">
      <c r="A1018" t="s">
        <v>2317</v>
      </c>
      <c r="B1018" t="s">
        <v>986</v>
      </c>
      <c r="C1018">
        <v>18</v>
      </c>
      <c r="D1018" t="s">
        <v>132</v>
      </c>
      <c r="E1018" t="s">
        <v>78</v>
      </c>
      <c r="F1018" t="s">
        <v>78</v>
      </c>
      <c r="G1018">
        <v>0.39</v>
      </c>
      <c r="H1018" t="s">
        <v>79</v>
      </c>
      <c r="I1018">
        <v>0</v>
      </c>
      <c r="J1018" t="str">
        <f>HYPERLINK("https://www.eliteprospects.com/player/475244/josh-kavanagh")</f>
        <v>https://www.eliteprospects.com/player/475244/josh-kavanagh</v>
      </c>
      <c r="K1018" t="s">
        <v>27</v>
      </c>
      <c r="L1018" t="s">
        <v>918</v>
      </c>
      <c r="M1018" t="s">
        <v>1296</v>
      </c>
      <c r="N1018">
        <v>5</v>
      </c>
      <c r="O1018" t="s">
        <v>1008</v>
      </c>
      <c r="P1018">
        <v>0.05</v>
      </c>
      <c r="Q1018" t="s">
        <v>1300</v>
      </c>
      <c r="R1018">
        <v>37.5</v>
      </c>
      <c r="S1018">
        <v>37.5</v>
      </c>
      <c r="T1018">
        <v>0</v>
      </c>
      <c r="U1018">
        <v>12.5</v>
      </c>
      <c r="V1018">
        <v>12.5</v>
      </c>
    </row>
    <row r="1019" spans="1:22" x14ac:dyDescent="0.25">
      <c r="A1019" t="s">
        <v>2318</v>
      </c>
      <c r="B1019" t="s">
        <v>1084</v>
      </c>
      <c r="C1019">
        <v>19</v>
      </c>
      <c r="D1019" t="s">
        <v>132</v>
      </c>
      <c r="E1019" t="s">
        <v>78</v>
      </c>
      <c r="F1019" t="s">
        <v>78</v>
      </c>
      <c r="G1019">
        <v>0.37</v>
      </c>
      <c r="H1019" t="s">
        <v>66</v>
      </c>
      <c r="I1019">
        <v>0</v>
      </c>
      <c r="J1019" t="str">
        <f>HYPERLINK("https://www.eliteprospects.com/player/201793/dell-welton")</f>
        <v>https://www.eliteprospects.com/player/201793/dell-welton</v>
      </c>
      <c r="K1019" t="s">
        <v>27</v>
      </c>
      <c r="L1019" t="s">
        <v>918</v>
      </c>
      <c r="M1019" t="s">
        <v>1296</v>
      </c>
      <c r="N1019">
        <v>3</v>
      </c>
      <c r="O1019" t="s">
        <v>1160</v>
      </c>
      <c r="P1019">
        <v>0.05</v>
      </c>
      <c r="Q1019" t="s">
        <v>1300</v>
      </c>
      <c r="R1019">
        <v>37.5</v>
      </c>
      <c r="S1019">
        <v>37.5</v>
      </c>
      <c r="T1019">
        <v>0</v>
      </c>
      <c r="U1019">
        <v>12.5</v>
      </c>
      <c r="V1019">
        <v>12.5</v>
      </c>
    </row>
    <row r="1020" spans="1:22" x14ac:dyDescent="0.25">
      <c r="A1020" t="s">
        <v>2319</v>
      </c>
      <c r="B1020" t="s">
        <v>990</v>
      </c>
      <c r="C1020">
        <v>19</v>
      </c>
      <c r="D1020" t="s">
        <v>132</v>
      </c>
      <c r="E1020" t="s">
        <v>78</v>
      </c>
      <c r="F1020" t="s">
        <v>78</v>
      </c>
      <c r="G1020">
        <v>0.37</v>
      </c>
      <c r="H1020" t="s">
        <v>57</v>
      </c>
      <c r="I1020">
        <v>0</v>
      </c>
      <c r="J1020" t="str">
        <f>HYPERLINK("https://www.eliteprospects.com/player/677987/christophe-rondeau")</f>
        <v>https://www.eliteprospects.com/player/677987/christophe-rondeau</v>
      </c>
      <c r="K1020" t="s">
        <v>27</v>
      </c>
      <c r="L1020" t="s">
        <v>918</v>
      </c>
      <c r="M1020" t="s">
        <v>1296</v>
      </c>
      <c r="N1020">
        <v>5</v>
      </c>
      <c r="O1020" t="s">
        <v>930</v>
      </c>
      <c r="P1020">
        <v>0.05</v>
      </c>
      <c r="Q1020" t="s">
        <v>1300</v>
      </c>
      <c r="R1020">
        <v>37.5</v>
      </c>
      <c r="S1020">
        <v>37.5</v>
      </c>
      <c r="T1020">
        <v>0</v>
      </c>
      <c r="U1020">
        <v>12.5</v>
      </c>
      <c r="V1020">
        <v>12.5</v>
      </c>
    </row>
    <row r="1021" spans="1:22" x14ac:dyDescent="0.25">
      <c r="A1021" t="s">
        <v>2320</v>
      </c>
      <c r="B1021" t="s">
        <v>1005</v>
      </c>
      <c r="C1021">
        <v>18</v>
      </c>
      <c r="D1021" t="s">
        <v>66</v>
      </c>
      <c r="E1021" t="s">
        <v>79</v>
      </c>
      <c r="F1021" t="s">
        <v>57</v>
      </c>
      <c r="G1021">
        <v>0.33</v>
      </c>
      <c r="H1021" t="s">
        <v>40</v>
      </c>
      <c r="I1021">
        <v>0</v>
      </c>
      <c r="J1021" t="str">
        <f>HYPERLINK("https://www.eliteprospects.com/player/294744/braeden-virtue")</f>
        <v>https://www.eliteprospects.com/player/294744/braeden-virtue</v>
      </c>
      <c r="K1021" t="s">
        <v>27</v>
      </c>
      <c r="L1021" t="s">
        <v>918</v>
      </c>
      <c r="M1021" t="s">
        <v>1296</v>
      </c>
      <c r="N1021">
        <v>5</v>
      </c>
      <c r="O1021" t="s">
        <v>973</v>
      </c>
      <c r="P1021">
        <v>0.04</v>
      </c>
      <c r="Q1021" t="s">
        <v>1488</v>
      </c>
      <c r="R1021">
        <v>0</v>
      </c>
      <c r="S1021">
        <v>0</v>
      </c>
      <c r="T1021">
        <v>0</v>
      </c>
      <c r="U1021">
        <v>0</v>
      </c>
      <c r="V1021">
        <v>0</v>
      </c>
    </row>
    <row r="1022" spans="1:22" x14ac:dyDescent="0.25">
      <c r="A1022" t="s">
        <v>2321</v>
      </c>
      <c r="B1022" t="s">
        <v>966</v>
      </c>
      <c r="C1022">
        <v>18</v>
      </c>
      <c r="D1022" t="s">
        <v>140</v>
      </c>
      <c r="E1022" t="s">
        <v>140</v>
      </c>
      <c r="F1022" t="s">
        <v>57</v>
      </c>
      <c r="G1022">
        <v>0.33</v>
      </c>
      <c r="H1022" t="s">
        <v>53</v>
      </c>
      <c r="I1022">
        <v>3</v>
      </c>
      <c r="J1022" t="str">
        <f>HYPERLINK("https://www.eliteprospects.com/player/475175/keagan-slaney")</f>
        <v>https://www.eliteprospects.com/player/475175/keagan-slaney</v>
      </c>
      <c r="K1022" t="s">
        <v>27</v>
      </c>
      <c r="L1022" t="s">
        <v>918</v>
      </c>
      <c r="M1022" t="s">
        <v>1296</v>
      </c>
      <c r="N1022">
        <v>6</v>
      </c>
      <c r="O1022" t="s">
        <v>950</v>
      </c>
      <c r="P1022">
        <v>0.04</v>
      </c>
      <c r="Q1022" t="s">
        <v>1488</v>
      </c>
      <c r="R1022">
        <v>0</v>
      </c>
      <c r="S1022">
        <v>0</v>
      </c>
      <c r="T1022">
        <v>0</v>
      </c>
      <c r="U1022">
        <v>0</v>
      </c>
      <c r="V1022">
        <v>0</v>
      </c>
    </row>
    <row r="1023" spans="1:22" x14ac:dyDescent="0.25">
      <c r="A1023" t="s">
        <v>2322</v>
      </c>
      <c r="B1023" t="s">
        <v>931</v>
      </c>
      <c r="C1023">
        <v>14</v>
      </c>
      <c r="D1023" t="s">
        <v>79</v>
      </c>
      <c r="E1023" t="s">
        <v>66</v>
      </c>
      <c r="F1023" t="s">
        <v>57</v>
      </c>
      <c r="G1023">
        <v>0.43</v>
      </c>
      <c r="H1023" t="s">
        <v>32</v>
      </c>
      <c r="I1023">
        <v>11</v>
      </c>
      <c r="J1023" t="str">
        <f>HYPERLINK("https://www.eliteprospects.com/player/581035/layton-feist")</f>
        <v>https://www.eliteprospects.com/player/581035/layton-feist</v>
      </c>
      <c r="K1023" t="s">
        <v>27</v>
      </c>
      <c r="L1023" t="s">
        <v>918</v>
      </c>
      <c r="M1023" t="s">
        <v>1296</v>
      </c>
      <c r="N1023">
        <v>7</v>
      </c>
      <c r="O1023" t="s">
        <v>2263</v>
      </c>
      <c r="P1023">
        <v>0.05</v>
      </c>
      <c r="Q1023" t="s">
        <v>1309</v>
      </c>
      <c r="R1023">
        <v>14.3</v>
      </c>
      <c r="S1023">
        <v>28.6</v>
      </c>
      <c r="T1023">
        <v>28.6</v>
      </c>
      <c r="U1023">
        <v>0</v>
      </c>
      <c r="V1023">
        <v>28.6</v>
      </c>
    </row>
    <row r="1024" spans="1:22" x14ac:dyDescent="0.25">
      <c r="A1024" t="s">
        <v>2323</v>
      </c>
      <c r="B1024" t="s">
        <v>998</v>
      </c>
      <c r="C1024">
        <v>18</v>
      </c>
      <c r="D1024" t="s">
        <v>79</v>
      </c>
      <c r="E1024" t="s">
        <v>66</v>
      </c>
      <c r="F1024" t="s">
        <v>57</v>
      </c>
      <c r="G1024">
        <v>0.33</v>
      </c>
      <c r="H1024" t="s">
        <v>23</v>
      </c>
      <c r="I1024">
        <v>0</v>
      </c>
      <c r="J1024" t="str">
        <f>HYPERLINK("https://www.eliteprospects.com/player/418686/lucas-peric")</f>
        <v>https://www.eliteprospects.com/player/418686/lucas-peric</v>
      </c>
      <c r="K1024" t="s">
        <v>27</v>
      </c>
      <c r="L1024" t="s">
        <v>918</v>
      </c>
      <c r="M1024" t="s">
        <v>1296</v>
      </c>
      <c r="N1024">
        <v>5</v>
      </c>
      <c r="O1024" t="s">
        <v>935</v>
      </c>
      <c r="P1024">
        <v>0.04</v>
      </c>
      <c r="Q1024" t="s">
        <v>1488</v>
      </c>
      <c r="R1024">
        <v>0</v>
      </c>
      <c r="S1024">
        <v>0</v>
      </c>
      <c r="T1024">
        <v>0</v>
      </c>
      <c r="U1024">
        <v>0</v>
      </c>
      <c r="V1024">
        <v>0</v>
      </c>
    </row>
    <row r="1025" spans="1:22" x14ac:dyDescent="0.25">
      <c r="A1025" t="s">
        <v>2324</v>
      </c>
      <c r="B1025" t="s">
        <v>977</v>
      </c>
      <c r="C1025">
        <v>17</v>
      </c>
      <c r="D1025" t="s">
        <v>260</v>
      </c>
      <c r="E1025" t="s">
        <v>96</v>
      </c>
      <c r="F1025" t="s">
        <v>57</v>
      </c>
      <c r="G1025">
        <v>0.35</v>
      </c>
      <c r="H1025" t="s">
        <v>39</v>
      </c>
      <c r="I1025">
        <v>0</v>
      </c>
      <c r="J1025" t="str">
        <f>HYPERLINK("https://www.eliteprospects.com/player/702140/noah-szabo")</f>
        <v>https://www.eliteprospects.com/player/702140/noah-szabo</v>
      </c>
      <c r="K1025" t="s">
        <v>27</v>
      </c>
      <c r="L1025" t="s">
        <v>918</v>
      </c>
      <c r="M1025" t="s">
        <v>1296</v>
      </c>
      <c r="N1025">
        <v>1</v>
      </c>
      <c r="O1025" t="s">
        <v>984</v>
      </c>
      <c r="P1025">
        <v>0.04</v>
      </c>
      <c r="Q1025" t="s">
        <v>1488</v>
      </c>
      <c r="R1025">
        <v>0</v>
      </c>
      <c r="S1025">
        <v>0</v>
      </c>
      <c r="T1025">
        <v>0</v>
      </c>
      <c r="U1025">
        <v>0</v>
      </c>
      <c r="V1025">
        <v>0</v>
      </c>
    </row>
    <row r="1026" spans="1:22" x14ac:dyDescent="0.25">
      <c r="A1026" t="s">
        <v>2325</v>
      </c>
      <c r="B1026" t="s">
        <v>1003</v>
      </c>
      <c r="C1026">
        <v>18</v>
      </c>
      <c r="D1026" t="s">
        <v>260</v>
      </c>
      <c r="E1026" t="s">
        <v>96</v>
      </c>
      <c r="F1026" t="s">
        <v>57</v>
      </c>
      <c r="G1026">
        <v>0.33</v>
      </c>
      <c r="H1026" t="s">
        <v>79</v>
      </c>
      <c r="I1026">
        <v>0</v>
      </c>
      <c r="J1026" t="str">
        <f>HYPERLINK("https://www.eliteprospects.com/player/201790/ben-roode")</f>
        <v>https://www.eliteprospects.com/player/201790/ben-roode</v>
      </c>
      <c r="K1026" t="s">
        <v>27</v>
      </c>
      <c r="L1026" t="s">
        <v>918</v>
      </c>
      <c r="M1026" t="s">
        <v>1296</v>
      </c>
      <c r="N1026">
        <v>4</v>
      </c>
      <c r="O1026" t="s">
        <v>1192</v>
      </c>
      <c r="P1026">
        <v>0.04</v>
      </c>
      <c r="Q1026" t="s">
        <v>1488</v>
      </c>
      <c r="R1026">
        <v>0</v>
      </c>
      <c r="S1026">
        <v>0</v>
      </c>
      <c r="T1026">
        <v>0</v>
      </c>
      <c r="U1026">
        <v>0</v>
      </c>
      <c r="V1026">
        <v>0</v>
      </c>
    </row>
    <row r="1027" spans="1:22" x14ac:dyDescent="0.25">
      <c r="A1027" t="s">
        <v>2326</v>
      </c>
      <c r="B1027" t="s">
        <v>931</v>
      </c>
      <c r="C1027">
        <v>18</v>
      </c>
      <c r="D1027" t="s">
        <v>260</v>
      </c>
      <c r="E1027" t="s">
        <v>96</v>
      </c>
      <c r="F1027" t="s">
        <v>57</v>
      </c>
      <c r="G1027">
        <v>0.33</v>
      </c>
      <c r="H1027" t="s">
        <v>66</v>
      </c>
      <c r="I1027">
        <v>11</v>
      </c>
      <c r="J1027" t="str">
        <f>HYPERLINK("https://www.eliteprospects.com/player/561395/tanner-komzak")</f>
        <v>https://www.eliteprospects.com/player/561395/tanner-komzak</v>
      </c>
      <c r="K1027" t="s">
        <v>27</v>
      </c>
      <c r="L1027" t="s">
        <v>918</v>
      </c>
      <c r="M1027" t="s">
        <v>1296</v>
      </c>
      <c r="N1027">
        <v>3</v>
      </c>
      <c r="O1027" t="s">
        <v>1039</v>
      </c>
      <c r="P1027">
        <v>0.04</v>
      </c>
      <c r="Q1027" t="s">
        <v>1488</v>
      </c>
      <c r="R1027">
        <v>0</v>
      </c>
      <c r="S1027">
        <v>0</v>
      </c>
      <c r="T1027">
        <v>0</v>
      </c>
      <c r="U1027">
        <v>0</v>
      </c>
      <c r="V1027">
        <v>0</v>
      </c>
    </row>
    <row r="1028" spans="1:22" x14ac:dyDescent="0.25">
      <c r="A1028" t="s">
        <v>2327</v>
      </c>
      <c r="B1028" t="s">
        <v>954</v>
      </c>
      <c r="C1028">
        <v>15</v>
      </c>
      <c r="D1028" t="s">
        <v>132</v>
      </c>
      <c r="E1028" t="s">
        <v>57</v>
      </c>
      <c r="F1028" t="s">
        <v>57</v>
      </c>
      <c r="G1028">
        <v>0.4</v>
      </c>
      <c r="H1028" t="s">
        <v>39</v>
      </c>
      <c r="I1028">
        <v>0</v>
      </c>
      <c r="J1028" t="str">
        <f>HYPERLINK("https://www.eliteprospects.com/player/485318/vincent-maisonneuve")</f>
        <v>https://www.eliteprospects.com/player/485318/vincent-maisonneuve</v>
      </c>
      <c r="K1028" t="s">
        <v>27</v>
      </c>
      <c r="L1028" t="s">
        <v>918</v>
      </c>
      <c r="M1028" t="s">
        <v>1296</v>
      </c>
      <c r="N1028">
        <v>5</v>
      </c>
      <c r="O1028" t="s">
        <v>1094</v>
      </c>
      <c r="P1028">
        <v>0.05</v>
      </c>
      <c r="Q1028" t="s">
        <v>1300</v>
      </c>
      <c r="R1028">
        <v>37.5</v>
      </c>
      <c r="S1028">
        <v>37.5</v>
      </c>
      <c r="T1028">
        <v>0</v>
      </c>
      <c r="U1028">
        <v>12.5</v>
      </c>
      <c r="V1028">
        <v>12.5</v>
      </c>
    </row>
    <row r="1029" spans="1:22" x14ac:dyDescent="0.25">
      <c r="A1029" t="s">
        <v>2328</v>
      </c>
      <c r="B1029" t="s">
        <v>998</v>
      </c>
      <c r="C1029">
        <v>16</v>
      </c>
      <c r="D1029" t="s">
        <v>132</v>
      </c>
      <c r="E1029" t="s">
        <v>57</v>
      </c>
      <c r="F1029" t="s">
        <v>57</v>
      </c>
      <c r="G1029">
        <v>0.38</v>
      </c>
      <c r="H1029" t="s">
        <v>132</v>
      </c>
      <c r="I1029">
        <v>0</v>
      </c>
      <c r="J1029" t="str">
        <f>HYPERLINK("https://www.eliteprospects.com/player/503291/ian-lemieux")</f>
        <v>https://www.eliteprospects.com/player/503291/ian-lemieux</v>
      </c>
      <c r="K1029" t="s">
        <v>27</v>
      </c>
      <c r="L1029" t="s">
        <v>918</v>
      </c>
      <c r="M1029" t="s">
        <v>1296</v>
      </c>
      <c r="N1029">
        <v>6</v>
      </c>
      <c r="O1029" t="s">
        <v>995</v>
      </c>
      <c r="P1029">
        <v>0.05</v>
      </c>
      <c r="Q1029" t="s">
        <v>1300</v>
      </c>
      <c r="R1029">
        <v>37.5</v>
      </c>
      <c r="S1029">
        <v>37.5</v>
      </c>
      <c r="T1029">
        <v>0</v>
      </c>
      <c r="U1029">
        <v>12.5</v>
      </c>
      <c r="V1029">
        <v>12.5</v>
      </c>
    </row>
    <row r="1030" spans="1:22" x14ac:dyDescent="0.25">
      <c r="A1030" t="s">
        <v>2329</v>
      </c>
      <c r="B1030" t="s">
        <v>1036</v>
      </c>
      <c r="C1030">
        <v>16</v>
      </c>
      <c r="D1030" t="s">
        <v>132</v>
      </c>
      <c r="E1030" t="s">
        <v>57</v>
      </c>
      <c r="F1030" t="s">
        <v>57</v>
      </c>
      <c r="G1030">
        <v>0.38</v>
      </c>
      <c r="H1030" t="s">
        <v>57</v>
      </c>
      <c r="I1030">
        <v>0</v>
      </c>
      <c r="J1030" t="str">
        <f>HYPERLINK("https://www.eliteprospects.com/player/573654/nathan-drapeau")</f>
        <v>https://www.eliteprospects.com/player/573654/nathan-drapeau</v>
      </c>
      <c r="K1030" t="s">
        <v>27</v>
      </c>
      <c r="L1030" t="s">
        <v>918</v>
      </c>
      <c r="M1030" t="s">
        <v>1296</v>
      </c>
      <c r="N1030">
        <v>6</v>
      </c>
      <c r="O1030" t="s">
        <v>968</v>
      </c>
      <c r="P1030">
        <v>0.05</v>
      </c>
      <c r="Q1030" t="s">
        <v>1300</v>
      </c>
      <c r="R1030">
        <v>37.5</v>
      </c>
      <c r="S1030">
        <v>37.5</v>
      </c>
      <c r="T1030">
        <v>0</v>
      </c>
      <c r="U1030">
        <v>12.5</v>
      </c>
      <c r="V1030">
        <v>12.5</v>
      </c>
    </row>
    <row r="1031" spans="1:22" x14ac:dyDescent="0.25">
      <c r="A1031" t="s">
        <v>2330</v>
      </c>
      <c r="B1031" t="s">
        <v>986</v>
      </c>
      <c r="C1031">
        <v>18</v>
      </c>
      <c r="D1031" t="s">
        <v>132</v>
      </c>
      <c r="E1031" t="s">
        <v>57</v>
      </c>
      <c r="F1031" t="s">
        <v>57</v>
      </c>
      <c r="G1031">
        <v>0.33</v>
      </c>
      <c r="H1031" t="s">
        <v>32</v>
      </c>
      <c r="I1031">
        <v>0</v>
      </c>
      <c r="J1031" t="str">
        <f>HYPERLINK("https://www.eliteprospects.com/player/651851/callum-chisholm")</f>
        <v>https://www.eliteprospects.com/player/651851/callum-chisholm</v>
      </c>
      <c r="K1031" t="s">
        <v>27</v>
      </c>
      <c r="L1031" t="s">
        <v>918</v>
      </c>
      <c r="M1031" t="s">
        <v>1417</v>
      </c>
      <c r="N1031">
        <v>4</v>
      </c>
      <c r="O1031" t="s">
        <v>1257</v>
      </c>
      <c r="P1031">
        <v>0.04</v>
      </c>
      <c r="Q1031" t="s">
        <v>1488</v>
      </c>
      <c r="R1031">
        <v>0</v>
      </c>
      <c r="S1031">
        <v>0</v>
      </c>
      <c r="T1031">
        <v>0</v>
      </c>
      <c r="U1031">
        <v>0</v>
      </c>
      <c r="V1031">
        <v>0</v>
      </c>
    </row>
    <row r="1032" spans="1:22" x14ac:dyDescent="0.25">
      <c r="A1032" t="s">
        <v>2331</v>
      </c>
      <c r="B1032" t="s">
        <v>1032</v>
      </c>
      <c r="C1032">
        <v>18</v>
      </c>
      <c r="D1032" t="s">
        <v>132</v>
      </c>
      <c r="E1032" t="s">
        <v>57</v>
      </c>
      <c r="F1032" t="s">
        <v>57</v>
      </c>
      <c r="G1032">
        <v>0.33</v>
      </c>
      <c r="H1032" t="s">
        <v>53</v>
      </c>
      <c r="I1032">
        <v>0</v>
      </c>
      <c r="J1032" t="str">
        <f>HYPERLINK("https://www.eliteprospects.com/player/614365/owen-wilson")</f>
        <v>https://www.eliteprospects.com/player/614365/owen-wilson</v>
      </c>
      <c r="K1032" t="s">
        <v>27</v>
      </c>
      <c r="L1032" t="s">
        <v>918</v>
      </c>
      <c r="M1032" t="s">
        <v>1296</v>
      </c>
      <c r="N1032">
        <v>1</v>
      </c>
      <c r="O1032" t="s">
        <v>984</v>
      </c>
      <c r="P1032">
        <v>0.04</v>
      </c>
      <c r="Q1032" t="s">
        <v>1488</v>
      </c>
      <c r="R1032">
        <v>0</v>
      </c>
      <c r="S1032">
        <v>0</v>
      </c>
      <c r="T1032">
        <v>0</v>
      </c>
      <c r="U1032">
        <v>0</v>
      </c>
      <c r="V1032">
        <v>0</v>
      </c>
    </row>
    <row r="1033" spans="1:22" x14ac:dyDescent="0.25">
      <c r="A1033" t="s">
        <v>2332</v>
      </c>
      <c r="B1033" t="s">
        <v>990</v>
      </c>
      <c r="C1033">
        <v>19</v>
      </c>
      <c r="D1033" t="s">
        <v>132</v>
      </c>
      <c r="E1033" t="s">
        <v>57</v>
      </c>
      <c r="F1033" t="s">
        <v>57</v>
      </c>
      <c r="G1033">
        <v>0.32</v>
      </c>
      <c r="H1033" t="s">
        <v>38</v>
      </c>
      <c r="I1033">
        <v>0</v>
      </c>
      <c r="J1033" t="str">
        <f>HYPERLINK("https://www.eliteprospects.com/player/625751/kaylen-gauthier")</f>
        <v>https://www.eliteprospects.com/player/625751/kaylen-gauthier</v>
      </c>
      <c r="K1033" t="s">
        <v>27</v>
      </c>
      <c r="L1033" t="s">
        <v>918</v>
      </c>
      <c r="M1033" t="s">
        <v>1296</v>
      </c>
      <c r="N1033">
        <v>6</v>
      </c>
      <c r="O1033" t="s">
        <v>921</v>
      </c>
      <c r="P1033">
        <v>0.04</v>
      </c>
      <c r="Q1033" t="s">
        <v>1488</v>
      </c>
      <c r="R1033">
        <v>0</v>
      </c>
      <c r="S1033">
        <v>0</v>
      </c>
      <c r="T1033">
        <v>0</v>
      </c>
      <c r="U1033">
        <v>0</v>
      </c>
      <c r="V1033">
        <v>0</v>
      </c>
    </row>
    <row r="1034" spans="1:22" x14ac:dyDescent="0.25">
      <c r="A1034" t="s">
        <v>2333</v>
      </c>
      <c r="B1034" t="s">
        <v>1036</v>
      </c>
      <c r="C1034">
        <v>19</v>
      </c>
      <c r="D1034" t="s">
        <v>132</v>
      </c>
      <c r="E1034" t="s">
        <v>57</v>
      </c>
      <c r="F1034" t="s">
        <v>57</v>
      </c>
      <c r="G1034">
        <v>0.32</v>
      </c>
      <c r="H1034" t="s">
        <v>125</v>
      </c>
      <c r="I1034">
        <v>0</v>
      </c>
      <c r="J1034" t="str">
        <f>HYPERLINK("https://www.eliteprospects.com/player/503507/a.j.-cook")</f>
        <v>https://www.eliteprospects.com/player/503507/a.j.-cook</v>
      </c>
      <c r="K1034" t="s">
        <v>27</v>
      </c>
      <c r="L1034" t="s">
        <v>918</v>
      </c>
      <c r="M1034" t="s">
        <v>1296</v>
      </c>
      <c r="N1034">
        <v>7</v>
      </c>
      <c r="O1034" t="s">
        <v>2257</v>
      </c>
      <c r="P1034">
        <v>0.04</v>
      </c>
      <c r="Q1034" t="s">
        <v>1488</v>
      </c>
      <c r="R1034">
        <v>0</v>
      </c>
      <c r="S1034">
        <v>0</v>
      </c>
      <c r="T1034">
        <v>0</v>
      </c>
      <c r="U1034">
        <v>0</v>
      </c>
      <c r="V1034">
        <v>0</v>
      </c>
    </row>
    <row r="1035" spans="1:22" x14ac:dyDescent="0.25">
      <c r="A1035" t="s">
        <v>2334</v>
      </c>
      <c r="B1035" t="s">
        <v>934</v>
      </c>
      <c r="C1035">
        <v>20</v>
      </c>
      <c r="D1035" t="s">
        <v>132</v>
      </c>
      <c r="E1035" t="s">
        <v>57</v>
      </c>
      <c r="F1035" t="s">
        <v>57</v>
      </c>
      <c r="G1035">
        <v>0.3</v>
      </c>
      <c r="H1035" t="s">
        <v>125</v>
      </c>
      <c r="I1035">
        <v>13</v>
      </c>
      <c r="J1035" t="str">
        <f>HYPERLINK("https://www.eliteprospects.com/player/417751/nicolas-savoie")</f>
        <v>https://www.eliteprospects.com/player/417751/nicolas-savoie</v>
      </c>
      <c r="K1035" t="s">
        <v>27</v>
      </c>
      <c r="L1035" t="s">
        <v>918</v>
      </c>
      <c r="M1035" t="s">
        <v>1296</v>
      </c>
      <c r="N1035">
        <v>6</v>
      </c>
      <c r="O1035" t="s">
        <v>921</v>
      </c>
      <c r="P1035">
        <v>0.04</v>
      </c>
      <c r="Q1035" t="s">
        <v>1488</v>
      </c>
      <c r="R1035">
        <v>0</v>
      </c>
      <c r="S1035">
        <v>0</v>
      </c>
      <c r="T1035">
        <v>0</v>
      </c>
      <c r="U1035">
        <v>0</v>
      </c>
      <c r="V1035">
        <v>0</v>
      </c>
    </row>
    <row r="1036" spans="1:22" x14ac:dyDescent="0.25">
      <c r="A1036" t="s">
        <v>2335</v>
      </c>
      <c r="B1036" t="s">
        <v>942</v>
      </c>
      <c r="C1036">
        <v>18</v>
      </c>
      <c r="D1036" t="s">
        <v>140</v>
      </c>
      <c r="E1036" t="s">
        <v>79</v>
      </c>
      <c r="F1036" t="s">
        <v>96</v>
      </c>
      <c r="G1036">
        <v>0.28000000000000003</v>
      </c>
      <c r="H1036" t="s">
        <v>125</v>
      </c>
      <c r="I1036">
        <v>0</v>
      </c>
      <c r="J1036" t="str">
        <f>HYPERLINK("https://www.eliteprospects.com/player/512192/spencer-shugrue")</f>
        <v>https://www.eliteprospects.com/player/512192/spencer-shugrue</v>
      </c>
      <c r="K1036" t="s">
        <v>27</v>
      </c>
      <c r="L1036" t="s">
        <v>918</v>
      </c>
      <c r="M1036" t="s">
        <v>1296</v>
      </c>
      <c r="N1036">
        <v>6</v>
      </c>
      <c r="O1036" t="s">
        <v>950</v>
      </c>
      <c r="P1036">
        <v>0.04</v>
      </c>
      <c r="Q1036" t="s">
        <v>1488</v>
      </c>
      <c r="R1036">
        <v>0</v>
      </c>
      <c r="S1036">
        <v>0</v>
      </c>
      <c r="T1036">
        <v>0</v>
      </c>
      <c r="U1036">
        <v>0</v>
      </c>
      <c r="V1036">
        <v>0</v>
      </c>
    </row>
    <row r="1037" spans="1:22" x14ac:dyDescent="0.25">
      <c r="A1037" t="s">
        <v>2336</v>
      </c>
      <c r="B1037" t="s">
        <v>961</v>
      </c>
      <c r="C1037">
        <v>14</v>
      </c>
      <c r="D1037" t="s">
        <v>79</v>
      </c>
      <c r="E1037" t="s">
        <v>140</v>
      </c>
      <c r="F1037" t="s">
        <v>96</v>
      </c>
      <c r="G1037">
        <v>0.36</v>
      </c>
      <c r="H1037" t="s">
        <v>66</v>
      </c>
      <c r="I1037">
        <v>0</v>
      </c>
      <c r="J1037" t="str">
        <f>HYPERLINK("https://www.eliteprospects.com/player/580209/jacob-dietz")</f>
        <v>https://www.eliteprospects.com/player/580209/jacob-dietz</v>
      </c>
      <c r="K1037" t="s">
        <v>27</v>
      </c>
      <c r="L1037" t="s">
        <v>918</v>
      </c>
      <c r="M1037" t="s">
        <v>1296</v>
      </c>
      <c r="N1037">
        <v>2</v>
      </c>
      <c r="O1037" t="s">
        <v>1021</v>
      </c>
      <c r="P1037">
        <v>0.04</v>
      </c>
      <c r="Q1037" t="s">
        <v>1488</v>
      </c>
      <c r="R1037">
        <v>0</v>
      </c>
      <c r="S1037">
        <v>0</v>
      </c>
      <c r="T1037">
        <v>0</v>
      </c>
      <c r="U1037">
        <v>0</v>
      </c>
      <c r="V1037">
        <v>0</v>
      </c>
    </row>
    <row r="1038" spans="1:22" x14ac:dyDescent="0.25">
      <c r="A1038" t="s">
        <v>2337</v>
      </c>
      <c r="B1038" t="s">
        <v>947</v>
      </c>
      <c r="C1038">
        <v>16</v>
      </c>
      <c r="D1038" t="s">
        <v>79</v>
      </c>
      <c r="E1038" t="s">
        <v>140</v>
      </c>
      <c r="F1038" t="s">
        <v>96</v>
      </c>
      <c r="G1038">
        <v>0.31</v>
      </c>
      <c r="H1038" t="s">
        <v>79</v>
      </c>
      <c r="I1038">
        <v>0</v>
      </c>
      <c r="J1038" t="str">
        <f>HYPERLINK("https://www.eliteprospects.com/player/695071/dillon-stiles")</f>
        <v>https://www.eliteprospects.com/player/695071/dillon-stiles</v>
      </c>
      <c r="K1038" t="s">
        <v>27</v>
      </c>
      <c r="L1038" t="s">
        <v>918</v>
      </c>
      <c r="M1038" t="s">
        <v>1296</v>
      </c>
      <c r="N1038">
        <v>1</v>
      </c>
      <c r="O1038" t="s">
        <v>984</v>
      </c>
      <c r="P1038">
        <v>0.04</v>
      </c>
      <c r="Q1038" t="s">
        <v>1488</v>
      </c>
      <c r="R1038">
        <v>0</v>
      </c>
      <c r="S1038">
        <v>0</v>
      </c>
      <c r="T1038">
        <v>0</v>
      </c>
      <c r="U1038">
        <v>0</v>
      </c>
      <c r="V1038">
        <v>0</v>
      </c>
    </row>
    <row r="1039" spans="1:22" x14ac:dyDescent="0.25">
      <c r="A1039" t="s">
        <v>2338</v>
      </c>
      <c r="B1039" t="s">
        <v>972</v>
      </c>
      <c r="C1039">
        <v>16</v>
      </c>
      <c r="D1039" t="s">
        <v>79</v>
      </c>
      <c r="E1039" t="s">
        <v>140</v>
      </c>
      <c r="F1039" t="s">
        <v>96</v>
      </c>
      <c r="G1039">
        <v>0.31</v>
      </c>
      <c r="H1039" t="s">
        <v>24</v>
      </c>
      <c r="I1039">
        <v>0</v>
      </c>
      <c r="J1039" t="str">
        <f>HYPERLINK("https://www.eliteprospects.com/player/503018/liam-whittaker")</f>
        <v>https://www.eliteprospects.com/player/503018/liam-whittaker</v>
      </c>
      <c r="K1039" t="s">
        <v>27</v>
      </c>
      <c r="L1039" t="s">
        <v>918</v>
      </c>
      <c r="M1039" t="s">
        <v>1296</v>
      </c>
      <c r="N1039">
        <v>5</v>
      </c>
      <c r="O1039" t="s">
        <v>935</v>
      </c>
      <c r="P1039">
        <v>0.04</v>
      </c>
      <c r="Q1039" t="s">
        <v>1488</v>
      </c>
      <c r="R1039">
        <v>0</v>
      </c>
      <c r="S1039">
        <v>0</v>
      </c>
      <c r="T1039">
        <v>0</v>
      </c>
      <c r="U1039">
        <v>0</v>
      </c>
      <c r="V1039">
        <v>0</v>
      </c>
    </row>
    <row r="1040" spans="1:22" x14ac:dyDescent="0.25">
      <c r="A1040" t="s">
        <v>2339</v>
      </c>
      <c r="B1040" t="s">
        <v>1011</v>
      </c>
      <c r="C1040">
        <v>18</v>
      </c>
      <c r="D1040" t="s">
        <v>79</v>
      </c>
      <c r="E1040" t="s">
        <v>140</v>
      </c>
      <c r="F1040" t="s">
        <v>96</v>
      </c>
      <c r="G1040">
        <v>0.28000000000000003</v>
      </c>
      <c r="H1040" t="s">
        <v>66</v>
      </c>
      <c r="I1040">
        <v>-2</v>
      </c>
      <c r="J1040" t="str">
        <f>HYPERLINK("https://www.eliteprospects.com/player/620342/aaron-brown")</f>
        <v>https://www.eliteprospects.com/player/620342/aaron-brown</v>
      </c>
      <c r="K1040" t="s">
        <v>27</v>
      </c>
      <c r="L1040" t="s">
        <v>918</v>
      </c>
      <c r="M1040" t="s">
        <v>1296</v>
      </c>
      <c r="N1040">
        <v>1</v>
      </c>
      <c r="O1040" t="s">
        <v>984</v>
      </c>
      <c r="P1040">
        <v>0.04</v>
      </c>
      <c r="Q1040" t="s">
        <v>1488</v>
      </c>
      <c r="R1040">
        <v>0</v>
      </c>
      <c r="S1040">
        <v>0</v>
      </c>
      <c r="T1040">
        <v>0</v>
      </c>
      <c r="U1040">
        <v>0</v>
      </c>
      <c r="V1040">
        <v>0</v>
      </c>
    </row>
    <row r="1041" spans="1:22" x14ac:dyDescent="0.25">
      <c r="A1041" t="s">
        <v>2340</v>
      </c>
      <c r="B1041" t="s">
        <v>990</v>
      </c>
      <c r="C1041">
        <v>18</v>
      </c>
      <c r="D1041" t="s">
        <v>79</v>
      </c>
      <c r="E1041" t="s">
        <v>140</v>
      </c>
      <c r="F1041" t="s">
        <v>96</v>
      </c>
      <c r="G1041">
        <v>0.28000000000000003</v>
      </c>
      <c r="H1041" t="s">
        <v>57</v>
      </c>
      <c r="I1041">
        <v>0</v>
      </c>
      <c r="J1041" t="str">
        <f>HYPERLINK("https://www.eliteprospects.com/player/341625/olivier-boutin")</f>
        <v>https://www.eliteprospects.com/player/341625/olivier-boutin</v>
      </c>
      <c r="K1041" t="s">
        <v>27</v>
      </c>
      <c r="L1041" t="s">
        <v>918</v>
      </c>
      <c r="M1041" t="s">
        <v>1296</v>
      </c>
      <c r="N1041">
        <v>6</v>
      </c>
      <c r="O1041" t="s">
        <v>968</v>
      </c>
      <c r="P1041">
        <v>0.04</v>
      </c>
      <c r="Q1041" t="s">
        <v>1488</v>
      </c>
      <c r="R1041">
        <v>0</v>
      </c>
      <c r="S1041">
        <v>0</v>
      </c>
      <c r="T1041">
        <v>0</v>
      </c>
      <c r="U1041">
        <v>0</v>
      </c>
      <c r="V1041">
        <v>0</v>
      </c>
    </row>
    <row r="1042" spans="1:22" x14ac:dyDescent="0.25">
      <c r="A1042" t="s">
        <v>2341</v>
      </c>
      <c r="B1042" t="s">
        <v>923</v>
      </c>
      <c r="C1042">
        <v>20</v>
      </c>
      <c r="D1042" t="s">
        <v>79</v>
      </c>
      <c r="E1042" t="s">
        <v>140</v>
      </c>
      <c r="F1042" t="s">
        <v>96</v>
      </c>
      <c r="G1042">
        <v>0.25</v>
      </c>
      <c r="H1042" t="s">
        <v>55</v>
      </c>
      <c r="I1042">
        <v>4</v>
      </c>
      <c r="J1042" t="str">
        <f>HYPERLINK("https://www.eliteprospects.com/player/481984/logen-hammett")</f>
        <v>https://www.eliteprospects.com/player/481984/logen-hammett</v>
      </c>
      <c r="K1042" t="s">
        <v>27</v>
      </c>
      <c r="L1042" t="s">
        <v>918</v>
      </c>
      <c r="M1042" t="s">
        <v>1296</v>
      </c>
      <c r="N1042">
        <v>4</v>
      </c>
      <c r="O1042" t="s">
        <v>978</v>
      </c>
      <c r="P1042">
        <v>0.03</v>
      </c>
      <c r="Q1042" t="s">
        <v>1488</v>
      </c>
      <c r="R1042">
        <v>0</v>
      </c>
      <c r="S1042">
        <v>0</v>
      </c>
      <c r="T1042">
        <v>0</v>
      </c>
      <c r="U1042">
        <v>0</v>
      </c>
      <c r="V1042">
        <v>0</v>
      </c>
    </row>
    <row r="1043" spans="1:22" x14ac:dyDescent="0.25">
      <c r="A1043" t="s">
        <v>2342</v>
      </c>
      <c r="B1043" t="s">
        <v>944</v>
      </c>
      <c r="C1043">
        <v>20</v>
      </c>
      <c r="D1043" t="s">
        <v>79</v>
      </c>
      <c r="E1043" t="s">
        <v>140</v>
      </c>
      <c r="F1043" t="s">
        <v>96</v>
      </c>
      <c r="G1043">
        <v>0.25</v>
      </c>
      <c r="H1043" t="s">
        <v>491</v>
      </c>
      <c r="I1043">
        <v>1</v>
      </c>
      <c r="J1043" t="str">
        <f>HYPERLINK("https://www.eliteprospects.com/player/573857/jonathan-desrosiers")</f>
        <v>https://www.eliteprospects.com/player/573857/jonathan-desrosiers</v>
      </c>
      <c r="K1043" t="s">
        <v>27</v>
      </c>
      <c r="L1043" t="s">
        <v>918</v>
      </c>
      <c r="M1043" t="s">
        <v>1296</v>
      </c>
      <c r="N1043">
        <v>5</v>
      </c>
      <c r="O1043" t="s">
        <v>930</v>
      </c>
      <c r="P1043">
        <v>0.03</v>
      </c>
      <c r="Q1043" t="s">
        <v>1488</v>
      </c>
      <c r="R1043">
        <v>0</v>
      </c>
      <c r="S1043">
        <v>0</v>
      </c>
      <c r="T1043">
        <v>0</v>
      </c>
      <c r="U1043">
        <v>0</v>
      </c>
      <c r="V1043">
        <v>0</v>
      </c>
    </row>
    <row r="1044" spans="1:22" x14ac:dyDescent="0.25">
      <c r="A1044" t="s">
        <v>2343</v>
      </c>
      <c r="B1044" t="s">
        <v>931</v>
      </c>
      <c r="C1044">
        <v>11</v>
      </c>
      <c r="D1044" t="s">
        <v>260</v>
      </c>
      <c r="E1044" t="s">
        <v>66</v>
      </c>
      <c r="F1044" t="s">
        <v>96</v>
      </c>
      <c r="G1044">
        <v>0.45</v>
      </c>
      <c r="H1044" t="s">
        <v>79</v>
      </c>
      <c r="I1044">
        <v>7</v>
      </c>
      <c r="J1044" t="str">
        <f>HYPERLINK("https://www.eliteprospects.com/player/505630/alex-izyk")</f>
        <v>https://www.eliteprospects.com/player/505630/alex-izyk</v>
      </c>
      <c r="K1044" t="s">
        <v>27</v>
      </c>
      <c r="L1044" t="s">
        <v>918</v>
      </c>
      <c r="M1044" t="s">
        <v>1296</v>
      </c>
      <c r="N1044">
        <v>1</v>
      </c>
      <c r="O1044" t="s">
        <v>984</v>
      </c>
      <c r="P1044">
        <v>0.06</v>
      </c>
      <c r="Q1044" t="s">
        <v>1309</v>
      </c>
      <c r="R1044">
        <v>14.3</v>
      </c>
      <c r="S1044">
        <v>28.6</v>
      </c>
      <c r="T1044">
        <v>28.6</v>
      </c>
      <c r="U1044">
        <v>0</v>
      </c>
      <c r="V1044">
        <v>28.6</v>
      </c>
    </row>
    <row r="1045" spans="1:22" x14ac:dyDescent="0.25">
      <c r="A1045" t="s">
        <v>2344</v>
      </c>
      <c r="B1045" t="s">
        <v>961</v>
      </c>
      <c r="C1045">
        <v>15</v>
      </c>
      <c r="D1045" t="s">
        <v>260</v>
      </c>
      <c r="E1045" t="s">
        <v>66</v>
      </c>
      <c r="F1045" t="s">
        <v>96</v>
      </c>
      <c r="G1045">
        <v>0.33</v>
      </c>
      <c r="H1045" t="s">
        <v>66</v>
      </c>
      <c r="I1045">
        <v>0</v>
      </c>
      <c r="J1045" t="str">
        <f>HYPERLINK("https://www.eliteprospects.com/player/441330/drew-wawrow")</f>
        <v>https://www.eliteprospects.com/player/441330/drew-wawrow</v>
      </c>
      <c r="K1045" t="s">
        <v>27</v>
      </c>
      <c r="L1045" t="s">
        <v>918</v>
      </c>
      <c r="M1045" t="s">
        <v>1296</v>
      </c>
      <c r="N1045">
        <v>5</v>
      </c>
      <c r="O1045" t="s">
        <v>955</v>
      </c>
      <c r="P1045">
        <v>0.04</v>
      </c>
      <c r="Q1045" t="s">
        <v>1488</v>
      </c>
      <c r="R1045">
        <v>0</v>
      </c>
      <c r="S1045">
        <v>0</v>
      </c>
      <c r="T1045">
        <v>0</v>
      </c>
      <c r="U1045">
        <v>0</v>
      </c>
      <c r="V1045">
        <v>0</v>
      </c>
    </row>
    <row r="1046" spans="1:22" x14ac:dyDescent="0.25">
      <c r="A1046" t="s">
        <v>2345</v>
      </c>
      <c r="B1046" t="s">
        <v>959</v>
      </c>
      <c r="C1046">
        <v>16</v>
      </c>
      <c r="D1046" t="s">
        <v>260</v>
      </c>
      <c r="E1046" t="s">
        <v>66</v>
      </c>
      <c r="F1046" t="s">
        <v>96</v>
      </c>
      <c r="G1046">
        <v>0.31</v>
      </c>
      <c r="H1046" t="s">
        <v>23</v>
      </c>
      <c r="I1046">
        <v>0</v>
      </c>
      <c r="J1046" t="str">
        <f>HYPERLINK("https://www.eliteprospects.com/player/620242/alexandre-pellerin")</f>
        <v>https://www.eliteprospects.com/player/620242/alexandre-pellerin</v>
      </c>
      <c r="K1046" t="s">
        <v>27</v>
      </c>
      <c r="L1046" t="s">
        <v>918</v>
      </c>
      <c r="M1046" t="s">
        <v>1296</v>
      </c>
      <c r="N1046">
        <v>1</v>
      </c>
      <c r="O1046" t="s">
        <v>984</v>
      </c>
      <c r="P1046">
        <v>0.04</v>
      </c>
      <c r="Q1046" t="s">
        <v>1488</v>
      </c>
      <c r="R1046">
        <v>0</v>
      </c>
      <c r="S1046">
        <v>0</v>
      </c>
      <c r="T1046">
        <v>0</v>
      </c>
      <c r="U1046">
        <v>0</v>
      </c>
      <c r="V1046">
        <v>0</v>
      </c>
    </row>
    <row r="1047" spans="1:22" x14ac:dyDescent="0.25">
      <c r="A1047" t="s">
        <v>2346</v>
      </c>
      <c r="B1047" t="s">
        <v>1049</v>
      </c>
      <c r="C1047">
        <v>17</v>
      </c>
      <c r="D1047" t="s">
        <v>260</v>
      </c>
      <c r="E1047" t="s">
        <v>66</v>
      </c>
      <c r="F1047" t="s">
        <v>96</v>
      </c>
      <c r="G1047">
        <v>0.28999999999999998</v>
      </c>
      <c r="H1047" t="s">
        <v>125</v>
      </c>
      <c r="I1047">
        <v>-15</v>
      </c>
      <c r="J1047" t="str">
        <f>HYPERLINK("https://www.eliteprospects.com/player/573362/ben-bonni")</f>
        <v>https://www.eliteprospects.com/player/573362/ben-bonni</v>
      </c>
      <c r="K1047" t="s">
        <v>27</v>
      </c>
      <c r="L1047" t="s">
        <v>918</v>
      </c>
      <c r="M1047" t="s">
        <v>1417</v>
      </c>
      <c r="N1047">
        <v>4</v>
      </c>
      <c r="O1047" t="s">
        <v>978</v>
      </c>
      <c r="P1047">
        <v>0.04</v>
      </c>
      <c r="Q1047" t="s">
        <v>1488</v>
      </c>
      <c r="R1047">
        <v>0</v>
      </c>
      <c r="S1047">
        <v>0</v>
      </c>
      <c r="T1047">
        <v>0</v>
      </c>
      <c r="U1047">
        <v>0</v>
      </c>
      <c r="V1047">
        <v>0</v>
      </c>
    </row>
    <row r="1048" spans="1:22" x14ac:dyDescent="0.25">
      <c r="A1048" t="s">
        <v>2347</v>
      </c>
      <c r="B1048" t="s">
        <v>1011</v>
      </c>
      <c r="C1048">
        <v>18</v>
      </c>
      <c r="D1048" t="s">
        <v>260</v>
      </c>
      <c r="E1048" t="s">
        <v>66</v>
      </c>
      <c r="F1048" t="s">
        <v>96</v>
      </c>
      <c r="G1048">
        <v>0.28000000000000003</v>
      </c>
      <c r="H1048" t="s">
        <v>39</v>
      </c>
      <c r="I1048">
        <v>-1</v>
      </c>
      <c r="J1048" t="str">
        <f>HYPERLINK("https://www.eliteprospects.com/player/563444/drew-maddigan")</f>
        <v>https://www.eliteprospects.com/player/563444/drew-maddigan</v>
      </c>
      <c r="K1048" t="s">
        <v>27</v>
      </c>
      <c r="L1048" t="s">
        <v>918</v>
      </c>
      <c r="M1048" t="s">
        <v>1296</v>
      </c>
      <c r="N1048">
        <v>5</v>
      </c>
      <c r="O1048" t="s">
        <v>930</v>
      </c>
      <c r="P1048">
        <v>0.04</v>
      </c>
      <c r="Q1048" t="s">
        <v>1488</v>
      </c>
      <c r="R1048">
        <v>0</v>
      </c>
      <c r="S1048">
        <v>0</v>
      </c>
      <c r="T1048">
        <v>0</v>
      </c>
      <c r="U1048">
        <v>0</v>
      </c>
      <c r="V1048">
        <v>0</v>
      </c>
    </row>
    <row r="1049" spans="1:22" x14ac:dyDescent="0.25">
      <c r="A1049" t="s">
        <v>2348</v>
      </c>
      <c r="B1049" t="s">
        <v>959</v>
      </c>
      <c r="C1049">
        <v>18</v>
      </c>
      <c r="D1049" t="s">
        <v>260</v>
      </c>
      <c r="E1049" t="s">
        <v>66</v>
      </c>
      <c r="F1049" t="s">
        <v>96</v>
      </c>
      <c r="G1049">
        <v>0.28000000000000003</v>
      </c>
      <c r="H1049" t="s">
        <v>178</v>
      </c>
      <c r="I1049">
        <v>0</v>
      </c>
      <c r="J1049" t="str">
        <f>HYPERLINK("https://www.eliteprospects.com/player/418937/igor-mburanumwe")</f>
        <v>https://www.eliteprospects.com/player/418937/igor-mburanumwe</v>
      </c>
      <c r="K1049" t="s">
        <v>27</v>
      </c>
      <c r="L1049" t="s">
        <v>918</v>
      </c>
      <c r="M1049" t="s">
        <v>1296</v>
      </c>
      <c r="N1049">
        <v>5</v>
      </c>
      <c r="O1049" t="s">
        <v>930</v>
      </c>
      <c r="P1049">
        <v>0.04</v>
      </c>
      <c r="Q1049" t="s">
        <v>1488</v>
      </c>
      <c r="R1049">
        <v>0</v>
      </c>
      <c r="S1049">
        <v>0</v>
      </c>
      <c r="T1049">
        <v>0</v>
      </c>
      <c r="U1049">
        <v>0</v>
      </c>
      <c r="V1049">
        <v>0</v>
      </c>
    </row>
    <row r="1050" spans="1:22" x14ac:dyDescent="0.25">
      <c r="A1050" t="s">
        <v>2349</v>
      </c>
      <c r="B1050" t="s">
        <v>977</v>
      </c>
      <c r="C1050">
        <v>15</v>
      </c>
      <c r="D1050" t="s">
        <v>132</v>
      </c>
      <c r="E1050" t="s">
        <v>96</v>
      </c>
      <c r="F1050" t="s">
        <v>96</v>
      </c>
      <c r="G1050">
        <v>0.33</v>
      </c>
      <c r="H1050" t="s">
        <v>51</v>
      </c>
      <c r="I1050">
        <v>0</v>
      </c>
      <c r="J1050" t="str">
        <f>HYPERLINK("https://www.eliteprospects.com/player/418396/stefan-dobrich")</f>
        <v>https://www.eliteprospects.com/player/418396/stefan-dobrich</v>
      </c>
      <c r="K1050" t="s">
        <v>27</v>
      </c>
      <c r="L1050" t="s">
        <v>918</v>
      </c>
      <c r="M1050" t="s">
        <v>1296</v>
      </c>
      <c r="N1050">
        <v>3</v>
      </c>
      <c r="O1050" t="s">
        <v>962</v>
      </c>
      <c r="P1050">
        <v>0.04</v>
      </c>
      <c r="Q1050" t="s">
        <v>1488</v>
      </c>
      <c r="R1050">
        <v>0</v>
      </c>
      <c r="S1050">
        <v>0</v>
      </c>
      <c r="T1050">
        <v>0</v>
      </c>
      <c r="U1050">
        <v>0</v>
      </c>
      <c r="V1050">
        <v>0</v>
      </c>
    </row>
    <row r="1051" spans="1:22" x14ac:dyDescent="0.25">
      <c r="A1051" t="s">
        <v>2350</v>
      </c>
      <c r="B1051" t="s">
        <v>1038</v>
      </c>
      <c r="C1051">
        <v>16</v>
      </c>
      <c r="D1051" t="s">
        <v>132</v>
      </c>
      <c r="E1051" t="s">
        <v>96</v>
      </c>
      <c r="F1051" t="s">
        <v>96</v>
      </c>
      <c r="G1051">
        <v>0.31</v>
      </c>
      <c r="H1051" t="s">
        <v>66</v>
      </c>
      <c r="I1051">
        <v>0</v>
      </c>
      <c r="J1051" t="str">
        <f>HYPERLINK("https://www.eliteprospects.com/player/503979/owen-luik")</f>
        <v>https://www.eliteprospects.com/player/503979/owen-luik</v>
      </c>
      <c r="K1051" t="s">
        <v>27</v>
      </c>
      <c r="L1051" t="s">
        <v>918</v>
      </c>
      <c r="M1051" t="s">
        <v>1296</v>
      </c>
      <c r="N1051">
        <v>2</v>
      </c>
      <c r="O1051" t="s">
        <v>1021</v>
      </c>
      <c r="P1051">
        <v>0.04</v>
      </c>
      <c r="Q1051" t="s">
        <v>1488</v>
      </c>
      <c r="R1051">
        <v>0</v>
      </c>
      <c r="S1051">
        <v>0</v>
      </c>
      <c r="T1051">
        <v>0</v>
      </c>
      <c r="U1051">
        <v>0</v>
      </c>
      <c r="V1051">
        <v>0</v>
      </c>
    </row>
    <row r="1052" spans="1:22" x14ac:dyDescent="0.25">
      <c r="A1052" t="s">
        <v>2351</v>
      </c>
      <c r="B1052" t="s">
        <v>947</v>
      </c>
      <c r="C1052">
        <v>17</v>
      </c>
      <c r="D1052" t="s">
        <v>132</v>
      </c>
      <c r="E1052" t="s">
        <v>96</v>
      </c>
      <c r="F1052" t="s">
        <v>96</v>
      </c>
      <c r="G1052">
        <v>0.28999999999999998</v>
      </c>
      <c r="H1052" t="s">
        <v>39</v>
      </c>
      <c r="I1052">
        <v>0</v>
      </c>
      <c r="J1052" t="str">
        <f>HYPERLINK("https://www.eliteprospects.com/player/712050/ryan-o-dell")</f>
        <v>https://www.eliteprospects.com/player/712050/ryan-o-dell</v>
      </c>
      <c r="K1052" t="s">
        <v>27</v>
      </c>
      <c r="L1052" t="s">
        <v>918</v>
      </c>
      <c r="M1052" t="s">
        <v>1296</v>
      </c>
      <c r="N1052">
        <v>4</v>
      </c>
      <c r="O1052" t="s">
        <v>1025</v>
      </c>
      <c r="P1052">
        <v>0.04</v>
      </c>
      <c r="Q1052" t="s">
        <v>1488</v>
      </c>
      <c r="R1052">
        <v>0</v>
      </c>
      <c r="S1052">
        <v>0</v>
      </c>
      <c r="T1052">
        <v>0</v>
      </c>
      <c r="U1052">
        <v>0</v>
      </c>
      <c r="V1052">
        <v>0</v>
      </c>
    </row>
    <row r="1053" spans="1:22" x14ac:dyDescent="0.25">
      <c r="A1053" t="s">
        <v>2352</v>
      </c>
      <c r="B1053" t="s">
        <v>934</v>
      </c>
      <c r="C1053">
        <v>18</v>
      </c>
      <c r="D1053" t="s">
        <v>132</v>
      </c>
      <c r="E1053" t="s">
        <v>96</v>
      </c>
      <c r="F1053" t="s">
        <v>96</v>
      </c>
      <c r="G1053">
        <v>0.28000000000000003</v>
      </c>
      <c r="H1053" t="s">
        <v>24</v>
      </c>
      <c r="I1053">
        <v>6</v>
      </c>
      <c r="J1053" t="str">
        <f>HYPERLINK("https://www.eliteprospects.com/player/492134/eli-barnett")</f>
        <v>https://www.eliteprospects.com/player/492134/eli-barnett</v>
      </c>
      <c r="K1053" t="s">
        <v>27</v>
      </c>
      <c r="L1053" t="s">
        <v>918</v>
      </c>
      <c r="M1053" t="s">
        <v>1296</v>
      </c>
      <c r="N1053">
        <v>3</v>
      </c>
      <c r="O1053" t="s">
        <v>1039</v>
      </c>
      <c r="P1053">
        <v>0.04</v>
      </c>
      <c r="Q1053" t="s">
        <v>1488</v>
      </c>
      <c r="R1053">
        <v>0</v>
      </c>
      <c r="S1053">
        <v>0</v>
      </c>
      <c r="T1053">
        <v>0</v>
      </c>
      <c r="U1053">
        <v>0</v>
      </c>
      <c r="V1053">
        <v>0</v>
      </c>
    </row>
    <row r="1054" spans="1:22" x14ac:dyDescent="0.25">
      <c r="A1054" t="s">
        <v>2353</v>
      </c>
      <c r="B1054" t="s">
        <v>990</v>
      </c>
      <c r="C1054">
        <v>19</v>
      </c>
      <c r="D1054" t="s">
        <v>132</v>
      </c>
      <c r="E1054" t="s">
        <v>96</v>
      </c>
      <c r="F1054" t="s">
        <v>96</v>
      </c>
      <c r="G1054">
        <v>0.26</v>
      </c>
      <c r="H1054" t="s">
        <v>269</v>
      </c>
      <c r="I1054">
        <v>0</v>
      </c>
      <c r="J1054" t="str">
        <f>HYPERLINK("https://www.eliteprospects.com/player/625756/edouard-cournoyer")</f>
        <v>https://www.eliteprospects.com/player/625756/edouard-cournoyer</v>
      </c>
      <c r="K1054" t="s">
        <v>27</v>
      </c>
      <c r="L1054" t="s">
        <v>918</v>
      </c>
      <c r="M1054" t="s">
        <v>1296</v>
      </c>
      <c r="N1054">
        <v>6</v>
      </c>
      <c r="O1054" t="s">
        <v>921</v>
      </c>
      <c r="P1054">
        <v>0.03</v>
      </c>
      <c r="Q1054" t="s">
        <v>1488</v>
      </c>
      <c r="R1054">
        <v>0</v>
      </c>
      <c r="S1054">
        <v>0</v>
      </c>
      <c r="T1054">
        <v>0</v>
      </c>
      <c r="U1054">
        <v>0</v>
      </c>
      <c r="V1054">
        <v>0</v>
      </c>
    </row>
    <row r="1055" spans="1:22" x14ac:dyDescent="0.25">
      <c r="A1055" t="s">
        <v>2354</v>
      </c>
      <c r="B1055" t="s">
        <v>929</v>
      </c>
      <c r="C1055">
        <v>20</v>
      </c>
      <c r="D1055" t="s">
        <v>132</v>
      </c>
      <c r="E1055" t="s">
        <v>96</v>
      </c>
      <c r="F1055" t="s">
        <v>96</v>
      </c>
      <c r="G1055">
        <v>0.25</v>
      </c>
      <c r="H1055" t="s">
        <v>57</v>
      </c>
      <c r="I1055">
        <v>-7</v>
      </c>
      <c r="J1055" t="str">
        <f>HYPERLINK("https://www.eliteprospects.com/player/575916/isaac-vos")</f>
        <v>https://www.eliteprospects.com/player/575916/isaac-vos</v>
      </c>
      <c r="K1055" t="s">
        <v>27</v>
      </c>
      <c r="L1055" t="s">
        <v>918</v>
      </c>
      <c r="M1055" t="s">
        <v>1296</v>
      </c>
      <c r="N1055">
        <v>3</v>
      </c>
      <c r="O1055" t="s">
        <v>1002</v>
      </c>
      <c r="P1055">
        <v>0.03</v>
      </c>
      <c r="Q1055" t="s">
        <v>1488</v>
      </c>
      <c r="R1055">
        <v>0</v>
      </c>
      <c r="S1055">
        <v>0</v>
      </c>
      <c r="T1055">
        <v>0</v>
      </c>
      <c r="U1055">
        <v>0</v>
      </c>
      <c r="V1055">
        <v>0</v>
      </c>
    </row>
    <row r="1056" spans="1:22" x14ac:dyDescent="0.25">
      <c r="A1056" t="s">
        <v>2355</v>
      </c>
      <c r="B1056" t="s">
        <v>917</v>
      </c>
      <c r="C1056">
        <v>12</v>
      </c>
      <c r="D1056" t="s">
        <v>79</v>
      </c>
      <c r="E1056" t="s">
        <v>79</v>
      </c>
      <c r="F1056" t="s">
        <v>66</v>
      </c>
      <c r="G1056">
        <v>0.33</v>
      </c>
      <c r="H1056" t="s">
        <v>26</v>
      </c>
      <c r="I1056">
        <v>-7</v>
      </c>
      <c r="J1056" t="str">
        <f>HYPERLINK("https://www.eliteprospects.com/player/617883/landon-cato")</f>
        <v>https://www.eliteprospects.com/player/617883/landon-cato</v>
      </c>
      <c r="K1056" t="s">
        <v>27</v>
      </c>
      <c r="L1056" t="s">
        <v>918</v>
      </c>
      <c r="M1056" t="s">
        <v>1296</v>
      </c>
      <c r="N1056">
        <v>6</v>
      </c>
      <c r="O1056" t="s">
        <v>970</v>
      </c>
      <c r="P1056">
        <v>0.04</v>
      </c>
      <c r="Q1056" t="s">
        <v>1488</v>
      </c>
      <c r="R1056">
        <v>0</v>
      </c>
      <c r="S1056">
        <v>0</v>
      </c>
      <c r="T1056">
        <v>0</v>
      </c>
      <c r="U1056">
        <v>0</v>
      </c>
      <c r="V1056">
        <v>0</v>
      </c>
    </row>
    <row r="1057" spans="1:22" x14ac:dyDescent="0.25">
      <c r="A1057" t="s">
        <v>2356</v>
      </c>
      <c r="B1057" t="s">
        <v>1049</v>
      </c>
      <c r="C1057">
        <v>14</v>
      </c>
      <c r="D1057" t="s">
        <v>79</v>
      </c>
      <c r="E1057" t="s">
        <v>79</v>
      </c>
      <c r="F1057" t="s">
        <v>66</v>
      </c>
      <c r="G1057">
        <v>0.28999999999999998</v>
      </c>
      <c r="H1057" t="s">
        <v>84</v>
      </c>
      <c r="I1057">
        <v>-2</v>
      </c>
      <c r="J1057" t="str">
        <f>HYPERLINK("https://www.eliteprospects.com/player/645887/kaycee-coyle")</f>
        <v>https://www.eliteprospects.com/player/645887/kaycee-coyle</v>
      </c>
      <c r="K1057" t="s">
        <v>27</v>
      </c>
      <c r="L1057" t="s">
        <v>918</v>
      </c>
      <c r="M1057" t="s">
        <v>1296</v>
      </c>
      <c r="N1057">
        <v>1</v>
      </c>
      <c r="O1057" t="s">
        <v>984</v>
      </c>
      <c r="P1057">
        <v>0.04</v>
      </c>
      <c r="Q1057" t="s">
        <v>1488</v>
      </c>
      <c r="R1057">
        <v>0</v>
      </c>
      <c r="S1057">
        <v>0</v>
      </c>
      <c r="T1057">
        <v>0</v>
      </c>
      <c r="U1057">
        <v>0</v>
      </c>
      <c r="V1057">
        <v>0</v>
      </c>
    </row>
    <row r="1058" spans="1:22" x14ac:dyDescent="0.25">
      <c r="A1058" t="s">
        <v>2357</v>
      </c>
      <c r="B1058" t="s">
        <v>1118</v>
      </c>
      <c r="C1058">
        <v>17</v>
      </c>
      <c r="D1058" t="s">
        <v>79</v>
      </c>
      <c r="E1058" t="s">
        <v>79</v>
      </c>
      <c r="F1058" t="s">
        <v>66</v>
      </c>
      <c r="G1058">
        <v>0.24</v>
      </c>
      <c r="H1058" t="s">
        <v>38</v>
      </c>
      <c r="I1058">
        <v>-14</v>
      </c>
      <c r="J1058" t="str">
        <f>HYPERLINK("https://www.eliteprospects.com/player/403768/ayden-third")</f>
        <v>https://www.eliteprospects.com/player/403768/ayden-third</v>
      </c>
      <c r="K1058" t="s">
        <v>27</v>
      </c>
      <c r="L1058" t="s">
        <v>918</v>
      </c>
      <c r="M1058" t="s">
        <v>1296</v>
      </c>
      <c r="N1058">
        <v>2</v>
      </c>
      <c r="O1058" t="s">
        <v>1021</v>
      </c>
      <c r="P1058">
        <v>0.03</v>
      </c>
      <c r="Q1058" t="s">
        <v>1488</v>
      </c>
      <c r="R1058">
        <v>0</v>
      </c>
      <c r="S1058">
        <v>0</v>
      </c>
      <c r="T1058">
        <v>0</v>
      </c>
      <c r="U1058">
        <v>0</v>
      </c>
      <c r="V1058">
        <v>0</v>
      </c>
    </row>
    <row r="1059" spans="1:22" x14ac:dyDescent="0.25">
      <c r="A1059" t="s">
        <v>2358</v>
      </c>
      <c r="B1059" t="s">
        <v>986</v>
      </c>
      <c r="C1059">
        <v>18</v>
      </c>
      <c r="D1059" t="s">
        <v>79</v>
      </c>
      <c r="E1059" t="s">
        <v>79</v>
      </c>
      <c r="F1059" t="s">
        <v>66</v>
      </c>
      <c r="G1059">
        <v>0.22</v>
      </c>
      <c r="H1059" t="s">
        <v>32</v>
      </c>
      <c r="I1059">
        <v>0</v>
      </c>
      <c r="J1059" t="str">
        <f>HYPERLINK("https://www.eliteprospects.com/player/566499/alec-mcdonald")</f>
        <v>https://www.eliteprospects.com/player/566499/alec-mcdonald</v>
      </c>
      <c r="K1059" t="s">
        <v>27</v>
      </c>
      <c r="L1059" t="s">
        <v>918</v>
      </c>
      <c r="M1059" t="s">
        <v>1296</v>
      </c>
      <c r="N1059">
        <v>1</v>
      </c>
      <c r="O1059" t="s">
        <v>984</v>
      </c>
      <c r="P1059">
        <v>0.03</v>
      </c>
      <c r="Q1059" t="s">
        <v>1488</v>
      </c>
      <c r="R1059">
        <v>0</v>
      </c>
      <c r="S1059">
        <v>0</v>
      </c>
      <c r="T1059">
        <v>0</v>
      </c>
      <c r="U1059">
        <v>0</v>
      </c>
      <c r="V1059">
        <v>0</v>
      </c>
    </row>
    <row r="1060" spans="1:22" x14ac:dyDescent="0.25">
      <c r="A1060" t="s">
        <v>2359</v>
      </c>
      <c r="B1060" t="s">
        <v>944</v>
      </c>
      <c r="C1060">
        <v>20</v>
      </c>
      <c r="D1060" t="s">
        <v>79</v>
      </c>
      <c r="E1060" t="s">
        <v>79</v>
      </c>
      <c r="F1060" t="s">
        <v>66</v>
      </c>
      <c r="G1060">
        <v>0.2</v>
      </c>
      <c r="H1060" t="s">
        <v>39</v>
      </c>
      <c r="I1060">
        <v>12</v>
      </c>
      <c r="J1060" t="str">
        <f>HYPERLINK("https://www.eliteprospects.com/player/384420/yann-felix-lapointe")</f>
        <v>https://www.eliteprospects.com/player/384420/yann-felix-lapointe</v>
      </c>
      <c r="K1060" t="s">
        <v>27</v>
      </c>
      <c r="L1060" t="s">
        <v>918</v>
      </c>
      <c r="M1060" t="s">
        <v>1296</v>
      </c>
      <c r="N1060">
        <v>5</v>
      </c>
      <c r="O1060" t="s">
        <v>945</v>
      </c>
      <c r="P1060">
        <v>0.02</v>
      </c>
      <c r="Q1060" t="s">
        <v>1488</v>
      </c>
      <c r="R1060">
        <v>0</v>
      </c>
      <c r="S1060">
        <v>0</v>
      </c>
      <c r="T1060">
        <v>0</v>
      </c>
      <c r="U1060">
        <v>0</v>
      </c>
      <c r="V1060">
        <v>0</v>
      </c>
    </row>
    <row r="1061" spans="1:22" x14ac:dyDescent="0.25">
      <c r="A1061" t="s">
        <v>2360</v>
      </c>
      <c r="B1061" t="s">
        <v>923</v>
      </c>
      <c r="C1061">
        <v>11</v>
      </c>
      <c r="D1061" t="s">
        <v>260</v>
      </c>
      <c r="E1061" t="s">
        <v>140</v>
      </c>
      <c r="F1061" t="s">
        <v>66</v>
      </c>
      <c r="G1061">
        <v>0.36</v>
      </c>
      <c r="H1061" t="s">
        <v>26</v>
      </c>
      <c r="I1061">
        <v>-3</v>
      </c>
      <c r="J1061" t="str">
        <f>HYPERLINK("https://www.eliteprospects.com/player/571919/pavel-bocharov")</f>
        <v>https://www.eliteprospects.com/player/571919/pavel-bocharov</v>
      </c>
      <c r="K1061" t="s">
        <v>27</v>
      </c>
      <c r="L1061" t="s">
        <v>918</v>
      </c>
      <c r="M1061" t="s">
        <v>1296</v>
      </c>
      <c r="N1061">
        <v>5</v>
      </c>
      <c r="O1061" t="s">
        <v>979</v>
      </c>
      <c r="P1061">
        <v>0.04</v>
      </c>
      <c r="Q1061" t="s">
        <v>1488</v>
      </c>
      <c r="R1061">
        <v>0</v>
      </c>
      <c r="S1061">
        <v>0</v>
      </c>
      <c r="T1061">
        <v>0</v>
      </c>
      <c r="U1061">
        <v>0</v>
      </c>
      <c r="V1061">
        <v>0</v>
      </c>
    </row>
    <row r="1062" spans="1:22" x14ac:dyDescent="0.25">
      <c r="A1062" t="s">
        <v>2361</v>
      </c>
      <c r="B1062" t="s">
        <v>929</v>
      </c>
      <c r="C1062">
        <v>12</v>
      </c>
      <c r="D1062" t="s">
        <v>260</v>
      </c>
      <c r="E1062" t="s">
        <v>140</v>
      </c>
      <c r="F1062" t="s">
        <v>66</v>
      </c>
      <c r="G1062">
        <v>0.33</v>
      </c>
      <c r="H1062" t="s">
        <v>26</v>
      </c>
      <c r="I1062">
        <v>-8</v>
      </c>
      <c r="J1062" t="str">
        <f>HYPERLINK("https://www.eliteprospects.com/player/491928/zach-biggar")</f>
        <v>https://www.eliteprospects.com/player/491928/zach-biggar</v>
      </c>
      <c r="K1062" t="s">
        <v>27</v>
      </c>
      <c r="L1062" t="s">
        <v>918</v>
      </c>
      <c r="M1062" t="s">
        <v>1296</v>
      </c>
      <c r="N1062">
        <v>6</v>
      </c>
      <c r="O1062" t="s">
        <v>968</v>
      </c>
      <c r="P1062">
        <v>0.04</v>
      </c>
      <c r="Q1062" t="s">
        <v>1488</v>
      </c>
      <c r="R1062">
        <v>0</v>
      </c>
      <c r="S1062">
        <v>0</v>
      </c>
      <c r="T1062">
        <v>0</v>
      </c>
      <c r="U1062">
        <v>0</v>
      </c>
      <c r="V1062">
        <v>0</v>
      </c>
    </row>
    <row r="1063" spans="1:22" x14ac:dyDescent="0.25">
      <c r="A1063" t="s">
        <v>2362</v>
      </c>
      <c r="B1063" t="s">
        <v>934</v>
      </c>
      <c r="C1063">
        <v>15</v>
      </c>
      <c r="D1063" t="s">
        <v>260</v>
      </c>
      <c r="E1063" t="s">
        <v>140</v>
      </c>
      <c r="F1063" t="s">
        <v>66</v>
      </c>
      <c r="G1063">
        <v>0.27</v>
      </c>
      <c r="H1063" t="s">
        <v>40</v>
      </c>
      <c r="I1063">
        <v>2</v>
      </c>
      <c r="J1063" t="str">
        <f>HYPERLINK("https://www.eliteprospects.com/player/599320/marc-olivier-beaudry")</f>
        <v>https://www.eliteprospects.com/player/599320/marc-olivier-beaudry</v>
      </c>
      <c r="K1063" t="s">
        <v>27</v>
      </c>
      <c r="L1063" t="s">
        <v>918</v>
      </c>
      <c r="M1063" t="s">
        <v>1296</v>
      </c>
      <c r="N1063">
        <v>6</v>
      </c>
      <c r="O1063" t="s">
        <v>968</v>
      </c>
      <c r="P1063">
        <v>0.03</v>
      </c>
      <c r="Q1063" t="s">
        <v>1488</v>
      </c>
      <c r="R1063">
        <v>0</v>
      </c>
      <c r="S1063">
        <v>0</v>
      </c>
      <c r="T1063">
        <v>0</v>
      </c>
      <c r="U1063">
        <v>0</v>
      </c>
      <c r="V1063">
        <v>0</v>
      </c>
    </row>
    <row r="1064" spans="1:22" x14ac:dyDescent="0.25">
      <c r="A1064" t="s">
        <v>2363</v>
      </c>
      <c r="B1064" t="s">
        <v>966</v>
      </c>
      <c r="C1064">
        <v>18</v>
      </c>
      <c r="D1064" t="s">
        <v>260</v>
      </c>
      <c r="E1064" t="s">
        <v>140</v>
      </c>
      <c r="F1064" t="s">
        <v>66</v>
      </c>
      <c r="G1064">
        <v>0.22</v>
      </c>
      <c r="H1064" t="s">
        <v>79</v>
      </c>
      <c r="I1064">
        <v>13</v>
      </c>
      <c r="J1064" t="str">
        <f>HYPERLINK("https://www.eliteprospects.com/player/201783/charlie-desroches")</f>
        <v>https://www.eliteprospects.com/player/201783/charlie-desroches</v>
      </c>
      <c r="K1064" t="s">
        <v>27</v>
      </c>
      <c r="L1064" t="s">
        <v>918</v>
      </c>
      <c r="M1064" t="s">
        <v>1296</v>
      </c>
      <c r="N1064">
        <v>6</v>
      </c>
      <c r="O1064" t="s">
        <v>921</v>
      </c>
      <c r="P1064">
        <v>0.03</v>
      </c>
      <c r="Q1064" t="s">
        <v>1488</v>
      </c>
      <c r="R1064">
        <v>0</v>
      </c>
      <c r="S1064">
        <v>0</v>
      </c>
      <c r="T1064">
        <v>0</v>
      </c>
      <c r="U1064">
        <v>0</v>
      </c>
      <c r="V1064">
        <v>0</v>
      </c>
    </row>
    <row r="1065" spans="1:22" x14ac:dyDescent="0.25">
      <c r="A1065" t="s">
        <v>2364</v>
      </c>
      <c r="B1065" t="s">
        <v>997</v>
      </c>
      <c r="C1065">
        <v>18</v>
      </c>
      <c r="D1065" t="s">
        <v>260</v>
      </c>
      <c r="E1065" t="s">
        <v>140</v>
      </c>
      <c r="F1065" t="s">
        <v>66</v>
      </c>
      <c r="G1065">
        <v>0.22</v>
      </c>
      <c r="H1065" t="s">
        <v>57</v>
      </c>
      <c r="I1065">
        <v>0</v>
      </c>
      <c r="J1065" t="str">
        <f>HYPERLINK("https://www.eliteprospects.com/player/625757/vincent-fredette")</f>
        <v>https://www.eliteprospects.com/player/625757/vincent-fredette</v>
      </c>
      <c r="K1065" t="s">
        <v>27</v>
      </c>
      <c r="L1065" t="s">
        <v>918</v>
      </c>
      <c r="M1065" t="s">
        <v>1296</v>
      </c>
      <c r="N1065">
        <v>5</v>
      </c>
      <c r="O1065" t="s">
        <v>1094</v>
      </c>
      <c r="P1065">
        <v>0.03</v>
      </c>
      <c r="Q1065" t="s">
        <v>1488</v>
      </c>
      <c r="R1065">
        <v>0</v>
      </c>
      <c r="S1065">
        <v>0</v>
      </c>
      <c r="T1065">
        <v>0</v>
      </c>
      <c r="U1065">
        <v>0</v>
      </c>
      <c r="V1065">
        <v>0</v>
      </c>
    </row>
    <row r="1066" spans="1:22" x14ac:dyDescent="0.25">
      <c r="A1066" t="s">
        <v>2365</v>
      </c>
      <c r="B1066" t="s">
        <v>1049</v>
      </c>
      <c r="C1066">
        <v>18</v>
      </c>
      <c r="D1066" t="s">
        <v>260</v>
      </c>
      <c r="E1066" t="s">
        <v>140</v>
      </c>
      <c r="F1066" t="s">
        <v>66</v>
      </c>
      <c r="G1066">
        <v>0.22</v>
      </c>
      <c r="H1066" t="s">
        <v>55</v>
      </c>
      <c r="I1066">
        <v>-8</v>
      </c>
      <c r="J1066" t="str">
        <f>HYPERLINK("https://www.eliteprospects.com/player/647235/samuel-borschowa")</f>
        <v>https://www.eliteprospects.com/player/647235/samuel-borschowa</v>
      </c>
      <c r="K1066" t="s">
        <v>27</v>
      </c>
      <c r="L1066" t="s">
        <v>918</v>
      </c>
      <c r="M1066" t="s">
        <v>1296</v>
      </c>
      <c r="N1066">
        <v>4</v>
      </c>
      <c r="O1066" t="s">
        <v>978</v>
      </c>
      <c r="P1066">
        <v>0.03</v>
      </c>
      <c r="Q1066" t="s">
        <v>1488</v>
      </c>
      <c r="R1066">
        <v>0</v>
      </c>
      <c r="S1066">
        <v>0</v>
      </c>
      <c r="T1066">
        <v>0</v>
      </c>
      <c r="U1066">
        <v>0</v>
      </c>
      <c r="V1066">
        <v>0</v>
      </c>
    </row>
    <row r="1067" spans="1:22" x14ac:dyDescent="0.25">
      <c r="A1067" t="s">
        <v>2366</v>
      </c>
      <c r="B1067" t="s">
        <v>991</v>
      </c>
      <c r="C1067">
        <v>18</v>
      </c>
      <c r="D1067" t="s">
        <v>260</v>
      </c>
      <c r="E1067" t="s">
        <v>140</v>
      </c>
      <c r="F1067" t="s">
        <v>66</v>
      </c>
      <c r="G1067">
        <v>0.22</v>
      </c>
      <c r="H1067" t="s">
        <v>24</v>
      </c>
      <c r="I1067">
        <v>0</v>
      </c>
      <c r="J1067" t="str">
        <f>HYPERLINK("https://www.eliteprospects.com/player/403779/chase-lacombe")</f>
        <v>https://www.eliteprospects.com/player/403779/chase-lacombe</v>
      </c>
      <c r="K1067" t="s">
        <v>27</v>
      </c>
      <c r="L1067" t="s">
        <v>918</v>
      </c>
      <c r="M1067" t="s">
        <v>1296</v>
      </c>
      <c r="N1067">
        <v>5</v>
      </c>
      <c r="O1067" t="s">
        <v>2292</v>
      </c>
      <c r="P1067">
        <v>0.03</v>
      </c>
      <c r="Q1067" t="s">
        <v>1488</v>
      </c>
      <c r="R1067">
        <v>0</v>
      </c>
      <c r="S1067">
        <v>0</v>
      </c>
      <c r="T1067">
        <v>0</v>
      </c>
      <c r="U1067">
        <v>0</v>
      </c>
      <c r="V1067">
        <v>0</v>
      </c>
    </row>
    <row r="1068" spans="1:22" x14ac:dyDescent="0.25">
      <c r="A1068" t="s">
        <v>2367</v>
      </c>
      <c r="B1068" t="s">
        <v>944</v>
      </c>
      <c r="C1068">
        <v>19</v>
      </c>
      <c r="D1068" t="s">
        <v>260</v>
      </c>
      <c r="E1068" t="s">
        <v>140</v>
      </c>
      <c r="F1068" t="s">
        <v>66</v>
      </c>
      <c r="G1068">
        <v>0.21</v>
      </c>
      <c r="H1068" t="s">
        <v>589</v>
      </c>
      <c r="I1068">
        <v>5</v>
      </c>
      <c r="J1068" t="str">
        <f>HYPERLINK("https://www.eliteprospects.com/player/382864/alexis-arsenault")</f>
        <v>https://www.eliteprospects.com/player/382864/alexis-arsenault</v>
      </c>
      <c r="K1068" t="s">
        <v>27</v>
      </c>
      <c r="L1068" t="s">
        <v>918</v>
      </c>
      <c r="M1068" t="s">
        <v>1296</v>
      </c>
      <c r="N1068">
        <v>6</v>
      </c>
      <c r="O1068" t="s">
        <v>1057</v>
      </c>
      <c r="P1068">
        <v>0.03</v>
      </c>
      <c r="Q1068" t="s">
        <v>1488</v>
      </c>
      <c r="R1068">
        <v>0</v>
      </c>
      <c r="S1068">
        <v>0</v>
      </c>
      <c r="T1068">
        <v>0</v>
      </c>
      <c r="U1068">
        <v>0</v>
      </c>
      <c r="V1068">
        <v>0</v>
      </c>
    </row>
    <row r="1069" spans="1:22" x14ac:dyDescent="0.25">
      <c r="A1069" t="s">
        <v>2368</v>
      </c>
      <c r="B1069" t="s">
        <v>931</v>
      </c>
      <c r="C1069">
        <v>11</v>
      </c>
      <c r="D1069" t="s">
        <v>132</v>
      </c>
      <c r="E1069" t="s">
        <v>66</v>
      </c>
      <c r="F1069" t="s">
        <v>66</v>
      </c>
      <c r="G1069">
        <v>0.36</v>
      </c>
      <c r="H1069" t="s">
        <v>57</v>
      </c>
      <c r="I1069">
        <v>-3</v>
      </c>
      <c r="J1069" t="str">
        <f>HYPERLINK("https://www.eliteprospects.com/player/523482/leith-olafson")</f>
        <v>https://www.eliteprospects.com/player/523482/leith-olafson</v>
      </c>
      <c r="K1069" t="s">
        <v>27</v>
      </c>
      <c r="L1069" t="s">
        <v>918</v>
      </c>
      <c r="M1069" t="s">
        <v>1296</v>
      </c>
      <c r="N1069">
        <v>1</v>
      </c>
      <c r="O1069" t="s">
        <v>984</v>
      </c>
      <c r="P1069">
        <v>0.04</v>
      </c>
      <c r="Q1069" t="s">
        <v>1488</v>
      </c>
      <c r="R1069">
        <v>0</v>
      </c>
      <c r="S1069">
        <v>0</v>
      </c>
      <c r="T1069">
        <v>0</v>
      </c>
      <c r="U1069">
        <v>0</v>
      </c>
      <c r="V1069">
        <v>0</v>
      </c>
    </row>
    <row r="1070" spans="1:22" x14ac:dyDescent="0.25">
      <c r="A1070" t="s">
        <v>2369</v>
      </c>
      <c r="B1070" t="s">
        <v>939</v>
      </c>
      <c r="C1070">
        <v>12</v>
      </c>
      <c r="D1070" t="s">
        <v>132</v>
      </c>
      <c r="E1070" t="s">
        <v>66</v>
      </c>
      <c r="F1070" t="s">
        <v>66</v>
      </c>
      <c r="G1070">
        <v>0.33</v>
      </c>
      <c r="H1070" t="s">
        <v>26</v>
      </c>
      <c r="I1070">
        <v>0</v>
      </c>
      <c r="J1070" t="str">
        <f>HYPERLINK("https://www.eliteprospects.com/player/279032/ty-prefontaine")</f>
        <v>https://www.eliteprospects.com/player/279032/ty-prefontaine</v>
      </c>
      <c r="K1070" t="s">
        <v>27</v>
      </c>
      <c r="L1070" t="s">
        <v>918</v>
      </c>
      <c r="M1070" t="s">
        <v>1296</v>
      </c>
      <c r="N1070">
        <v>6</v>
      </c>
      <c r="O1070" t="s">
        <v>975</v>
      </c>
      <c r="P1070">
        <v>0.04</v>
      </c>
      <c r="Q1070" t="s">
        <v>1488</v>
      </c>
      <c r="R1070">
        <v>0</v>
      </c>
      <c r="S1070">
        <v>0</v>
      </c>
      <c r="T1070">
        <v>0</v>
      </c>
      <c r="U1070">
        <v>0</v>
      </c>
      <c r="V1070">
        <v>0</v>
      </c>
    </row>
    <row r="1071" spans="1:22" x14ac:dyDescent="0.25">
      <c r="A1071" t="s">
        <v>2370</v>
      </c>
      <c r="B1071" t="s">
        <v>966</v>
      </c>
      <c r="C1071">
        <v>12</v>
      </c>
      <c r="D1071" t="s">
        <v>132</v>
      </c>
      <c r="E1071" t="s">
        <v>66</v>
      </c>
      <c r="F1071" t="s">
        <v>66</v>
      </c>
      <c r="G1071">
        <v>0.33</v>
      </c>
      <c r="H1071" t="s">
        <v>269</v>
      </c>
      <c r="I1071">
        <v>6</v>
      </c>
      <c r="J1071" t="str">
        <f>HYPERLINK("https://www.eliteprospects.com/player/337731/luke-zazula")</f>
        <v>https://www.eliteprospects.com/player/337731/luke-zazula</v>
      </c>
      <c r="K1071" t="s">
        <v>27</v>
      </c>
      <c r="L1071" t="s">
        <v>918</v>
      </c>
      <c r="M1071" t="s">
        <v>1296</v>
      </c>
      <c r="N1071">
        <v>6</v>
      </c>
      <c r="O1071" t="s">
        <v>932</v>
      </c>
      <c r="P1071">
        <v>0.04</v>
      </c>
      <c r="Q1071" t="s">
        <v>1488</v>
      </c>
      <c r="R1071">
        <v>0</v>
      </c>
      <c r="S1071">
        <v>0</v>
      </c>
      <c r="T1071">
        <v>0</v>
      </c>
      <c r="U1071">
        <v>0</v>
      </c>
      <c r="V1071">
        <v>0</v>
      </c>
    </row>
    <row r="1072" spans="1:22" x14ac:dyDescent="0.25">
      <c r="A1072" t="s">
        <v>2371</v>
      </c>
      <c r="B1072" t="s">
        <v>942</v>
      </c>
      <c r="C1072">
        <v>14</v>
      </c>
      <c r="D1072" t="s">
        <v>132</v>
      </c>
      <c r="E1072" t="s">
        <v>66</v>
      </c>
      <c r="F1072" t="s">
        <v>66</v>
      </c>
      <c r="G1072">
        <v>0.28999999999999998</v>
      </c>
      <c r="H1072" t="s">
        <v>81</v>
      </c>
      <c r="I1072">
        <v>0</v>
      </c>
      <c r="J1072" t="str">
        <f>HYPERLINK("https://www.eliteprospects.com/player/582757/jaden-raad")</f>
        <v>https://www.eliteprospects.com/player/582757/jaden-raad</v>
      </c>
      <c r="K1072" t="s">
        <v>27</v>
      </c>
      <c r="L1072" t="s">
        <v>918</v>
      </c>
      <c r="M1072" t="s">
        <v>1296</v>
      </c>
      <c r="N1072">
        <v>2</v>
      </c>
      <c r="O1072" t="s">
        <v>1021</v>
      </c>
      <c r="P1072">
        <v>0.04</v>
      </c>
      <c r="Q1072" t="s">
        <v>1488</v>
      </c>
      <c r="R1072">
        <v>0</v>
      </c>
      <c r="S1072">
        <v>0</v>
      </c>
      <c r="T1072">
        <v>0</v>
      </c>
      <c r="U1072">
        <v>0</v>
      </c>
      <c r="V1072">
        <v>0</v>
      </c>
    </row>
    <row r="1073" spans="1:22" x14ac:dyDescent="0.25">
      <c r="A1073" t="s">
        <v>2372</v>
      </c>
      <c r="B1073" t="s">
        <v>1005</v>
      </c>
      <c r="C1073">
        <v>15</v>
      </c>
      <c r="D1073" t="s">
        <v>132</v>
      </c>
      <c r="E1073" t="s">
        <v>66</v>
      </c>
      <c r="F1073" t="s">
        <v>66</v>
      </c>
      <c r="G1073">
        <v>0.27</v>
      </c>
      <c r="H1073" t="s">
        <v>132</v>
      </c>
      <c r="I1073">
        <v>0</v>
      </c>
      <c r="J1073" t="str">
        <f>HYPERLINK("https://www.eliteprospects.com/player/413829/james-mayotte")</f>
        <v>https://www.eliteprospects.com/player/413829/james-mayotte</v>
      </c>
      <c r="K1073" t="s">
        <v>27</v>
      </c>
      <c r="L1073" t="s">
        <v>918</v>
      </c>
      <c r="M1073" t="s">
        <v>1296</v>
      </c>
      <c r="N1073">
        <v>5</v>
      </c>
      <c r="O1073" t="s">
        <v>935</v>
      </c>
      <c r="P1073">
        <v>0.03</v>
      </c>
      <c r="Q1073" t="s">
        <v>1488</v>
      </c>
      <c r="R1073">
        <v>0</v>
      </c>
      <c r="S1073">
        <v>0</v>
      </c>
      <c r="T1073">
        <v>0</v>
      </c>
      <c r="U1073">
        <v>0</v>
      </c>
      <c r="V1073">
        <v>0</v>
      </c>
    </row>
    <row r="1074" spans="1:22" x14ac:dyDescent="0.25">
      <c r="A1074" t="s">
        <v>2373</v>
      </c>
      <c r="B1074" t="s">
        <v>1001</v>
      </c>
      <c r="C1074">
        <v>15</v>
      </c>
      <c r="D1074" t="s">
        <v>132</v>
      </c>
      <c r="E1074" t="s">
        <v>66</v>
      </c>
      <c r="F1074" t="s">
        <v>66</v>
      </c>
      <c r="G1074">
        <v>0.27</v>
      </c>
      <c r="H1074" t="s">
        <v>32</v>
      </c>
      <c r="I1074">
        <v>-11</v>
      </c>
      <c r="J1074" t="str">
        <f>HYPERLINK("https://www.eliteprospects.com/player/524809/jared-cosman")</f>
        <v>https://www.eliteprospects.com/player/524809/jared-cosman</v>
      </c>
      <c r="K1074" t="s">
        <v>27</v>
      </c>
      <c r="L1074" t="s">
        <v>918</v>
      </c>
      <c r="M1074" t="s">
        <v>1296</v>
      </c>
      <c r="N1074">
        <v>5</v>
      </c>
      <c r="O1074" t="s">
        <v>930</v>
      </c>
      <c r="P1074">
        <v>0.03</v>
      </c>
      <c r="Q1074" t="s">
        <v>1488</v>
      </c>
      <c r="R1074">
        <v>0</v>
      </c>
      <c r="S1074">
        <v>0</v>
      </c>
      <c r="T1074">
        <v>0</v>
      </c>
      <c r="U1074">
        <v>0</v>
      </c>
      <c r="V1074">
        <v>0</v>
      </c>
    </row>
    <row r="1075" spans="1:22" x14ac:dyDescent="0.25">
      <c r="A1075" t="s">
        <v>2374</v>
      </c>
      <c r="B1075" t="s">
        <v>1015</v>
      </c>
      <c r="C1075">
        <v>16</v>
      </c>
      <c r="D1075" t="s">
        <v>132</v>
      </c>
      <c r="E1075" t="s">
        <v>66</v>
      </c>
      <c r="F1075" t="s">
        <v>66</v>
      </c>
      <c r="G1075">
        <v>0.25</v>
      </c>
      <c r="H1075" t="s">
        <v>79</v>
      </c>
      <c r="I1075">
        <v>-13</v>
      </c>
      <c r="J1075" t="str">
        <f>HYPERLINK("https://www.eliteprospects.com/player/282381/aiden-yakimchuk")</f>
        <v>https://www.eliteprospects.com/player/282381/aiden-yakimchuk</v>
      </c>
      <c r="K1075" t="s">
        <v>27</v>
      </c>
      <c r="L1075" t="s">
        <v>918</v>
      </c>
      <c r="M1075" t="s">
        <v>1296</v>
      </c>
      <c r="N1075">
        <v>4</v>
      </c>
      <c r="O1075" t="s">
        <v>1150</v>
      </c>
      <c r="P1075">
        <v>0.03</v>
      </c>
      <c r="Q1075" t="s">
        <v>1488</v>
      </c>
      <c r="R1075">
        <v>0</v>
      </c>
      <c r="S1075">
        <v>0</v>
      </c>
      <c r="T1075">
        <v>0</v>
      </c>
      <c r="U1075">
        <v>0</v>
      </c>
      <c r="V1075">
        <v>0</v>
      </c>
    </row>
    <row r="1076" spans="1:22" x14ac:dyDescent="0.25">
      <c r="A1076" t="s">
        <v>2375</v>
      </c>
      <c r="B1076" t="s">
        <v>1003</v>
      </c>
      <c r="C1076">
        <v>16</v>
      </c>
      <c r="D1076" t="s">
        <v>132</v>
      </c>
      <c r="E1076" t="s">
        <v>66</v>
      </c>
      <c r="F1076" t="s">
        <v>66</v>
      </c>
      <c r="G1076">
        <v>0.25</v>
      </c>
      <c r="H1076" t="s">
        <v>26</v>
      </c>
      <c r="I1076">
        <v>0</v>
      </c>
      <c r="J1076" t="str">
        <f>HYPERLINK("https://www.eliteprospects.com/player/482067/nolan-ford")</f>
        <v>https://www.eliteprospects.com/player/482067/nolan-ford</v>
      </c>
      <c r="K1076" t="s">
        <v>27</v>
      </c>
      <c r="L1076" t="s">
        <v>918</v>
      </c>
      <c r="M1076" t="s">
        <v>1296</v>
      </c>
      <c r="N1076">
        <v>4</v>
      </c>
      <c r="O1076" t="s">
        <v>940</v>
      </c>
      <c r="P1076">
        <v>0.03</v>
      </c>
      <c r="Q1076" t="s">
        <v>1488</v>
      </c>
      <c r="R1076">
        <v>0</v>
      </c>
      <c r="S1076">
        <v>0</v>
      </c>
      <c r="T1076">
        <v>0</v>
      </c>
      <c r="U1076">
        <v>0</v>
      </c>
      <c r="V1076">
        <v>0</v>
      </c>
    </row>
    <row r="1077" spans="1:22" x14ac:dyDescent="0.25">
      <c r="A1077" t="s">
        <v>2376</v>
      </c>
      <c r="B1077" t="s">
        <v>1032</v>
      </c>
      <c r="C1077">
        <v>17</v>
      </c>
      <c r="D1077" t="s">
        <v>132</v>
      </c>
      <c r="E1077" t="s">
        <v>66</v>
      </c>
      <c r="F1077" t="s">
        <v>66</v>
      </c>
      <c r="G1077">
        <v>0.24</v>
      </c>
      <c r="H1077" t="s">
        <v>512</v>
      </c>
      <c r="I1077">
        <v>0</v>
      </c>
      <c r="J1077" t="str">
        <f>HYPERLINK("https://www.eliteprospects.com/player/711670/blair-scott")</f>
        <v>https://www.eliteprospects.com/player/711670/blair-scott</v>
      </c>
      <c r="K1077" t="s">
        <v>27</v>
      </c>
      <c r="L1077" t="s">
        <v>918</v>
      </c>
      <c r="M1077" t="s">
        <v>1296</v>
      </c>
      <c r="N1077">
        <v>4</v>
      </c>
      <c r="O1077" t="s">
        <v>1025</v>
      </c>
      <c r="P1077">
        <v>0.03</v>
      </c>
      <c r="Q1077" t="s">
        <v>1488</v>
      </c>
      <c r="R1077">
        <v>0</v>
      </c>
      <c r="S1077">
        <v>0</v>
      </c>
      <c r="T1077">
        <v>0</v>
      </c>
      <c r="U1077">
        <v>0</v>
      </c>
      <c r="V1077">
        <v>0</v>
      </c>
    </row>
    <row r="1078" spans="1:22" x14ac:dyDescent="0.25">
      <c r="A1078" t="s">
        <v>2377</v>
      </c>
      <c r="B1078" t="s">
        <v>972</v>
      </c>
      <c r="C1078">
        <v>18</v>
      </c>
      <c r="D1078" t="s">
        <v>132</v>
      </c>
      <c r="E1078" t="s">
        <v>66</v>
      </c>
      <c r="F1078" t="s">
        <v>66</v>
      </c>
      <c r="G1078">
        <v>0.22</v>
      </c>
      <c r="H1078" t="s">
        <v>32</v>
      </c>
      <c r="I1078">
        <v>0</v>
      </c>
      <c r="J1078" t="str">
        <f>HYPERLINK("https://www.eliteprospects.com/player/526230/marko-stojkov")</f>
        <v>https://www.eliteprospects.com/player/526230/marko-stojkov</v>
      </c>
      <c r="K1078" t="s">
        <v>27</v>
      </c>
      <c r="L1078" t="s">
        <v>918</v>
      </c>
      <c r="M1078" t="s">
        <v>1296</v>
      </c>
      <c r="N1078">
        <v>3</v>
      </c>
      <c r="O1078" t="s">
        <v>1211</v>
      </c>
      <c r="P1078">
        <v>0.03</v>
      </c>
      <c r="Q1078" t="s">
        <v>1488</v>
      </c>
      <c r="R1078">
        <v>0</v>
      </c>
      <c r="S1078">
        <v>0</v>
      </c>
      <c r="T1078">
        <v>0</v>
      </c>
      <c r="U1078">
        <v>0</v>
      </c>
      <c r="V1078">
        <v>0</v>
      </c>
    </row>
    <row r="1079" spans="1:22" x14ac:dyDescent="0.25">
      <c r="A1079" t="s">
        <v>2378</v>
      </c>
      <c r="B1079" t="s">
        <v>1032</v>
      </c>
      <c r="C1079">
        <v>18</v>
      </c>
      <c r="D1079" t="s">
        <v>132</v>
      </c>
      <c r="E1079" t="s">
        <v>66</v>
      </c>
      <c r="F1079" t="s">
        <v>66</v>
      </c>
      <c r="G1079">
        <v>0.22</v>
      </c>
      <c r="H1079" t="s">
        <v>23</v>
      </c>
      <c r="I1079">
        <v>0</v>
      </c>
      <c r="J1079" t="str">
        <f>HYPERLINK("https://www.eliteprospects.com/player/521752/jordan-hendry")</f>
        <v>https://www.eliteprospects.com/player/521752/jordan-hendry</v>
      </c>
      <c r="K1079" t="s">
        <v>27</v>
      </c>
      <c r="L1079" t="s">
        <v>918</v>
      </c>
      <c r="M1079" t="s">
        <v>1296</v>
      </c>
      <c r="N1079">
        <v>2</v>
      </c>
      <c r="O1079" t="s">
        <v>1021</v>
      </c>
      <c r="P1079">
        <v>0.03</v>
      </c>
      <c r="Q1079" t="s">
        <v>1488</v>
      </c>
      <c r="R1079">
        <v>0</v>
      </c>
      <c r="S1079">
        <v>0</v>
      </c>
      <c r="T1079">
        <v>0</v>
      </c>
      <c r="U1079">
        <v>0</v>
      </c>
      <c r="V1079">
        <v>0</v>
      </c>
    </row>
    <row r="1080" spans="1:22" x14ac:dyDescent="0.25">
      <c r="A1080" t="s">
        <v>2379</v>
      </c>
      <c r="B1080" t="s">
        <v>929</v>
      </c>
      <c r="C1080">
        <v>18</v>
      </c>
      <c r="D1080" t="s">
        <v>132</v>
      </c>
      <c r="E1080" t="s">
        <v>66</v>
      </c>
      <c r="F1080" t="s">
        <v>66</v>
      </c>
      <c r="G1080">
        <v>0.22</v>
      </c>
      <c r="H1080" t="s">
        <v>55</v>
      </c>
      <c r="I1080">
        <v>7</v>
      </c>
      <c r="J1080" t="str">
        <f>HYPERLINK("https://www.eliteprospects.com/player/449203/alexandre-de-gagne")</f>
        <v>https://www.eliteprospects.com/player/449203/alexandre-de-gagne</v>
      </c>
      <c r="K1080" t="s">
        <v>27</v>
      </c>
      <c r="L1080" t="s">
        <v>918</v>
      </c>
      <c r="M1080" t="s">
        <v>1296</v>
      </c>
      <c r="N1080">
        <v>6</v>
      </c>
      <c r="O1080" t="s">
        <v>1057</v>
      </c>
      <c r="P1080">
        <v>0.03</v>
      </c>
      <c r="Q1080" t="s">
        <v>1488</v>
      </c>
      <c r="R1080">
        <v>0</v>
      </c>
      <c r="S1080">
        <v>0</v>
      </c>
      <c r="T1080">
        <v>0</v>
      </c>
      <c r="U1080">
        <v>0</v>
      </c>
      <c r="V1080">
        <v>0</v>
      </c>
    </row>
    <row r="1081" spans="1:22" x14ac:dyDescent="0.25">
      <c r="A1081" t="s">
        <v>2380</v>
      </c>
      <c r="B1081" t="s">
        <v>1084</v>
      </c>
      <c r="C1081">
        <v>18</v>
      </c>
      <c r="D1081" t="s">
        <v>132</v>
      </c>
      <c r="E1081" t="s">
        <v>66</v>
      </c>
      <c r="F1081" t="s">
        <v>66</v>
      </c>
      <c r="G1081">
        <v>0.22</v>
      </c>
      <c r="H1081" t="s">
        <v>40</v>
      </c>
      <c r="I1081">
        <v>0</v>
      </c>
      <c r="J1081" t="str">
        <f>HYPERLINK("https://www.eliteprospects.com/player/749299/james-mcdowall")</f>
        <v>https://www.eliteprospects.com/player/749299/james-mcdowall</v>
      </c>
      <c r="K1081" t="s">
        <v>27</v>
      </c>
      <c r="L1081" t="s">
        <v>918</v>
      </c>
      <c r="M1081" t="s">
        <v>1296</v>
      </c>
      <c r="N1081">
        <v>1</v>
      </c>
      <c r="O1081" t="s">
        <v>984</v>
      </c>
      <c r="P1081">
        <v>0.03</v>
      </c>
      <c r="Q1081" t="s">
        <v>1488</v>
      </c>
      <c r="R1081">
        <v>0</v>
      </c>
      <c r="S1081">
        <v>0</v>
      </c>
      <c r="T1081">
        <v>0</v>
      </c>
      <c r="U1081">
        <v>0</v>
      </c>
      <c r="V1081">
        <v>0</v>
      </c>
    </row>
    <row r="1082" spans="1:22" x14ac:dyDescent="0.25">
      <c r="A1082" t="s">
        <v>2381</v>
      </c>
      <c r="B1082" t="s">
        <v>1053</v>
      </c>
      <c r="C1082">
        <v>18</v>
      </c>
      <c r="D1082" t="s">
        <v>132</v>
      </c>
      <c r="E1082" t="s">
        <v>66</v>
      </c>
      <c r="F1082" t="s">
        <v>66</v>
      </c>
      <c r="G1082">
        <v>0.22</v>
      </c>
      <c r="H1082" t="s">
        <v>280</v>
      </c>
      <c r="I1082">
        <v>0</v>
      </c>
      <c r="J1082" t="str">
        <f>HYPERLINK("https://www.eliteprospects.com/player/479568/david-mabey")</f>
        <v>https://www.eliteprospects.com/player/479568/david-mabey</v>
      </c>
      <c r="K1082" t="s">
        <v>27</v>
      </c>
      <c r="L1082" t="s">
        <v>918</v>
      </c>
      <c r="M1082" t="s">
        <v>1296</v>
      </c>
      <c r="N1082">
        <v>3</v>
      </c>
      <c r="O1082" t="s">
        <v>962</v>
      </c>
      <c r="P1082">
        <v>0.03</v>
      </c>
      <c r="Q1082" t="s">
        <v>1488</v>
      </c>
      <c r="R1082">
        <v>0</v>
      </c>
      <c r="S1082">
        <v>0</v>
      </c>
      <c r="T1082">
        <v>0</v>
      </c>
      <c r="U1082">
        <v>0</v>
      </c>
      <c r="V1082">
        <v>0</v>
      </c>
    </row>
    <row r="1083" spans="1:22" x14ac:dyDescent="0.25">
      <c r="A1083" t="s">
        <v>2382</v>
      </c>
      <c r="B1083" t="s">
        <v>923</v>
      </c>
      <c r="C1083">
        <v>12</v>
      </c>
      <c r="D1083" t="s">
        <v>79</v>
      </c>
      <c r="E1083" t="s">
        <v>260</v>
      </c>
      <c r="F1083" t="s">
        <v>140</v>
      </c>
      <c r="G1083">
        <v>0.25</v>
      </c>
      <c r="H1083" t="s">
        <v>26</v>
      </c>
      <c r="I1083">
        <v>2</v>
      </c>
      <c r="J1083" t="str">
        <f>HYPERLINK("https://www.eliteprospects.com/player/575014/kaiden-bugera")</f>
        <v>https://www.eliteprospects.com/player/575014/kaiden-bugera</v>
      </c>
      <c r="K1083" t="s">
        <v>27</v>
      </c>
      <c r="L1083" t="s">
        <v>918</v>
      </c>
      <c r="M1083" t="s">
        <v>1296</v>
      </c>
      <c r="N1083">
        <v>1</v>
      </c>
      <c r="O1083" t="s">
        <v>984</v>
      </c>
      <c r="P1083">
        <v>0.03</v>
      </c>
      <c r="Q1083" t="s">
        <v>1488</v>
      </c>
      <c r="R1083">
        <v>0</v>
      </c>
      <c r="S1083">
        <v>0</v>
      </c>
      <c r="T1083">
        <v>0</v>
      </c>
      <c r="U1083">
        <v>0</v>
      </c>
      <c r="V1083">
        <v>0</v>
      </c>
    </row>
    <row r="1084" spans="1:22" x14ac:dyDescent="0.25">
      <c r="A1084" t="s">
        <v>2383</v>
      </c>
      <c r="B1084" t="s">
        <v>923</v>
      </c>
      <c r="C1084">
        <v>13</v>
      </c>
      <c r="D1084" t="s">
        <v>79</v>
      </c>
      <c r="E1084" t="s">
        <v>260</v>
      </c>
      <c r="F1084" t="s">
        <v>140</v>
      </c>
      <c r="G1084">
        <v>0.23</v>
      </c>
      <c r="H1084" t="s">
        <v>66</v>
      </c>
      <c r="I1084">
        <v>3</v>
      </c>
      <c r="J1084" t="str">
        <f>HYPERLINK("https://www.eliteprospects.com/player/569263/tre-fouquette")</f>
        <v>https://www.eliteprospects.com/player/569263/tre-fouquette</v>
      </c>
      <c r="K1084" t="s">
        <v>27</v>
      </c>
      <c r="L1084" t="s">
        <v>918</v>
      </c>
      <c r="M1084" t="s">
        <v>1296</v>
      </c>
      <c r="N1084">
        <v>5</v>
      </c>
      <c r="O1084" t="s">
        <v>979</v>
      </c>
      <c r="P1084">
        <v>0.03</v>
      </c>
      <c r="Q1084" t="s">
        <v>1488</v>
      </c>
      <c r="R1084">
        <v>0</v>
      </c>
      <c r="S1084">
        <v>0</v>
      </c>
      <c r="T1084">
        <v>0</v>
      </c>
      <c r="U1084">
        <v>0</v>
      </c>
      <c r="V1084">
        <v>0</v>
      </c>
    </row>
    <row r="1085" spans="1:22" x14ac:dyDescent="0.25">
      <c r="A1085" t="s">
        <v>2384</v>
      </c>
      <c r="B1085" t="s">
        <v>1005</v>
      </c>
      <c r="C1085">
        <v>19</v>
      </c>
      <c r="D1085" t="s">
        <v>79</v>
      </c>
      <c r="E1085" t="s">
        <v>260</v>
      </c>
      <c r="F1085" t="s">
        <v>140</v>
      </c>
      <c r="G1085">
        <v>0.16</v>
      </c>
      <c r="H1085" t="s">
        <v>52</v>
      </c>
      <c r="I1085">
        <v>0</v>
      </c>
      <c r="J1085" t="str">
        <f>HYPERLINK("https://www.eliteprospects.com/player/412431/majid-kaddoura")</f>
        <v>https://www.eliteprospects.com/player/412431/majid-kaddoura</v>
      </c>
      <c r="K1085" t="s">
        <v>27</v>
      </c>
      <c r="L1085" t="s">
        <v>918</v>
      </c>
      <c r="M1085" t="s">
        <v>1296</v>
      </c>
      <c r="N1085">
        <v>6</v>
      </c>
      <c r="O1085" t="s">
        <v>927</v>
      </c>
      <c r="P1085">
        <v>0.02</v>
      </c>
      <c r="Q1085" t="s">
        <v>1488</v>
      </c>
      <c r="R1085">
        <v>0</v>
      </c>
      <c r="S1085">
        <v>0</v>
      </c>
      <c r="T1085">
        <v>0</v>
      </c>
      <c r="U1085">
        <v>0</v>
      </c>
      <c r="V1085">
        <v>0</v>
      </c>
    </row>
    <row r="1086" spans="1:22" x14ac:dyDescent="0.25">
      <c r="A1086" t="s">
        <v>2385</v>
      </c>
      <c r="B1086" t="s">
        <v>926</v>
      </c>
      <c r="C1086">
        <v>13</v>
      </c>
      <c r="D1086" t="s">
        <v>260</v>
      </c>
      <c r="E1086" t="s">
        <v>79</v>
      </c>
      <c r="F1086" t="s">
        <v>140</v>
      </c>
      <c r="G1086">
        <v>0.23</v>
      </c>
      <c r="H1086" t="s">
        <v>132</v>
      </c>
      <c r="I1086">
        <v>2</v>
      </c>
      <c r="J1086" t="str">
        <f>HYPERLINK("https://www.eliteprospects.com/player/291453/matthew-smith")</f>
        <v>https://www.eliteprospects.com/player/291453/matthew-smith</v>
      </c>
      <c r="K1086" t="s">
        <v>27</v>
      </c>
      <c r="L1086" t="s">
        <v>918</v>
      </c>
      <c r="M1086" t="s">
        <v>1296</v>
      </c>
      <c r="N1086">
        <v>6</v>
      </c>
      <c r="O1086" t="s">
        <v>932</v>
      </c>
      <c r="P1086">
        <v>0.03</v>
      </c>
      <c r="Q1086" t="s">
        <v>1488</v>
      </c>
      <c r="R1086">
        <v>0</v>
      </c>
      <c r="S1086">
        <v>0</v>
      </c>
      <c r="T1086">
        <v>0</v>
      </c>
      <c r="U1086">
        <v>0</v>
      </c>
      <c r="V1086">
        <v>0</v>
      </c>
    </row>
    <row r="1087" spans="1:22" x14ac:dyDescent="0.25">
      <c r="A1087" t="s">
        <v>2386</v>
      </c>
      <c r="B1087" t="s">
        <v>939</v>
      </c>
      <c r="C1087">
        <v>14</v>
      </c>
      <c r="D1087" t="s">
        <v>260</v>
      </c>
      <c r="E1087" t="s">
        <v>79</v>
      </c>
      <c r="F1087" t="s">
        <v>140</v>
      </c>
      <c r="G1087">
        <v>0.21</v>
      </c>
      <c r="H1087" t="s">
        <v>24</v>
      </c>
      <c r="I1087">
        <v>-1</v>
      </c>
      <c r="J1087" t="str">
        <f>HYPERLINK("https://www.eliteprospects.com/player/201953/cole-jordan")</f>
        <v>https://www.eliteprospects.com/player/201953/cole-jordan</v>
      </c>
      <c r="K1087" t="s">
        <v>27</v>
      </c>
      <c r="L1087" t="s">
        <v>918</v>
      </c>
      <c r="M1087" t="s">
        <v>1296</v>
      </c>
      <c r="N1087">
        <v>6</v>
      </c>
      <c r="O1087" t="s">
        <v>924</v>
      </c>
      <c r="P1087">
        <v>0.03</v>
      </c>
      <c r="Q1087" t="s">
        <v>1488</v>
      </c>
      <c r="R1087">
        <v>0</v>
      </c>
      <c r="S1087">
        <v>0</v>
      </c>
      <c r="T1087">
        <v>0</v>
      </c>
      <c r="U1087">
        <v>0</v>
      </c>
      <c r="V1087">
        <v>0</v>
      </c>
    </row>
    <row r="1088" spans="1:22" x14ac:dyDescent="0.25">
      <c r="A1088" t="s">
        <v>2387</v>
      </c>
      <c r="B1088" t="s">
        <v>947</v>
      </c>
      <c r="C1088">
        <v>15</v>
      </c>
      <c r="D1088" t="s">
        <v>260</v>
      </c>
      <c r="E1088" t="s">
        <v>79</v>
      </c>
      <c r="F1088" t="s">
        <v>140</v>
      </c>
      <c r="G1088">
        <v>0.2</v>
      </c>
      <c r="H1088" t="s">
        <v>53</v>
      </c>
      <c r="I1088">
        <v>0</v>
      </c>
      <c r="J1088" t="str">
        <f>HYPERLINK("https://www.eliteprospects.com/player/481408/ian-ferguson")</f>
        <v>https://www.eliteprospects.com/player/481408/ian-ferguson</v>
      </c>
      <c r="K1088" t="s">
        <v>27</v>
      </c>
      <c r="L1088" t="s">
        <v>918</v>
      </c>
      <c r="M1088" t="s">
        <v>1296</v>
      </c>
      <c r="N1088">
        <v>6</v>
      </c>
      <c r="O1088" t="s">
        <v>924</v>
      </c>
      <c r="P1088">
        <v>0.02</v>
      </c>
      <c r="Q1088" t="s">
        <v>1488</v>
      </c>
      <c r="R1088">
        <v>0</v>
      </c>
      <c r="S1088">
        <v>0</v>
      </c>
      <c r="T1088">
        <v>0</v>
      </c>
      <c r="U1088">
        <v>0</v>
      </c>
      <c r="V1088">
        <v>0</v>
      </c>
    </row>
    <row r="1089" spans="1:22" x14ac:dyDescent="0.25">
      <c r="A1089" t="s">
        <v>2388</v>
      </c>
      <c r="B1089" t="s">
        <v>944</v>
      </c>
      <c r="C1089">
        <v>17</v>
      </c>
      <c r="D1089" t="s">
        <v>260</v>
      </c>
      <c r="E1089" t="s">
        <v>79</v>
      </c>
      <c r="F1089" t="s">
        <v>140</v>
      </c>
      <c r="G1089">
        <v>0.18</v>
      </c>
      <c r="H1089" t="s">
        <v>529</v>
      </c>
      <c r="I1089">
        <v>3</v>
      </c>
      <c r="J1089" t="str">
        <f>HYPERLINK("https://www.eliteprospects.com/player/571212/charles-cote")</f>
        <v>https://www.eliteprospects.com/player/571212/charles-cote</v>
      </c>
      <c r="K1089" t="s">
        <v>27</v>
      </c>
      <c r="L1089" t="s">
        <v>918</v>
      </c>
      <c r="M1089" t="s">
        <v>1296</v>
      </c>
      <c r="N1089">
        <v>5</v>
      </c>
      <c r="O1089" t="s">
        <v>930</v>
      </c>
      <c r="P1089">
        <v>0.02</v>
      </c>
      <c r="Q1089" t="s">
        <v>1488</v>
      </c>
      <c r="R1089">
        <v>0</v>
      </c>
      <c r="S1089">
        <v>0</v>
      </c>
      <c r="T1089">
        <v>0</v>
      </c>
      <c r="U1089">
        <v>0</v>
      </c>
      <c r="V1089">
        <v>0</v>
      </c>
    </row>
    <row r="1090" spans="1:22" x14ac:dyDescent="0.25">
      <c r="A1090" t="s">
        <v>2389</v>
      </c>
      <c r="B1090" t="s">
        <v>991</v>
      </c>
      <c r="C1090">
        <v>18</v>
      </c>
      <c r="D1090" t="s">
        <v>260</v>
      </c>
      <c r="E1090" t="s">
        <v>79</v>
      </c>
      <c r="F1090" t="s">
        <v>140</v>
      </c>
      <c r="G1090">
        <v>0.17</v>
      </c>
      <c r="H1090" t="s">
        <v>125</v>
      </c>
      <c r="I1090">
        <v>0</v>
      </c>
      <c r="J1090" t="str">
        <f>HYPERLINK("https://www.eliteprospects.com/player/300779/willem-larsen")</f>
        <v>https://www.eliteprospects.com/player/300779/willem-larsen</v>
      </c>
      <c r="K1090" t="s">
        <v>27</v>
      </c>
      <c r="L1090" t="s">
        <v>918</v>
      </c>
      <c r="M1090" t="s">
        <v>1296</v>
      </c>
      <c r="N1090">
        <v>4</v>
      </c>
      <c r="O1090" t="s">
        <v>940</v>
      </c>
      <c r="P1090">
        <v>0.02</v>
      </c>
      <c r="Q1090" t="s">
        <v>1488</v>
      </c>
      <c r="R1090">
        <v>0</v>
      </c>
      <c r="S1090">
        <v>0</v>
      </c>
      <c r="T1090">
        <v>0</v>
      </c>
      <c r="U1090">
        <v>0</v>
      </c>
      <c r="V1090">
        <v>0</v>
      </c>
    </row>
    <row r="1091" spans="1:22" x14ac:dyDescent="0.25">
      <c r="A1091" t="s">
        <v>2390</v>
      </c>
      <c r="B1091" t="s">
        <v>929</v>
      </c>
      <c r="C1091">
        <v>18</v>
      </c>
      <c r="D1091" t="s">
        <v>260</v>
      </c>
      <c r="E1091" t="s">
        <v>79</v>
      </c>
      <c r="F1091" t="s">
        <v>140</v>
      </c>
      <c r="G1091">
        <v>0.17</v>
      </c>
      <c r="H1091" t="s">
        <v>638</v>
      </c>
      <c r="I1091">
        <v>-1</v>
      </c>
      <c r="J1091" t="str">
        <f>HYPERLINK("https://www.eliteprospects.com/player/598379/antoine-michaud")</f>
        <v>https://www.eliteprospects.com/player/598379/antoine-michaud</v>
      </c>
      <c r="K1091" t="s">
        <v>27</v>
      </c>
      <c r="L1091" t="s">
        <v>918</v>
      </c>
      <c r="M1091" t="s">
        <v>1296</v>
      </c>
      <c r="N1091">
        <v>5</v>
      </c>
      <c r="O1091" t="s">
        <v>930</v>
      </c>
      <c r="P1091">
        <v>0.02</v>
      </c>
      <c r="Q1091" t="s">
        <v>1488</v>
      </c>
      <c r="R1091">
        <v>0</v>
      </c>
      <c r="S1091">
        <v>0</v>
      </c>
      <c r="T1091">
        <v>0</v>
      </c>
      <c r="U1091">
        <v>0</v>
      </c>
      <c r="V1091">
        <v>0</v>
      </c>
    </row>
    <row r="1092" spans="1:22" x14ac:dyDescent="0.25">
      <c r="A1092" t="s">
        <v>2391</v>
      </c>
      <c r="B1092" t="s">
        <v>1011</v>
      </c>
      <c r="C1092">
        <v>18</v>
      </c>
      <c r="D1092" t="s">
        <v>260</v>
      </c>
      <c r="E1092" t="s">
        <v>79</v>
      </c>
      <c r="F1092" t="s">
        <v>140</v>
      </c>
      <c r="G1092">
        <v>0.17</v>
      </c>
      <c r="H1092" t="s">
        <v>716</v>
      </c>
      <c r="I1092">
        <v>0</v>
      </c>
      <c r="J1092" t="str">
        <f>HYPERLINK("https://www.eliteprospects.com/player/418415/mark-woolley")</f>
        <v>https://www.eliteprospects.com/player/418415/mark-woolley</v>
      </c>
      <c r="K1092" t="s">
        <v>27</v>
      </c>
      <c r="L1092" t="s">
        <v>918</v>
      </c>
      <c r="M1092" t="s">
        <v>1296</v>
      </c>
      <c r="N1092">
        <v>5</v>
      </c>
      <c r="O1092" t="s">
        <v>935</v>
      </c>
      <c r="P1092">
        <v>0.02</v>
      </c>
      <c r="Q1092" t="s">
        <v>1488</v>
      </c>
      <c r="R1092">
        <v>0</v>
      </c>
      <c r="S1092">
        <v>0</v>
      </c>
      <c r="T1092">
        <v>0</v>
      </c>
      <c r="U1092">
        <v>0</v>
      </c>
      <c r="V1092">
        <v>0</v>
      </c>
    </row>
    <row r="1093" spans="1:22" x14ac:dyDescent="0.25">
      <c r="A1093" t="s">
        <v>2392</v>
      </c>
      <c r="B1093" t="s">
        <v>931</v>
      </c>
      <c r="C1093">
        <v>20</v>
      </c>
      <c r="D1093" t="s">
        <v>260</v>
      </c>
      <c r="E1093" t="s">
        <v>79</v>
      </c>
      <c r="F1093" t="s">
        <v>140</v>
      </c>
      <c r="G1093">
        <v>0.15</v>
      </c>
      <c r="H1093" t="s">
        <v>132</v>
      </c>
      <c r="I1093">
        <v>-1</v>
      </c>
      <c r="J1093" t="str">
        <f>HYPERLINK("https://www.eliteprospects.com/player/351084/mike-ladyman")</f>
        <v>https://www.eliteprospects.com/player/351084/mike-ladyman</v>
      </c>
      <c r="K1093" t="s">
        <v>27</v>
      </c>
      <c r="L1093" t="s">
        <v>918</v>
      </c>
      <c r="M1093" t="s">
        <v>1296</v>
      </c>
      <c r="N1093">
        <v>5</v>
      </c>
      <c r="O1093" t="s">
        <v>1107</v>
      </c>
      <c r="P1093">
        <v>0.02</v>
      </c>
      <c r="Q1093" t="s">
        <v>1488</v>
      </c>
      <c r="R1093">
        <v>0</v>
      </c>
      <c r="S1093">
        <v>0</v>
      </c>
      <c r="T1093">
        <v>0</v>
      </c>
      <c r="U1093">
        <v>0</v>
      </c>
      <c r="V1093">
        <v>0</v>
      </c>
    </row>
    <row r="1094" spans="1:22" x14ac:dyDescent="0.25">
      <c r="A1094" t="s">
        <v>2393</v>
      </c>
      <c r="B1094" t="s">
        <v>947</v>
      </c>
      <c r="C1094">
        <v>14</v>
      </c>
      <c r="D1094" t="s">
        <v>132</v>
      </c>
      <c r="E1094" t="s">
        <v>140</v>
      </c>
      <c r="F1094" t="s">
        <v>140</v>
      </c>
      <c r="G1094">
        <v>0.21</v>
      </c>
      <c r="H1094" t="s">
        <v>53</v>
      </c>
      <c r="I1094">
        <v>0</v>
      </c>
      <c r="J1094" t="str">
        <f>HYPERLINK("https://www.eliteprospects.com/player/592642/nolan-roberts")</f>
        <v>https://www.eliteprospects.com/player/592642/nolan-roberts</v>
      </c>
      <c r="K1094" t="s">
        <v>27</v>
      </c>
      <c r="L1094" t="s">
        <v>918</v>
      </c>
      <c r="M1094" t="s">
        <v>1296</v>
      </c>
      <c r="N1094">
        <v>1</v>
      </c>
      <c r="O1094" t="s">
        <v>984</v>
      </c>
      <c r="P1094">
        <v>0.03</v>
      </c>
      <c r="Q1094" t="s">
        <v>1488</v>
      </c>
      <c r="R1094">
        <v>0</v>
      </c>
      <c r="S1094">
        <v>0</v>
      </c>
      <c r="T1094">
        <v>0</v>
      </c>
      <c r="U1094">
        <v>0</v>
      </c>
      <c r="V1094">
        <v>0</v>
      </c>
    </row>
    <row r="1095" spans="1:22" x14ac:dyDescent="0.25">
      <c r="A1095" t="s">
        <v>2394</v>
      </c>
      <c r="B1095" t="s">
        <v>1049</v>
      </c>
      <c r="C1095">
        <v>16</v>
      </c>
      <c r="D1095" t="s">
        <v>132</v>
      </c>
      <c r="E1095" t="s">
        <v>140</v>
      </c>
      <c r="F1095" t="s">
        <v>140</v>
      </c>
      <c r="G1095">
        <v>0.19</v>
      </c>
      <c r="H1095" t="s">
        <v>57</v>
      </c>
      <c r="I1095">
        <v>4</v>
      </c>
      <c r="J1095" t="str">
        <f>HYPERLINK("https://www.eliteprospects.com/player/416997/evan-toth")</f>
        <v>https://www.eliteprospects.com/player/416997/evan-toth</v>
      </c>
      <c r="K1095" t="s">
        <v>27</v>
      </c>
      <c r="L1095" t="s">
        <v>918</v>
      </c>
      <c r="M1095" t="s">
        <v>1296</v>
      </c>
      <c r="N1095">
        <v>6</v>
      </c>
      <c r="O1095" t="s">
        <v>927</v>
      </c>
      <c r="P1095">
        <v>0.02</v>
      </c>
      <c r="Q1095" t="s">
        <v>1488</v>
      </c>
      <c r="R1095">
        <v>0</v>
      </c>
      <c r="S1095">
        <v>0</v>
      </c>
      <c r="T1095">
        <v>0</v>
      </c>
      <c r="U1095">
        <v>0</v>
      </c>
      <c r="V1095">
        <v>0</v>
      </c>
    </row>
    <row r="1096" spans="1:22" x14ac:dyDescent="0.25">
      <c r="A1096" t="s">
        <v>2395</v>
      </c>
      <c r="B1096" t="s">
        <v>986</v>
      </c>
      <c r="C1096">
        <v>16</v>
      </c>
      <c r="D1096" t="s">
        <v>132</v>
      </c>
      <c r="E1096" t="s">
        <v>140</v>
      </c>
      <c r="F1096" t="s">
        <v>140</v>
      </c>
      <c r="G1096">
        <v>0.19</v>
      </c>
      <c r="H1096" t="s">
        <v>39</v>
      </c>
      <c r="I1096">
        <v>0</v>
      </c>
      <c r="J1096" t="str">
        <f>HYPERLINK("https://www.eliteprospects.com/player/483411/nolan-bettens")</f>
        <v>https://www.eliteprospects.com/player/483411/nolan-bettens</v>
      </c>
      <c r="K1096" t="s">
        <v>27</v>
      </c>
      <c r="L1096" t="s">
        <v>918</v>
      </c>
      <c r="M1096" t="s">
        <v>1296</v>
      </c>
      <c r="N1096">
        <v>1</v>
      </c>
      <c r="O1096" t="s">
        <v>984</v>
      </c>
      <c r="P1096">
        <v>0.02</v>
      </c>
      <c r="Q1096" t="s">
        <v>1488</v>
      </c>
      <c r="R1096">
        <v>0</v>
      </c>
      <c r="S1096">
        <v>0</v>
      </c>
      <c r="T1096">
        <v>0</v>
      </c>
      <c r="U1096">
        <v>0</v>
      </c>
      <c r="V1096">
        <v>0</v>
      </c>
    </row>
    <row r="1097" spans="1:22" x14ac:dyDescent="0.25">
      <c r="A1097" t="s">
        <v>2396</v>
      </c>
      <c r="B1097" t="s">
        <v>1015</v>
      </c>
      <c r="C1097">
        <v>17</v>
      </c>
      <c r="D1097" t="s">
        <v>132</v>
      </c>
      <c r="E1097" t="s">
        <v>140</v>
      </c>
      <c r="F1097" t="s">
        <v>140</v>
      </c>
      <c r="G1097">
        <v>0.18</v>
      </c>
      <c r="H1097" t="s">
        <v>23</v>
      </c>
      <c r="I1097">
        <v>-1</v>
      </c>
      <c r="J1097" t="str">
        <f>HYPERLINK("https://www.eliteprospects.com/player/413413/joel-sexsmith")</f>
        <v>https://www.eliteprospects.com/player/413413/joel-sexsmith</v>
      </c>
      <c r="K1097" t="s">
        <v>27</v>
      </c>
      <c r="L1097" t="s">
        <v>918</v>
      </c>
      <c r="M1097" t="s">
        <v>1296</v>
      </c>
      <c r="N1097">
        <v>6</v>
      </c>
      <c r="O1097" t="s">
        <v>927</v>
      </c>
      <c r="P1097">
        <v>0.02</v>
      </c>
      <c r="Q1097" t="s">
        <v>1488</v>
      </c>
      <c r="R1097">
        <v>0</v>
      </c>
      <c r="S1097">
        <v>0</v>
      </c>
      <c r="T1097">
        <v>0</v>
      </c>
      <c r="U1097">
        <v>0</v>
      </c>
      <c r="V1097">
        <v>0</v>
      </c>
    </row>
    <row r="1098" spans="1:22" x14ac:dyDescent="0.25">
      <c r="A1098" t="s">
        <v>2397</v>
      </c>
      <c r="B1098" t="s">
        <v>1118</v>
      </c>
      <c r="C1098">
        <v>17</v>
      </c>
      <c r="D1098" t="s">
        <v>132</v>
      </c>
      <c r="E1098" t="s">
        <v>140</v>
      </c>
      <c r="F1098" t="s">
        <v>140</v>
      </c>
      <c r="G1098">
        <v>0.18</v>
      </c>
      <c r="H1098" t="s">
        <v>25</v>
      </c>
      <c r="I1098">
        <v>-19</v>
      </c>
      <c r="J1098" t="str">
        <f>HYPERLINK("https://www.eliteprospects.com/player/569178/rylan-silzer")</f>
        <v>https://www.eliteprospects.com/player/569178/rylan-silzer</v>
      </c>
      <c r="K1098" t="s">
        <v>27</v>
      </c>
      <c r="L1098" t="s">
        <v>918</v>
      </c>
      <c r="M1098" t="s">
        <v>1296</v>
      </c>
      <c r="N1098">
        <v>1</v>
      </c>
      <c r="O1098" t="s">
        <v>984</v>
      </c>
      <c r="P1098">
        <v>0.02</v>
      </c>
      <c r="Q1098" t="s">
        <v>1488</v>
      </c>
      <c r="R1098">
        <v>0</v>
      </c>
      <c r="S1098">
        <v>0</v>
      </c>
      <c r="T1098">
        <v>0</v>
      </c>
      <c r="U1098">
        <v>0</v>
      </c>
      <c r="V1098">
        <v>0</v>
      </c>
    </row>
    <row r="1099" spans="1:22" x14ac:dyDescent="0.25">
      <c r="A1099" t="s">
        <v>2398</v>
      </c>
      <c r="B1099" t="s">
        <v>942</v>
      </c>
      <c r="C1099">
        <v>18</v>
      </c>
      <c r="D1099" t="s">
        <v>132</v>
      </c>
      <c r="E1099" t="s">
        <v>140</v>
      </c>
      <c r="F1099" t="s">
        <v>140</v>
      </c>
      <c r="G1099">
        <v>0.17</v>
      </c>
      <c r="H1099" t="s">
        <v>32</v>
      </c>
      <c r="I1099">
        <v>0</v>
      </c>
      <c r="J1099" t="str">
        <f>HYPERLINK("https://www.eliteprospects.com/player/418523/evan-brand")</f>
        <v>https://www.eliteprospects.com/player/418523/evan-brand</v>
      </c>
      <c r="K1099" t="s">
        <v>27</v>
      </c>
      <c r="L1099" t="s">
        <v>918</v>
      </c>
      <c r="M1099" t="s">
        <v>1296</v>
      </c>
      <c r="N1099">
        <v>5</v>
      </c>
      <c r="O1099" t="s">
        <v>935</v>
      </c>
      <c r="P1099">
        <v>0.02</v>
      </c>
      <c r="Q1099" t="s">
        <v>1488</v>
      </c>
      <c r="R1099">
        <v>0</v>
      </c>
      <c r="S1099">
        <v>0</v>
      </c>
      <c r="T1099">
        <v>0</v>
      </c>
      <c r="U1099">
        <v>0</v>
      </c>
      <c r="V1099">
        <v>0</v>
      </c>
    </row>
    <row r="1100" spans="1:22" x14ac:dyDescent="0.25">
      <c r="A1100" t="s">
        <v>2399</v>
      </c>
      <c r="B1100" t="s">
        <v>1053</v>
      </c>
      <c r="C1100">
        <v>18</v>
      </c>
      <c r="D1100" t="s">
        <v>132</v>
      </c>
      <c r="E1100" t="s">
        <v>140</v>
      </c>
      <c r="F1100" t="s">
        <v>140</v>
      </c>
      <c r="G1100">
        <v>0.17</v>
      </c>
      <c r="H1100" t="s">
        <v>24</v>
      </c>
      <c r="I1100">
        <v>0</v>
      </c>
      <c r="J1100" t="str">
        <f>HYPERLINK("https://www.eliteprospects.com/player/413420/bryan-mcandrews")</f>
        <v>https://www.eliteprospects.com/player/413420/bryan-mcandrews</v>
      </c>
      <c r="K1100" t="s">
        <v>27</v>
      </c>
      <c r="L1100" t="s">
        <v>918</v>
      </c>
      <c r="M1100" t="s">
        <v>1296</v>
      </c>
      <c r="N1100">
        <v>5</v>
      </c>
      <c r="O1100" t="s">
        <v>1107</v>
      </c>
      <c r="P1100">
        <v>0.02</v>
      </c>
      <c r="Q1100" t="s">
        <v>1488</v>
      </c>
      <c r="R1100">
        <v>0</v>
      </c>
      <c r="S1100">
        <v>0</v>
      </c>
      <c r="T1100">
        <v>0</v>
      </c>
      <c r="U1100">
        <v>0</v>
      </c>
      <c r="V1100">
        <v>0</v>
      </c>
    </row>
    <row r="1101" spans="1:22" x14ac:dyDescent="0.25">
      <c r="A1101" t="s">
        <v>2400</v>
      </c>
      <c r="B1101" t="s">
        <v>998</v>
      </c>
      <c r="C1101">
        <v>18</v>
      </c>
      <c r="D1101" t="s">
        <v>132</v>
      </c>
      <c r="E1101" t="s">
        <v>140</v>
      </c>
      <c r="F1101" t="s">
        <v>140</v>
      </c>
      <c r="G1101">
        <v>0.17</v>
      </c>
      <c r="H1101" t="s">
        <v>47</v>
      </c>
      <c r="I1101">
        <v>0</v>
      </c>
      <c r="J1101" t="str">
        <f>HYPERLINK("https://www.eliteprospects.com/player/399348/jack-duff")</f>
        <v>https://www.eliteprospects.com/player/399348/jack-duff</v>
      </c>
      <c r="K1101" t="s">
        <v>27</v>
      </c>
      <c r="L1101" t="s">
        <v>918</v>
      </c>
      <c r="M1101" t="s">
        <v>1296</v>
      </c>
      <c r="N1101">
        <v>5</v>
      </c>
      <c r="O1101" t="s">
        <v>955</v>
      </c>
      <c r="P1101">
        <v>0.02</v>
      </c>
      <c r="Q1101" t="s">
        <v>1488</v>
      </c>
      <c r="R1101">
        <v>0</v>
      </c>
      <c r="S1101">
        <v>0</v>
      </c>
      <c r="T1101">
        <v>0</v>
      </c>
      <c r="U1101">
        <v>0</v>
      </c>
      <c r="V1101">
        <v>0</v>
      </c>
    </row>
    <row r="1102" spans="1:22" x14ac:dyDescent="0.25">
      <c r="A1102" t="s">
        <v>2401</v>
      </c>
      <c r="B1102" t="s">
        <v>923</v>
      </c>
      <c r="C1102">
        <v>18</v>
      </c>
      <c r="D1102" t="s">
        <v>132</v>
      </c>
      <c r="E1102" t="s">
        <v>140</v>
      </c>
      <c r="F1102" t="s">
        <v>140</v>
      </c>
      <c r="G1102">
        <v>0.17</v>
      </c>
      <c r="H1102" t="s">
        <v>34</v>
      </c>
      <c r="I1102">
        <v>12</v>
      </c>
      <c r="J1102" t="str">
        <f>HYPERLINK("https://www.eliteprospects.com/player/483632/wyatt-wilson")</f>
        <v>https://www.eliteprospects.com/player/483632/wyatt-wilson</v>
      </c>
      <c r="K1102" t="s">
        <v>27</v>
      </c>
      <c r="L1102" t="s">
        <v>918</v>
      </c>
      <c r="M1102" t="s">
        <v>1296</v>
      </c>
      <c r="N1102">
        <v>4</v>
      </c>
      <c r="O1102" t="s">
        <v>978</v>
      </c>
      <c r="P1102">
        <v>0.02</v>
      </c>
      <c r="Q1102" t="s">
        <v>1488</v>
      </c>
      <c r="R1102">
        <v>0</v>
      </c>
      <c r="S1102">
        <v>0</v>
      </c>
      <c r="T1102">
        <v>0</v>
      </c>
      <c r="U1102">
        <v>0</v>
      </c>
      <c r="V1102">
        <v>0</v>
      </c>
    </row>
    <row r="1103" spans="1:22" x14ac:dyDescent="0.25">
      <c r="A1103" t="s">
        <v>2402</v>
      </c>
      <c r="B1103" t="s">
        <v>957</v>
      </c>
      <c r="C1103">
        <v>20</v>
      </c>
      <c r="D1103" t="s">
        <v>132</v>
      </c>
      <c r="E1103" t="s">
        <v>140</v>
      </c>
      <c r="F1103" t="s">
        <v>140</v>
      </c>
      <c r="G1103">
        <v>0.15</v>
      </c>
      <c r="H1103" t="s">
        <v>39</v>
      </c>
      <c r="I1103">
        <v>-3</v>
      </c>
      <c r="J1103" t="str">
        <f>HYPERLINK("https://www.eliteprospects.com/player/413504/tyson-kowaluk")</f>
        <v>https://www.eliteprospects.com/player/413504/tyson-kowaluk</v>
      </c>
      <c r="K1103" t="s">
        <v>27</v>
      </c>
      <c r="L1103" t="s">
        <v>918</v>
      </c>
      <c r="M1103" t="s">
        <v>1296</v>
      </c>
      <c r="N1103">
        <v>2</v>
      </c>
      <c r="O1103" t="s">
        <v>1021</v>
      </c>
      <c r="P1103">
        <v>0.02</v>
      </c>
      <c r="Q1103" t="s">
        <v>1488</v>
      </c>
      <c r="R1103">
        <v>0</v>
      </c>
      <c r="S1103">
        <v>0</v>
      </c>
      <c r="T1103">
        <v>0</v>
      </c>
      <c r="U1103">
        <v>0</v>
      </c>
      <c r="V1103">
        <v>0</v>
      </c>
    </row>
    <row r="1104" spans="1:22" x14ac:dyDescent="0.25">
      <c r="A1104" t="s">
        <v>2403</v>
      </c>
      <c r="B1104" t="s">
        <v>1020</v>
      </c>
      <c r="C1104">
        <v>20</v>
      </c>
      <c r="D1104" t="s">
        <v>132</v>
      </c>
      <c r="E1104" t="s">
        <v>140</v>
      </c>
      <c r="F1104" t="s">
        <v>140</v>
      </c>
      <c r="G1104">
        <v>0.15</v>
      </c>
      <c r="H1104" t="s">
        <v>24</v>
      </c>
      <c r="I1104">
        <v>-16</v>
      </c>
      <c r="J1104" t="str">
        <f>HYPERLINK("https://www.eliteprospects.com/player/562486/eduard-wruck")</f>
        <v>https://www.eliteprospects.com/player/562486/eduard-wruck</v>
      </c>
      <c r="K1104" t="s">
        <v>27</v>
      </c>
      <c r="L1104" t="s">
        <v>918</v>
      </c>
      <c r="M1104" t="s">
        <v>1296</v>
      </c>
      <c r="N1104">
        <v>2</v>
      </c>
      <c r="O1104" t="s">
        <v>1021</v>
      </c>
      <c r="P1104">
        <v>0.02</v>
      </c>
      <c r="Q1104" t="s">
        <v>1488</v>
      </c>
      <c r="R1104">
        <v>0</v>
      </c>
      <c r="S1104">
        <v>0</v>
      </c>
      <c r="T1104">
        <v>0</v>
      </c>
      <c r="U1104">
        <v>0</v>
      </c>
      <c r="V1104">
        <v>0</v>
      </c>
    </row>
    <row r="1105" spans="1:22" x14ac:dyDescent="0.25">
      <c r="A1105" t="s">
        <v>2404</v>
      </c>
      <c r="B1105" t="s">
        <v>947</v>
      </c>
      <c r="C1105">
        <v>16</v>
      </c>
      <c r="D1105" t="s">
        <v>79</v>
      </c>
      <c r="E1105" t="s">
        <v>132</v>
      </c>
      <c r="F1105" t="s">
        <v>79</v>
      </c>
      <c r="G1105">
        <v>0.13</v>
      </c>
      <c r="H1105" t="s">
        <v>265</v>
      </c>
      <c r="I1105">
        <v>0</v>
      </c>
      <c r="J1105" t="str">
        <f>HYPERLINK("https://www.eliteprospects.com/player/424340/ethan-doyle")</f>
        <v>https://www.eliteprospects.com/player/424340/ethan-doyle</v>
      </c>
      <c r="K1105" t="s">
        <v>27</v>
      </c>
      <c r="L1105" t="s">
        <v>918</v>
      </c>
      <c r="M1105" t="s">
        <v>2405</v>
      </c>
      <c r="N1105">
        <v>3</v>
      </c>
      <c r="O1105" t="s">
        <v>962</v>
      </c>
      <c r="P1105">
        <v>0.02</v>
      </c>
      <c r="Q1105" t="s">
        <v>1488</v>
      </c>
      <c r="R1105">
        <v>0</v>
      </c>
      <c r="S1105">
        <v>0</v>
      </c>
      <c r="T1105">
        <v>0</v>
      </c>
      <c r="U1105">
        <v>0</v>
      </c>
      <c r="V1105">
        <v>0</v>
      </c>
    </row>
    <row r="1106" spans="1:22" x14ac:dyDescent="0.25">
      <c r="A1106" t="s">
        <v>2406</v>
      </c>
      <c r="B1106" t="s">
        <v>977</v>
      </c>
      <c r="C1106">
        <v>10</v>
      </c>
      <c r="D1106" t="s">
        <v>260</v>
      </c>
      <c r="E1106" t="s">
        <v>260</v>
      </c>
      <c r="F1106" t="s">
        <v>79</v>
      </c>
      <c r="G1106">
        <v>0.2</v>
      </c>
      <c r="H1106" t="s">
        <v>57</v>
      </c>
      <c r="I1106">
        <v>0</v>
      </c>
      <c r="J1106" t="str">
        <f>HYPERLINK("https://www.eliteprospects.com/player/418252/frank-jenkins")</f>
        <v>https://www.eliteprospects.com/player/418252/frank-jenkins</v>
      </c>
      <c r="K1106" t="s">
        <v>27</v>
      </c>
      <c r="L1106" t="s">
        <v>918</v>
      </c>
      <c r="M1106" t="s">
        <v>1296</v>
      </c>
      <c r="N1106">
        <v>4</v>
      </c>
      <c r="O1106" t="s">
        <v>1070</v>
      </c>
      <c r="P1106">
        <v>0.02</v>
      </c>
      <c r="Q1106" t="s">
        <v>1488</v>
      </c>
      <c r="R1106">
        <v>0</v>
      </c>
      <c r="S1106">
        <v>0</v>
      </c>
      <c r="T1106">
        <v>0</v>
      </c>
      <c r="U1106">
        <v>0</v>
      </c>
      <c r="V1106">
        <v>0</v>
      </c>
    </row>
    <row r="1107" spans="1:22" x14ac:dyDescent="0.25">
      <c r="A1107" t="s">
        <v>2407</v>
      </c>
      <c r="B1107" t="s">
        <v>1038</v>
      </c>
      <c r="C1107">
        <v>11</v>
      </c>
      <c r="D1107" t="s">
        <v>260</v>
      </c>
      <c r="E1107" t="s">
        <v>260</v>
      </c>
      <c r="F1107" t="s">
        <v>79</v>
      </c>
      <c r="G1107">
        <v>0.18</v>
      </c>
      <c r="H1107" t="s">
        <v>79</v>
      </c>
      <c r="I1107">
        <v>0</v>
      </c>
      <c r="J1107" t="str">
        <f>HYPERLINK("https://www.eliteprospects.com/player/479776/ranvir-gill-shane")</f>
        <v>https://www.eliteprospects.com/player/479776/ranvir-gill-shane</v>
      </c>
      <c r="K1107" t="s">
        <v>27</v>
      </c>
      <c r="L1107" t="s">
        <v>918</v>
      </c>
      <c r="M1107" t="s">
        <v>1296</v>
      </c>
      <c r="N1107">
        <v>4</v>
      </c>
      <c r="O1107" t="s">
        <v>1025</v>
      </c>
      <c r="P1107">
        <v>0.02</v>
      </c>
      <c r="Q1107" t="s">
        <v>1488</v>
      </c>
      <c r="R1107">
        <v>0</v>
      </c>
      <c r="S1107">
        <v>0</v>
      </c>
      <c r="T1107">
        <v>0</v>
      </c>
      <c r="U1107">
        <v>0</v>
      </c>
      <c r="V1107">
        <v>0</v>
      </c>
    </row>
    <row r="1108" spans="1:22" x14ac:dyDescent="0.25">
      <c r="A1108" t="s">
        <v>2408</v>
      </c>
      <c r="B1108" t="s">
        <v>1036</v>
      </c>
      <c r="C1108">
        <v>12</v>
      </c>
      <c r="D1108" t="s">
        <v>260</v>
      </c>
      <c r="E1108" t="s">
        <v>260</v>
      </c>
      <c r="F1108" t="s">
        <v>79</v>
      </c>
      <c r="G1108">
        <v>0.17</v>
      </c>
      <c r="H1108" t="s">
        <v>66</v>
      </c>
      <c r="I1108">
        <v>0</v>
      </c>
      <c r="J1108" t="str">
        <f>HYPERLINK("https://www.eliteprospects.com/player/600856/sawyer-prokopetz")</f>
        <v>https://www.eliteprospects.com/player/600856/sawyer-prokopetz</v>
      </c>
      <c r="K1108" t="s">
        <v>27</v>
      </c>
      <c r="L1108" t="s">
        <v>918</v>
      </c>
      <c r="M1108" t="s">
        <v>1296</v>
      </c>
      <c r="N1108">
        <v>1</v>
      </c>
      <c r="O1108" t="s">
        <v>984</v>
      </c>
      <c r="P1108">
        <v>0.02</v>
      </c>
      <c r="Q1108" t="s">
        <v>1488</v>
      </c>
      <c r="R1108">
        <v>0</v>
      </c>
      <c r="S1108">
        <v>0</v>
      </c>
      <c r="T1108">
        <v>0</v>
      </c>
      <c r="U1108">
        <v>0</v>
      </c>
      <c r="V1108">
        <v>0</v>
      </c>
    </row>
    <row r="1109" spans="1:22" x14ac:dyDescent="0.25">
      <c r="A1109" t="s">
        <v>2409</v>
      </c>
      <c r="B1109" t="s">
        <v>1005</v>
      </c>
      <c r="C1109">
        <v>13</v>
      </c>
      <c r="D1109" t="s">
        <v>260</v>
      </c>
      <c r="E1109" t="s">
        <v>260</v>
      </c>
      <c r="F1109" t="s">
        <v>79</v>
      </c>
      <c r="G1109">
        <v>0.15</v>
      </c>
      <c r="H1109" t="s">
        <v>26</v>
      </c>
      <c r="I1109">
        <v>0</v>
      </c>
      <c r="J1109" t="str">
        <f>HYPERLINK("https://www.eliteprospects.com/player/562188/masen-culley")</f>
        <v>https://www.eliteprospects.com/player/562188/masen-culley</v>
      </c>
      <c r="K1109" t="s">
        <v>27</v>
      </c>
      <c r="L1109" t="s">
        <v>918</v>
      </c>
      <c r="M1109" t="s">
        <v>1296</v>
      </c>
      <c r="N1109">
        <v>1</v>
      </c>
      <c r="O1109" t="s">
        <v>984</v>
      </c>
      <c r="P1109">
        <v>0.02</v>
      </c>
      <c r="Q1109" t="s">
        <v>1488</v>
      </c>
      <c r="R1109">
        <v>0</v>
      </c>
      <c r="S1109">
        <v>0</v>
      </c>
      <c r="T1109">
        <v>0</v>
      </c>
      <c r="U1109">
        <v>0</v>
      </c>
      <c r="V1109">
        <v>0</v>
      </c>
    </row>
    <row r="1110" spans="1:22" x14ac:dyDescent="0.25">
      <c r="A1110" t="s">
        <v>2410</v>
      </c>
      <c r="B1110" t="s">
        <v>986</v>
      </c>
      <c r="C1110">
        <v>14</v>
      </c>
      <c r="D1110" t="s">
        <v>260</v>
      </c>
      <c r="E1110" t="s">
        <v>260</v>
      </c>
      <c r="F1110" t="s">
        <v>79</v>
      </c>
      <c r="G1110">
        <v>0.14000000000000001</v>
      </c>
      <c r="H1110" t="s">
        <v>57</v>
      </c>
      <c r="I1110">
        <v>0</v>
      </c>
      <c r="J1110" t="str">
        <f>HYPERLINK("https://www.eliteprospects.com/player/418418/bryce-kilbourne")</f>
        <v>https://www.eliteprospects.com/player/418418/bryce-kilbourne</v>
      </c>
      <c r="K1110" t="s">
        <v>27</v>
      </c>
      <c r="L1110" t="s">
        <v>918</v>
      </c>
      <c r="M1110" t="s">
        <v>1296</v>
      </c>
      <c r="N1110">
        <v>3</v>
      </c>
      <c r="O1110" t="s">
        <v>962</v>
      </c>
      <c r="P1110">
        <v>0.02</v>
      </c>
      <c r="Q1110" t="s">
        <v>1488</v>
      </c>
      <c r="R1110">
        <v>0</v>
      </c>
      <c r="S1110">
        <v>0</v>
      </c>
      <c r="T1110">
        <v>0</v>
      </c>
      <c r="U1110">
        <v>0</v>
      </c>
      <c r="V1110">
        <v>0</v>
      </c>
    </row>
    <row r="1111" spans="1:22" x14ac:dyDescent="0.25">
      <c r="A1111" t="s">
        <v>2411</v>
      </c>
      <c r="B1111" t="s">
        <v>991</v>
      </c>
      <c r="C1111">
        <v>15</v>
      </c>
      <c r="D1111" t="s">
        <v>260</v>
      </c>
      <c r="E1111" t="s">
        <v>260</v>
      </c>
      <c r="F1111" t="s">
        <v>79</v>
      </c>
      <c r="G1111">
        <v>0.13</v>
      </c>
      <c r="H1111" t="s">
        <v>79</v>
      </c>
      <c r="I1111">
        <v>0</v>
      </c>
      <c r="J1111" t="str">
        <f>HYPERLINK("https://www.eliteprospects.com/player/581948/mason-chitaroni")</f>
        <v>https://www.eliteprospects.com/player/581948/mason-chitaroni</v>
      </c>
      <c r="K1111" t="s">
        <v>27</v>
      </c>
      <c r="L1111" t="s">
        <v>918</v>
      </c>
      <c r="M1111" t="s">
        <v>1296</v>
      </c>
      <c r="N1111">
        <v>3</v>
      </c>
      <c r="O1111" t="s">
        <v>1119</v>
      </c>
      <c r="P1111">
        <v>0.02</v>
      </c>
      <c r="Q1111" t="s">
        <v>1488</v>
      </c>
      <c r="R1111">
        <v>0</v>
      </c>
      <c r="S1111">
        <v>0</v>
      </c>
      <c r="T1111">
        <v>0</v>
      </c>
      <c r="U1111">
        <v>0</v>
      </c>
      <c r="V1111">
        <v>0</v>
      </c>
    </row>
    <row r="1112" spans="1:22" x14ac:dyDescent="0.25">
      <c r="A1112" t="s">
        <v>2412</v>
      </c>
      <c r="B1112" t="s">
        <v>1005</v>
      </c>
      <c r="C1112">
        <v>16</v>
      </c>
      <c r="D1112" t="s">
        <v>260</v>
      </c>
      <c r="E1112" t="s">
        <v>260</v>
      </c>
      <c r="F1112" t="s">
        <v>79</v>
      </c>
      <c r="G1112">
        <v>0.13</v>
      </c>
      <c r="H1112" t="s">
        <v>26</v>
      </c>
      <c r="I1112">
        <v>0</v>
      </c>
      <c r="J1112" t="str">
        <f>HYPERLINK("https://www.eliteprospects.com/player/317452/alexandre-hogue")</f>
        <v>https://www.eliteprospects.com/player/317452/alexandre-hogue</v>
      </c>
      <c r="K1112" t="s">
        <v>27</v>
      </c>
      <c r="L1112" t="s">
        <v>918</v>
      </c>
      <c r="M1112" t="s">
        <v>1296</v>
      </c>
      <c r="N1112">
        <v>4</v>
      </c>
      <c r="O1112" t="s">
        <v>1006</v>
      </c>
      <c r="P1112">
        <v>0.02</v>
      </c>
      <c r="Q1112" t="s">
        <v>1488</v>
      </c>
      <c r="R1112">
        <v>0</v>
      </c>
      <c r="S1112">
        <v>0</v>
      </c>
      <c r="T1112">
        <v>0</v>
      </c>
      <c r="U1112">
        <v>0</v>
      </c>
      <c r="V1112">
        <v>0</v>
      </c>
    </row>
    <row r="1113" spans="1:22" x14ac:dyDescent="0.25">
      <c r="A1113" t="s">
        <v>2413</v>
      </c>
      <c r="B1113" t="s">
        <v>1118</v>
      </c>
      <c r="C1113">
        <v>18</v>
      </c>
      <c r="D1113" t="s">
        <v>260</v>
      </c>
      <c r="E1113" t="s">
        <v>260</v>
      </c>
      <c r="F1113" t="s">
        <v>79</v>
      </c>
      <c r="G1113">
        <v>0.11</v>
      </c>
      <c r="H1113" t="s">
        <v>79</v>
      </c>
      <c r="I1113">
        <v>-13</v>
      </c>
      <c r="J1113" t="str">
        <f>HYPERLINK("https://www.eliteprospects.com/player/403802/leyton-holoien")</f>
        <v>https://www.eliteprospects.com/player/403802/leyton-holoien</v>
      </c>
      <c r="K1113" t="s">
        <v>27</v>
      </c>
      <c r="L1113" t="s">
        <v>918</v>
      </c>
      <c r="M1113" t="s">
        <v>1296</v>
      </c>
      <c r="N1113">
        <v>2</v>
      </c>
      <c r="O1113" t="s">
        <v>1021</v>
      </c>
      <c r="P1113">
        <v>0.01</v>
      </c>
      <c r="Q1113" t="s">
        <v>1488</v>
      </c>
      <c r="R1113">
        <v>0</v>
      </c>
      <c r="S1113">
        <v>0</v>
      </c>
      <c r="T1113">
        <v>0</v>
      </c>
      <c r="U1113">
        <v>0</v>
      </c>
      <c r="V1113">
        <v>0</v>
      </c>
    </row>
    <row r="1114" spans="1:22" x14ac:dyDescent="0.25">
      <c r="A1114" t="s">
        <v>2414</v>
      </c>
      <c r="B1114" t="s">
        <v>997</v>
      </c>
      <c r="C1114">
        <v>18</v>
      </c>
      <c r="D1114" t="s">
        <v>260</v>
      </c>
      <c r="E1114" t="s">
        <v>260</v>
      </c>
      <c r="F1114" t="s">
        <v>79</v>
      </c>
      <c r="G1114">
        <v>0.11</v>
      </c>
      <c r="H1114" t="s">
        <v>57</v>
      </c>
      <c r="I1114">
        <v>0</v>
      </c>
      <c r="J1114" t="str">
        <f>HYPERLINK("https://www.eliteprospects.com/player/411172/christopher-inniss")</f>
        <v>https://www.eliteprospects.com/player/411172/christopher-inniss</v>
      </c>
      <c r="K1114" t="s">
        <v>27</v>
      </c>
      <c r="L1114" t="s">
        <v>918</v>
      </c>
      <c r="M1114" t="s">
        <v>1296</v>
      </c>
      <c r="N1114">
        <v>6</v>
      </c>
      <c r="O1114" t="s">
        <v>937</v>
      </c>
      <c r="P1114">
        <v>0.01</v>
      </c>
      <c r="Q1114" t="s">
        <v>1488</v>
      </c>
      <c r="R1114">
        <v>0</v>
      </c>
      <c r="S1114">
        <v>0</v>
      </c>
      <c r="T1114">
        <v>0</v>
      </c>
      <c r="U1114">
        <v>0</v>
      </c>
      <c r="V1114">
        <v>0</v>
      </c>
    </row>
    <row r="1115" spans="1:22" x14ac:dyDescent="0.25">
      <c r="A1115" t="s">
        <v>2415</v>
      </c>
      <c r="B1115" t="s">
        <v>942</v>
      </c>
      <c r="C1115">
        <v>18</v>
      </c>
      <c r="D1115" t="s">
        <v>260</v>
      </c>
      <c r="E1115" t="s">
        <v>260</v>
      </c>
      <c r="F1115" t="s">
        <v>79</v>
      </c>
      <c r="G1115">
        <v>0.11</v>
      </c>
      <c r="H1115" t="s">
        <v>39</v>
      </c>
      <c r="I1115">
        <v>0</v>
      </c>
      <c r="J1115" t="str">
        <f>HYPERLINK("https://www.eliteprospects.com/player/418057/liam-ross")</f>
        <v>https://www.eliteprospects.com/player/418057/liam-ross</v>
      </c>
      <c r="K1115" t="s">
        <v>27</v>
      </c>
      <c r="L1115" t="s">
        <v>918</v>
      </c>
      <c r="M1115" t="s">
        <v>1296</v>
      </c>
      <c r="N1115">
        <v>5</v>
      </c>
      <c r="O1115" t="s">
        <v>935</v>
      </c>
      <c r="P1115">
        <v>0.01</v>
      </c>
      <c r="Q1115" t="s">
        <v>1488</v>
      </c>
      <c r="R1115">
        <v>0</v>
      </c>
      <c r="S1115">
        <v>0</v>
      </c>
      <c r="T1115">
        <v>0</v>
      </c>
      <c r="U1115">
        <v>0</v>
      </c>
      <c r="V1115">
        <v>0</v>
      </c>
    </row>
    <row r="1116" spans="1:22" x14ac:dyDescent="0.25">
      <c r="A1116" t="s">
        <v>2416</v>
      </c>
      <c r="B1116" t="s">
        <v>959</v>
      </c>
      <c r="C1116">
        <v>18</v>
      </c>
      <c r="D1116" t="s">
        <v>260</v>
      </c>
      <c r="E1116" t="s">
        <v>260</v>
      </c>
      <c r="F1116" t="s">
        <v>79</v>
      </c>
      <c r="G1116">
        <v>0.11</v>
      </c>
      <c r="H1116" t="s">
        <v>24</v>
      </c>
      <c r="I1116">
        <v>0</v>
      </c>
      <c r="J1116" t="str">
        <f>HYPERLINK("https://www.eliteprospects.com/player/484169/nicolas-pavan")</f>
        <v>https://www.eliteprospects.com/player/484169/nicolas-pavan</v>
      </c>
      <c r="K1116" t="s">
        <v>27</v>
      </c>
      <c r="L1116" t="s">
        <v>918</v>
      </c>
      <c r="M1116" t="s">
        <v>1417</v>
      </c>
      <c r="N1116">
        <v>6</v>
      </c>
      <c r="O1116" t="s">
        <v>921</v>
      </c>
      <c r="P1116">
        <v>0.01</v>
      </c>
      <c r="Q1116" t="s">
        <v>1488</v>
      </c>
      <c r="R1116">
        <v>0</v>
      </c>
      <c r="S1116">
        <v>0</v>
      </c>
      <c r="T1116">
        <v>0</v>
      </c>
      <c r="U1116">
        <v>0</v>
      </c>
      <c r="V1116">
        <v>0</v>
      </c>
    </row>
    <row r="1117" spans="1:22" x14ac:dyDescent="0.25">
      <c r="A1117" t="s">
        <v>2417</v>
      </c>
      <c r="B1117" t="s">
        <v>1011</v>
      </c>
      <c r="C1117">
        <v>18</v>
      </c>
      <c r="D1117" t="s">
        <v>260</v>
      </c>
      <c r="E1117" t="s">
        <v>260</v>
      </c>
      <c r="F1117" t="s">
        <v>79</v>
      </c>
      <c r="G1117">
        <v>0.11</v>
      </c>
      <c r="H1117" t="s">
        <v>84</v>
      </c>
      <c r="I1117">
        <v>-3</v>
      </c>
      <c r="J1117" t="str">
        <f>HYPERLINK("https://www.eliteprospects.com/player/405897/brandon-casey")</f>
        <v>https://www.eliteprospects.com/player/405897/brandon-casey</v>
      </c>
      <c r="K1117" t="s">
        <v>27</v>
      </c>
      <c r="L1117" t="s">
        <v>918</v>
      </c>
      <c r="M1117" t="s">
        <v>1296</v>
      </c>
      <c r="N1117">
        <v>4</v>
      </c>
      <c r="O1117" t="s">
        <v>1192</v>
      </c>
      <c r="P1117">
        <v>0.01</v>
      </c>
      <c r="Q1117" t="s">
        <v>1488</v>
      </c>
      <c r="R1117">
        <v>0</v>
      </c>
      <c r="S1117">
        <v>0</v>
      </c>
      <c r="T1117">
        <v>0</v>
      </c>
      <c r="U1117">
        <v>0</v>
      </c>
      <c r="V1117">
        <v>0</v>
      </c>
    </row>
    <row r="1118" spans="1:22" x14ac:dyDescent="0.25">
      <c r="A1118" t="s">
        <v>2418</v>
      </c>
      <c r="B1118" t="s">
        <v>917</v>
      </c>
      <c r="C1118">
        <v>19</v>
      </c>
      <c r="D1118" t="s">
        <v>260</v>
      </c>
      <c r="E1118" t="s">
        <v>260</v>
      </c>
      <c r="F1118" t="s">
        <v>79</v>
      </c>
      <c r="G1118">
        <v>0.11</v>
      </c>
      <c r="H1118" t="s">
        <v>513</v>
      </c>
      <c r="I1118">
        <v>8</v>
      </c>
      <c r="J1118" t="str">
        <f>HYPERLINK("https://www.eliteprospects.com/player/504298/nolan-dillingham")</f>
        <v>https://www.eliteprospects.com/player/504298/nolan-dillingham</v>
      </c>
      <c r="K1118" t="s">
        <v>27</v>
      </c>
      <c r="L1118" t="s">
        <v>918</v>
      </c>
      <c r="M1118" t="s">
        <v>1296</v>
      </c>
      <c r="N1118">
        <v>6</v>
      </c>
      <c r="O1118" t="s">
        <v>970</v>
      </c>
      <c r="P1118">
        <v>0.01</v>
      </c>
      <c r="Q1118" t="s">
        <v>1488</v>
      </c>
      <c r="R1118">
        <v>0</v>
      </c>
      <c r="S1118">
        <v>0</v>
      </c>
      <c r="T1118">
        <v>0</v>
      </c>
      <c r="U1118">
        <v>0</v>
      </c>
      <c r="V1118">
        <v>0</v>
      </c>
    </row>
    <row r="1119" spans="1:22" x14ac:dyDescent="0.25">
      <c r="A1119" t="s">
        <v>2419</v>
      </c>
      <c r="B1119" t="s">
        <v>1020</v>
      </c>
      <c r="C1119">
        <v>20</v>
      </c>
      <c r="D1119" t="s">
        <v>260</v>
      </c>
      <c r="E1119" t="s">
        <v>260</v>
      </c>
      <c r="F1119" t="s">
        <v>79</v>
      </c>
      <c r="G1119">
        <v>0.1</v>
      </c>
      <c r="H1119" t="s">
        <v>40</v>
      </c>
      <c r="I1119">
        <v>-10</v>
      </c>
      <c r="J1119" t="str">
        <f>HYPERLINK("https://www.eliteprospects.com/player/489303/ricards-landmanis")</f>
        <v>https://www.eliteprospects.com/player/489303/ricards-landmanis</v>
      </c>
      <c r="K1119" t="s">
        <v>27</v>
      </c>
      <c r="L1119" t="s">
        <v>918</v>
      </c>
      <c r="M1119" t="s">
        <v>1296</v>
      </c>
      <c r="N1119">
        <v>2</v>
      </c>
      <c r="O1119" t="s">
        <v>1076</v>
      </c>
      <c r="P1119">
        <v>0.01</v>
      </c>
      <c r="Q1119" t="s">
        <v>1488</v>
      </c>
      <c r="R1119">
        <v>0</v>
      </c>
      <c r="S1119">
        <v>0</v>
      </c>
      <c r="T1119">
        <v>0</v>
      </c>
      <c r="U1119">
        <v>0</v>
      </c>
      <c r="V1119">
        <v>0</v>
      </c>
    </row>
    <row r="1120" spans="1:22" x14ac:dyDescent="0.25">
      <c r="A1120" t="s">
        <v>2420</v>
      </c>
      <c r="B1120" t="s">
        <v>997</v>
      </c>
      <c r="C1120">
        <v>11</v>
      </c>
      <c r="D1120" t="s">
        <v>132</v>
      </c>
      <c r="E1120" t="s">
        <v>79</v>
      </c>
      <c r="F1120" t="s">
        <v>79</v>
      </c>
      <c r="G1120">
        <v>0.18</v>
      </c>
      <c r="H1120" t="s">
        <v>66</v>
      </c>
      <c r="I1120">
        <v>0</v>
      </c>
      <c r="J1120" t="str">
        <f>HYPERLINK("https://www.eliteprospects.com/player/571231/zachary-lessard")</f>
        <v>https://www.eliteprospects.com/player/571231/zachary-lessard</v>
      </c>
      <c r="K1120" t="s">
        <v>27</v>
      </c>
      <c r="L1120" t="s">
        <v>918</v>
      </c>
      <c r="M1120" t="s">
        <v>1296</v>
      </c>
      <c r="N1120">
        <v>5</v>
      </c>
      <c r="O1120" t="s">
        <v>930</v>
      </c>
      <c r="P1120">
        <v>0.02</v>
      </c>
      <c r="Q1120" t="s">
        <v>1488</v>
      </c>
      <c r="R1120">
        <v>0</v>
      </c>
      <c r="S1120">
        <v>0</v>
      </c>
      <c r="T1120">
        <v>0</v>
      </c>
      <c r="U1120">
        <v>0</v>
      </c>
      <c r="V1120">
        <v>0</v>
      </c>
    </row>
    <row r="1121" spans="1:22" x14ac:dyDescent="0.25">
      <c r="A1121" t="s">
        <v>2421</v>
      </c>
      <c r="B1121" t="s">
        <v>929</v>
      </c>
      <c r="C1121">
        <v>13</v>
      </c>
      <c r="D1121" t="s">
        <v>132</v>
      </c>
      <c r="E1121" t="s">
        <v>79</v>
      </c>
      <c r="F1121" t="s">
        <v>79</v>
      </c>
      <c r="G1121">
        <v>0.15</v>
      </c>
      <c r="H1121" t="s">
        <v>79</v>
      </c>
      <c r="I1121">
        <v>-4</v>
      </c>
      <c r="J1121" t="str">
        <f>HYPERLINK("https://www.eliteprospects.com/player/267665/tim-gould")</f>
        <v>https://www.eliteprospects.com/player/267665/tim-gould</v>
      </c>
      <c r="K1121" t="s">
        <v>27</v>
      </c>
      <c r="L1121" t="s">
        <v>918</v>
      </c>
      <c r="M1121" t="s">
        <v>1296</v>
      </c>
      <c r="N1121">
        <v>4</v>
      </c>
      <c r="O1121" t="s">
        <v>2422</v>
      </c>
      <c r="P1121">
        <v>0.02</v>
      </c>
      <c r="Q1121" t="s">
        <v>1488</v>
      </c>
      <c r="R1121">
        <v>0</v>
      </c>
      <c r="S1121">
        <v>0</v>
      </c>
      <c r="T1121">
        <v>0</v>
      </c>
      <c r="U1121">
        <v>0</v>
      </c>
      <c r="V1121">
        <v>0</v>
      </c>
    </row>
    <row r="1122" spans="1:22" x14ac:dyDescent="0.25">
      <c r="A1122" t="s">
        <v>2423</v>
      </c>
      <c r="B1122" t="s">
        <v>1036</v>
      </c>
      <c r="C1122">
        <v>13</v>
      </c>
      <c r="D1122" t="s">
        <v>132</v>
      </c>
      <c r="E1122" t="s">
        <v>79</v>
      </c>
      <c r="F1122" t="s">
        <v>79</v>
      </c>
      <c r="G1122">
        <v>0.15</v>
      </c>
      <c r="H1122" t="s">
        <v>79</v>
      </c>
      <c r="I1122">
        <v>0</v>
      </c>
      <c r="J1122" t="str">
        <f>HYPERLINK("https://www.eliteprospects.com/player/482006/jacob-hoffrogge")</f>
        <v>https://www.eliteprospects.com/player/482006/jacob-hoffrogge</v>
      </c>
      <c r="K1122" t="s">
        <v>27</v>
      </c>
      <c r="L1122" t="s">
        <v>918</v>
      </c>
      <c r="M1122" t="s">
        <v>1296</v>
      </c>
      <c r="N1122">
        <v>5</v>
      </c>
      <c r="O1122" t="s">
        <v>979</v>
      </c>
      <c r="P1122">
        <v>0.02</v>
      </c>
      <c r="Q1122" t="s">
        <v>1488</v>
      </c>
      <c r="R1122">
        <v>0</v>
      </c>
      <c r="S1122">
        <v>0</v>
      </c>
      <c r="T1122">
        <v>0</v>
      </c>
      <c r="U1122">
        <v>0</v>
      </c>
      <c r="V1122">
        <v>0</v>
      </c>
    </row>
    <row r="1123" spans="1:22" x14ac:dyDescent="0.25">
      <c r="A1123" t="s">
        <v>2424</v>
      </c>
      <c r="B1123" t="s">
        <v>1053</v>
      </c>
      <c r="C1123">
        <v>13</v>
      </c>
      <c r="D1123" t="s">
        <v>132</v>
      </c>
      <c r="E1123" t="s">
        <v>79</v>
      </c>
      <c r="F1123" t="s">
        <v>79</v>
      </c>
      <c r="G1123">
        <v>0.15</v>
      </c>
      <c r="H1123" t="s">
        <v>47</v>
      </c>
      <c r="I1123">
        <v>0</v>
      </c>
      <c r="J1123" t="str">
        <f>HYPERLINK("https://www.eliteprospects.com/player/351796/cole-beamin")</f>
        <v>https://www.eliteprospects.com/player/351796/cole-beamin</v>
      </c>
      <c r="K1123" t="s">
        <v>27</v>
      </c>
      <c r="L1123" t="s">
        <v>918</v>
      </c>
      <c r="M1123" t="s">
        <v>1296</v>
      </c>
      <c r="N1123">
        <v>4</v>
      </c>
      <c r="O1123" t="s">
        <v>1004</v>
      </c>
      <c r="P1123">
        <v>0.02</v>
      </c>
      <c r="Q1123" t="s">
        <v>1488</v>
      </c>
      <c r="R1123">
        <v>0</v>
      </c>
      <c r="S1123">
        <v>0</v>
      </c>
      <c r="T1123">
        <v>0</v>
      </c>
      <c r="U1123">
        <v>0</v>
      </c>
      <c r="V1123">
        <v>0</v>
      </c>
    </row>
    <row r="1124" spans="1:22" x14ac:dyDescent="0.25">
      <c r="A1124" t="s">
        <v>2425</v>
      </c>
      <c r="B1124" t="s">
        <v>1020</v>
      </c>
      <c r="C1124">
        <v>13</v>
      </c>
      <c r="D1124" t="s">
        <v>132</v>
      </c>
      <c r="E1124" t="s">
        <v>79</v>
      </c>
      <c r="F1124" t="s">
        <v>79</v>
      </c>
      <c r="G1124">
        <v>0.15</v>
      </c>
      <c r="H1124" t="s">
        <v>25</v>
      </c>
      <c r="I1124">
        <v>-6</v>
      </c>
      <c r="J1124" t="str">
        <f>HYPERLINK("https://www.eliteprospects.com/player/570293/tristan-serrao")</f>
        <v>https://www.eliteprospects.com/player/570293/tristan-serrao</v>
      </c>
      <c r="K1124" t="s">
        <v>27</v>
      </c>
      <c r="L1124" t="s">
        <v>918</v>
      </c>
      <c r="M1124" t="s">
        <v>1296</v>
      </c>
      <c r="N1124">
        <v>1</v>
      </c>
      <c r="O1124" t="s">
        <v>984</v>
      </c>
      <c r="P1124">
        <v>0.02</v>
      </c>
      <c r="Q1124" t="s">
        <v>1488</v>
      </c>
      <c r="R1124">
        <v>0</v>
      </c>
      <c r="S1124">
        <v>0</v>
      </c>
      <c r="T1124">
        <v>0</v>
      </c>
      <c r="U1124">
        <v>0</v>
      </c>
      <c r="V1124">
        <v>0</v>
      </c>
    </row>
    <row r="1125" spans="1:22" x14ac:dyDescent="0.25">
      <c r="A1125" t="s">
        <v>2426</v>
      </c>
      <c r="B1125" t="s">
        <v>917</v>
      </c>
      <c r="C1125">
        <v>14</v>
      </c>
      <c r="D1125" t="s">
        <v>132</v>
      </c>
      <c r="E1125" t="s">
        <v>79</v>
      </c>
      <c r="F1125" t="s">
        <v>79</v>
      </c>
      <c r="G1125">
        <v>0.14000000000000001</v>
      </c>
      <c r="H1125" t="s">
        <v>66</v>
      </c>
      <c r="I1125">
        <v>-3</v>
      </c>
      <c r="J1125" t="str">
        <f>HYPERLINK("https://www.eliteprospects.com/player/472995/luke-vardy")</f>
        <v>https://www.eliteprospects.com/player/472995/luke-vardy</v>
      </c>
      <c r="K1125" t="s">
        <v>27</v>
      </c>
      <c r="L1125" t="s">
        <v>918</v>
      </c>
      <c r="M1125" t="s">
        <v>1296</v>
      </c>
      <c r="N1125">
        <v>1</v>
      </c>
      <c r="O1125" t="s">
        <v>984</v>
      </c>
      <c r="P1125">
        <v>0.02</v>
      </c>
      <c r="Q1125" t="s">
        <v>1488</v>
      </c>
      <c r="R1125">
        <v>0</v>
      </c>
      <c r="S1125">
        <v>0</v>
      </c>
      <c r="T1125">
        <v>0</v>
      </c>
      <c r="U1125">
        <v>0</v>
      </c>
      <c r="V1125">
        <v>0</v>
      </c>
    </row>
    <row r="1126" spans="1:22" x14ac:dyDescent="0.25">
      <c r="A1126" t="s">
        <v>2427</v>
      </c>
      <c r="B1126" t="s">
        <v>1003</v>
      </c>
      <c r="C1126">
        <v>15</v>
      </c>
      <c r="D1126" t="s">
        <v>132</v>
      </c>
      <c r="E1126" t="s">
        <v>79</v>
      </c>
      <c r="F1126" t="s">
        <v>79</v>
      </c>
      <c r="G1126">
        <v>0.13</v>
      </c>
      <c r="H1126" t="s">
        <v>66</v>
      </c>
      <c r="I1126">
        <v>0</v>
      </c>
      <c r="J1126" t="str">
        <f>HYPERLINK("https://www.eliteprospects.com/player/726313/nolan-ling")</f>
        <v>https://www.eliteprospects.com/player/726313/nolan-ling</v>
      </c>
      <c r="K1126" t="s">
        <v>27</v>
      </c>
      <c r="L1126" t="s">
        <v>918</v>
      </c>
      <c r="M1126" t="s">
        <v>1296</v>
      </c>
      <c r="N1126">
        <v>4</v>
      </c>
      <c r="O1126" t="s">
        <v>2428</v>
      </c>
      <c r="P1126">
        <v>0.02</v>
      </c>
      <c r="Q1126" t="s">
        <v>1488</v>
      </c>
      <c r="R1126">
        <v>0</v>
      </c>
      <c r="S1126">
        <v>0</v>
      </c>
      <c r="T1126">
        <v>0</v>
      </c>
      <c r="U1126">
        <v>0</v>
      </c>
      <c r="V1126">
        <v>0</v>
      </c>
    </row>
    <row r="1127" spans="1:22" x14ac:dyDescent="0.25">
      <c r="A1127" t="s">
        <v>2429</v>
      </c>
      <c r="B1127" t="s">
        <v>926</v>
      </c>
      <c r="C1127">
        <v>15</v>
      </c>
      <c r="D1127" t="s">
        <v>132</v>
      </c>
      <c r="E1127" t="s">
        <v>79</v>
      </c>
      <c r="F1127" t="s">
        <v>79</v>
      </c>
      <c r="G1127">
        <v>0.13</v>
      </c>
      <c r="H1127" t="s">
        <v>23</v>
      </c>
      <c r="I1127">
        <v>13</v>
      </c>
      <c r="J1127" t="str">
        <f>HYPERLINK("https://www.eliteprospects.com/player/351088/jonny-lambos")</f>
        <v>https://www.eliteprospects.com/player/351088/jonny-lambos</v>
      </c>
      <c r="K1127" t="s">
        <v>27</v>
      </c>
      <c r="L1127" t="s">
        <v>918</v>
      </c>
      <c r="M1127" t="s">
        <v>1296</v>
      </c>
      <c r="N1127">
        <v>6</v>
      </c>
      <c r="O1127" t="s">
        <v>927</v>
      </c>
      <c r="P1127">
        <v>0.02</v>
      </c>
      <c r="Q1127" t="s">
        <v>1488</v>
      </c>
      <c r="R1127">
        <v>0</v>
      </c>
      <c r="S1127">
        <v>0</v>
      </c>
      <c r="T1127">
        <v>0</v>
      </c>
      <c r="U1127">
        <v>0</v>
      </c>
      <c r="V1127">
        <v>0</v>
      </c>
    </row>
    <row r="1128" spans="1:22" x14ac:dyDescent="0.25">
      <c r="A1128" t="s">
        <v>2430</v>
      </c>
      <c r="B1128" t="s">
        <v>1005</v>
      </c>
      <c r="C1128">
        <v>15</v>
      </c>
      <c r="D1128" t="s">
        <v>132</v>
      </c>
      <c r="E1128" t="s">
        <v>79</v>
      </c>
      <c r="F1128" t="s">
        <v>79</v>
      </c>
      <c r="G1128">
        <v>0.13</v>
      </c>
      <c r="H1128" t="s">
        <v>178</v>
      </c>
      <c r="I1128">
        <v>0</v>
      </c>
      <c r="J1128" t="str">
        <f>HYPERLINK("https://www.eliteprospects.com/player/408779/andrew-hunt")</f>
        <v>https://www.eliteprospects.com/player/408779/andrew-hunt</v>
      </c>
      <c r="K1128" t="s">
        <v>27</v>
      </c>
      <c r="L1128" t="s">
        <v>918</v>
      </c>
      <c r="M1128" t="s">
        <v>1296</v>
      </c>
      <c r="N1128">
        <v>4</v>
      </c>
      <c r="O1128" t="s">
        <v>940</v>
      </c>
      <c r="P1128">
        <v>0.02</v>
      </c>
      <c r="Q1128" t="s">
        <v>1488</v>
      </c>
      <c r="R1128">
        <v>0</v>
      </c>
      <c r="S1128">
        <v>0</v>
      </c>
      <c r="T1128">
        <v>0</v>
      </c>
      <c r="U1128">
        <v>0</v>
      </c>
      <c r="V1128">
        <v>0</v>
      </c>
    </row>
    <row r="1129" spans="1:22" x14ac:dyDescent="0.25">
      <c r="A1129" t="s">
        <v>2431</v>
      </c>
      <c r="B1129" t="s">
        <v>977</v>
      </c>
      <c r="C1129">
        <v>16</v>
      </c>
      <c r="D1129" t="s">
        <v>132</v>
      </c>
      <c r="E1129" t="s">
        <v>79</v>
      </c>
      <c r="F1129" t="s">
        <v>79</v>
      </c>
      <c r="G1129">
        <v>0.13</v>
      </c>
      <c r="H1129" t="s">
        <v>132</v>
      </c>
      <c r="I1129">
        <v>0</v>
      </c>
      <c r="J1129" t="str">
        <f>HYPERLINK("https://www.eliteprospects.com/player/526071/sam-grabner")</f>
        <v>https://www.eliteprospects.com/player/526071/sam-grabner</v>
      </c>
      <c r="K1129" t="s">
        <v>27</v>
      </c>
      <c r="L1129" t="s">
        <v>918</v>
      </c>
      <c r="M1129" t="s">
        <v>1296</v>
      </c>
      <c r="N1129">
        <v>1</v>
      </c>
      <c r="O1129" t="s">
        <v>984</v>
      </c>
      <c r="P1129">
        <v>0.02</v>
      </c>
      <c r="Q1129" t="s">
        <v>1488</v>
      </c>
      <c r="R1129">
        <v>0</v>
      </c>
      <c r="S1129">
        <v>0</v>
      </c>
      <c r="T1129">
        <v>0</v>
      </c>
      <c r="U1129">
        <v>0</v>
      </c>
      <c r="V1129">
        <v>0</v>
      </c>
    </row>
    <row r="1130" spans="1:22" x14ac:dyDescent="0.25">
      <c r="A1130" t="s">
        <v>2432</v>
      </c>
      <c r="B1130" t="s">
        <v>998</v>
      </c>
      <c r="C1130">
        <v>16</v>
      </c>
      <c r="D1130" t="s">
        <v>132</v>
      </c>
      <c r="E1130" t="s">
        <v>79</v>
      </c>
      <c r="F1130" t="s">
        <v>79</v>
      </c>
      <c r="G1130">
        <v>0.13</v>
      </c>
      <c r="H1130" t="s">
        <v>26</v>
      </c>
      <c r="I1130">
        <v>0</v>
      </c>
      <c r="J1130" t="str">
        <f>HYPERLINK("https://www.eliteprospects.com/player/503982/nathan-ribau")</f>
        <v>https://www.eliteprospects.com/player/503982/nathan-ribau</v>
      </c>
      <c r="K1130" t="s">
        <v>27</v>
      </c>
      <c r="L1130" t="s">
        <v>918</v>
      </c>
      <c r="M1130" t="s">
        <v>1296</v>
      </c>
      <c r="N1130">
        <v>7</v>
      </c>
      <c r="O1130" t="s">
        <v>919</v>
      </c>
      <c r="P1130">
        <v>0.02</v>
      </c>
      <c r="Q1130" t="s">
        <v>1488</v>
      </c>
      <c r="R1130">
        <v>0</v>
      </c>
      <c r="S1130">
        <v>0</v>
      </c>
      <c r="T1130">
        <v>0</v>
      </c>
      <c r="U1130">
        <v>0</v>
      </c>
      <c r="V1130">
        <v>0</v>
      </c>
    </row>
    <row r="1131" spans="1:22" x14ac:dyDescent="0.25">
      <c r="A1131" t="s">
        <v>2433</v>
      </c>
      <c r="B1131" t="s">
        <v>959</v>
      </c>
      <c r="C1131">
        <v>16</v>
      </c>
      <c r="D1131" t="s">
        <v>132</v>
      </c>
      <c r="E1131" t="s">
        <v>79</v>
      </c>
      <c r="F1131" t="s">
        <v>79</v>
      </c>
      <c r="G1131">
        <v>0.13</v>
      </c>
      <c r="H1131" t="s">
        <v>55</v>
      </c>
      <c r="I1131">
        <v>0</v>
      </c>
      <c r="J1131" t="str">
        <f>HYPERLINK("https://www.eliteprospects.com/player/648905/samuel-kingsley")</f>
        <v>https://www.eliteprospects.com/player/648905/samuel-kingsley</v>
      </c>
      <c r="K1131" t="s">
        <v>27</v>
      </c>
      <c r="L1131" t="s">
        <v>918</v>
      </c>
      <c r="M1131" t="s">
        <v>1296</v>
      </c>
      <c r="N1131">
        <v>4</v>
      </c>
      <c r="O1131" t="s">
        <v>1051</v>
      </c>
      <c r="P1131">
        <v>0.02</v>
      </c>
      <c r="Q1131" t="s">
        <v>1488</v>
      </c>
      <c r="R1131">
        <v>0</v>
      </c>
      <c r="S1131">
        <v>0</v>
      </c>
      <c r="T1131">
        <v>0</v>
      </c>
      <c r="U1131">
        <v>0</v>
      </c>
      <c r="V1131">
        <v>0</v>
      </c>
    </row>
    <row r="1132" spans="1:22" x14ac:dyDescent="0.25">
      <c r="A1132" t="s">
        <v>2434</v>
      </c>
      <c r="B1132" t="s">
        <v>1049</v>
      </c>
      <c r="C1132">
        <v>17</v>
      </c>
      <c r="D1132" t="s">
        <v>132</v>
      </c>
      <c r="E1132" t="s">
        <v>79</v>
      </c>
      <c r="F1132" t="s">
        <v>79</v>
      </c>
      <c r="G1132">
        <v>0.12</v>
      </c>
      <c r="H1132" t="s">
        <v>39</v>
      </c>
      <c r="I1132">
        <v>-4</v>
      </c>
      <c r="J1132" t="str">
        <f>HYPERLINK("https://www.eliteprospects.com/player/565740/tanner-willick")</f>
        <v>https://www.eliteprospects.com/player/565740/tanner-willick</v>
      </c>
      <c r="K1132" t="s">
        <v>27</v>
      </c>
      <c r="L1132" t="s">
        <v>918</v>
      </c>
      <c r="M1132" t="s">
        <v>1296</v>
      </c>
      <c r="N1132">
        <v>2</v>
      </c>
      <c r="O1132" t="s">
        <v>1076</v>
      </c>
      <c r="P1132">
        <v>0.02</v>
      </c>
      <c r="Q1132" t="s">
        <v>1488</v>
      </c>
      <c r="R1132">
        <v>0</v>
      </c>
      <c r="S1132">
        <v>0</v>
      </c>
      <c r="T1132">
        <v>0</v>
      </c>
      <c r="U1132">
        <v>0</v>
      </c>
      <c r="V1132">
        <v>0</v>
      </c>
    </row>
    <row r="1133" spans="1:22" x14ac:dyDescent="0.25">
      <c r="A1133" t="s">
        <v>2435</v>
      </c>
      <c r="B1133" t="s">
        <v>1084</v>
      </c>
      <c r="C1133">
        <v>18</v>
      </c>
      <c r="D1133" t="s">
        <v>132</v>
      </c>
      <c r="E1133" t="s">
        <v>79</v>
      </c>
      <c r="F1133" t="s">
        <v>79</v>
      </c>
      <c r="G1133">
        <v>0.11</v>
      </c>
      <c r="H1133" t="s">
        <v>26</v>
      </c>
      <c r="I1133">
        <v>0</v>
      </c>
      <c r="J1133" t="str">
        <f>HYPERLINK("https://www.eliteprospects.com/player/336777/devin-pimm")</f>
        <v>https://www.eliteprospects.com/player/336777/devin-pimm</v>
      </c>
      <c r="K1133" t="s">
        <v>27</v>
      </c>
      <c r="L1133" t="s">
        <v>918</v>
      </c>
      <c r="M1133" t="s">
        <v>1296</v>
      </c>
      <c r="N1133">
        <v>3</v>
      </c>
      <c r="O1133" t="s">
        <v>962</v>
      </c>
      <c r="P1133">
        <v>0.01</v>
      </c>
      <c r="Q1133" t="s">
        <v>1488</v>
      </c>
      <c r="R1133">
        <v>0</v>
      </c>
      <c r="S1133">
        <v>0</v>
      </c>
      <c r="T1133">
        <v>0</v>
      </c>
      <c r="U1133">
        <v>0</v>
      </c>
      <c r="V1133">
        <v>0</v>
      </c>
    </row>
    <row r="1134" spans="1:22" x14ac:dyDescent="0.25">
      <c r="A1134" t="s">
        <v>2436</v>
      </c>
      <c r="B1134" t="s">
        <v>944</v>
      </c>
      <c r="C1134">
        <v>18</v>
      </c>
      <c r="D1134" t="s">
        <v>132</v>
      </c>
      <c r="E1134" t="s">
        <v>79</v>
      </c>
      <c r="F1134" t="s">
        <v>79</v>
      </c>
      <c r="G1134">
        <v>0.11</v>
      </c>
      <c r="H1134" t="s">
        <v>47</v>
      </c>
      <c r="I1134">
        <v>2</v>
      </c>
      <c r="J1134" t="str">
        <f>HYPERLINK("https://www.eliteprospects.com/player/419302/marc-antoine-mercier")</f>
        <v>https://www.eliteprospects.com/player/419302/marc-antoine-mercier</v>
      </c>
      <c r="K1134" t="s">
        <v>27</v>
      </c>
      <c r="L1134" t="s">
        <v>918</v>
      </c>
      <c r="M1134" t="s">
        <v>1296</v>
      </c>
      <c r="N1134">
        <v>5</v>
      </c>
      <c r="O1134" t="s">
        <v>1094</v>
      </c>
      <c r="P1134">
        <v>0.01</v>
      </c>
      <c r="Q1134" t="s">
        <v>1488</v>
      </c>
      <c r="R1134">
        <v>0</v>
      </c>
      <c r="S1134">
        <v>0</v>
      </c>
      <c r="T1134">
        <v>0</v>
      </c>
      <c r="U1134">
        <v>0</v>
      </c>
      <c r="V1134">
        <v>0</v>
      </c>
    </row>
    <row r="1135" spans="1:22" x14ac:dyDescent="0.25">
      <c r="A1135" t="s">
        <v>2437</v>
      </c>
      <c r="B1135" t="s">
        <v>1084</v>
      </c>
      <c r="C1135">
        <v>19</v>
      </c>
      <c r="D1135" t="s">
        <v>132</v>
      </c>
      <c r="E1135" t="s">
        <v>79</v>
      </c>
      <c r="F1135" t="s">
        <v>79</v>
      </c>
      <c r="G1135">
        <v>0.11</v>
      </c>
      <c r="H1135" t="s">
        <v>79</v>
      </c>
      <c r="I1135">
        <v>0</v>
      </c>
      <c r="J1135" t="str">
        <f>HYPERLINK("https://www.eliteprospects.com/player/317488/bruce-coltart")</f>
        <v>https://www.eliteprospects.com/player/317488/bruce-coltart</v>
      </c>
      <c r="K1135" t="s">
        <v>27</v>
      </c>
      <c r="L1135" t="s">
        <v>918</v>
      </c>
      <c r="M1135" t="s">
        <v>1296</v>
      </c>
      <c r="N1135">
        <v>3</v>
      </c>
      <c r="O1135" t="s">
        <v>962</v>
      </c>
      <c r="P1135">
        <v>0.01</v>
      </c>
      <c r="Q1135" t="s">
        <v>1488</v>
      </c>
      <c r="R1135">
        <v>0</v>
      </c>
      <c r="S1135">
        <v>0</v>
      </c>
      <c r="T1135">
        <v>0</v>
      </c>
      <c r="U1135">
        <v>0</v>
      </c>
      <c r="V1135">
        <v>0</v>
      </c>
    </row>
    <row r="1136" spans="1:22" x14ac:dyDescent="0.25">
      <c r="A1136" t="s">
        <v>2438</v>
      </c>
      <c r="B1136" t="s">
        <v>966</v>
      </c>
      <c r="C1136">
        <v>10</v>
      </c>
      <c r="D1136" t="s">
        <v>260</v>
      </c>
      <c r="E1136" t="s">
        <v>132</v>
      </c>
      <c r="F1136" t="s">
        <v>260</v>
      </c>
      <c r="G1136">
        <v>0.1</v>
      </c>
      <c r="H1136" t="s">
        <v>79</v>
      </c>
      <c r="I1136">
        <v>3</v>
      </c>
      <c r="J1136" t="str">
        <f>HYPERLINK("https://www.eliteprospects.com/player/516637/jordan-grill")</f>
        <v>https://www.eliteprospects.com/player/516637/jordan-grill</v>
      </c>
      <c r="K1136" t="s">
        <v>27</v>
      </c>
      <c r="L1136" t="s">
        <v>918</v>
      </c>
      <c r="M1136" t="s">
        <v>1296</v>
      </c>
      <c r="N1136">
        <v>1</v>
      </c>
      <c r="O1136" t="s">
        <v>984</v>
      </c>
      <c r="P1136">
        <v>0.01</v>
      </c>
      <c r="Q1136" t="s">
        <v>1488</v>
      </c>
      <c r="R1136">
        <v>0</v>
      </c>
      <c r="S1136">
        <v>0</v>
      </c>
      <c r="T1136">
        <v>0</v>
      </c>
      <c r="U1136">
        <v>0</v>
      </c>
      <c r="V1136">
        <v>0</v>
      </c>
    </row>
    <row r="1137" spans="1:22" x14ac:dyDescent="0.25">
      <c r="A1137" t="s">
        <v>2439</v>
      </c>
      <c r="B1137" t="s">
        <v>961</v>
      </c>
      <c r="C1137">
        <v>10</v>
      </c>
      <c r="D1137" t="s">
        <v>260</v>
      </c>
      <c r="E1137" t="s">
        <v>132</v>
      </c>
      <c r="F1137" t="s">
        <v>260</v>
      </c>
      <c r="G1137">
        <v>0.1</v>
      </c>
      <c r="H1137" t="s">
        <v>66</v>
      </c>
      <c r="I1137">
        <v>0</v>
      </c>
      <c r="J1137" t="str">
        <f>HYPERLINK("https://www.eliteprospects.com/player/418343/samuel-willits")</f>
        <v>https://www.eliteprospects.com/player/418343/samuel-willits</v>
      </c>
      <c r="K1137" t="s">
        <v>27</v>
      </c>
      <c r="L1137" t="s">
        <v>918</v>
      </c>
      <c r="M1137" t="s">
        <v>1296</v>
      </c>
      <c r="N1137">
        <v>3</v>
      </c>
      <c r="O1137" t="s">
        <v>962</v>
      </c>
      <c r="P1137">
        <v>0.01</v>
      </c>
      <c r="Q1137" t="s">
        <v>1488</v>
      </c>
      <c r="R1137">
        <v>0</v>
      </c>
      <c r="S1137">
        <v>0</v>
      </c>
      <c r="T1137">
        <v>0</v>
      </c>
      <c r="U1137">
        <v>0</v>
      </c>
      <c r="V1137">
        <v>0</v>
      </c>
    </row>
    <row r="1138" spans="1:22" x14ac:dyDescent="0.25">
      <c r="A1138" t="s">
        <v>2440</v>
      </c>
      <c r="B1138" t="s">
        <v>1032</v>
      </c>
      <c r="C1138">
        <v>10</v>
      </c>
      <c r="D1138" t="s">
        <v>260</v>
      </c>
      <c r="E1138" t="s">
        <v>132</v>
      </c>
      <c r="F1138" t="s">
        <v>260</v>
      </c>
      <c r="G1138">
        <v>0.1</v>
      </c>
      <c r="H1138" t="s">
        <v>23</v>
      </c>
      <c r="I1138">
        <v>0</v>
      </c>
      <c r="J1138" t="str">
        <f>HYPERLINK("https://www.eliteprospects.com/player/881775/brayden-velliaris")</f>
        <v>https://www.eliteprospects.com/player/881775/brayden-velliaris</v>
      </c>
      <c r="K1138" t="s">
        <v>27</v>
      </c>
      <c r="L1138" t="s">
        <v>918</v>
      </c>
      <c r="M1138" t="s">
        <v>1296</v>
      </c>
      <c r="N1138">
        <v>3</v>
      </c>
      <c r="O1138" t="s">
        <v>1211</v>
      </c>
      <c r="P1138">
        <v>0.01</v>
      </c>
      <c r="Q1138" t="s">
        <v>1488</v>
      </c>
      <c r="R1138">
        <v>0</v>
      </c>
      <c r="S1138">
        <v>0</v>
      </c>
      <c r="T1138">
        <v>0</v>
      </c>
      <c r="U1138">
        <v>0</v>
      </c>
      <c r="V1138">
        <v>0</v>
      </c>
    </row>
    <row r="1139" spans="1:22" x14ac:dyDescent="0.25">
      <c r="A1139" t="s">
        <v>2441</v>
      </c>
      <c r="B1139" t="s">
        <v>1118</v>
      </c>
      <c r="C1139">
        <v>16</v>
      </c>
      <c r="D1139" t="s">
        <v>260</v>
      </c>
      <c r="E1139" t="s">
        <v>132</v>
      </c>
      <c r="F1139" t="s">
        <v>260</v>
      </c>
      <c r="G1139">
        <v>0.06</v>
      </c>
      <c r="H1139" t="s">
        <v>23</v>
      </c>
      <c r="I1139">
        <v>-12</v>
      </c>
      <c r="J1139" t="str">
        <f>HYPERLINK("https://www.eliteprospects.com/player/482790/ashton-fishley")</f>
        <v>https://www.eliteprospects.com/player/482790/ashton-fishley</v>
      </c>
      <c r="K1139" t="s">
        <v>27</v>
      </c>
      <c r="L1139" t="s">
        <v>918</v>
      </c>
      <c r="M1139" t="s">
        <v>1296</v>
      </c>
      <c r="N1139">
        <v>1</v>
      </c>
      <c r="O1139" t="s">
        <v>984</v>
      </c>
      <c r="P1139">
        <v>0.01</v>
      </c>
      <c r="Q1139" t="s">
        <v>1488</v>
      </c>
      <c r="R1139">
        <v>0</v>
      </c>
      <c r="S1139">
        <v>0</v>
      </c>
      <c r="T1139">
        <v>0</v>
      </c>
      <c r="U1139">
        <v>0</v>
      </c>
      <c r="V1139">
        <v>0</v>
      </c>
    </row>
    <row r="1140" spans="1:22" x14ac:dyDescent="0.25">
      <c r="A1140" t="s">
        <v>2442</v>
      </c>
      <c r="B1140" t="s">
        <v>998</v>
      </c>
      <c r="C1140">
        <v>10</v>
      </c>
      <c r="D1140" t="s">
        <v>132</v>
      </c>
      <c r="E1140" t="s">
        <v>260</v>
      </c>
      <c r="F1140" t="s">
        <v>260</v>
      </c>
      <c r="G1140">
        <v>0.1</v>
      </c>
      <c r="H1140" t="s">
        <v>66</v>
      </c>
      <c r="I1140">
        <v>0</v>
      </c>
      <c r="J1140" t="str">
        <f>HYPERLINK("https://www.eliteprospects.com/player/485348/ethan-peters")</f>
        <v>https://www.eliteprospects.com/player/485348/ethan-peters</v>
      </c>
      <c r="K1140" t="s">
        <v>27</v>
      </c>
      <c r="L1140" t="s">
        <v>918</v>
      </c>
      <c r="M1140" t="s">
        <v>1296</v>
      </c>
      <c r="N1140">
        <v>5</v>
      </c>
      <c r="O1140" t="s">
        <v>979</v>
      </c>
      <c r="P1140">
        <v>0.01</v>
      </c>
      <c r="Q1140" t="s">
        <v>1488</v>
      </c>
      <c r="R1140">
        <v>0</v>
      </c>
      <c r="S1140">
        <v>0</v>
      </c>
      <c r="T1140">
        <v>0</v>
      </c>
      <c r="U1140">
        <v>0</v>
      </c>
      <c r="V1140">
        <v>0</v>
      </c>
    </row>
    <row r="1141" spans="1:22" x14ac:dyDescent="0.25">
      <c r="A1141" t="s">
        <v>2443</v>
      </c>
      <c r="B1141" t="s">
        <v>934</v>
      </c>
      <c r="C1141">
        <v>11</v>
      </c>
      <c r="D1141" t="s">
        <v>132</v>
      </c>
      <c r="E1141" t="s">
        <v>260</v>
      </c>
      <c r="F1141" t="s">
        <v>260</v>
      </c>
      <c r="G1141">
        <v>0.09</v>
      </c>
      <c r="H1141" t="s">
        <v>57</v>
      </c>
      <c r="I1141">
        <v>0</v>
      </c>
      <c r="J1141" t="str">
        <f>HYPERLINK("https://www.eliteprospects.com/player/649403/roberto-mancini")</f>
        <v>https://www.eliteprospects.com/player/649403/roberto-mancini</v>
      </c>
      <c r="K1141" t="s">
        <v>27</v>
      </c>
      <c r="L1141" t="s">
        <v>918</v>
      </c>
      <c r="M1141" t="s">
        <v>1296</v>
      </c>
      <c r="N1141">
        <v>7</v>
      </c>
      <c r="O1141" t="s">
        <v>948</v>
      </c>
      <c r="P1141">
        <v>0.01</v>
      </c>
      <c r="Q1141" t="s">
        <v>1488</v>
      </c>
      <c r="R1141">
        <v>0</v>
      </c>
      <c r="S1141">
        <v>0</v>
      </c>
      <c r="T1141">
        <v>0</v>
      </c>
      <c r="U1141">
        <v>0</v>
      </c>
      <c r="V1141">
        <v>0</v>
      </c>
    </row>
    <row r="1142" spans="1:22" x14ac:dyDescent="0.25">
      <c r="A1142" t="s">
        <v>2444</v>
      </c>
      <c r="B1142" t="s">
        <v>939</v>
      </c>
      <c r="C1142">
        <v>12</v>
      </c>
      <c r="D1142" t="s">
        <v>132</v>
      </c>
      <c r="E1142" t="s">
        <v>260</v>
      </c>
      <c r="F1142" t="s">
        <v>260</v>
      </c>
      <c r="G1142">
        <v>0.08</v>
      </c>
      <c r="H1142" t="s">
        <v>79</v>
      </c>
      <c r="I1142">
        <v>-4</v>
      </c>
      <c r="J1142" t="str">
        <f>HYPERLINK("https://www.eliteprospects.com/player/287452/ethan-regnier")</f>
        <v>https://www.eliteprospects.com/player/287452/ethan-regnier</v>
      </c>
      <c r="K1142" t="s">
        <v>27</v>
      </c>
      <c r="L1142" t="s">
        <v>918</v>
      </c>
      <c r="M1142" t="s">
        <v>1546</v>
      </c>
      <c r="N1142">
        <v>5</v>
      </c>
      <c r="O1142" t="s">
        <v>1107</v>
      </c>
      <c r="P1142">
        <v>0.01</v>
      </c>
      <c r="Q1142" t="s">
        <v>1488</v>
      </c>
      <c r="R1142">
        <v>0</v>
      </c>
      <c r="S1142">
        <v>0</v>
      </c>
      <c r="T1142">
        <v>0</v>
      </c>
      <c r="U1142">
        <v>0</v>
      </c>
      <c r="V1142">
        <v>0</v>
      </c>
    </row>
    <row r="1143" spans="1:22" x14ac:dyDescent="0.25">
      <c r="A1143" t="s">
        <v>2445</v>
      </c>
      <c r="B1143" t="s">
        <v>957</v>
      </c>
      <c r="C1143">
        <v>12</v>
      </c>
      <c r="D1143" t="s">
        <v>132</v>
      </c>
      <c r="E1143" t="s">
        <v>260</v>
      </c>
      <c r="F1143" t="s">
        <v>260</v>
      </c>
      <c r="G1143">
        <v>0.08</v>
      </c>
      <c r="H1143" t="s">
        <v>79</v>
      </c>
      <c r="I1143">
        <v>2</v>
      </c>
      <c r="J1143" t="str">
        <f>HYPERLINK("https://www.eliteprospects.com/player/575016/dylan-bidyk")</f>
        <v>https://www.eliteprospects.com/player/575016/dylan-bidyk</v>
      </c>
      <c r="K1143" t="s">
        <v>27</v>
      </c>
      <c r="L1143" t="s">
        <v>918</v>
      </c>
      <c r="M1143" t="s">
        <v>1296</v>
      </c>
      <c r="N1143">
        <v>1</v>
      </c>
      <c r="O1143" t="s">
        <v>984</v>
      </c>
      <c r="P1143">
        <v>0.01</v>
      </c>
      <c r="Q1143" t="s">
        <v>1488</v>
      </c>
      <c r="R1143">
        <v>0</v>
      </c>
      <c r="S1143">
        <v>0</v>
      </c>
      <c r="T1143">
        <v>0</v>
      </c>
      <c r="U1143">
        <v>0</v>
      </c>
      <c r="V1143">
        <v>0</v>
      </c>
    </row>
    <row r="1144" spans="1:22" x14ac:dyDescent="0.25">
      <c r="A1144" t="s">
        <v>2446</v>
      </c>
      <c r="B1144" t="s">
        <v>1118</v>
      </c>
      <c r="C1144">
        <v>12</v>
      </c>
      <c r="D1144" t="s">
        <v>132</v>
      </c>
      <c r="E1144" t="s">
        <v>260</v>
      </c>
      <c r="F1144" t="s">
        <v>260</v>
      </c>
      <c r="G1144">
        <v>0.08</v>
      </c>
      <c r="H1144" t="s">
        <v>26</v>
      </c>
      <c r="I1144">
        <v>-14</v>
      </c>
      <c r="J1144" t="str">
        <f>HYPERLINK("https://www.eliteprospects.com/player/560989/jaren-brinson")</f>
        <v>https://www.eliteprospects.com/player/560989/jaren-brinson</v>
      </c>
      <c r="K1144" t="s">
        <v>27</v>
      </c>
      <c r="L1144" t="s">
        <v>918</v>
      </c>
      <c r="M1144" t="s">
        <v>1296</v>
      </c>
      <c r="N1144">
        <v>5</v>
      </c>
      <c r="O1144" t="s">
        <v>979</v>
      </c>
      <c r="P1144">
        <v>0.01</v>
      </c>
      <c r="Q1144" t="s">
        <v>1488</v>
      </c>
      <c r="R1144">
        <v>0</v>
      </c>
      <c r="S1144">
        <v>0</v>
      </c>
      <c r="T1144">
        <v>0</v>
      </c>
      <c r="U1144">
        <v>0</v>
      </c>
      <c r="V1144">
        <v>0</v>
      </c>
    </row>
    <row r="1145" spans="1:22" x14ac:dyDescent="0.25">
      <c r="A1145" t="s">
        <v>2447</v>
      </c>
      <c r="B1145" t="s">
        <v>1001</v>
      </c>
      <c r="C1145">
        <v>12</v>
      </c>
      <c r="D1145" t="s">
        <v>132</v>
      </c>
      <c r="E1145" t="s">
        <v>260</v>
      </c>
      <c r="F1145" t="s">
        <v>260</v>
      </c>
      <c r="G1145">
        <v>0.08</v>
      </c>
      <c r="H1145" t="s">
        <v>513</v>
      </c>
      <c r="I1145">
        <v>-12</v>
      </c>
      <c r="J1145" t="str">
        <f>HYPERLINK("https://www.eliteprospects.com/player/569196/liam-rodman")</f>
        <v>https://www.eliteprospects.com/player/569196/liam-rodman</v>
      </c>
      <c r="K1145" t="s">
        <v>27</v>
      </c>
      <c r="L1145" t="s">
        <v>918</v>
      </c>
      <c r="M1145" t="s">
        <v>1296</v>
      </c>
      <c r="N1145">
        <v>1</v>
      </c>
      <c r="O1145" t="s">
        <v>984</v>
      </c>
      <c r="P1145">
        <v>0.01</v>
      </c>
      <c r="Q1145" t="s">
        <v>1488</v>
      </c>
      <c r="R1145">
        <v>0</v>
      </c>
      <c r="S1145">
        <v>0</v>
      </c>
      <c r="T1145">
        <v>0</v>
      </c>
      <c r="U1145">
        <v>0</v>
      </c>
      <c r="V1145">
        <v>0</v>
      </c>
    </row>
    <row r="1146" spans="1:22" x14ac:dyDescent="0.25">
      <c r="A1146" t="s">
        <v>2448</v>
      </c>
      <c r="B1146" t="s">
        <v>1038</v>
      </c>
      <c r="C1146">
        <v>13</v>
      </c>
      <c r="D1146" t="s">
        <v>132</v>
      </c>
      <c r="E1146" t="s">
        <v>260</v>
      </c>
      <c r="F1146" t="s">
        <v>260</v>
      </c>
      <c r="G1146">
        <v>0.08</v>
      </c>
      <c r="H1146" t="s">
        <v>66</v>
      </c>
      <c r="I1146">
        <v>0</v>
      </c>
      <c r="J1146" t="str">
        <f>HYPERLINK("https://www.eliteprospects.com/player/651971/ethan-mcfarland")</f>
        <v>https://www.eliteprospects.com/player/651971/ethan-mcfarland</v>
      </c>
      <c r="K1146" t="s">
        <v>27</v>
      </c>
      <c r="L1146" t="s">
        <v>918</v>
      </c>
      <c r="M1146" t="s">
        <v>1296</v>
      </c>
      <c r="N1146">
        <v>1</v>
      </c>
      <c r="O1146" t="s">
        <v>984</v>
      </c>
      <c r="P1146">
        <v>0.01</v>
      </c>
      <c r="Q1146" t="s">
        <v>1488</v>
      </c>
      <c r="R1146">
        <v>0</v>
      </c>
      <c r="S1146">
        <v>0</v>
      </c>
      <c r="T1146">
        <v>0</v>
      </c>
      <c r="U1146">
        <v>0</v>
      </c>
      <c r="V1146">
        <v>0</v>
      </c>
    </row>
    <row r="1147" spans="1:22" x14ac:dyDescent="0.25">
      <c r="A1147" t="s">
        <v>2449</v>
      </c>
      <c r="B1147" t="s">
        <v>947</v>
      </c>
      <c r="C1147">
        <v>13</v>
      </c>
      <c r="D1147" t="s">
        <v>132</v>
      </c>
      <c r="E1147" t="s">
        <v>260</v>
      </c>
      <c r="F1147" t="s">
        <v>260</v>
      </c>
      <c r="G1147">
        <v>0.08</v>
      </c>
      <c r="H1147" t="s">
        <v>38</v>
      </c>
      <c r="I1147">
        <v>0</v>
      </c>
      <c r="J1147" t="str">
        <f>HYPERLINK("https://www.eliteprospects.com/player/506437/ethan-casper")</f>
        <v>https://www.eliteprospects.com/player/506437/ethan-casper</v>
      </c>
      <c r="K1147" t="s">
        <v>27</v>
      </c>
      <c r="L1147" t="s">
        <v>918</v>
      </c>
      <c r="M1147" t="s">
        <v>1296</v>
      </c>
      <c r="N1147">
        <v>1</v>
      </c>
      <c r="O1147" t="s">
        <v>984</v>
      </c>
      <c r="P1147">
        <v>0.01</v>
      </c>
      <c r="Q1147" t="s">
        <v>1488</v>
      </c>
      <c r="R1147">
        <v>0</v>
      </c>
      <c r="S1147">
        <v>0</v>
      </c>
      <c r="T1147">
        <v>0</v>
      </c>
      <c r="U1147">
        <v>0</v>
      </c>
      <c r="V1147">
        <v>0</v>
      </c>
    </row>
    <row r="1148" spans="1:22" x14ac:dyDescent="0.25">
      <c r="A1148" t="s">
        <v>2450</v>
      </c>
      <c r="B1148" t="s">
        <v>961</v>
      </c>
      <c r="C1148">
        <v>13</v>
      </c>
      <c r="D1148" t="s">
        <v>132</v>
      </c>
      <c r="E1148" t="s">
        <v>260</v>
      </c>
      <c r="F1148" t="s">
        <v>260</v>
      </c>
      <c r="G1148">
        <v>0.08</v>
      </c>
      <c r="H1148" t="s">
        <v>55</v>
      </c>
      <c r="I1148">
        <v>0</v>
      </c>
      <c r="J1148" t="str">
        <f>HYPERLINK("https://www.eliteprospects.com/player/542042/anthony-allepot")</f>
        <v>https://www.eliteprospects.com/player/542042/anthony-allepot</v>
      </c>
      <c r="K1148" t="s">
        <v>27</v>
      </c>
      <c r="L1148" t="s">
        <v>918</v>
      </c>
      <c r="M1148" t="s">
        <v>1296</v>
      </c>
      <c r="N1148">
        <v>5</v>
      </c>
      <c r="O1148" t="s">
        <v>973</v>
      </c>
      <c r="P1148">
        <v>0.01</v>
      </c>
      <c r="Q1148" t="s">
        <v>1488</v>
      </c>
      <c r="R1148">
        <v>0</v>
      </c>
      <c r="S1148">
        <v>0</v>
      </c>
      <c r="T1148">
        <v>0</v>
      </c>
      <c r="U1148">
        <v>0</v>
      </c>
      <c r="V1148">
        <v>0</v>
      </c>
    </row>
    <row r="1149" spans="1:22" x14ac:dyDescent="0.25">
      <c r="A1149" t="s">
        <v>2451</v>
      </c>
      <c r="B1149" t="s">
        <v>1011</v>
      </c>
      <c r="C1149">
        <v>15</v>
      </c>
      <c r="D1149" t="s">
        <v>132</v>
      </c>
      <c r="E1149" t="s">
        <v>260</v>
      </c>
      <c r="F1149" t="s">
        <v>260</v>
      </c>
      <c r="G1149">
        <v>7.0000000000000007E-2</v>
      </c>
      <c r="H1149" t="s">
        <v>79</v>
      </c>
      <c r="I1149">
        <v>-5</v>
      </c>
      <c r="J1149" t="str">
        <f>HYPERLINK("https://www.eliteprospects.com/player/660326/logan-cunningham")</f>
        <v>https://www.eliteprospects.com/player/660326/logan-cunningham</v>
      </c>
      <c r="K1149" t="s">
        <v>27</v>
      </c>
      <c r="L1149" t="s">
        <v>918</v>
      </c>
      <c r="M1149" t="s">
        <v>1296</v>
      </c>
      <c r="N1149">
        <v>5</v>
      </c>
      <c r="O1149" t="s">
        <v>979</v>
      </c>
      <c r="P1149">
        <v>0.01</v>
      </c>
      <c r="Q1149" t="s">
        <v>1488</v>
      </c>
      <c r="R1149">
        <v>0</v>
      </c>
      <c r="S1149">
        <v>0</v>
      </c>
      <c r="T1149">
        <v>0</v>
      </c>
      <c r="U1149">
        <v>0</v>
      </c>
      <c r="V1149">
        <v>0</v>
      </c>
    </row>
    <row r="1150" spans="1:22" x14ac:dyDescent="0.25">
      <c r="A1150" t="s">
        <v>2452</v>
      </c>
      <c r="B1150" t="s">
        <v>1020</v>
      </c>
      <c r="C1150">
        <v>16</v>
      </c>
      <c r="D1150" t="s">
        <v>132</v>
      </c>
      <c r="E1150" t="s">
        <v>260</v>
      </c>
      <c r="F1150" t="s">
        <v>260</v>
      </c>
      <c r="G1150">
        <v>0.06</v>
      </c>
      <c r="H1150" t="s">
        <v>66</v>
      </c>
      <c r="I1150">
        <v>-11</v>
      </c>
      <c r="J1150" t="str">
        <f>HYPERLINK("https://www.eliteprospects.com/player/541162/adam-leitch")</f>
        <v>https://www.eliteprospects.com/player/541162/adam-leitch</v>
      </c>
      <c r="K1150" t="s">
        <v>27</v>
      </c>
      <c r="L1150" t="s">
        <v>918</v>
      </c>
      <c r="M1150" t="s">
        <v>1296</v>
      </c>
      <c r="N1150">
        <v>1</v>
      </c>
      <c r="O1150" t="s">
        <v>984</v>
      </c>
      <c r="P1150">
        <v>0.01</v>
      </c>
      <c r="Q1150" t="s">
        <v>1488</v>
      </c>
      <c r="R1150">
        <v>0</v>
      </c>
      <c r="S1150">
        <v>0</v>
      </c>
      <c r="T1150">
        <v>0</v>
      </c>
      <c r="U1150">
        <v>0</v>
      </c>
      <c r="V1150">
        <v>0</v>
      </c>
    </row>
    <row r="1151" spans="1:22" x14ac:dyDescent="0.25">
      <c r="A1151" t="s">
        <v>2453</v>
      </c>
      <c r="B1151" t="s">
        <v>1015</v>
      </c>
      <c r="C1151">
        <v>16</v>
      </c>
      <c r="D1151" t="s">
        <v>132</v>
      </c>
      <c r="E1151" t="s">
        <v>260</v>
      </c>
      <c r="F1151" t="s">
        <v>260</v>
      </c>
      <c r="G1151">
        <v>0.06</v>
      </c>
      <c r="H1151" t="s">
        <v>32</v>
      </c>
      <c r="I1151">
        <v>0</v>
      </c>
      <c r="J1151" t="str">
        <f>HYPERLINK("https://www.eliteprospects.com/player/282492/konrad-belcourt")</f>
        <v>https://www.eliteprospects.com/player/282492/konrad-belcourt</v>
      </c>
      <c r="K1151" t="s">
        <v>27</v>
      </c>
      <c r="L1151" t="s">
        <v>918</v>
      </c>
      <c r="M1151" t="s">
        <v>1296</v>
      </c>
      <c r="N1151">
        <v>2</v>
      </c>
      <c r="O1151" t="s">
        <v>1021</v>
      </c>
      <c r="P1151">
        <v>0.01</v>
      </c>
      <c r="Q1151" t="s">
        <v>1488</v>
      </c>
      <c r="R1151">
        <v>0</v>
      </c>
      <c r="S1151">
        <v>0</v>
      </c>
      <c r="T1151">
        <v>0</v>
      </c>
      <c r="U1151">
        <v>0</v>
      </c>
      <c r="V1151">
        <v>0</v>
      </c>
    </row>
    <row r="1152" spans="1:22" x14ac:dyDescent="0.25">
      <c r="A1152" t="s">
        <v>2454</v>
      </c>
      <c r="B1152" t="s">
        <v>998</v>
      </c>
      <c r="C1152">
        <v>16</v>
      </c>
      <c r="D1152" t="s">
        <v>132</v>
      </c>
      <c r="E1152" t="s">
        <v>260</v>
      </c>
      <c r="F1152" t="s">
        <v>260</v>
      </c>
      <c r="G1152">
        <v>0.06</v>
      </c>
      <c r="H1152" t="s">
        <v>23</v>
      </c>
      <c r="I1152">
        <v>0</v>
      </c>
      <c r="J1152" t="str">
        <f>HYPERLINK("https://www.eliteprospects.com/player/502874/cameron-morton")</f>
        <v>https://www.eliteprospects.com/player/502874/cameron-morton</v>
      </c>
      <c r="K1152" t="s">
        <v>27</v>
      </c>
      <c r="L1152" t="s">
        <v>918</v>
      </c>
      <c r="M1152" t="s">
        <v>1296</v>
      </c>
      <c r="N1152">
        <v>6</v>
      </c>
      <c r="O1152" t="s">
        <v>995</v>
      </c>
      <c r="P1152">
        <v>0.01</v>
      </c>
      <c r="Q1152" t="s">
        <v>1488</v>
      </c>
      <c r="R1152">
        <v>0</v>
      </c>
      <c r="S1152">
        <v>0</v>
      </c>
      <c r="T1152">
        <v>0</v>
      </c>
      <c r="U1152">
        <v>0</v>
      </c>
      <c r="V1152">
        <v>0</v>
      </c>
    </row>
    <row r="1153" spans="1:22" x14ac:dyDescent="0.25">
      <c r="A1153" t="s">
        <v>2455</v>
      </c>
      <c r="B1153" t="s">
        <v>1053</v>
      </c>
      <c r="C1153">
        <v>17</v>
      </c>
      <c r="D1153" t="s">
        <v>132</v>
      </c>
      <c r="E1153" t="s">
        <v>260</v>
      </c>
      <c r="F1153" t="s">
        <v>260</v>
      </c>
      <c r="G1153">
        <v>0.06</v>
      </c>
      <c r="H1153" t="s">
        <v>66</v>
      </c>
      <c r="I1153">
        <v>0</v>
      </c>
      <c r="J1153" t="str">
        <f>HYPERLINK("https://www.eliteprospects.com/player/421644/logan-holm")</f>
        <v>https://www.eliteprospects.com/player/421644/logan-holm</v>
      </c>
      <c r="K1153" t="s">
        <v>27</v>
      </c>
      <c r="L1153" t="s">
        <v>918</v>
      </c>
      <c r="M1153" t="s">
        <v>1296</v>
      </c>
      <c r="N1153">
        <v>2</v>
      </c>
      <c r="O1153" t="s">
        <v>1021</v>
      </c>
      <c r="P1153">
        <v>0.01</v>
      </c>
      <c r="Q1153" t="s">
        <v>1488</v>
      </c>
      <c r="R1153">
        <v>0</v>
      </c>
      <c r="S1153">
        <v>0</v>
      </c>
      <c r="T1153">
        <v>0</v>
      </c>
      <c r="U1153">
        <v>0</v>
      </c>
      <c r="V1153">
        <v>0</v>
      </c>
    </row>
    <row r="1154" spans="1:22" x14ac:dyDescent="0.25">
      <c r="A1154" t="s">
        <v>2456</v>
      </c>
      <c r="B1154" t="s">
        <v>954</v>
      </c>
      <c r="C1154">
        <v>17</v>
      </c>
      <c r="D1154" t="s">
        <v>132</v>
      </c>
      <c r="E1154" t="s">
        <v>260</v>
      </c>
      <c r="F1154" t="s">
        <v>260</v>
      </c>
      <c r="G1154">
        <v>0.06</v>
      </c>
      <c r="H1154" t="s">
        <v>38</v>
      </c>
      <c r="I1154">
        <v>0</v>
      </c>
      <c r="J1154" t="str">
        <f>HYPERLINK("https://www.eliteprospects.com/player/582559/cam-gauvreau")</f>
        <v>https://www.eliteprospects.com/player/582559/cam-gauvreau</v>
      </c>
      <c r="K1154" t="s">
        <v>27</v>
      </c>
      <c r="L1154" t="s">
        <v>918</v>
      </c>
      <c r="M1154" t="s">
        <v>1296</v>
      </c>
      <c r="N1154">
        <v>4</v>
      </c>
      <c r="O1154" t="s">
        <v>1025</v>
      </c>
      <c r="P1154">
        <v>0.01</v>
      </c>
      <c r="Q1154" t="s">
        <v>1488</v>
      </c>
      <c r="R1154">
        <v>0</v>
      </c>
      <c r="S1154">
        <v>0</v>
      </c>
      <c r="T1154">
        <v>0</v>
      </c>
      <c r="U1154">
        <v>0</v>
      </c>
      <c r="V1154">
        <v>0</v>
      </c>
    </row>
    <row r="1155" spans="1:22" x14ac:dyDescent="0.25">
      <c r="A1155" t="s">
        <v>2457</v>
      </c>
      <c r="B1155" t="s">
        <v>1032</v>
      </c>
      <c r="C1155">
        <v>17</v>
      </c>
      <c r="D1155" t="s">
        <v>132</v>
      </c>
      <c r="E1155" t="s">
        <v>260</v>
      </c>
      <c r="F1155" t="s">
        <v>260</v>
      </c>
      <c r="G1155">
        <v>0.06</v>
      </c>
      <c r="H1155" t="s">
        <v>125</v>
      </c>
      <c r="I1155">
        <v>0</v>
      </c>
      <c r="J1155" t="str">
        <f>HYPERLINK("https://www.eliteprospects.com/player/413066/kieran-ruscheinski")</f>
        <v>https://www.eliteprospects.com/player/413066/kieran-ruscheinski</v>
      </c>
      <c r="K1155" t="s">
        <v>27</v>
      </c>
      <c r="L1155" t="s">
        <v>918</v>
      </c>
      <c r="M1155" t="s">
        <v>1296</v>
      </c>
      <c r="N1155">
        <v>3</v>
      </c>
      <c r="O1155" t="s">
        <v>1039</v>
      </c>
      <c r="P1155">
        <v>0.01</v>
      </c>
      <c r="Q1155" t="s">
        <v>1488</v>
      </c>
      <c r="R1155">
        <v>0</v>
      </c>
      <c r="S1155">
        <v>0</v>
      </c>
      <c r="T1155">
        <v>0</v>
      </c>
      <c r="U1155">
        <v>0</v>
      </c>
      <c r="V1155">
        <v>0</v>
      </c>
    </row>
    <row r="1156" spans="1:22" x14ac:dyDescent="0.25">
      <c r="A1156" t="s">
        <v>2458</v>
      </c>
      <c r="B1156" t="s">
        <v>972</v>
      </c>
      <c r="C1156">
        <v>18</v>
      </c>
      <c r="D1156" t="s">
        <v>132</v>
      </c>
      <c r="E1156" t="s">
        <v>260</v>
      </c>
      <c r="F1156" t="s">
        <v>260</v>
      </c>
      <c r="G1156">
        <v>0.06</v>
      </c>
      <c r="H1156" t="s">
        <v>79</v>
      </c>
      <c r="I1156">
        <v>0</v>
      </c>
      <c r="J1156" t="str">
        <f>HYPERLINK("https://www.eliteprospects.com/player/675217/timothy-porter")</f>
        <v>https://www.eliteprospects.com/player/675217/timothy-porter</v>
      </c>
      <c r="K1156" t="s">
        <v>27</v>
      </c>
      <c r="L1156" t="s">
        <v>918</v>
      </c>
      <c r="M1156" t="s">
        <v>1296</v>
      </c>
      <c r="N1156">
        <v>1</v>
      </c>
      <c r="O1156" t="s">
        <v>984</v>
      </c>
      <c r="P1156">
        <v>0.01</v>
      </c>
      <c r="Q1156" t="s">
        <v>1488</v>
      </c>
      <c r="R1156">
        <v>0</v>
      </c>
      <c r="S1156">
        <v>0</v>
      </c>
      <c r="T1156">
        <v>0</v>
      </c>
      <c r="U1156">
        <v>0</v>
      </c>
      <c r="V1156">
        <v>0</v>
      </c>
    </row>
    <row r="1157" spans="1:22" x14ac:dyDescent="0.25">
      <c r="A1157" t="s">
        <v>2459</v>
      </c>
      <c r="B1157" t="s">
        <v>991</v>
      </c>
      <c r="C1157">
        <v>18</v>
      </c>
      <c r="D1157" t="s">
        <v>132</v>
      </c>
      <c r="E1157" t="s">
        <v>260</v>
      </c>
      <c r="F1157" t="s">
        <v>260</v>
      </c>
      <c r="G1157">
        <v>0.06</v>
      </c>
      <c r="H1157" t="s">
        <v>32</v>
      </c>
      <c r="I1157">
        <v>0</v>
      </c>
      <c r="J1157" t="str">
        <f>HYPERLINK("https://www.eliteprospects.com/player/646143/cole-jenken")</f>
        <v>https://www.eliteprospects.com/player/646143/cole-jenken</v>
      </c>
      <c r="K1157" t="s">
        <v>27</v>
      </c>
      <c r="L1157" t="s">
        <v>918</v>
      </c>
      <c r="M1157" t="s">
        <v>1296</v>
      </c>
      <c r="N1157">
        <v>1</v>
      </c>
      <c r="O1157" t="s">
        <v>984</v>
      </c>
      <c r="P1157">
        <v>0.01</v>
      </c>
      <c r="Q1157" t="s">
        <v>1488</v>
      </c>
      <c r="R1157">
        <v>0</v>
      </c>
      <c r="S1157">
        <v>0</v>
      </c>
      <c r="T1157">
        <v>0</v>
      </c>
      <c r="U1157">
        <v>0</v>
      </c>
      <c r="V1157">
        <v>0</v>
      </c>
    </row>
    <row r="1158" spans="1:22" x14ac:dyDescent="0.25">
      <c r="A1158" t="s">
        <v>2460</v>
      </c>
      <c r="B1158" t="s">
        <v>954</v>
      </c>
      <c r="C1158">
        <v>18</v>
      </c>
      <c r="D1158" t="s">
        <v>132</v>
      </c>
      <c r="E1158" t="s">
        <v>260</v>
      </c>
      <c r="F1158" t="s">
        <v>260</v>
      </c>
      <c r="G1158">
        <v>0.06</v>
      </c>
      <c r="H1158" t="s">
        <v>23</v>
      </c>
      <c r="I1158">
        <v>0</v>
      </c>
      <c r="J1158" t="str">
        <f>HYPERLINK("https://www.eliteprospects.com/player/413333/anson-mcmaster")</f>
        <v>https://www.eliteprospects.com/player/413333/anson-mcmaster</v>
      </c>
      <c r="K1158" t="s">
        <v>27</v>
      </c>
      <c r="L1158" t="s">
        <v>918</v>
      </c>
      <c r="M1158" t="s">
        <v>1296</v>
      </c>
      <c r="N1158">
        <v>6</v>
      </c>
      <c r="O1158" t="s">
        <v>924</v>
      </c>
      <c r="P1158">
        <v>0.01</v>
      </c>
      <c r="Q1158" t="s">
        <v>1488</v>
      </c>
      <c r="R1158">
        <v>0</v>
      </c>
      <c r="S1158">
        <v>0</v>
      </c>
      <c r="T1158">
        <v>0</v>
      </c>
      <c r="U1158">
        <v>0</v>
      </c>
      <c r="V1158">
        <v>0</v>
      </c>
    </row>
    <row r="1159" spans="1:22" x14ac:dyDescent="0.25">
      <c r="A1159" t="s">
        <v>2461</v>
      </c>
      <c r="B1159" t="s">
        <v>1053</v>
      </c>
      <c r="C1159">
        <v>18</v>
      </c>
      <c r="D1159" t="s">
        <v>132</v>
      </c>
      <c r="E1159" t="s">
        <v>260</v>
      </c>
      <c r="F1159" t="s">
        <v>260</v>
      </c>
      <c r="G1159">
        <v>0.06</v>
      </c>
      <c r="H1159" t="s">
        <v>38</v>
      </c>
      <c r="I1159">
        <v>0</v>
      </c>
      <c r="J1159" t="str">
        <f>HYPERLINK("https://www.eliteprospects.com/player/506977/lucas-eagle")</f>
        <v>https://www.eliteprospects.com/player/506977/lucas-eagle</v>
      </c>
      <c r="K1159" t="s">
        <v>27</v>
      </c>
      <c r="L1159" t="s">
        <v>918</v>
      </c>
      <c r="M1159" t="s">
        <v>1296</v>
      </c>
      <c r="N1159">
        <v>2</v>
      </c>
      <c r="O1159" t="s">
        <v>1021</v>
      </c>
      <c r="P1159">
        <v>0.01</v>
      </c>
      <c r="Q1159" t="s">
        <v>1488</v>
      </c>
      <c r="R1159">
        <v>0</v>
      </c>
      <c r="S1159">
        <v>0</v>
      </c>
      <c r="T1159">
        <v>0</v>
      </c>
      <c r="U1159">
        <v>0</v>
      </c>
      <c r="V1159">
        <v>0</v>
      </c>
    </row>
    <row r="1160" spans="1:22" x14ac:dyDescent="0.25">
      <c r="A1160" t="s">
        <v>2462</v>
      </c>
      <c r="B1160" t="s">
        <v>1001</v>
      </c>
      <c r="C1160">
        <v>19</v>
      </c>
      <c r="D1160" t="s">
        <v>132</v>
      </c>
      <c r="E1160" t="s">
        <v>260</v>
      </c>
      <c r="F1160" t="s">
        <v>260</v>
      </c>
      <c r="G1160">
        <v>0.05</v>
      </c>
      <c r="H1160" t="s">
        <v>55</v>
      </c>
      <c r="I1160">
        <v>-13</v>
      </c>
      <c r="J1160" t="str">
        <f>HYPERLINK("https://www.eliteprospects.com/player/563392/josh-o-connor")</f>
        <v>https://www.eliteprospects.com/player/563392/josh-o-connor</v>
      </c>
      <c r="K1160" t="s">
        <v>27</v>
      </c>
      <c r="L1160" t="s">
        <v>918</v>
      </c>
      <c r="M1160" t="s">
        <v>1296</v>
      </c>
      <c r="N1160">
        <v>1</v>
      </c>
      <c r="O1160" t="s">
        <v>984</v>
      </c>
      <c r="P1160">
        <v>0.01</v>
      </c>
      <c r="Q1160" t="s">
        <v>1488</v>
      </c>
      <c r="R1160">
        <v>0</v>
      </c>
      <c r="S1160">
        <v>0</v>
      </c>
      <c r="T1160">
        <v>0</v>
      </c>
      <c r="U1160">
        <v>0</v>
      </c>
      <c r="V1160">
        <v>0</v>
      </c>
    </row>
    <row r="1161" spans="1:22" x14ac:dyDescent="0.25">
      <c r="A1161" t="s">
        <v>2463</v>
      </c>
      <c r="B1161" t="s">
        <v>957</v>
      </c>
      <c r="C1161">
        <v>10</v>
      </c>
      <c r="D1161" t="s">
        <v>132</v>
      </c>
      <c r="E1161" t="s">
        <v>132</v>
      </c>
      <c r="F1161" t="s">
        <v>132</v>
      </c>
      <c r="G1161">
        <v>0</v>
      </c>
      <c r="H1161" t="s">
        <v>66</v>
      </c>
      <c r="I1161">
        <v>-3</v>
      </c>
      <c r="J1161" t="str">
        <f>HYPERLINK("https://www.eliteprospects.com/player/476567/jack-parker")</f>
        <v>https://www.eliteprospects.com/player/476567/jack-parker</v>
      </c>
      <c r="K1161" t="s">
        <v>27</v>
      </c>
      <c r="L1161" t="s">
        <v>918</v>
      </c>
      <c r="M1161" t="s">
        <v>1296</v>
      </c>
      <c r="N1161">
        <v>2</v>
      </c>
      <c r="O1161" t="s">
        <v>1021</v>
      </c>
      <c r="P1161">
        <v>0</v>
      </c>
      <c r="Q1161" t="s">
        <v>1488</v>
      </c>
      <c r="R1161">
        <v>0</v>
      </c>
      <c r="S1161">
        <v>0</v>
      </c>
      <c r="T1161">
        <v>0</v>
      </c>
      <c r="U1161">
        <v>0</v>
      </c>
      <c r="V1161">
        <v>0</v>
      </c>
    </row>
    <row r="1162" spans="1:22" x14ac:dyDescent="0.25">
      <c r="A1162" t="s">
        <v>2464</v>
      </c>
      <c r="B1162" t="s">
        <v>942</v>
      </c>
      <c r="C1162">
        <v>11</v>
      </c>
      <c r="D1162" t="s">
        <v>132</v>
      </c>
      <c r="E1162" t="s">
        <v>132</v>
      </c>
      <c r="F1162" t="s">
        <v>132</v>
      </c>
      <c r="G1162">
        <v>0</v>
      </c>
      <c r="H1162" t="s">
        <v>26</v>
      </c>
      <c r="I1162">
        <v>0</v>
      </c>
      <c r="J1162" t="str">
        <f>HYPERLINK("https://www.eliteprospects.com/player/559029/easton-kovacs")</f>
        <v>https://www.eliteprospects.com/player/559029/easton-kovacs</v>
      </c>
      <c r="K1162" t="s">
        <v>27</v>
      </c>
      <c r="L1162" t="s">
        <v>918</v>
      </c>
      <c r="M1162" t="s">
        <v>1296</v>
      </c>
      <c r="N1162">
        <v>5</v>
      </c>
      <c r="O1162" t="s">
        <v>979</v>
      </c>
      <c r="P1162">
        <v>0</v>
      </c>
      <c r="Q1162" t="s">
        <v>1488</v>
      </c>
      <c r="R1162">
        <v>0</v>
      </c>
      <c r="S1162">
        <v>0</v>
      </c>
      <c r="T1162">
        <v>0</v>
      </c>
      <c r="U1162">
        <v>0</v>
      </c>
      <c r="V1162">
        <v>0</v>
      </c>
    </row>
    <row r="1163" spans="1:22" x14ac:dyDescent="0.25">
      <c r="A1163" t="s">
        <v>2465</v>
      </c>
      <c r="B1163" t="s">
        <v>1003</v>
      </c>
      <c r="C1163">
        <v>11</v>
      </c>
      <c r="D1163" t="s">
        <v>132</v>
      </c>
      <c r="E1163" t="s">
        <v>132</v>
      </c>
      <c r="F1163" t="s">
        <v>132</v>
      </c>
      <c r="G1163">
        <v>0</v>
      </c>
      <c r="H1163" t="s">
        <v>32</v>
      </c>
      <c r="I1163">
        <v>0</v>
      </c>
      <c r="J1163" t="str">
        <f>HYPERLINK("https://www.eliteprospects.com/player/483413/tayem-gislason")</f>
        <v>https://www.eliteprospects.com/player/483413/tayem-gislason</v>
      </c>
      <c r="K1163" t="s">
        <v>27</v>
      </c>
      <c r="L1163" t="s">
        <v>918</v>
      </c>
      <c r="M1163" t="s">
        <v>1296</v>
      </c>
      <c r="N1163">
        <v>4</v>
      </c>
      <c r="O1163" t="s">
        <v>978</v>
      </c>
      <c r="P1163">
        <v>0</v>
      </c>
      <c r="Q1163" t="s">
        <v>1488</v>
      </c>
      <c r="R1163">
        <v>0</v>
      </c>
      <c r="S1163">
        <v>0</v>
      </c>
      <c r="T1163">
        <v>0</v>
      </c>
      <c r="U1163">
        <v>0</v>
      </c>
      <c r="V1163">
        <v>0</v>
      </c>
    </row>
    <row r="1164" spans="1:22" x14ac:dyDescent="0.25">
      <c r="A1164" t="s">
        <v>2466</v>
      </c>
      <c r="B1164" t="s">
        <v>1003</v>
      </c>
      <c r="C1164">
        <v>12</v>
      </c>
      <c r="D1164" t="s">
        <v>132</v>
      </c>
      <c r="E1164" t="s">
        <v>132</v>
      </c>
      <c r="F1164" t="s">
        <v>132</v>
      </c>
      <c r="G1164">
        <v>0</v>
      </c>
      <c r="H1164" t="s">
        <v>57</v>
      </c>
      <c r="I1164">
        <v>0</v>
      </c>
      <c r="J1164" t="str">
        <f>HYPERLINK("https://www.eliteprospects.com/player/651803/alexander-park")</f>
        <v>https://www.eliteprospects.com/player/651803/alexander-park</v>
      </c>
      <c r="K1164" t="s">
        <v>27</v>
      </c>
      <c r="L1164" t="s">
        <v>918</v>
      </c>
      <c r="M1164" t="s">
        <v>1296</v>
      </c>
      <c r="N1164">
        <v>1</v>
      </c>
      <c r="O1164" t="s">
        <v>984</v>
      </c>
      <c r="P1164">
        <v>0</v>
      </c>
      <c r="Q1164" t="s">
        <v>1488</v>
      </c>
      <c r="R1164">
        <v>0</v>
      </c>
      <c r="S1164">
        <v>0</v>
      </c>
      <c r="T1164">
        <v>0</v>
      </c>
      <c r="U1164">
        <v>0</v>
      </c>
      <c r="V1164">
        <v>0</v>
      </c>
    </row>
    <row r="1165" spans="1:22" x14ac:dyDescent="0.25">
      <c r="A1165" t="s">
        <v>2467</v>
      </c>
      <c r="B1165" t="s">
        <v>1005</v>
      </c>
      <c r="C1165">
        <v>12</v>
      </c>
      <c r="D1165" t="s">
        <v>132</v>
      </c>
      <c r="E1165" t="s">
        <v>132</v>
      </c>
      <c r="F1165" t="s">
        <v>132</v>
      </c>
      <c r="G1165">
        <v>0</v>
      </c>
      <c r="H1165" t="s">
        <v>26</v>
      </c>
      <c r="I1165">
        <v>0</v>
      </c>
      <c r="J1165" t="str">
        <f>HYPERLINK("https://www.eliteprospects.com/player/577918/charles-poudrette")</f>
        <v>https://www.eliteprospects.com/player/577918/charles-poudrette</v>
      </c>
      <c r="K1165" t="s">
        <v>27</v>
      </c>
      <c r="L1165" t="s">
        <v>918</v>
      </c>
      <c r="M1165" t="s">
        <v>1296</v>
      </c>
      <c r="N1165">
        <v>1</v>
      </c>
      <c r="O1165" t="s">
        <v>984</v>
      </c>
      <c r="P1165">
        <v>0</v>
      </c>
      <c r="Q1165" t="s">
        <v>1488</v>
      </c>
      <c r="R1165">
        <v>0</v>
      </c>
      <c r="S1165">
        <v>0</v>
      </c>
      <c r="T1165">
        <v>0</v>
      </c>
      <c r="U1165">
        <v>0</v>
      </c>
      <c r="V1165">
        <v>0</v>
      </c>
    </row>
    <row r="1166" spans="1:22" x14ac:dyDescent="0.25">
      <c r="A1166" t="s">
        <v>2468</v>
      </c>
      <c r="B1166" t="s">
        <v>1001</v>
      </c>
      <c r="C1166">
        <v>12</v>
      </c>
      <c r="D1166" t="s">
        <v>132</v>
      </c>
      <c r="E1166" t="s">
        <v>132</v>
      </c>
      <c r="F1166" t="s">
        <v>132</v>
      </c>
      <c r="G1166">
        <v>0</v>
      </c>
      <c r="H1166" t="s">
        <v>47</v>
      </c>
      <c r="I1166">
        <v>-13</v>
      </c>
      <c r="J1166" t="str">
        <f>HYPERLINK("https://www.eliteprospects.com/player/473291/zach-welsh")</f>
        <v>https://www.eliteprospects.com/player/473291/zach-welsh</v>
      </c>
      <c r="K1166" t="s">
        <v>27</v>
      </c>
      <c r="L1166" t="s">
        <v>918</v>
      </c>
      <c r="M1166" t="s">
        <v>1296</v>
      </c>
      <c r="N1166">
        <v>5</v>
      </c>
      <c r="O1166" t="s">
        <v>930</v>
      </c>
      <c r="P1166">
        <v>0</v>
      </c>
      <c r="Q1166" t="s">
        <v>1488</v>
      </c>
      <c r="R1166">
        <v>0</v>
      </c>
      <c r="S1166">
        <v>0</v>
      </c>
      <c r="T1166">
        <v>0</v>
      </c>
      <c r="U1166">
        <v>0</v>
      </c>
      <c r="V1166">
        <v>0</v>
      </c>
    </row>
    <row r="1167" spans="1:22" x14ac:dyDescent="0.25">
      <c r="A1167" t="s">
        <v>2469</v>
      </c>
      <c r="B1167" t="s">
        <v>961</v>
      </c>
      <c r="C1167">
        <v>17</v>
      </c>
      <c r="D1167" t="s">
        <v>132</v>
      </c>
      <c r="E1167" t="s">
        <v>132</v>
      </c>
      <c r="F1167" t="s">
        <v>132</v>
      </c>
      <c r="G1167">
        <v>0</v>
      </c>
      <c r="H1167" t="s">
        <v>57</v>
      </c>
      <c r="I1167">
        <v>0</v>
      </c>
      <c r="J1167" t="str">
        <f>HYPERLINK("https://www.eliteprospects.com/player/730452/nathan-sauder")</f>
        <v>https://www.eliteprospects.com/player/730452/nathan-sauder</v>
      </c>
      <c r="K1167" t="s">
        <v>27</v>
      </c>
      <c r="L1167" t="s">
        <v>918</v>
      </c>
      <c r="M1167" t="s">
        <v>1296</v>
      </c>
      <c r="N1167">
        <v>5</v>
      </c>
      <c r="O1167" t="s">
        <v>1008</v>
      </c>
      <c r="P1167">
        <v>0</v>
      </c>
      <c r="Q1167" t="s">
        <v>1488</v>
      </c>
      <c r="R1167">
        <v>0</v>
      </c>
      <c r="S1167">
        <v>0</v>
      </c>
      <c r="T1167">
        <v>0</v>
      </c>
      <c r="U1167">
        <v>0</v>
      </c>
      <c r="V1167">
        <v>0</v>
      </c>
    </row>
    <row r="1168" spans="1:22" x14ac:dyDescent="0.25">
      <c r="A1168" t="s">
        <v>2470</v>
      </c>
      <c r="B1168" t="s">
        <v>1084</v>
      </c>
      <c r="C1168">
        <v>17</v>
      </c>
      <c r="D1168" t="s">
        <v>132</v>
      </c>
      <c r="E1168" t="s">
        <v>132</v>
      </c>
      <c r="F1168" t="s">
        <v>132</v>
      </c>
      <c r="G1168">
        <v>0</v>
      </c>
      <c r="H1168" t="s">
        <v>46</v>
      </c>
      <c r="I1168">
        <v>0</v>
      </c>
      <c r="J1168" t="str">
        <f>HYPERLINK("https://www.eliteprospects.com/player/636112/wade-bolton")</f>
        <v>https://www.eliteprospects.com/player/636112/wade-bolton</v>
      </c>
      <c r="K1168" t="s">
        <v>27</v>
      </c>
      <c r="L1168" t="s">
        <v>918</v>
      </c>
      <c r="M1168" t="s">
        <v>1296</v>
      </c>
      <c r="N1168">
        <v>2</v>
      </c>
      <c r="O1168" t="s">
        <v>1021</v>
      </c>
      <c r="P1168">
        <v>0</v>
      </c>
      <c r="Q1168" t="s">
        <v>1488</v>
      </c>
      <c r="R1168">
        <v>0</v>
      </c>
      <c r="S1168">
        <v>0</v>
      </c>
      <c r="T1168">
        <v>0</v>
      </c>
      <c r="U1168">
        <v>0</v>
      </c>
      <c r="V1168">
        <v>0</v>
      </c>
    </row>
    <row r="1169" spans="1:22" x14ac:dyDescent="0.25">
      <c r="A1169" t="s">
        <v>1114</v>
      </c>
      <c r="B1169" t="s">
        <v>1084</v>
      </c>
      <c r="C1169">
        <v>18</v>
      </c>
      <c r="D1169" t="s">
        <v>79</v>
      </c>
      <c r="E1169" t="s">
        <v>26</v>
      </c>
      <c r="F1169" t="s">
        <v>32</v>
      </c>
      <c r="G1169">
        <v>0.56000000000000005</v>
      </c>
      <c r="H1169" t="s">
        <v>57</v>
      </c>
      <c r="I1169">
        <v>0</v>
      </c>
      <c r="J1169" s="4" t="str">
        <f>HYPERLINK("https://www.eliteprospects.com/player/492206/bradley-blake")</f>
        <v>https://www.eliteprospects.com/player/492206/bradley-blake</v>
      </c>
      <c r="K1169" t="s">
        <v>27</v>
      </c>
      <c r="L1169" t="s">
        <v>918</v>
      </c>
      <c r="M1169" t="s">
        <v>35</v>
      </c>
      <c r="N1169">
        <v>1</v>
      </c>
      <c r="O1169" t="s">
        <v>984</v>
      </c>
      <c r="P1169">
        <v>7.0000000000000007E-2</v>
      </c>
      <c r="Q1169" t="s">
        <v>135</v>
      </c>
      <c r="R1169">
        <v>0</v>
      </c>
      <c r="S1169">
        <v>33.299999999999997</v>
      </c>
      <c r="T1169">
        <v>23.8</v>
      </c>
      <c r="U1169">
        <v>9.5</v>
      </c>
      <c r="V1169">
        <v>33.299999999999997</v>
      </c>
    </row>
    <row r="1170" spans="1:22" x14ac:dyDescent="0.25">
      <c r="A1170" t="s">
        <v>1143</v>
      </c>
      <c r="B1170" t="s">
        <v>1084</v>
      </c>
      <c r="C1170">
        <v>18</v>
      </c>
      <c r="D1170" t="s">
        <v>66</v>
      </c>
      <c r="E1170" t="s">
        <v>140</v>
      </c>
      <c r="F1170" t="s">
        <v>78</v>
      </c>
      <c r="G1170">
        <v>0.39</v>
      </c>
      <c r="H1170" t="s">
        <v>26</v>
      </c>
      <c r="I1170">
        <v>0</v>
      </c>
      <c r="J1170" s="4" t="str">
        <f>HYPERLINK("https://www.eliteprospects.com/player/502869/isaac-pascoal")</f>
        <v>https://www.eliteprospects.com/player/502869/isaac-pascoal</v>
      </c>
      <c r="K1170" t="s">
        <v>27</v>
      </c>
      <c r="L1170" t="s">
        <v>918</v>
      </c>
      <c r="M1170" t="s">
        <v>35</v>
      </c>
      <c r="N1170">
        <v>3</v>
      </c>
      <c r="O1170" t="s">
        <v>962</v>
      </c>
      <c r="P1170">
        <v>0.05</v>
      </c>
      <c r="Q1170" t="s">
        <v>245</v>
      </c>
      <c r="R1170">
        <v>9.1</v>
      </c>
      <c r="S1170">
        <v>18.2</v>
      </c>
      <c r="T1170">
        <v>9.1</v>
      </c>
      <c r="U1170">
        <v>13.6</v>
      </c>
      <c r="V1170">
        <v>50</v>
      </c>
    </row>
    <row r="1171" spans="1:22" x14ac:dyDescent="0.25">
      <c r="A1171" t="s">
        <v>1156</v>
      </c>
      <c r="B1171" t="s">
        <v>1084</v>
      </c>
      <c r="C1171">
        <v>18</v>
      </c>
      <c r="D1171" t="s">
        <v>66</v>
      </c>
      <c r="E1171" t="s">
        <v>79</v>
      </c>
      <c r="F1171" t="s">
        <v>57</v>
      </c>
      <c r="G1171">
        <v>0.33</v>
      </c>
      <c r="H1171" t="s">
        <v>79</v>
      </c>
      <c r="I1171">
        <v>0</v>
      </c>
      <c r="J1171" s="4" t="str">
        <f>HYPERLINK("https://www.eliteprospects.com/player/526064/connor-prestwich")</f>
        <v>https://www.eliteprospects.com/player/526064/connor-prestwich</v>
      </c>
      <c r="K1171" t="s">
        <v>27</v>
      </c>
      <c r="L1171" t="s">
        <v>918</v>
      </c>
      <c r="M1171" t="s">
        <v>91</v>
      </c>
      <c r="N1171">
        <v>1</v>
      </c>
      <c r="O1171" t="s">
        <v>984</v>
      </c>
      <c r="P1171">
        <v>0.04</v>
      </c>
      <c r="Q1171" t="s">
        <v>245</v>
      </c>
      <c r="R1171">
        <v>9.1</v>
      </c>
      <c r="S1171">
        <v>18.2</v>
      </c>
      <c r="T1171">
        <v>9.1</v>
      </c>
      <c r="U1171">
        <v>13.6</v>
      </c>
      <c r="V1171">
        <v>50</v>
      </c>
    </row>
    <row r="1172" spans="1:22" x14ac:dyDescent="0.25">
      <c r="A1172" t="s">
        <v>1167</v>
      </c>
      <c r="B1172" t="s">
        <v>1084</v>
      </c>
      <c r="C1172">
        <v>17</v>
      </c>
      <c r="D1172" t="s">
        <v>140</v>
      </c>
      <c r="E1172" t="s">
        <v>140</v>
      </c>
      <c r="F1172" t="s">
        <v>57</v>
      </c>
      <c r="G1172">
        <v>0.35</v>
      </c>
      <c r="H1172" t="s">
        <v>23</v>
      </c>
      <c r="I1172">
        <v>0</v>
      </c>
      <c r="J1172" s="4" t="str">
        <f>HYPERLINK("https://www.eliteprospects.com/player/533243/fischer-o-brien")</f>
        <v>https://www.eliteprospects.com/player/533243/fischer-o-brien</v>
      </c>
      <c r="K1172" t="s">
        <v>27</v>
      </c>
      <c r="L1172" t="s">
        <v>918</v>
      </c>
      <c r="M1172" t="s">
        <v>35</v>
      </c>
      <c r="N1172">
        <v>4</v>
      </c>
      <c r="O1172" t="s">
        <v>978</v>
      </c>
      <c r="P1172">
        <v>0.04</v>
      </c>
      <c r="Q1172" t="s">
        <v>245</v>
      </c>
      <c r="R1172">
        <v>9.1</v>
      </c>
      <c r="S1172">
        <v>18.2</v>
      </c>
      <c r="T1172">
        <v>9.1</v>
      </c>
      <c r="U1172">
        <v>13.6</v>
      </c>
      <c r="V1172">
        <v>50</v>
      </c>
    </row>
    <row r="1173" spans="1:22" x14ac:dyDescent="0.25">
      <c r="A1173" t="s">
        <v>1196</v>
      </c>
      <c r="B1173" t="s">
        <v>1084</v>
      </c>
      <c r="C1173">
        <v>18</v>
      </c>
      <c r="D1173" t="s">
        <v>260</v>
      </c>
      <c r="E1173" t="s">
        <v>66</v>
      </c>
      <c r="F1173" t="s">
        <v>96</v>
      </c>
      <c r="G1173">
        <v>0.28000000000000003</v>
      </c>
      <c r="H1173" t="s">
        <v>672</v>
      </c>
      <c r="I1173">
        <v>0</v>
      </c>
      <c r="J1173" s="4" t="str">
        <f>HYPERLINK("https://www.eliteprospects.com/player/578288/noah-matulu")</f>
        <v>https://www.eliteprospects.com/player/578288/noah-matulu</v>
      </c>
      <c r="K1173" t="s">
        <v>27</v>
      </c>
      <c r="L1173" t="s">
        <v>918</v>
      </c>
      <c r="M1173" t="s">
        <v>42</v>
      </c>
      <c r="N1173">
        <v>2</v>
      </c>
      <c r="O1173" t="s">
        <v>1087</v>
      </c>
      <c r="P1173">
        <v>0.04</v>
      </c>
      <c r="Q1173" t="s">
        <v>245</v>
      </c>
      <c r="R1173">
        <v>9.1</v>
      </c>
      <c r="S1173">
        <v>18.2</v>
      </c>
      <c r="T1173">
        <v>9.1</v>
      </c>
      <c r="U1173">
        <v>13.6</v>
      </c>
      <c r="V1173">
        <v>50</v>
      </c>
    </row>
    <row r="1174" spans="1:22" x14ac:dyDescent="0.25">
      <c r="A1174" t="s">
        <v>1206</v>
      </c>
      <c r="B1174" t="s">
        <v>1084</v>
      </c>
      <c r="C1174">
        <v>17</v>
      </c>
      <c r="D1174" t="s">
        <v>79</v>
      </c>
      <c r="E1174" t="s">
        <v>79</v>
      </c>
      <c r="F1174" t="s">
        <v>66</v>
      </c>
      <c r="G1174">
        <v>0.24</v>
      </c>
      <c r="H1174" t="s">
        <v>39</v>
      </c>
      <c r="I1174">
        <v>0</v>
      </c>
      <c r="J1174" s="4" t="str">
        <f>HYPERLINK("https://www.eliteprospects.com/player/509268/liam-serviss")</f>
        <v>https://www.eliteprospects.com/player/509268/liam-serviss</v>
      </c>
      <c r="K1174" t="s">
        <v>27</v>
      </c>
      <c r="L1174" t="s">
        <v>918</v>
      </c>
      <c r="M1174" t="s">
        <v>91</v>
      </c>
      <c r="N1174">
        <v>2</v>
      </c>
      <c r="O1174" t="s">
        <v>1021</v>
      </c>
      <c r="P1174">
        <v>0.03</v>
      </c>
      <c r="Q1174" t="s">
        <v>245</v>
      </c>
      <c r="R1174">
        <v>9.1</v>
      </c>
      <c r="S1174">
        <v>18.2</v>
      </c>
      <c r="T1174">
        <v>9.1</v>
      </c>
      <c r="U1174">
        <v>13.6</v>
      </c>
      <c r="V1174">
        <v>50</v>
      </c>
    </row>
    <row r="1175" spans="1:22" x14ac:dyDescent="0.25">
      <c r="A1175" t="s">
        <v>1226</v>
      </c>
      <c r="B1175" t="s">
        <v>1084</v>
      </c>
      <c r="C1175">
        <v>16</v>
      </c>
      <c r="D1175" t="s">
        <v>79</v>
      </c>
      <c r="E1175" t="s">
        <v>260</v>
      </c>
      <c r="F1175" t="s">
        <v>140</v>
      </c>
      <c r="G1175">
        <v>0.19</v>
      </c>
      <c r="H1175" t="s">
        <v>57</v>
      </c>
      <c r="I1175">
        <v>0</v>
      </c>
      <c r="J1175" s="4" t="str">
        <f>HYPERLINK("https://www.eliteprospects.com/player/563381/jarrett-todd")</f>
        <v>https://www.eliteprospects.com/player/563381/jarrett-todd</v>
      </c>
      <c r="K1175" t="s">
        <v>27</v>
      </c>
      <c r="L1175" t="s">
        <v>918</v>
      </c>
      <c r="M1175" t="s">
        <v>42</v>
      </c>
      <c r="N1175">
        <v>4</v>
      </c>
      <c r="O1175" t="s">
        <v>1051</v>
      </c>
      <c r="P1175">
        <v>0.02</v>
      </c>
      <c r="Q1175" t="s">
        <v>245</v>
      </c>
      <c r="R1175">
        <v>9.1</v>
      </c>
      <c r="S1175">
        <v>18.2</v>
      </c>
      <c r="T1175">
        <v>9.1</v>
      </c>
      <c r="U1175">
        <v>13.6</v>
      </c>
      <c r="V1175">
        <v>50</v>
      </c>
    </row>
    <row r="1176" spans="1:22" x14ac:dyDescent="0.25">
      <c r="A1176" t="s">
        <v>1228</v>
      </c>
      <c r="B1176" t="s">
        <v>1084</v>
      </c>
      <c r="C1176">
        <v>18</v>
      </c>
      <c r="D1176" t="s">
        <v>79</v>
      </c>
      <c r="E1176" t="s">
        <v>260</v>
      </c>
      <c r="F1176" t="s">
        <v>140</v>
      </c>
      <c r="G1176">
        <v>0.17</v>
      </c>
      <c r="H1176" t="s">
        <v>79</v>
      </c>
      <c r="I1176">
        <v>0</v>
      </c>
      <c r="J1176" s="4" t="str">
        <f>HYPERLINK("https://www.eliteprospects.com/player/561335/killian-mcgregor-bennett")</f>
        <v>https://www.eliteprospects.com/player/561335/killian-mcgregor-bennett</v>
      </c>
      <c r="K1176" t="s">
        <v>27</v>
      </c>
      <c r="L1176" t="s">
        <v>918</v>
      </c>
      <c r="M1176" t="s">
        <v>35</v>
      </c>
      <c r="N1176">
        <v>1</v>
      </c>
      <c r="O1176" t="s">
        <v>984</v>
      </c>
      <c r="P1176">
        <v>0.02</v>
      </c>
      <c r="Q1176" t="s">
        <v>245</v>
      </c>
      <c r="R1176">
        <v>9.1</v>
      </c>
      <c r="S1176">
        <v>18.2</v>
      </c>
      <c r="T1176">
        <v>9.1</v>
      </c>
      <c r="U1176">
        <v>13.6</v>
      </c>
      <c r="V1176">
        <v>50</v>
      </c>
    </row>
    <row r="1177" spans="1:22" x14ac:dyDescent="0.25">
      <c r="A1177" t="s">
        <v>1252</v>
      </c>
      <c r="B1177" t="s">
        <v>1084</v>
      </c>
      <c r="C1177">
        <v>11</v>
      </c>
      <c r="D1177" t="s">
        <v>260</v>
      </c>
      <c r="E1177" t="s">
        <v>260</v>
      </c>
      <c r="F1177" t="s">
        <v>79</v>
      </c>
      <c r="G1177">
        <v>0.18</v>
      </c>
      <c r="H1177" t="s">
        <v>79</v>
      </c>
      <c r="I1177">
        <v>0</v>
      </c>
      <c r="J1177" s="4" t="str">
        <f>HYPERLINK("https://www.eliteprospects.com/player/592662/brayden-knox")</f>
        <v>https://www.eliteprospects.com/player/592662/brayden-knox</v>
      </c>
      <c r="K1177" t="s">
        <v>27</v>
      </c>
      <c r="L1177" t="s">
        <v>918</v>
      </c>
      <c r="M1177" t="s">
        <v>35</v>
      </c>
      <c r="N1177">
        <v>1</v>
      </c>
      <c r="O1177" t="s">
        <v>984</v>
      </c>
      <c r="P1177">
        <v>0.02</v>
      </c>
      <c r="Q1177" t="s">
        <v>245</v>
      </c>
      <c r="R1177">
        <v>9.1</v>
      </c>
      <c r="S1177">
        <v>18.2</v>
      </c>
      <c r="T1177">
        <v>9.1</v>
      </c>
      <c r="U1177">
        <v>13.6</v>
      </c>
      <c r="V1177">
        <v>50</v>
      </c>
    </row>
    <row r="1178" spans="1:22" x14ac:dyDescent="0.25">
      <c r="A1178" t="s">
        <v>1262</v>
      </c>
      <c r="B1178" t="s">
        <v>1084</v>
      </c>
      <c r="C1178">
        <v>10</v>
      </c>
      <c r="D1178" t="s">
        <v>132</v>
      </c>
      <c r="E1178" t="s">
        <v>79</v>
      </c>
      <c r="F1178" t="s">
        <v>79</v>
      </c>
      <c r="G1178">
        <v>0.2</v>
      </c>
      <c r="H1178" t="s">
        <v>66</v>
      </c>
      <c r="I1178">
        <v>0</v>
      </c>
      <c r="J1178" s="4" t="str">
        <f>HYPERLINK("https://www.eliteprospects.com/player/417820/ben-lightbody")</f>
        <v>https://www.eliteprospects.com/player/417820/ben-lightbody</v>
      </c>
      <c r="K1178" t="s">
        <v>27</v>
      </c>
      <c r="L1178" t="s">
        <v>918</v>
      </c>
      <c r="M1178" t="s">
        <v>42</v>
      </c>
      <c r="N1178">
        <v>3</v>
      </c>
      <c r="O1178" t="s">
        <v>962</v>
      </c>
      <c r="P1178">
        <v>0.02</v>
      </c>
      <c r="Q1178" t="s">
        <v>245</v>
      </c>
      <c r="R1178">
        <v>9.1</v>
      </c>
      <c r="S1178">
        <v>18.2</v>
      </c>
      <c r="T1178">
        <v>9.1</v>
      </c>
      <c r="U1178">
        <v>13.6</v>
      </c>
      <c r="V1178">
        <v>50</v>
      </c>
    </row>
    <row r="1179" spans="1:22" x14ac:dyDescent="0.25">
      <c r="A1179" t="s">
        <v>1265</v>
      </c>
      <c r="B1179" t="s">
        <v>1084</v>
      </c>
      <c r="C1179">
        <v>18</v>
      </c>
      <c r="D1179" t="s">
        <v>132</v>
      </c>
      <c r="E1179" t="s">
        <v>79</v>
      </c>
      <c r="F1179" t="s">
        <v>79</v>
      </c>
      <c r="G1179">
        <v>0.11</v>
      </c>
      <c r="H1179" t="s">
        <v>23</v>
      </c>
      <c r="I1179">
        <v>0</v>
      </c>
      <c r="J1179" s="4" t="str">
        <f>HYPERLINK("https://www.eliteprospects.com/player/656868/brock-mcnaughton")</f>
        <v>https://www.eliteprospects.com/player/656868/brock-mcnaughton</v>
      </c>
      <c r="K1179" t="s">
        <v>27</v>
      </c>
      <c r="L1179" t="s">
        <v>918</v>
      </c>
      <c r="M1179" t="s">
        <v>35</v>
      </c>
      <c r="N1179">
        <v>3</v>
      </c>
      <c r="O1179" t="s">
        <v>962</v>
      </c>
      <c r="P1179">
        <v>0.01</v>
      </c>
      <c r="Q1179" t="s">
        <v>245</v>
      </c>
      <c r="R1179">
        <v>9.1</v>
      </c>
      <c r="S1179">
        <v>18.2</v>
      </c>
      <c r="T1179">
        <v>9.1</v>
      </c>
      <c r="U1179">
        <v>13.6</v>
      </c>
      <c r="V1179">
        <v>50</v>
      </c>
    </row>
    <row r="1180" spans="1:22" x14ac:dyDescent="0.25">
      <c r="A1180" t="s">
        <v>1270</v>
      </c>
      <c r="B1180" t="s">
        <v>1084</v>
      </c>
      <c r="C1180">
        <v>17</v>
      </c>
      <c r="D1180" t="s">
        <v>132</v>
      </c>
      <c r="E1180" t="s">
        <v>260</v>
      </c>
      <c r="F1180" t="s">
        <v>260</v>
      </c>
      <c r="G1180">
        <v>0.06</v>
      </c>
      <c r="H1180" t="s">
        <v>26</v>
      </c>
      <c r="I1180">
        <v>0</v>
      </c>
      <c r="J1180" s="4" t="str">
        <f>HYPERLINK("https://www.eliteprospects.com/player/647946/owen-ferguson")</f>
        <v>https://www.eliteprospects.com/player/647946/owen-ferguson</v>
      </c>
      <c r="K1180" t="s">
        <v>27</v>
      </c>
      <c r="L1180" t="s">
        <v>918</v>
      </c>
      <c r="M1180" t="s">
        <v>35</v>
      </c>
      <c r="N1180">
        <v>1</v>
      </c>
      <c r="O1180" t="s">
        <v>984</v>
      </c>
      <c r="P1180">
        <v>0.01</v>
      </c>
      <c r="Q1180" t="s">
        <v>245</v>
      </c>
      <c r="R1180">
        <v>9.1</v>
      </c>
      <c r="S1180">
        <v>18.2</v>
      </c>
      <c r="T1180">
        <v>9.1</v>
      </c>
      <c r="U1180">
        <v>13.6</v>
      </c>
      <c r="V1180">
        <v>50</v>
      </c>
    </row>
    <row r="1181" spans="1:22" x14ac:dyDescent="0.25">
      <c r="A1181" t="s">
        <v>237</v>
      </c>
      <c r="B1181" t="s">
        <v>238</v>
      </c>
      <c r="C1181">
        <v>18</v>
      </c>
      <c r="D1181" t="s">
        <v>79</v>
      </c>
      <c r="E1181" t="s">
        <v>32</v>
      </c>
      <c r="F1181" t="s">
        <v>23</v>
      </c>
      <c r="G1181">
        <v>0.67</v>
      </c>
      <c r="H1181" t="s">
        <v>60</v>
      </c>
      <c r="I1181">
        <v>-9</v>
      </c>
      <c r="J1181" s="4" t="str">
        <f>HYPERLINK("https://www.eliteprospects.com/player/407579/luc-wilson")</f>
        <v>https://www.eliteprospects.com/player/407579/luc-wilson</v>
      </c>
      <c r="K1181" t="s">
        <v>27</v>
      </c>
      <c r="L1181" t="s">
        <v>28</v>
      </c>
      <c r="M1181" t="s">
        <v>35</v>
      </c>
      <c r="N1181">
        <v>4</v>
      </c>
      <c r="O1181" t="s">
        <v>30</v>
      </c>
      <c r="P1181">
        <v>0.13</v>
      </c>
      <c r="Q1181" t="s">
        <v>245</v>
      </c>
      <c r="R1181">
        <v>21.1</v>
      </c>
      <c r="S1181">
        <v>26.3</v>
      </c>
      <c r="T1181">
        <v>5.3</v>
      </c>
      <c r="U1181">
        <v>5.3</v>
      </c>
      <c r="V1181">
        <v>42.1</v>
      </c>
    </row>
    <row r="1182" spans="1:22" x14ac:dyDescent="0.25">
      <c r="A1182" t="s">
        <v>242</v>
      </c>
      <c r="B1182" t="s">
        <v>238</v>
      </c>
      <c r="C1182">
        <v>19</v>
      </c>
      <c r="D1182" t="s">
        <v>78</v>
      </c>
      <c r="E1182" t="s">
        <v>66</v>
      </c>
      <c r="F1182" t="s">
        <v>69</v>
      </c>
      <c r="G1182">
        <v>0.57999999999999996</v>
      </c>
      <c r="H1182" t="s">
        <v>26</v>
      </c>
      <c r="I1182">
        <v>-3</v>
      </c>
      <c r="J1182" s="4" t="str">
        <f>HYPERLINK("https://www.eliteprospects.com/player/717057/filip-sitar")</f>
        <v>https://www.eliteprospects.com/player/717057/filip-sitar</v>
      </c>
      <c r="K1182" t="s">
        <v>27</v>
      </c>
      <c r="L1182" t="s">
        <v>28</v>
      </c>
      <c r="M1182" t="s">
        <v>42</v>
      </c>
      <c r="N1182">
        <v>2</v>
      </c>
      <c r="O1182" t="s">
        <v>43</v>
      </c>
      <c r="P1182">
        <v>0.11</v>
      </c>
      <c r="Q1182" t="s">
        <v>135</v>
      </c>
      <c r="R1182">
        <v>20</v>
      </c>
      <c r="S1182">
        <v>40</v>
      </c>
      <c r="T1182">
        <v>0</v>
      </c>
      <c r="U1182">
        <v>20</v>
      </c>
      <c r="V1182">
        <v>20</v>
      </c>
    </row>
    <row r="1183" spans="1:22" x14ac:dyDescent="0.25">
      <c r="A1183" t="s">
        <v>318</v>
      </c>
      <c r="B1183" t="s">
        <v>238</v>
      </c>
      <c r="C1183">
        <v>19</v>
      </c>
      <c r="D1183" t="s">
        <v>66</v>
      </c>
      <c r="E1183" t="s">
        <v>66</v>
      </c>
      <c r="F1183" t="s">
        <v>26</v>
      </c>
      <c r="G1183">
        <v>0.42</v>
      </c>
      <c r="H1183" t="s">
        <v>57</v>
      </c>
      <c r="I1183">
        <v>-2</v>
      </c>
      <c r="J1183" s="4" t="str">
        <f>HYPERLINK("https://www.eliteprospects.com/player/412991/tyler-wallace")</f>
        <v>https://www.eliteprospects.com/player/412991/tyler-wallace</v>
      </c>
      <c r="K1183" t="s">
        <v>27</v>
      </c>
      <c r="L1183" t="s">
        <v>28</v>
      </c>
      <c r="M1183" t="s">
        <v>42</v>
      </c>
      <c r="N1183">
        <v>3</v>
      </c>
      <c r="O1183" t="s">
        <v>74</v>
      </c>
      <c r="P1183">
        <v>0.08</v>
      </c>
      <c r="Q1183" t="s">
        <v>1277</v>
      </c>
      <c r="R1183">
        <v>16.7</v>
      </c>
      <c r="S1183">
        <v>16.7</v>
      </c>
      <c r="T1183">
        <v>25</v>
      </c>
      <c r="U1183">
        <v>16.7</v>
      </c>
      <c r="V1183">
        <v>25</v>
      </c>
    </row>
    <row r="1184" spans="1:22" x14ac:dyDescent="0.25">
      <c r="A1184" t="s">
        <v>363</v>
      </c>
      <c r="B1184" t="s">
        <v>238</v>
      </c>
      <c r="C1184">
        <v>19</v>
      </c>
      <c r="D1184" t="s">
        <v>140</v>
      </c>
      <c r="E1184" t="s">
        <v>140</v>
      </c>
      <c r="F1184" t="s">
        <v>57</v>
      </c>
      <c r="G1184">
        <v>0.32</v>
      </c>
      <c r="H1184" t="s">
        <v>32</v>
      </c>
      <c r="I1184">
        <v>-12</v>
      </c>
      <c r="J1184" s="4" t="str">
        <f>HYPERLINK("https://www.eliteprospects.com/player/556635/rainers-rullers")</f>
        <v>https://www.eliteprospects.com/player/556635/rainers-rullers</v>
      </c>
      <c r="K1184" t="s">
        <v>27</v>
      </c>
      <c r="L1184" t="s">
        <v>28</v>
      </c>
      <c r="M1184" t="s">
        <v>42</v>
      </c>
      <c r="N1184">
        <v>2</v>
      </c>
      <c r="O1184" t="s">
        <v>43</v>
      </c>
      <c r="P1184">
        <v>0.06</v>
      </c>
      <c r="Q1184" t="s">
        <v>245</v>
      </c>
      <c r="R1184">
        <v>0</v>
      </c>
      <c r="S1184">
        <v>15.4</v>
      </c>
      <c r="T1184">
        <v>7.7</v>
      </c>
      <c r="U1184">
        <v>30.8</v>
      </c>
      <c r="V1184">
        <v>46.2</v>
      </c>
    </row>
    <row r="1185" spans="1:22" x14ac:dyDescent="0.25">
      <c r="A1185" t="s">
        <v>368</v>
      </c>
      <c r="B1185" t="s">
        <v>238</v>
      </c>
      <c r="C1185">
        <v>19</v>
      </c>
      <c r="D1185" t="s">
        <v>79</v>
      </c>
      <c r="E1185" t="s">
        <v>66</v>
      </c>
      <c r="F1185" t="s">
        <v>57</v>
      </c>
      <c r="G1185">
        <v>0.32</v>
      </c>
      <c r="H1185" t="s">
        <v>66</v>
      </c>
      <c r="I1185">
        <v>-7</v>
      </c>
      <c r="J1185" s="4" t="str">
        <f>HYPERLINK("https://www.eliteprospects.com/player/641758/ethan-bono")</f>
        <v>https://www.eliteprospects.com/player/641758/ethan-bono</v>
      </c>
      <c r="K1185" t="s">
        <v>27</v>
      </c>
      <c r="L1185" t="s">
        <v>28</v>
      </c>
      <c r="M1185" t="s">
        <v>35</v>
      </c>
      <c r="N1185">
        <v>3</v>
      </c>
      <c r="O1185" t="s">
        <v>74</v>
      </c>
      <c r="P1185">
        <v>0.06</v>
      </c>
      <c r="Q1185" t="s">
        <v>245</v>
      </c>
      <c r="R1185">
        <v>0</v>
      </c>
      <c r="S1185">
        <v>15.4</v>
      </c>
      <c r="T1185">
        <v>7.7</v>
      </c>
      <c r="U1185">
        <v>30.8</v>
      </c>
      <c r="V1185">
        <v>46.2</v>
      </c>
    </row>
    <row r="1186" spans="1:22" x14ac:dyDescent="0.25">
      <c r="A1186" t="s">
        <v>384</v>
      </c>
      <c r="B1186" t="s">
        <v>238</v>
      </c>
      <c r="C1186">
        <v>18</v>
      </c>
      <c r="D1186" t="s">
        <v>79</v>
      </c>
      <c r="E1186" t="s">
        <v>140</v>
      </c>
      <c r="F1186" t="s">
        <v>96</v>
      </c>
      <c r="G1186">
        <v>0.28000000000000003</v>
      </c>
      <c r="H1186" t="s">
        <v>57</v>
      </c>
      <c r="I1186">
        <v>-8</v>
      </c>
      <c r="J1186" s="4" t="str">
        <f>HYPERLINK("https://www.eliteprospects.com/player/603428/matthew-buckley")</f>
        <v>https://www.eliteprospects.com/player/603428/matthew-buckley</v>
      </c>
      <c r="K1186" t="s">
        <v>27</v>
      </c>
      <c r="L1186" t="s">
        <v>28</v>
      </c>
      <c r="M1186" t="s">
        <v>87</v>
      </c>
      <c r="N1186">
        <v>5</v>
      </c>
      <c r="O1186" t="s">
        <v>147</v>
      </c>
      <c r="P1186">
        <v>0.05</v>
      </c>
      <c r="Q1186" t="s">
        <v>245</v>
      </c>
      <c r="R1186">
        <v>13.3</v>
      </c>
      <c r="S1186">
        <v>13.3</v>
      </c>
      <c r="T1186">
        <v>0</v>
      </c>
      <c r="U1186">
        <v>13.3</v>
      </c>
      <c r="V1186">
        <v>60</v>
      </c>
    </row>
    <row r="1187" spans="1:22" x14ac:dyDescent="0.25">
      <c r="A1187" t="s">
        <v>400</v>
      </c>
      <c r="B1187" t="s">
        <v>238</v>
      </c>
      <c r="C1187">
        <v>19</v>
      </c>
      <c r="D1187" t="s">
        <v>140</v>
      </c>
      <c r="E1187" t="s">
        <v>260</v>
      </c>
      <c r="F1187" t="s">
        <v>66</v>
      </c>
      <c r="G1187">
        <v>0.21</v>
      </c>
      <c r="H1187" t="s">
        <v>66</v>
      </c>
      <c r="I1187">
        <v>-7</v>
      </c>
      <c r="J1187" s="4" t="str">
        <f>HYPERLINK("https://www.eliteprospects.com/player/419780/dovar-tinling")</f>
        <v>https://www.eliteprospects.com/player/419780/dovar-tinling</v>
      </c>
      <c r="K1187" t="s">
        <v>27</v>
      </c>
      <c r="L1187" t="s">
        <v>28</v>
      </c>
      <c r="M1187" t="s">
        <v>42</v>
      </c>
      <c r="N1187">
        <v>5</v>
      </c>
      <c r="O1187" t="s">
        <v>67</v>
      </c>
      <c r="P1187">
        <v>0.04</v>
      </c>
      <c r="Q1187" t="s">
        <v>245</v>
      </c>
      <c r="R1187">
        <v>13.3</v>
      </c>
      <c r="S1187">
        <v>13.3</v>
      </c>
      <c r="T1187">
        <v>0</v>
      </c>
      <c r="U1187">
        <v>13.3</v>
      </c>
      <c r="V1187">
        <v>60</v>
      </c>
    </row>
    <row r="1188" spans="1:22" x14ac:dyDescent="0.25">
      <c r="A1188" t="s">
        <v>419</v>
      </c>
      <c r="B1188" t="s">
        <v>238</v>
      </c>
      <c r="C1188">
        <v>19</v>
      </c>
      <c r="D1188" t="s">
        <v>132</v>
      </c>
      <c r="E1188" t="s">
        <v>66</v>
      </c>
      <c r="F1188" t="s">
        <v>66</v>
      </c>
      <c r="G1188">
        <v>0.21</v>
      </c>
      <c r="H1188" t="s">
        <v>66</v>
      </c>
      <c r="I1188">
        <v>-6</v>
      </c>
      <c r="J1188" s="4" t="str">
        <f>HYPERLINK("https://www.eliteprospects.com/player/689208/jagger-tapper")</f>
        <v>https://www.eliteprospects.com/player/689208/jagger-tapper</v>
      </c>
      <c r="K1188" t="s">
        <v>27</v>
      </c>
      <c r="L1188" t="s">
        <v>28</v>
      </c>
      <c r="M1188" t="s">
        <v>35</v>
      </c>
      <c r="N1188">
        <v>2</v>
      </c>
      <c r="O1188" t="s">
        <v>43</v>
      </c>
      <c r="P1188">
        <v>0.04</v>
      </c>
      <c r="Q1188" t="s">
        <v>245</v>
      </c>
      <c r="R1188">
        <v>13.3</v>
      </c>
      <c r="S1188">
        <v>13.3</v>
      </c>
      <c r="T1188">
        <v>0</v>
      </c>
      <c r="U1188">
        <v>13.3</v>
      </c>
      <c r="V1188">
        <v>60</v>
      </c>
    </row>
    <row r="1189" spans="1:22" x14ac:dyDescent="0.25">
      <c r="A1189" t="s">
        <v>442</v>
      </c>
      <c r="B1189" t="s">
        <v>238</v>
      </c>
      <c r="C1189">
        <v>16</v>
      </c>
      <c r="D1189" t="s">
        <v>132</v>
      </c>
      <c r="E1189" t="s">
        <v>140</v>
      </c>
      <c r="F1189" t="s">
        <v>140</v>
      </c>
      <c r="G1189">
        <v>0.19</v>
      </c>
      <c r="H1189" t="s">
        <v>132</v>
      </c>
      <c r="I1189">
        <v>-10</v>
      </c>
      <c r="J1189" s="4" t="str">
        <f>HYPERLINK("https://www.eliteprospects.com/player/412272/alfred-lindberg")</f>
        <v>https://www.eliteprospects.com/player/412272/alfred-lindberg</v>
      </c>
      <c r="K1189" t="s">
        <v>27</v>
      </c>
      <c r="L1189" t="s">
        <v>28</v>
      </c>
      <c r="M1189" t="s">
        <v>42</v>
      </c>
      <c r="N1189">
        <v>3</v>
      </c>
      <c r="O1189" t="s">
        <v>74</v>
      </c>
      <c r="P1189">
        <v>0.04</v>
      </c>
      <c r="Q1189" t="s">
        <v>245</v>
      </c>
      <c r="R1189">
        <v>13.3</v>
      </c>
      <c r="S1189">
        <v>13.3</v>
      </c>
      <c r="T1189">
        <v>0</v>
      </c>
      <c r="U1189">
        <v>13.3</v>
      </c>
      <c r="V1189">
        <v>60</v>
      </c>
    </row>
    <row r="1190" spans="1:22" x14ac:dyDescent="0.25">
      <c r="A1190" t="s">
        <v>454</v>
      </c>
      <c r="B1190" t="s">
        <v>238</v>
      </c>
      <c r="C1190">
        <v>19</v>
      </c>
      <c r="D1190" t="s">
        <v>260</v>
      </c>
      <c r="E1190" t="s">
        <v>260</v>
      </c>
      <c r="F1190" t="s">
        <v>79</v>
      </c>
      <c r="G1190">
        <v>0.11</v>
      </c>
      <c r="H1190" t="s">
        <v>57</v>
      </c>
      <c r="I1190">
        <v>0</v>
      </c>
      <c r="J1190" s="4" t="str">
        <f>HYPERLINK("https://www.eliteprospects.com/player/558586/cole-gordon")</f>
        <v>https://www.eliteprospects.com/player/558586/cole-gordon</v>
      </c>
      <c r="K1190" t="s">
        <v>27</v>
      </c>
      <c r="L1190" t="s">
        <v>28</v>
      </c>
      <c r="M1190" t="s">
        <v>35</v>
      </c>
      <c r="N1190">
        <v>3</v>
      </c>
      <c r="O1190" t="s">
        <v>74</v>
      </c>
      <c r="P1190">
        <v>0.02</v>
      </c>
      <c r="Q1190" t="s">
        <v>245</v>
      </c>
      <c r="R1190">
        <v>9.1</v>
      </c>
      <c r="S1190">
        <v>18.2</v>
      </c>
      <c r="T1190">
        <v>9.1</v>
      </c>
      <c r="U1190">
        <v>13.6</v>
      </c>
      <c r="V1190">
        <v>50</v>
      </c>
    </row>
    <row r="1191" spans="1:22" x14ac:dyDescent="0.25">
      <c r="A1191" t="s">
        <v>469</v>
      </c>
      <c r="B1191" t="s">
        <v>238</v>
      </c>
      <c r="C1191">
        <v>12</v>
      </c>
      <c r="D1191" t="s">
        <v>132</v>
      </c>
      <c r="E1191" t="s">
        <v>260</v>
      </c>
      <c r="F1191" t="s">
        <v>260</v>
      </c>
      <c r="G1191">
        <v>0.08</v>
      </c>
      <c r="H1191" t="s">
        <v>66</v>
      </c>
      <c r="I1191">
        <v>-2</v>
      </c>
      <c r="J1191" s="4" t="str">
        <f>HYPERLINK("https://www.eliteprospects.com/player/655964/ian-scherzer")</f>
        <v>https://www.eliteprospects.com/player/655964/ian-scherzer</v>
      </c>
      <c r="K1191" t="s">
        <v>27</v>
      </c>
      <c r="L1191" t="s">
        <v>28</v>
      </c>
      <c r="M1191" t="s">
        <v>42</v>
      </c>
      <c r="N1191">
        <v>1</v>
      </c>
      <c r="O1191" t="s">
        <v>71</v>
      </c>
      <c r="P1191">
        <v>0.02</v>
      </c>
      <c r="Q1191" t="s">
        <v>245</v>
      </c>
      <c r="R1191">
        <v>9.1</v>
      </c>
      <c r="S1191">
        <v>18.2</v>
      </c>
      <c r="T1191">
        <v>9.1</v>
      </c>
      <c r="U1191">
        <v>13.6</v>
      </c>
      <c r="V1191">
        <v>50</v>
      </c>
    </row>
    <row r="1192" spans="1:22" x14ac:dyDescent="0.25">
      <c r="A1192" t="s">
        <v>479</v>
      </c>
      <c r="B1192" t="s">
        <v>238</v>
      </c>
      <c r="C1192">
        <v>13</v>
      </c>
      <c r="D1192" t="s">
        <v>132</v>
      </c>
      <c r="E1192" t="s">
        <v>132</v>
      </c>
      <c r="F1192" t="s">
        <v>132</v>
      </c>
      <c r="G1192">
        <v>0</v>
      </c>
      <c r="H1192" t="s">
        <v>66</v>
      </c>
      <c r="I1192">
        <v>-7</v>
      </c>
      <c r="J1192" s="4" t="str">
        <f>HYPERLINK("https://www.eliteprospects.com/player/480013/brad-mcneil")</f>
        <v>https://www.eliteprospects.com/player/480013/brad-mcneil</v>
      </c>
      <c r="K1192" t="s">
        <v>27</v>
      </c>
      <c r="L1192" t="s">
        <v>28</v>
      </c>
      <c r="M1192" t="s">
        <v>35</v>
      </c>
      <c r="N1192">
        <v>3</v>
      </c>
      <c r="O1192" t="s">
        <v>74</v>
      </c>
      <c r="P1192">
        <v>0</v>
      </c>
      <c r="Q1192" t="s">
        <v>245</v>
      </c>
      <c r="R1192">
        <v>13.3</v>
      </c>
      <c r="S1192">
        <v>13.3</v>
      </c>
      <c r="T1192">
        <v>0</v>
      </c>
      <c r="U1192">
        <v>13.3</v>
      </c>
      <c r="V1192">
        <v>60</v>
      </c>
    </row>
    <row r="1193" spans="1:22" x14ac:dyDescent="0.25">
      <c r="A1193" t="s">
        <v>89</v>
      </c>
      <c r="B1193" t="s">
        <v>90</v>
      </c>
      <c r="C1193">
        <v>17</v>
      </c>
      <c r="D1193" t="s">
        <v>38</v>
      </c>
      <c r="E1193" t="s">
        <v>57</v>
      </c>
      <c r="F1193" t="s">
        <v>47</v>
      </c>
      <c r="G1193">
        <v>1.29</v>
      </c>
      <c r="H1193" t="s">
        <v>25</v>
      </c>
      <c r="I1193">
        <v>8</v>
      </c>
      <c r="J1193" s="4" t="str">
        <f>HYPERLINK("https://www.eliteprospects.com/player/293224/felix-trudeau")</f>
        <v>https://www.eliteprospects.com/player/293224/felix-trudeau</v>
      </c>
      <c r="K1193" t="s">
        <v>27</v>
      </c>
      <c r="L1193" t="s">
        <v>28</v>
      </c>
      <c r="M1193" t="s">
        <v>91</v>
      </c>
      <c r="N1193">
        <v>4</v>
      </c>
      <c r="O1193" t="s">
        <v>30</v>
      </c>
      <c r="P1193">
        <v>0.25</v>
      </c>
      <c r="Q1193" t="s">
        <v>31</v>
      </c>
      <c r="R1193">
        <v>57.1</v>
      </c>
      <c r="S1193">
        <v>32.1</v>
      </c>
      <c r="T1193">
        <v>0</v>
      </c>
      <c r="U1193">
        <v>0</v>
      </c>
      <c r="V1193">
        <v>10.7</v>
      </c>
    </row>
    <row r="1194" spans="1:22" x14ac:dyDescent="0.25">
      <c r="A1194" t="s">
        <v>239</v>
      </c>
      <c r="B1194" t="s">
        <v>90</v>
      </c>
      <c r="C1194">
        <v>18</v>
      </c>
      <c r="D1194" t="s">
        <v>132</v>
      </c>
      <c r="E1194" t="s">
        <v>23</v>
      </c>
      <c r="F1194" t="s">
        <v>23</v>
      </c>
      <c r="G1194">
        <v>0.67</v>
      </c>
      <c r="H1194" t="s">
        <v>51</v>
      </c>
      <c r="I1194">
        <v>0</v>
      </c>
      <c r="J1194" s="4" t="str">
        <f>HYPERLINK("https://www.eliteprospects.com/player/479653/marcus-joughin")</f>
        <v>https://www.eliteprospects.com/player/479653/marcus-joughin</v>
      </c>
      <c r="K1194" t="s">
        <v>27</v>
      </c>
      <c r="L1194" t="s">
        <v>28</v>
      </c>
      <c r="M1194" t="s">
        <v>35</v>
      </c>
      <c r="N1194">
        <v>4</v>
      </c>
      <c r="O1194" t="s">
        <v>30</v>
      </c>
      <c r="P1194">
        <v>0.13</v>
      </c>
      <c r="Q1194" t="s">
        <v>135</v>
      </c>
      <c r="R1194">
        <v>11.1</v>
      </c>
      <c r="S1194">
        <v>44.4</v>
      </c>
      <c r="T1194">
        <v>11.1</v>
      </c>
      <c r="U1194">
        <v>11.1</v>
      </c>
      <c r="V1194">
        <v>22.2</v>
      </c>
    </row>
    <row r="1195" spans="1:22" x14ac:dyDescent="0.25">
      <c r="A1195" t="s">
        <v>278</v>
      </c>
      <c r="B1195" t="s">
        <v>90</v>
      </c>
      <c r="C1195">
        <v>18</v>
      </c>
      <c r="D1195" t="s">
        <v>140</v>
      </c>
      <c r="E1195" t="s">
        <v>78</v>
      </c>
      <c r="F1195" t="s">
        <v>32</v>
      </c>
      <c r="G1195">
        <v>0.56000000000000005</v>
      </c>
      <c r="H1195" t="s">
        <v>26</v>
      </c>
      <c r="I1195">
        <v>0</v>
      </c>
      <c r="J1195" s="4" t="str">
        <f>HYPERLINK("https://www.eliteprospects.com/player/476699/reid-pabich")</f>
        <v>https://www.eliteprospects.com/player/476699/reid-pabich</v>
      </c>
      <c r="K1195" t="s">
        <v>27</v>
      </c>
      <c r="L1195" t="s">
        <v>28</v>
      </c>
      <c r="M1195" t="s">
        <v>42</v>
      </c>
      <c r="N1195">
        <v>4</v>
      </c>
      <c r="O1195" t="s">
        <v>30</v>
      </c>
      <c r="P1195">
        <v>0.11</v>
      </c>
      <c r="Q1195" t="s">
        <v>135</v>
      </c>
      <c r="R1195">
        <v>20</v>
      </c>
      <c r="S1195">
        <v>40</v>
      </c>
      <c r="T1195">
        <v>0</v>
      </c>
      <c r="U1195">
        <v>20</v>
      </c>
      <c r="V1195">
        <v>20</v>
      </c>
    </row>
    <row r="1196" spans="1:22" x14ac:dyDescent="0.25">
      <c r="A1196" t="s">
        <v>284</v>
      </c>
      <c r="B1196" t="s">
        <v>90</v>
      </c>
      <c r="C1196">
        <v>18</v>
      </c>
      <c r="D1196" t="s">
        <v>79</v>
      </c>
      <c r="E1196" t="s">
        <v>26</v>
      </c>
      <c r="F1196" t="s">
        <v>32</v>
      </c>
      <c r="G1196">
        <v>0.56000000000000005</v>
      </c>
      <c r="H1196" t="s">
        <v>23</v>
      </c>
      <c r="I1196">
        <v>-1</v>
      </c>
      <c r="J1196" s="4" t="str">
        <f>HYPERLINK("https://www.eliteprospects.com/player/290165/stephane-huard")</f>
        <v>https://www.eliteprospects.com/player/290165/stephane-huard</v>
      </c>
      <c r="K1196" t="s">
        <v>27</v>
      </c>
      <c r="L1196" t="s">
        <v>28</v>
      </c>
      <c r="M1196" t="s">
        <v>42</v>
      </c>
      <c r="N1196">
        <v>6</v>
      </c>
      <c r="O1196" t="s">
        <v>285</v>
      </c>
      <c r="P1196">
        <v>0.11</v>
      </c>
      <c r="Q1196" t="s">
        <v>135</v>
      </c>
      <c r="R1196">
        <v>20</v>
      </c>
      <c r="S1196">
        <v>40</v>
      </c>
      <c r="T1196">
        <v>0</v>
      </c>
      <c r="U1196">
        <v>20</v>
      </c>
      <c r="V1196">
        <v>20</v>
      </c>
    </row>
    <row r="1197" spans="1:22" x14ac:dyDescent="0.25">
      <c r="A1197" t="s">
        <v>330</v>
      </c>
      <c r="B1197" t="s">
        <v>90</v>
      </c>
      <c r="C1197">
        <v>12</v>
      </c>
      <c r="D1197" t="s">
        <v>66</v>
      </c>
      <c r="E1197" t="s">
        <v>140</v>
      </c>
      <c r="F1197" t="s">
        <v>78</v>
      </c>
      <c r="G1197">
        <v>0.57999999999999996</v>
      </c>
      <c r="H1197" t="s">
        <v>26</v>
      </c>
      <c r="I1197">
        <v>1</v>
      </c>
      <c r="J1197" s="4" t="str">
        <f>HYPERLINK("https://www.eliteprospects.com/player/646122/gavin-bryant")</f>
        <v>https://www.eliteprospects.com/player/646122/gavin-bryant</v>
      </c>
      <c r="K1197" t="s">
        <v>27</v>
      </c>
      <c r="L1197" t="s">
        <v>28</v>
      </c>
      <c r="M1197" t="s">
        <v>42</v>
      </c>
      <c r="N1197">
        <v>5</v>
      </c>
      <c r="O1197" t="s">
        <v>147</v>
      </c>
      <c r="P1197">
        <v>0.11</v>
      </c>
      <c r="Q1197" t="s">
        <v>135</v>
      </c>
      <c r="R1197">
        <v>20</v>
      </c>
      <c r="S1197">
        <v>40</v>
      </c>
      <c r="T1197">
        <v>20</v>
      </c>
      <c r="U1197">
        <v>0</v>
      </c>
      <c r="V1197">
        <v>20</v>
      </c>
    </row>
    <row r="1198" spans="1:22" x14ac:dyDescent="0.25">
      <c r="A1198" t="s">
        <v>336</v>
      </c>
      <c r="B1198" t="s">
        <v>90</v>
      </c>
      <c r="C1198">
        <v>17</v>
      </c>
      <c r="D1198" t="s">
        <v>140</v>
      </c>
      <c r="E1198" t="s">
        <v>66</v>
      </c>
      <c r="F1198" t="s">
        <v>78</v>
      </c>
      <c r="G1198">
        <v>0.41</v>
      </c>
      <c r="H1198" t="s">
        <v>132</v>
      </c>
      <c r="I1198">
        <v>0</v>
      </c>
      <c r="J1198" s="4" t="str">
        <f>HYPERLINK("https://www.eliteprospects.com/player/425514/ray-fust")</f>
        <v>https://www.eliteprospects.com/player/425514/ray-fust</v>
      </c>
      <c r="K1198" t="s">
        <v>27</v>
      </c>
      <c r="L1198" t="s">
        <v>28</v>
      </c>
      <c r="M1198" t="s">
        <v>70</v>
      </c>
      <c r="N1198">
        <v>4</v>
      </c>
      <c r="O1198" t="s">
        <v>30</v>
      </c>
      <c r="P1198">
        <v>0.08</v>
      </c>
      <c r="Q1198" t="s">
        <v>1277</v>
      </c>
      <c r="R1198">
        <v>16.7</v>
      </c>
      <c r="S1198">
        <v>16.7</v>
      </c>
      <c r="T1198">
        <v>25</v>
      </c>
      <c r="U1198">
        <v>16.7</v>
      </c>
      <c r="V1198">
        <v>25</v>
      </c>
    </row>
    <row r="1199" spans="1:22" x14ac:dyDescent="0.25">
      <c r="A1199" t="s">
        <v>360</v>
      </c>
      <c r="B1199" t="s">
        <v>90</v>
      </c>
      <c r="C1199">
        <v>17</v>
      </c>
      <c r="D1199" t="s">
        <v>140</v>
      </c>
      <c r="E1199" t="s">
        <v>140</v>
      </c>
      <c r="F1199" t="s">
        <v>57</v>
      </c>
      <c r="G1199">
        <v>0.35</v>
      </c>
      <c r="H1199" t="s">
        <v>132</v>
      </c>
      <c r="I1199">
        <v>-4</v>
      </c>
      <c r="J1199" s="4" t="str">
        <f>HYPERLINK("https://www.eliteprospects.com/player/402762/joshua-barnes")</f>
        <v>https://www.eliteprospects.com/player/402762/joshua-barnes</v>
      </c>
      <c r="K1199" t="s">
        <v>27</v>
      </c>
      <c r="L1199" t="s">
        <v>28</v>
      </c>
      <c r="M1199" t="s">
        <v>42</v>
      </c>
      <c r="N1199">
        <v>4</v>
      </c>
      <c r="O1199" t="s">
        <v>30</v>
      </c>
      <c r="P1199">
        <v>7.0000000000000007E-2</v>
      </c>
      <c r="Q1199" t="s">
        <v>135</v>
      </c>
      <c r="R1199">
        <v>0</v>
      </c>
      <c r="S1199">
        <v>33.299999999999997</v>
      </c>
      <c r="T1199">
        <v>23.8</v>
      </c>
      <c r="U1199">
        <v>9.5</v>
      </c>
      <c r="V1199">
        <v>33.299999999999997</v>
      </c>
    </row>
    <row r="1200" spans="1:22" x14ac:dyDescent="0.25">
      <c r="A1200" t="s">
        <v>377</v>
      </c>
      <c r="B1200" t="s">
        <v>90</v>
      </c>
      <c r="C1200">
        <v>17</v>
      </c>
      <c r="D1200" t="s">
        <v>140</v>
      </c>
      <c r="E1200" t="s">
        <v>79</v>
      </c>
      <c r="F1200" t="s">
        <v>96</v>
      </c>
      <c r="G1200">
        <v>0.28999999999999998</v>
      </c>
      <c r="H1200" t="s">
        <v>79</v>
      </c>
      <c r="I1200">
        <v>4</v>
      </c>
      <c r="J1200" s="4" t="str">
        <f>HYPERLINK("https://www.eliteprospects.com/player/478311/vitaly-levyy")</f>
        <v>https://www.eliteprospects.com/player/478311/vitaly-levyy</v>
      </c>
      <c r="K1200" t="s">
        <v>27</v>
      </c>
      <c r="L1200" t="s">
        <v>28</v>
      </c>
      <c r="M1200" t="s">
        <v>35</v>
      </c>
      <c r="N1200">
        <v>2</v>
      </c>
      <c r="O1200" t="s">
        <v>43</v>
      </c>
      <c r="P1200">
        <v>0.06</v>
      </c>
      <c r="Q1200" t="s">
        <v>245</v>
      </c>
      <c r="R1200">
        <v>14.3</v>
      </c>
      <c r="S1200">
        <v>28.6</v>
      </c>
      <c r="T1200">
        <v>0</v>
      </c>
      <c r="U1200">
        <v>14.3</v>
      </c>
      <c r="V1200">
        <v>42.9</v>
      </c>
    </row>
    <row r="1201" spans="1:22" x14ac:dyDescent="0.25">
      <c r="A1201" t="s">
        <v>398</v>
      </c>
      <c r="B1201" t="s">
        <v>90</v>
      </c>
      <c r="C1201">
        <v>17</v>
      </c>
      <c r="D1201" t="s">
        <v>140</v>
      </c>
      <c r="E1201" t="s">
        <v>260</v>
      </c>
      <c r="F1201" t="s">
        <v>66</v>
      </c>
      <c r="G1201">
        <v>0.24</v>
      </c>
      <c r="H1201" t="s">
        <v>57</v>
      </c>
      <c r="I1201">
        <v>6</v>
      </c>
      <c r="J1201" s="4" t="str">
        <f>HYPERLINK("https://www.eliteprospects.com/player/503289/cole-galata")</f>
        <v>https://www.eliteprospects.com/player/503289/cole-galata</v>
      </c>
      <c r="K1201" t="s">
        <v>27</v>
      </c>
      <c r="L1201" t="s">
        <v>28</v>
      </c>
      <c r="M1201" t="s">
        <v>35</v>
      </c>
      <c r="N1201">
        <v>3</v>
      </c>
      <c r="O1201" t="s">
        <v>74</v>
      </c>
      <c r="P1201">
        <v>0.05</v>
      </c>
      <c r="Q1201" t="s">
        <v>245</v>
      </c>
      <c r="R1201">
        <v>0</v>
      </c>
      <c r="S1201">
        <v>25</v>
      </c>
      <c r="T1201">
        <v>0</v>
      </c>
      <c r="U1201">
        <v>25</v>
      </c>
      <c r="V1201">
        <v>50</v>
      </c>
    </row>
    <row r="1202" spans="1:22" x14ac:dyDescent="0.25">
      <c r="A1202" t="s">
        <v>407</v>
      </c>
      <c r="B1202" t="s">
        <v>90</v>
      </c>
      <c r="C1202">
        <v>16</v>
      </c>
      <c r="D1202" t="s">
        <v>79</v>
      </c>
      <c r="E1202" t="s">
        <v>79</v>
      </c>
      <c r="F1202" t="s">
        <v>66</v>
      </c>
      <c r="G1202">
        <v>0.25</v>
      </c>
      <c r="H1202" t="s">
        <v>66</v>
      </c>
      <c r="I1202">
        <v>-1</v>
      </c>
      <c r="J1202" s="4" t="str">
        <f>HYPERLINK("https://www.eliteprospects.com/player/294559/ethan-wolthers")</f>
        <v>https://www.eliteprospects.com/player/294559/ethan-wolthers</v>
      </c>
      <c r="K1202" t="s">
        <v>27</v>
      </c>
      <c r="L1202" t="s">
        <v>28</v>
      </c>
      <c r="M1202" t="s">
        <v>35</v>
      </c>
      <c r="N1202">
        <v>4</v>
      </c>
      <c r="O1202" t="s">
        <v>30</v>
      </c>
      <c r="P1202">
        <v>0.05</v>
      </c>
      <c r="Q1202" t="s">
        <v>245</v>
      </c>
      <c r="R1202">
        <v>9.1</v>
      </c>
      <c r="S1202">
        <v>18.2</v>
      </c>
      <c r="T1202">
        <v>9.1</v>
      </c>
      <c r="U1202">
        <v>13.6</v>
      </c>
      <c r="V1202">
        <v>50</v>
      </c>
    </row>
    <row r="1203" spans="1:22" x14ac:dyDescent="0.25">
      <c r="A1203" t="s">
        <v>441</v>
      </c>
      <c r="B1203" t="s">
        <v>90</v>
      </c>
      <c r="C1203">
        <v>15</v>
      </c>
      <c r="D1203" t="s">
        <v>132</v>
      </c>
      <c r="E1203" t="s">
        <v>140</v>
      </c>
      <c r="F1203" t="s">
        <v>140</v>
      </c>
      <c r="G1203">
        <v>0.2</v>
      </c>
      <c r="H1203" t="s">
        <v>132</v>
      </c>
      <c r="I1203">
        <v>0</v>
      </c>
      <c r="J1203" s="4" t="str">
        <f>HYPERLINK("https://www.eliteprospects.com/player/614388/jake-bongo")</f>
        <v>https://www.eliteprospects.com/player/614388/jake-bongo</v>
      </c>
      <c r="K1203" t="s">
        <v>27</v>
      </c>
      <c r="L1203" t="s">
        <v>28</v>
      </c>
      <c r="M1203" t="s">
        <v>35</v>
      </c>
      <c r="N1203">
        <v>3</v>
      </c>
      <c r="O1203" t="s">
        <v>74</v>
      </c>
      <c r="P1203">
        <v>0.04</v>
      </c>
      <c r="Q1203" t="s">
        <v>245</v>
      </c>
      <c r="R1203">
        <v>9.1</v>
      </c>
      <c r="S1203">
        <v>18.2</v>
      </c>
      <c r="T1203">
        <v>9.1</v>
      </c>
      <c r="U1203">
        <v>13.6</v>
      </c>
      <c r="V1203">
        <v>50</v>
      </c>
    </row>
    <row r="1204" spans="1:22" x14ac:dyDescent="0.25">
      <c r="A1204" t="s">
        <v>470</v>
      </c>
      <c r="B1204" t="s">
        <v>90</v>
      </c>
      <c r="C1204">
        <v>12</v>
      </c>
      <c r="D1204" t="s">
        <v>132</v>
      </c>
      <c r="E1204" t="s">
        <v>260</v>
      </c>
      <c r="F1204" t="s">
        <v>260</v>
      </c>
      <c r="G1204">
        <v>0.08</v>
      </c>
      <c r="H1204" t="s">
        <v>32</v>
      </c>
      <c r="I1204">
        <v>0</v>
      </c>
      <c r="J1204" s="4" t="str">
        <f>HYPERLINK("https://www.eliteprospects.com/player/485476/jeremi-tremblay")</f>
        <v>https://www.eliteprospects.com/player/485476/jeremi-tremblay</v>
      </c>
      <c r="K1204" t="s">
        <v>27</v>
      </c>
      <c r="L1204" t="s">
        <v>28</v>
      </c>
      <c r="M1204" t="s">
        <v>35</v>
      </c>
      <c r="N1204">
        <v>2</v>
      </c>
      <c r="O1204" t="s">
        <v>43</v>
      </c>
      <c r="P1204">
        <v>0.02</v>
      </c>
      <c r="Q1204" t="s">
        <v>245</v>
      </c>
      <c r="R1204">
        <v>9.1</v>
      </c>
      <c r="S1204">
        <v>18.2</v>
      </c>
      <c r="T1204">
        <v>9.1</v>
      </c>
      <c r="U1204">
        <v>13.6</v>
      </c>
      <c r="V1204">
        <v>50</v>
      </c>
    </row>
    <row r="1205" spans="1:22" x14ac:dyDescent="0.25">
      <c r="A1205" t="s">
        <v>495</v>
      </c>
      <c r="B1205" t="s">
        <v>496</v>
      </c>
      <c r="C1205">
        <v>38</v>
      </c>
      <c r="D1205" t="s">
        <v>60</v>
      </c>
      <c r="E1205" t="s">
        <v>25</v>
      </c>
      <c r="F1205" t="s">
        <v>497</v>
      </c>
      <c r="G1205">
        <v>1.29</v>
      </c>
      <c r="H1205" t="s">
        <v>280</v>
      </c>
      <c r="I1205">
        <v>-5</v>
      </c>
      <c r="J1205" s="4" t="str">
        <f>HYPERLINK("https://www.eliteprospects.com/player/679576/egor-barabanov")</f>
        <v>https://www.eliteprospects.com/player/679576/egor-barabanov</v>
      </c>
      <c r="K1205" t="s">
        <v>27</v>
      </c>
      <c r="L1205" t="s">
        <v>485</v>
      </c>
      <c r="M1205" t="s">
        <v>35</v>
      </c>
      <c r="N1205">
        <v>1</v>
      </c>
      <c r="O1205" t="s">
        <v>494</v>
      </c>
      <c r="P1205">
        <v>0.19</v>
      </c>
      <c r="Q1205" t="s">
        <v>1276</v>
      </c>
      <c r="R1205">
        <v>0</v>
      </c>
      <c r="S1205">
        <v>0</v>
      </c>
      <c r="T1205">
        <v>0</v>
      </c>
      <c r="U1205">
        <v>100</v>
      </c>
      <c r="V1205">
        <v>0</v>
      </c>
    </row>
    <row r="1206" spans="1:22" x14ac:dyDescent="0.25">
      <c r="A1206" t="s">
        <v>502</v>
      </c>
      <c r="B1206" t="s">
        <v>496</v>
      </c>
      <c r="C1206">
        <v>37</v>
      </c>
      <c r="D1206" t="s">
        <v>47</v>
      </c>
      <c r="E1206" t="s">
        <v>75</v>
      </c>
      <c r="F1206" t="s">
        <v>503</v>
      </c>
      <c r="G1206">
        <v>1.27</v>
      </c>
      <c r="H1206" t="s">
        <v>84</v>
      </c>
      <c r="I1206">
        <v>2</v>
      </c>
      <c r="J1206" s="4" t="str">
        <f>HYPERLINK("https://www.eliteprospects.com/player/895869/nikita-klepov")</f>
        <v>https://www.eliteprospects.com/player/895869/nikita-klepov</v>
      </c>
      <c r="K1206" t="s">
        <v>27</v>
      </c>
      <c r="L1206" t="s">
        <v>485</v>
      </c>
      <c r="M1206" t="s">
        <v>35</v>
      </c>
      <c r="N1206">
        <v>1</v>
      </c>
      <c r="O1206" t="s">
        <v>494</v>
      </c>
      <c r="P1206">
        <v>0.18</v>
      </c>
      <c r="Q1206" t="s">
        <v>31</v>
      </c>
      <c r="R1206">
        <v>33.299999999999997</v>
      </c>
      <c r="S1206">
        <v>0</v>
      </c>
      <c r="T1206">
        <v>33.299999999999997</v>
      </c>
      <c r="U1206">
        <v>0</v>
      </c>
      <c r="V1206">
        <v>33.299999999999997</v>
      </c>
    </row>
    <row r="1207" spans="1:22" x14ac:dyDescent="0.25">
      <c r="A1207" t="s">
        <v>528</v>
      </c>
      <c r="B1207" t="s">
        <v>496</v>
      </c>
      <c r="C1207">
        <v>30</v>
      </c>
      <c r="D1207" t="s">
        <v>51</v>
      </c>
      <c r="E1207" t="s">
        <v>41</v>
      </c>
      <c r="F1207" t="s">
        <v>178</v>
      </c>
      <c r="G1207">
        <v>1.1299999999999999</v>
      </c>
      <c r="H1207" t="s">
        <v>529</v>
      </c>
      <c r="I1207">
        <v>1</v>
      </c>
      <c r="J1207" s="4" t="str">
        <f>HYPERLINK("https://www.eliteprospects.com/player/628093/dima-zhilkin")</f>
        <v>https://www.eliteprospects.com/player/628093/dima-zhilkin</v>
      </c>
      <c r="K1207" t="s">
        <v>27</v>
      </c>
      <c r="L1207" t="s">
        <v>485</v>
      </c>
      <c r="M1207" t="s">
        <v>29</v>
      </c>
      <c r="N1207">
        <v>2</v>
      </c>
      <c r="O1207" t="s">
        <v>501</v>
      </c>
      <c r="P1207">
        <v>0.16</v>
      </c>
      <c r="Q1207" t="s">
        <v>1277</v>
      </c>
      <c r="R1207">
        <v>0</v>
      </c>
      <c r="S1207">
        <v>33.299999999999997</v>
      </c>
      <c r="T1207">
        <v>50</v>
      </c>
      <c r="U1207">
        <v>16.7</v>
      </c>
      <c r="V1207">
        <v>0</v>
      </c>
    </row>
    <row r="1208" spans="1:22" x14ac:dyDescent="0.25">
      <c r="A1208" t="s">
        <v>551</v>
      </c>
      <c r="B1208" t="s">
        <v>496</v>
      </c>
      <c r="C1208">
        <v>35</v>
      </c>
      <c r="D1208" t="s">
        <v>26</v>
      </c>
      <c r="E1208" t="s">
        <v>60</v>
      </c>
      <c r="F1208" t="s">
        <v>75</v>
      </c>
      <c r="G1208">
        <v>0.71</v>
      </c>
      <c r="H1208" t="s">
        <v>24</v>
      </c>
      <c r="I1208">
        <v>-4</v>
      </c>
      <c r="J1208" s="4" t="str">
        <f>HYPERLINK("https://www.eliteprospects.com/player/876175/jacob-cloutier")</f>
        <v>https://www.eliteprospects.com/player/876175/jacob-cloutier</v>
      </c>
      <c r="K1208" t="s">
        <v>27</v>
      </c>
      <c r="L1208" t="s">
        <v>485</v>
      </c>
      <c r="M1208" t="s">
        <v>29</v>
      </c>
      <c r="N1208">
        <v>3</v>
      </c>
      <c r="O1208" t="s">
        <v>492</v>
      </c>
      <c r="P1208">
        <v>0.1</v>
      </c>
      <c r="Q1208" t="s">
        <v>245</v>
      </c>
      <c r="R1208">
        <v>0</v>
      </c>
      <c r="S1208">
        <v>33.299999999999997</v>
      </c>
      <c r="T1208">
        <v>0</v>
      </c>
      <c r="U1208">
        <v>0</v>
      </c>
      <c r="V1208">
        <v>66.7</v>
      </c>
    </row>
    <row r="1209" spans="1:22" x14ac:dyDescent="0.25">
      <c r="A1209" t="s">
        <v>558</v>
      </c>
      <c r="B1209" t="s">
        <v>496</v>
      </c>
      <c r="C1209">
        <v>36</v>
      </c>
      <c r="D1209" t="s">
        <v>32</v>
      </c>
      <c r="E1209" t="s">
        <v>65</v>
      </c>
      <c r="F1209" t="s">
        <v>84</v>
      </c>
      <c r="G1209">
        <v>0.64</v>
      </c>
      <c r="H1209" t="s">
        <v>280</v>
      </c>
      <c r="I1209">
        <v>0</v>
      </c>
      <c r="J1209" s="4" t="str">
        <f>HYPERLINK("https://www.eliteprospects.com/player/577210/carson-harmer")</f>
        <v>https://www.eliteprospects.com/player/577210/carson-harmer</v>
      </c>
      <c r="K1209" t="s">
        <v>27</v>
      </c>
      <c r="L1209" t="s">
        <v>485</v>
      </c>
      <c r="M1209" t="s">
        <v>42</v>
      </c>
      <c r="N1209">
        <v>3</v>
      </c>
      <c r="O1209" t="s">
        <v>492</v>
      </c>
      <c r="P1209">
        <v>0.09</v>
      </c>
      <c r="Q1209" t="s">
        <v>1277</v>
      </c>
      <c r="R1209">
        <v>16.7</v>
      </c>
      <c r="S1209">
        <v>16.7</v>
      </c>
      <c r="T1209">
        <v>25</v>
      </c>
      <c r="U1209">
        <v>16.7</v>
      </c>
      <c r="V1209">
        <v>25</v>
      </c>
    </row>
    <row r="1210" spans="1:22" x14ac:dyDescent="0.25">
      <c r="A1210" t="s">
        <v>585</v>
      </c>
      <c r="B1210" t="s">
        <v>496</v>
      </c>
      <c r="C1210">
        <v>37</v>
      </c>
      <c r="D1210" t="s">
        <v>26</v>
      </c>
      <c r="E1210" t="s">
        <v>78</v>
      </c>
      <c r="F1210" t="s">
        <v>41</v>
      </c>
      <c r="G1210">
        <v>0.41</v>
      </c>
      <c r="H1210" t="s">
        <v>23</v>
      </c>
      <c r="I1210">
        <v>-6</v>
      </c>
      <c r="J1210" s="4" t="str">
        <f>HYPERLINK("https://www.eliteprospects.com/player/914141/brody-pepoy")</f>
        <v>https://www.eliteprospects.com/player/914141/brody-pepoy</v>
      </c>
      <c r="K1210" t="s">
        <v>27</v>
      </c>
      <c r="L1210" t="s">
        <v>485</v>
      </c>
      <c r="M1210" t="s">
        <v>35</v>
      </c>
      <c r="N1210">
        <v>1</v>
      </c>
      <c r="O1210" t="s">
        <v>494</v>
      </c>
      <c r="P1210">
        <v>0.06</v>
      </c>
      <c r="Q1210" t="s">
        <v>245</v>
      </c>
      <c r="R1210">
        <v>0</v>
      </c>
      <c r="S1210">
        <v>15.4</v>
      </c>
      <c r="T1210">
        <v>7.7</v>
      </c>
      <c r="U1210">
        <v>30.8</v>
      </c>
      <c r="V1210">
        <v>46.2</v>
      </c>
    </row>
    <row r="1211" spans="1:22" x14ac:dyDescent="0.25">
      <c r="A1211" t="s">
        <v>610</v>
      </c>
      <c r="B1211" t="s">
        <v>496</v>
      </c>
      <c r="C1211">
        <v>16</v>
      </c>
      <c r="D1211" t="s">
        <v>260</v>
      </c>
      <c r="E1211" t="s">
        <v>66</v>
      </c>
      <c r="F1211" t="s">
        <v>96</v>
      </c>
      <c r="G1211">
        <v>0.31</v>
      </c>
      <c r="H1211" t="s">
        <v>79</v>
      </c>
      <c r="I1211">
        <v>-10</v>
      </c>
      <c r="J1211" s="4" t="str">
        <f>HYPERLINK("https://www.eliteprospects.com/player/701456/ryan-hanrahan")</f>
        <v>https://www.eliteprospects.com/player/701456/ryan-hanrahan</v>
      </c>
      <c r="K1211" t="s">
        <v>27</v>
      </c>
      <c r="L1211" t="s">
        <v>485</v>
      </c>
      <c r="M1211" t="s">
        <v>35</v>
      </c>
      <c r="N1211">
        <v>1</v>
      </c>
      <c r="O1211" t="s">
        <v>494</v>
      </c>
      <c r="P1211">
        <v>0.04</v>
      </c>
      <c r="Q1211" t="s">
        <v>245</v>
      </c>
      <c r="R1211">
        <v>13.3</v>
      </c>
      <c r="S1211">
        <v>13.3</v>
      </c>
      <c r="T1211">
        <v>0</v>
      </c>
      <c r="U1211">
        <v>13.3</v>
      </c>
      <c r="V1211">
        <v>60</v>
      </c>
    </row>
    <row r="1212" spans="1:22" x14ac:dyDescent="0.25">
      <c r="A1212" t="s">
        <v>616</v>
      </c>
      <c r="B1212" t="s">
        <v>496</v>
      </c>
      <c r="C1212">
        <v>28</v>
      </c>
      <c r="D1212" t="s">
        <v>260</v>
      </c>
      <c r="E1212" t="s">
        <v>79</v>
      </c>
      <c r="F1212" t="s">
        <v>140</v>
      </c>
      <c r="G1212">
        <v>0.11</v>
      </c>
      <c r="H1212" t="s">
        <v>26</v>
      </c>
      <c r="I1212">
        <v>-6</v>
      </c>
      <c r="J1212" s="4" t="str">
        <f>HYPERLINK("https://www.eliteprospects.com/player/597850/liam-storch")</f>
        <v>https://www.eliteprospects.com/player/597850/liam-storch</v>
      </c>
      <c r="K1212" t="s">
        <v>27</v>
      </c>
      <c r="L1212" t="s">
        <v>485</v>
      </c>
      <c r="M1212" t="s">
        <v>35</v>
      </c>
      <c r="N1212">
        <v>4</v>
      </c>
      <c r="O1212" t="s">
        <v>486</v>
      </c>
      <c r="P1212">
        <v>0.02</v>
      </c>
      <c r="Q1212" t="s">
        <v>245</v>
      </c>
      <c r="R1212">
        <v>13.3</v>
      </c>
      <c r="S1212">
        <v>13.3</v>
      </c>
      <c r="T1212">
        <v>0</v>
      </c>
      <c r="U1212">
        <v>13.3</v>
      </c>
      <c r="V1212">
        <v>60</v>
      </c>
    </row>
    <row r="1213" spans="1:22" x14ac:dyDescent="0.25">
      <c r="A1213" t="s">
        <v>619</v>
      </c>
      <c r="B1213" t="s">
        <v>496</v>
      </c>
      <c r="C1213">
        <v>15</v>
      </c>
      <c r="D1213" t="s">
        <v>79</v>
      </c>
      <c r="E1213" t="s">
        <v>132</v>
      </c>
      <c r="F1213" t="s">
        <v>79</v>
      </c>
      <c r="G1213">
        <v>0.13</v>
      </c>
      <c r="H1213" t="s">
        <v>66</v>
      </c>
      <c r="I1213">
        <v>-4</v>
      </c>
      <c r="J1213" s="4" t="str">
        <f>HYPERLINK("https://www.eliteprospects.com/player/701484/gensen-geldart")</f>
        <v>https://www.eliteprospects.com/player/701484/gensen-geldart</v>
      </c>
      <c r="K1213" t="s">
        <v>27</v>
      </c>
      <c r="L1213" t="s">
        <v>485</v>
      </c>
      <c r="M1213" t="s">
        <v>35</v>
      </c>
      <c r="N1213">
        <v>1</v>
      </c>
      <c r="O1213" t="s">
        <v>494</v>
      </c>
      <c r="P1213">
        <v>0.02</v>
      </c>
      <c r="Q1213" t="s">
        <v>245</v>
      </c>
      <c r="R1213">
        <v>9.1</v>
      </c>
      <c r="S1213">
        <v>18.2</v>
      </c>
      <c r="T1213">
        <v>9.1</v>
      </c>
      <c r="U1213">
        <v>13.6</v>
      </c>
      <c r="V1213">
        <v>50</v>
      </c>
    </row>
    <row r="1214" spans="1:22" x14ac:dyDescent="0.25">
      <c r="A1214" t="s">
        <v>625</v>
      </c>
      <c r="B1214" t="s">
        <v>496</v>
      </c>
      <c r="C1214">
        <v>25</v>
      </c>
      <c r="D1214" t="s">
        <v>132</v>
      </c>
      <c r="E1214" t="s">
        <v>79</v>
      </c>
      <c r="F1214" t="s">
        <v>79</v>
      </c>
      <c r="G1214">
        <v>0.08</v>
      </c>
      <c r="H1214" t="s">
        <v>57</v>
      </c>
      <c r="I1214">
        <v>-11</v>
      </c>
      <c r="J1214" s="4" t="str">
        <f>HYPERLINK("https://www.eliteprospects.com/player/914173/trevor-theuer")</f>
        <v>https://www.eliteprospects.com/player/914173/trevor-theuer</v>
      </c>
      <c r="K1214" t="s">
        <v>27</v>
      </c>
      <c r="L1214" t="s">
        <v>485</v>
      </c>
      <c r="M1214" t="s">
        <v>42</v>
      </c>
      <c r="N1214">
        <v>2</v>
      </c>
      <c r="O1214" t="s">
        <v>501</v>
      </c>
      <c r="P1214">
        <v>0.01</v>
      </c>
      <c r="Q1214" t="s">
        <v>245</v>
      </c>
      <c r="R1214">
        <v>13.3</v>
      </c>
      <c r="S1214">
        <v>13.3</v>
      </c>
      <c r="T1214">
        <v>0</v>
      </c>
      <c r="U1214">
        <v>13.3</v>
      </c>
      <c r="V1214">
        <v>60</v>
      </c>
    </row>
    <row r="1215" spans="1:22" x14ac:dyDescent="0.25">
      <c r="A1215" t="s">
        <v>627</v>
      </c>
      <c r="B1215" t="s">
        <v>496</v>
      </c>
      <c r="C1215">
        <v>19</v>
      </c>
      <c r="D1215" t="s">
        <v>132</v>
      </c>
      <c r="E1215" t="s">
        <v>260</v>
      </c>
      <c r="F1215" t="s">
        <v>260</v>
      </c>
      <c r="G1215">
        <v>0.05</v>
      </c>
      <c r="H1215" t="s">
        <v>132</v>
      </c>
      <c r="I1215">
        <v>-2</v>
      </c>
      <c r="J1215" s="4" t="str">
        <f>HYPERLINK("https://www.eliteprospects.com/player/874045/juraj-rausa")</f>
        <v>https://www.eliteprospects.com/player/874045/juraj-rausa</v>
      </c>
      <c r="K1215" t="s">
        <v>27</v>
      </c>
      <c r="L1215" t="s">
        <v>485</v>
      </c>
      <c r="M1215" t="s">
        <v>35</v>
      </c>
      <c r="N1215">
        <v>1</v>
      </c>
      <c r="O1215" t="s">
        <v>494</v>
      </c>
      <c r="P1215">
        <v>0.01</v>
      </c>
      <c r="Q1215" t="s">
        <v>245</v>
      </c>
      <c r="R1215">
        <v>9.1</v>
      </c>
      <c r="S1215">
        <v>18.2</v>
      </c>
      <c r="T1215">
        <v>9.1</v>
      </c>
      <c r="U1215">
        <v>13.6</v>
      </c>
      <c r="V1215">
        <v>50</v>
      </c>
    </row>
    <row r="1216" spans="1:22" x14ac:dyDescent="0.25">
      <c r="A1216" t="s">
        <v>628</v>
      </c>
      <c r="B1216" t="s">
        <v>496</v>
      </c>
      <c r="C1216">
        <v>24</v>
      </c>
      <c r="D1216" t="s">
        <v>132</v>
      </c>
      <c r="E1216" t="s">
        <v>132</v>
      </c>
      <c r="F1216" t="s">
        <v>132</v>
      </c>
      <c r="G1216">
        <v>0</v>
      </c>
      <c r="H1216" t="s">
        <v>57</v>
      </c>
      <c r="I1216">
        <v>-6</v>
      </c>
      <c r="J1216" s="4" t="str">
        <f>HYPERLINK("https://www.eliteprospects.com/player/806027/miroslav-satan")</f>
        <v>https://www.eliteprospects.com/player/806027/miroslav-satan</v>
      </c>
      <c r="K1216" t="s">
        <v>27</v>
      </c>
      <c r="L1216" t="s">
        <v>485</v>
      </c>
      <c r="M1216" t="s">
        <v>76</v>
      </c>
      <c r="N1216">
        <v>2</v>
      </c>
      <c r="O1216" t="s">
        <v>629</v>
      </c>
      <c r="P1216">
        <v>0</v>
      </c>
      <c r="Q1216" t="s">
        <v>245</v>
      </c>
      <c r="R1216">
        <v>13.3</v>
      </c>
      <c r="S1216">
        <v>13.3</v>
      </c>
      <c r="T1216">
        <v>0</v>
      </c>
      <c r="U1216">
        <v>13.3</v>
      </c>
      <c r="V1216">
        <v>60</v>
      </c>
    </row>
    <row r="1217" spans="1:22" x14ac:dyDescent="0.25">
      <c r="A1217" t="s">
        <v>827</v>
      </c>
      <c r="B1217" t="s">
        <v>828</v>
      </c>
      <c r="C1217">
        <v>36</v>
      </c>
      <c r="D1217" t="s">
        <v>69</v>
      </c>
      <c r="E1217" t="s">
        <v>84</v>
      </c>
      <c r="F1217" t="s">
        <v>178</v>
      </c>
      <c r="G1217">
        <v>0.94</v>
      </c>
      <c r="H1217" t="s">
        <v>32</v>
      </c>
      <c r="I1217">
        <v>-7</v>
      </c>
      <c r="J1217" s="4" t="str">
        <f>HYPERLINK("https://www.eliteprospects.com/player/755179/olivier-groulx")</f>
        <v>https://www.eliteprospects.com/player/755179/olivier-groulx</v>
      </c>
      <c r="K1217" t="s">
        <v>27</v>
      </c>
      <c r="L1217" t="s">
        <v>804</v>
      </c>
      <c r="M1217" t="s">
        <v>91</v>
      </c>
      <c r="N1217">
        <v>3</v>
      </c>
      <c r="O1217" t="s">
        <v>805</v>
      </c>
      <c r="P1217">
        <v>0.11</v>
      </c>
      <c r="Q1217" t="s">
        <v>135</v>
      </c>
      <c r="R1217">
        <v>0</v>
      </c>
      <c r="S1217">
        <v>35.700000000000003</v>
      </c>
      <c r="T1217">
        <v>0</v>
      </c>
      <c r="U1217">
        <v>28.6</v>
      </c>
      <c r="V1217">
        <v>35.700000000000003</v>
      </c>
    </row>
    <row r="1218" spans="1:22" x14ac:dyDescent="0.25">
      <c r="A1218" t="s">
        <v>829</v>
      </c>
      <c r="B1218" t="s">
        <v>828</v>
      </c>
      <c r="C1218">
        <v>30</v>
      </c>
      <c r="D1218" t="s">
        <v>60</v>
      </c>
      <c r="E1218" t="s">
        <v>38</v>
      </c>
      <c r="F1218" t="s">
        <v>269</v>
      </c>
      <c r="G1218">
        <v>1.1000000000000001</v>
      </c>
      <c r="H1218" t="s">
        <v>47</v>
      </c>
      <c r="I1218">
        <v>-1</v>
      </c>
      <c r="J1218" s="4" t="str">
        <f>HYPERLINK("https://www.eliteprospects.com/player/701451/alexis-joseph")</f>
        <v>https://www.eliteprospects.com/player/701451/alexis-joseph</v>
      </c>
      <c r="K1218" t="s">
        <v>27</v>
      </c>
      <c r="L1218" t="s">
        <v>804</v>
      </c>
      <c r="M1218" t="s">
        <v>42</v>
      </c>
      <c r="N1218">
        <v>1</v>
      </c>
      <c r="O1218" t="s">
        <v>816</v>
      </c>
      <c r="P1218">
        <v>0.12</v>
      </c>
      <c r="Q1218" t="s">
        <v>135</v>
      </c>
      <c r="R1218">
        <v>11.1</v>
      </c>
      <c r="S1218">
        <v>44.4</v>
      </c>
      <c r="T1218">
        <v>11.1</v>
      </c>
      <c r="U1218">
        <v>11.1</v>
      </c>
      <c r="V1218">
        <v>22.2</v>
      </c>
    </row>
    <row r="1219" spans="1:22" x14ac:dyDescent="0.25">
      <c r="A1219" t="s">
        <v>840</v>
      </c>
      <c r="B1219" t="s">
        <v>828</v>
      </c>
      <c r="C1219">
        <v>36</v>
      </c>
      <c r="D1219" t="s">
        <v>23</v>
      </c>
      <c r="E1219" t="s">
        <v>38</v>
      </c>
      <c r="F1219" t="s">
        <v>52</v>
      </c>
      <c r="G1219">
        <v>0.78</v>
      </c>
      <c r="H1219" t="s">
        <v>66</v>
      </c>
      <c r="I1219">
        <v>-15</v>
      </c>
      <c r="J1219" s="4" t="str">
        <f>HYPERLINK("https://www.eliteprospects.com/player/760882/dylan-rozzi")</f>
        <v>https://www.eliteprospects.com/player/760882/dylan-rozzi</v>
      </c>
      <c r="K1219" t="s">
        <v>27</v>
      </c>
      <c r="L1219" t="s">
        <v>804</v>
      </c>
      <c r="M1219" t="s">
        <v>91</v>
      </c>
      <c r="N1219">
        <v>2</v>
      </c>
      <c r="O1219" t="s">
        <v>825</v>
      </c>
      <c r="P1219">
        <v>0.09</v>
      </c>
      <c r="Q1219" t="s">
        <v>31</v>
      </c>
      <c r="R1219">
        <v>36.4</v>
      </c>
      <c r="S1219">
        <v>9.1</v>
      </c>
      <c r="T1219">
        <v>18.2</v>
      </c>
      <c r="U1219">
        <v>9.1</v>
      </c>
      <c r="V1219">
        <v>27.3</v>
      </c>
    </row>
    <row r="1220" spans="1:22" x14ac:dyDescent="0.25">
      <c r="A1220" t="s">
        <v>844</v>
      </c>
      <c r="B1220" t="s">
        <v>828</v>
      </c>
      <c r="C1220">
        <v>35</v>
      </c>
      <c r="D1220" t="s">
        <v>39</v>
      </c>
      <c r="E1220" t="s">
        <v>23</v>
      </c>
      <c r="F1220" t="s">
        <v>125</v>
      </c>
      <c r="G1220">
        <v>0.74</v>
      </c>
      <c r="H1220" t="s">
        <v>32</v>
      </c>
      <c r="I1220">
        <v>-1</v>
      </c>
      <c r="J1220" s="4" t="str">
        <f>HYPERLINK("https://www.eliteprospects.com/player/577030/alexander-donovan")</f>
        <v>https://www.eliteprospects.com/player/577030/alexander-donovan</v>
      </c>
      <c r="K1220" t="s">
        <v>27</v>
      </c>
      <c r="L1220" t="s">
        <v>804</v>
      </c>
      <c r="M1220" t="s">
        <v>29</v>
      </c>
      <c r="N1220">
        <v>1</v>
      </c>
      <c r="O1220" t="s">
        <v>816</v>
      </c>
      <c r="P1220">
        <v>0.08</v>
      </c>
      <c r="Q1220" t="s">
        <v>1277</v>
      </c>
      <c r="R1220">
        <v>16.7</v>
      </c>
      <c r="S1220">
        <v>16.7</v>
      </c>
      <c r="T1220">
        <v>25</v>
      </c>
      <c r="U1220">
        <v>16.7</v>
      </c>
      <c r="V1220">
        <v>25</v>
      </c>
    </row>
    <row r="1221" spans="1:22" x14ac:dyDescent="0.25">
      <c r="A1221" t="s">
        <v>854</v>
      </c>
      <c r="B1221" t="s">
        <v>828</v>
      </c>
      <c r="C1221">
        <v>36</v>
      </c>
      <c r="D1221" t="s">
        <v>23</v>
      </c>
      <c r="E1221" t="s">
        <v>32</v>
      </c>
      <c r="F1221" t="s">
        <v>47</v>
      </c>
      <c r="G1221">
        <v>0.61</v>
      </c>
      <c r="H1221" t="s">
        <v>125</v>
      </c>
      <c r="I1221">
        <v>4</v>
      </c>
      <c r="J1221" s="4" t="str">
        <f>HYPERLINK("https://www.eliteprospects.com/player/577053/zachary-morin")</f>
        <v>https://www.eliteprospects.com/player/577053/zachary-morin</v>
      </c>
      <c r="K1221" t="s">
        <v>27</v>
      </c>
      <c r="L1221" t="s">
        <v>804</v>
      </c>
      <c r="M1221" t="s">
        <v>91</v>
      </c>
      <c r="N1221">
        <v>2</v>
      </c>
      <c r="O1221" t="s">
        <v>825</v>
      </c>
      <c r="P1221">
        <v>7.0000000000000007E-2</v>
      </c>
      <c r="Q1221" t="s">
        <v>245</v>
      </c>
      <c r="R1221">
        <v>14.3</v>
      </c>
      <c r="S1221">
        <v>28.6</v>
      </c>
      <c r="T1221">
        <v>0</v>
      </c>
      <c r="U1221">
        <v>14.3</v>
      </c>
      <c r="V1221">
        <v>42.9</v>
      </c>
    </row>
    <row r="1222" spans="1:22" x14ac:dyDescent="0.25">
      <c r="A1222" t="s">
        <v>855</v>
      </c>
      <c r="B1222" t="s">
        <v>828</v>
      </c>
      <c r="C1222">
        <v>34</v>
      </c>
      <c r="D1222" t="s">
        <v>69</v>
      </c>
      <c r="E1222" t="s">
        <v>69</v>
      </c>
      <c r="F1222" t="s">
        <v>47</v>
      </c>
      <c r="G1222">
        <v>0.65</v>
      </c>
      <c r="H1222" t="s">
        <v>187</v>
      </c>
      <c r="I1222">
        <v>-2</v>
      </c>
      <c r="J1222" s="4" t="str">
        <f>HYPERLINK("https://www.eliteprospects.com/player/639113/angelo-fullerton")</f>
        <v>https://www.eliteprospects.com/player/639113/angelo-fullerton</v>
      </c>
      <c r="K1222" t="s">
        <v>27</v>
      </c>
      <c r="L1222" t="s">
        <v>804</v>
      </c>
      <c r="M1222" t="s">
        <v>91</v>
      </c>
      <c r="N1222">
        <v>4</v>
      </c>
      <c r="O1222" t="s">
        <v>809</v>
      </c>
      <c r="P1222">
        <v>7.0000000000000007E-2</v>
      </c>
      <c r="Q1222" t="s">
        <v>135</v>
      </c>
      <c r="R1222">
        <v>0</v>
      </c>
      <c r="S1222">
        <v>33.299999999999997</v>
      </c>
      <c r="T1222">
        <v>23.8</v>
      </c>
      <c r="U1222">
        <v>9.5</v>
      </c>
      <c r="V1222">
        <v>33.299999999999997</v>
      </c>
    </row>
    <row r="1223" spans="1:22" x14ac:dyDescent="0.25">
      <c r="A1223" t="s">
        <v>864</v>
      </c>
      <c r="B1223" t="s">
        <v>828</v>
      </c>
      <c r="C1223">
        <v>31</v>
      </c>
      <c r="D1223" t="s">
        <v>96</v>
      </c>
      <c r="E1223" t="s">
        <v>23</v>
      </c>
      <c r="F1223" t="s">
        <v>60</v>
      </c>
      <c r="G1223">
        <v>0.55000000000000004</v>
      </c>
      <c r="H1223" t="s">
        <v>23</v>
      </c>
      <c r="I1223">
        <v>-14</v>
      </c>
      <c r="J1223" s="4" t="str">
        <f>HYPERLINK("https://www.eliteprospects.com/player/760881/william-yared")</f>
        <v>https://www.eliteprospects.com/player/760881/william-yared</v>
      </c>
      <c r="K1223" t="s">
        <v>27</v>
      </c>
      <c r="L1223" t="s">
        <v>804</v>
      </c>
      <c r="M1223" t="s">
        <v>42</v>
      </c>
      <c r="N1223">
        <v>2</v>
      </c>
      <c r="O1223" t="s">
        <v>825</v>
      </c>
      <c r="P1223">
        <v>0.06</v>
      </c>
      <c r="Q1223" t="s">
        <v>245</v>
      </c>
      <c r="R1223">
        <v>0</v>
      </c>
      <c r="S1223">
        <v>15.4</v>
      </c>
      <c r="T1223">
        <v>7.7</v>
      </c>
      <c r="U1223">
        <v>30.8</v>
      </c>
      <c r="V1223">
        <v>46.2</v>
      </c>
    </row>
    <row r="1224" spans="1:22" x14ac:dyDescent="0.25">
      <c r="A1224" t="s">
        <v>872</v>
      </c>
      <c r="B1224" t="s">
        <v>828</v>
      </c>
      <c r="C1224">
        <v>22</v>
      </c>
      <c r="D1224" t="s">
        <v>140</v>
      </c>
      <c r="E1224" t="s">
        <v>32</v>
      </c>
      <c r="F1224" t="s">
        <v>65</v>
      </c>
      <c r="G1224">
        <v>0.59</v>
      </c>
      <c r="H1224" t="s">
        <v>23</v>
      </c>
      <c r="I1224">
        <v>-10</v>
      </c>
      <c r="J1224" s="4" t="str">
        <f>HYPERLINK("https://www.eliteprospects.com/player/876997/olivers-murnieks")</f>
        <v>https://www.eliteprospects.com/player/876997/olivers-murnieks</v>
      </c>
      <c r="K1224" t="s">
        <v>27</v>
      </c>
      <c r="L1224" t="s">
        <v>804</v>
      </c>
      <c r="M1224" t="s">
        <v>42</v>
      </c>
      <c r="N1224">
        <v>1</v>
      </c>
      <c r="O1224" t="s">
        <v>816</v>
      </c>
      <c r="P1224">
        <v>7.0000000000000007E-2</v>
      </c>
      <c r="Q1224" t="s">
        <v>245</v>
      </c>
      <c r="R1224">
        <v>0</v>
      </c>
      <c r="S1224">
        <v>15.4</v>
      </c>
      <c r="T1224">
        <v>7.7</v>
      </c>
      <c r="U1224">
        <v>30.8</v>
      </c>
      <c r="V1224">
        <v>46.2</v>
      </c>
    </row>
    <row r="1225" spans="1:22" x14ac:dyDescent="0.25">
      <c r="A1225" t="s">
        <v>878</v>
      </c>
      <c r="B1225" t="s">
        <v>828</v>
      </c>
      <c r="C1225">
        <v>32</v>
      </c>
      <c r="D1225" t="s">
        <v>57</v>
      </c>
      <c r="E1225" t="s">
        <v>66</v>
      </c>
      <c r="F1225" t="s">
        <v>32</v>
      </c>
      <c r="G1225">
        <v>0.31</v>
      </c>
      <c r="H1225" t="s">
        <v>132</v>
      </c>
      <c r="I1225">
        <v>-5</v>
      </c>
      <c r="J1225" s="4" t="str">
        <f>HYPERLINK("https://www.eliteprospects.com/player/957582/matthew-krayer")</f>
        <v>https://www.eliteprospects.com/player/957582/matthew-krayer</v>
      </c>
      <c r="K1225" t="s">
        <v>27</v>
      </c>
      <c r="L1225" t="s">
        <v>804</v>
      </c>
      <c r="M1225" t="s">
        <v>91</v>
      </c>
      <c r="N1225">
        <v>2</v>
      </c>
      <c r="O1225" t="s">
        <v>825</v>
      </c>
      <c r="P1225">
        <v>0.04</v>
      </c>
      <c r="Q1225" t="s">
        <v>245</v>
      </c>
      <c r="R1225">
        <v>9.1</v>
      </c>
      <c r="S1225">
        <v>18.2</v>
      </c>
      <c r="T1225">
        <v>9.1</v>
      </c>
      <c r="U1225">
        <v>13.6</v>
      </c>
      <c r="V1225">
        <v>50</v>
      </c>
    </row>
    <row r="1226" spans="1:22" x14ac:dyDescent="0.25">
      <c r="A1226" t="s">
        <v>891</v>
      </c>
      <c r="B1226" t="s">
        <v>828</v>
      </c>
      <c r="C1226">
        <v>10</v>
      </c>
      <c r="D1226" t="s">
        <v>79</v>
      </c>
      <c r="E1226" t="s">
        <v>66</v>
      </c>
      <c r="F1226" t="s">
        <v>57</v>
      </c>
      <c r="G1226">
        <v>0.6</v>
      </c>
      <c r="H1226" t="s">
        <v>57</v>
      </c>
      <c r="I1226">
        <v>0</v>
      </c>
      <c r="J1226" s="4" t="str">
        <f>HYPERLINK("https://www.eliteprospects.com/player/648717/natan-ethier")</f>
        <v>https://www.eliteprospects.com/player/648717/natan-ethier</v>
      </c>
      <c r="K1226" t="s">
        <v>27</v>
      </c>
      <c r="L1226" t="s">
        <v>804</v>
      </c>
      <c r="M1226" t="s">
        <v>91</v>
      </c>
      <c r="N1226">
        <v>5</v>
      </c>
      <c r="O1226" t="s">
        <v>807</v>
      </c>
      <c r="P1226">
        <v>7.0000000000000007E-2</v>
      </c>
      <c r="Q1226" t="s">
        <v>135</v>
      </c>
      <c r="R1226">
        <v>0</v>
      </c>
      <c r="S1226">
        <v>33.299999999999997</v>
      </c>
      <c r="T1226">
        <v>23.8</v>
      </c>
      <c r="U1226">
        <v>9.5</v>
      </c>
      <c r="V1226">
        <v>33.299999999999997</v>
      </c>
    </row>
    <row r="1227" spans="1:22" x14ac:dyDescent="0.25">
      <c r="A1227" t="s">
        <v>896</v>
      </c>
      <c r="B1227" t="s">
        <v>828</v>
      </c>
      <c r="C1227">
        <v>12</v>
      </c>
      <c r="D1227" t="s">
        <v>132</v>
      </c>
      <c r="E1227" t="s">
        <v>96</v>
      </c>
      <c r="F1227" t="s">
        <v>96</v>
      </c>
      <c r="G1227">
        <v>0.42</v>
      </c>
      <c r="H1227" t="s">
        <v>66</v>
      </c>
      <c r="I1227">
        <v>-6</v>
      </c>
      <c r="J1227" s="4" t="str">
        <f>HYPERLINK("https://www.eliteprospects.com/player/908316/nolann-heroux")</f>
        <v>https://www.eliteprospects.com/player/908316/nolann-heroux</v>
      </c>
      <c r="K1227" t="s">
        <v>27</v>
      </c>
      <c r="L1227" t="s">
        <v>804</v>
      </c>
      <c r="M1227" t="s">
        <v>42</v>
      </c>
      <c r="N1227">
        <v>1</v>
      </c>
      <c r="O1227" t="s">
        <v>816</v>
      </c>
      <c r="P1227">
        <v>0.05</v>
      </c>
      <c r="Q1227" t="s">
        <v>245</v>
      </c>
      <c r="R1227">
        <v>13.3</v>
      </c>
      <c r="S1227">
        <v>13.3</v>
      </c>
      <c r="T1227">
        <v>0</v>
      </c>
      <c r="U1227">
        <v>13.3</v>
      </c>
      <c r="V1227">
        <v>60</v>
      </c>
    </row>
    <row r="1228" spans="1:22" x14ac:dyDescent="0.25">
      <c r="A1228" t="s">
        <v>902</v>
      </c>
      <c r="B1228" t="s">
        <v>828</v>
      </c>
      <c r="C1228">
        <v>17</v>
      </c>
      <c r="D1228" t="s">
        <v>132</v>
      </c>
      <c r="E1228" t="s">
        <v>66</v>
      </c>
      <c r="F1228" t="s">
        <v>66</v>
      </c>
      <c r="G1228">
        <v>0.24</v>
      </c>
      <c r="H1228" t="s">
        <v>32</v>
      </c>
      <c r="I1228">
        <v>-4</v>
      </c>
      <c r="J1228" s="4" t="str">
        <f>HYPERLINK("https://www.eliteprospects.com/player/703054/alexis-gauthier")</f>
        <v>https://www.eliteprospects.com/player/703054/alexis-gauthier</v>
      </c>
      <c r="K1228" t="s">
        <v>27</v>
      </c>
      <c r="L1228" t="s">
        <v>804</v>
      </c>
      <c r="M1228" t="s">
        <v>42</v>
      </c>
      <c r="N1228">
        <v>1</v>
      </c>
      <c r="O1228" t="s">
        <v>816</v>
      </c>
      <c r="P1228">
        <v>0.03</v>
      </c>
      <c r="Q1228" t="s">
        <v>245</v>
      </c>
      <c r="R1228">
        <v>9.1</v>
      </c>
      <c r="S1228">
        <v>18.2</v>
      </c>
      <c r="T1228">
        <v>9.1</v>
      </c>
      <c r="U1228">
        <v>13.6</v>
      </c>
      <c r="V1228">
        <v>50</v>
      </c>
    </row>
    <row r="1229" spans="1:22" x14ac:dyDescent="0.25">
      <c r="A1229" t="s">
        <v>916</v>
      </c>
      <c r="B1229" t="s">
        <v>917</v>
      </c>
      <c r="C1229">
        <v>19</v>
      </c>
      <c r="D1229" t="s">
        <v>33</v>
      </c>
      <c r="E1229" t="s">
        <v>65</v>
      </c>
      <c r="F1229" t="s">
        <v>178</v>
      </c>
      <c r="G1229">
        <v>1.79</v>
      </c>
      <c r="H1229" t="s">
        <v>55</v>
      </c>
      <c r="I1229">
        <v>1</v>
      </c>
      <c r="J1229" s="4" t="str">
        <f>HYPERLINK("https://www.eliteprospects.com/player/537554/reid-valade")</f>
        <v>https://www.eliteprospects.com/player/537554/reid-valade</v>
      </c>
      <c r="K1229" t="s">
        <v>27</v>
      </c>
      <c r="L1229" t="s">
        <v>918</v>
      </c>
      <c r="M1229" t="s">
        <v>70</v>
      </c>
      <c r="N1229">
        <v>7</v>
      </c>
      <c r="O1229" t="s">
        <v>919</v>
      </c>
      <c r="P1229">
        <v>0.22</v>
      </c>
      <c r="Q1229" t="s">
        <v>135</v>
      </c>
      <c r="R1229">
        <v>25</v>
      </c>
      <c r="S1229">
        <v>50</v>
      </c>
      <c r="T1229">
        <v>0</v>
      </c>
      <c r="U1229">
        <v>0</v>
      </c>
      <c r="V1229">
        <v>25</v>
      </c>
    </row>
    <row r="1230" spans="1:22" x14ac:dyDescent="0.25">
      <c r="A1230" t="s">
        <v>920</v>
      </c>
      <c r="B1230" t="s">
        <v>917</v>
      </c>
      <c r="C1230">
        <v>19</v>
      </c>
      <c r="D1230" t="s">
        <v>38</v>
      </c>
      <c r="E1230" t="s">
        <v>55</v>
      </c>
      <c r="F1230" t="s">
        <v>178</v>
      </c>
      <c r="G1230">
        <v>1.79</v>
      </c>
      <c r="H1230" t="s">
        <v>32</v>
      </c>
      <c r="I1230">
        <v>8</v>
      </c>
      <c r="J1230" s="4" t="str">
        <f>HYPERLINK("https://www.eliteprospects.com/player/390104/ben-allison")</f>
        <v>https://www.eliteprospects.com/player/390104/ben-allison</v>
      </c>
      <c r="K1230" t="s">
        <v>27</v>
      </c>
      <c r="L1230" t="s">
        <v>918</v>
      </c>
      <c r="M1230" t="s">
        <v>155</v>
      </c>
      <c r="N1230">
        <v>6</v>
      </c>
      <c r="O1230" t="s">
        <v>921</v>
      </c>
      <c r="P1230">
        <v>0.22</v>
      </c>
      <c r="Q1230" t="s">
        <v>31</v>
      </c>
      <c r="R1230">
        <v>57.1</v>
      </c>
      <c r="S1230">
        <v>32.1</v>
      </c>
      <c r="T1230">
        <v>0</v>
      </c>
      <c r="U1230">
        <v>0</v>
      </c>
      <c r="V1230">
        <v>10.7</v>
      </c>
    </row>
    <row r="1231" spans="1:22" x14ac:dyDescent="0.25">
      <c r="A1231" t="s">
        <v>936</v>
      </c>
      <c r="B1231" t="s">
        <v>917</v>
      </c>
      <c r="C1231">
        <v>17</v>
      </c>
      <c r="D1231" t="s">
        <v>140</v>
      </c>
      <c r="E1231" t="s">
        <v>47</v>
      </c>
      <c r="F1231" t="s">
        <v>75</v>
      </c>
      <c r="G1231">
        <v>1.47</v>
      </c>
      <c r="H1231" t="s">
        <v>66</v>
      </c>
      <c r="I1231">
        <v>6</v>
      </c>
      <c r="J1231" s="4" t="str">
        <f>HYPERLINK("https://www.eliteprospects.com/player/424525/charlie-da-fonseca")</f>
        <v>https://www.eliteprospects.com/player/424525/charlie-da-fonseca</v>
      </c>
      <c r="K1231" t="s">
        <v>27</v>
      </c>
      <c r="L1231" t="s">
        <v>918</v>
      </c>
      <c r="M1231" t="s">
        <v>91</v>
      </c>
      <c r="N1231">
        <v>6</v>
      </c>
      <c r="O1231" t="s">
        <v>937</v>
      </c>
      <c r="P1231">
        <v>0.18</v>
      </c>
      <c r="Q1231" t="s">
        <v>31</v>
      </c>
      <c r="R1231">
        <v>78.599999999999994</v>
      </c>
      <c r="S1231">
        <v>0</v>
      </c>
      <c r="T1231">
        <v>0</v>
      </c>
      <c r="U1231">
        <v>0</v>
      </c>
      <c r="V1231">
        <v>21.4</v>
      </c>
    </row>
    <row r="1232" spans="1:22" x14ac:dyDescent="0.25">
      <c r="A1232" t="s">
        <v>1100</v>
      </c>
      <c r="B1232" t="s">
        <v>917</v>
      </c>
      <c r="C1232">
        <v>14</v>
      </c>
      <c r="D1232" t="s">
        <v>140</v>
      </c>
      <c r="E1232" t="s">
        <v>26</v>
      </c>
      <c r="F1232" t="s">
        <v>69</v>
      </c>
      <c r="G1232">
        <v>0.79</v>
      </c>
      <c r="H1232" t="s">
        <v>66</v>
      </c>
      <c r="I1232">
        <v>1</v>
      </c>
      <c r="J1232" s="4" t="str">
        <f>HYPERLINK("https://www.eliteprospects.com/player/517799/matthew-macdonald")</f>
        <v>https://www.eliteprospects.com/player/517799/matthew-macdonald</v>
      </c>
      <c r="K1232" t="s">
        <v>27</v>
      </c>
      <c r="L1232" t="s">
        <v>918</v>
      </c>
      <c r="M1232" t="s">
        <v>91</v>
      </c>
      <c r="N1232">
        <v>6</v>
      </c>
      <c r="O1232" t="s">
        <v>968</v>
      </c>
      <c r="P1232">
        <v>0.1</v>
      </c>
      <c r="Q1232" t="s">
        <v>245</v>
      </c>
      <c r="R1232">
        <v>20</v>
      </c>
      <c r="S1232">
        <v>20</v>
      </c>
      <c r="T1232">
        <v>20</v>
      </c>
      <c r="U1232">
        <v>0</v>
      </c>
      <c r="V1232">
        <v>40</v>
      </c>
    </row>
    <row r="1233" spans="1:22" x14ac:dyDescent="0.25">
      <c r="A1233" t="s">
        <v>1108</v>
      </c>
      <c r="B1233" t="s">
        <v>917</v>
      </c>
      <c r="C1233">
        <v>19</v>
      </c>
      <c r="D1233" t="s">
        <v>96</v>
      </c>
      <c r="E1233" t="s">
        <v>96</v>
      </c>
      <c r="F1233" t="s">
        <v>32</v>
      </c>
      <c r="G1233">
        <v>0.53</v>
      </c>
      <c r="H1233" t="s">
        <v>39</v>
      </c>
      <c r="I1233">
        <v>-13</v>
      </c>
      <c r="J1233" s="4" t="str">
        <f>HYPERLINK("https://www.eliteprospects.com/player/473504/will-chisholm")</f>
        <v>https://www.eliteprospects.com/player/473504/will-chisholm</v>
      </c>
      <c r="K1233" t="s">
        <v>27</v>
      </c>
      <c r="L1233" t="s">
        <v>918</v>
      </c>
      <c r="M1233" t="s">
        <v>42</v>
      </c>
      <c r="N1233">
        <v>3</v>
      </c>
      <c r="O1233" t="s">
        <v>1002</v>
      </c>
      <c r="P1233">
        <v>7.0000000000000007E-2</v>
      </c>
      <c r="Q1233" t="s">
        <v>245</v>
      </c>
      <c r="R1233">
        <v>0</v>
      </c>
      <c r="S1233">
        <v>15.4</v>
      </c>
      <c r="T1233">
        <v>7.7</v>
      </c>
      <c r="U1233">
        <v>30.8</v>
      </c>
      <c r="V1233">
        <v>46.2</v>
      </c>
    </row>
    <row r="1234" spans="1:22" x14ac:dyDescent="0.25">
      <c r="A1234" t="s">
        <v>1135</v>
      </c>
      <c r="B1234" t="s">
        <v>917</v>
      </c>
      <c r="C1234">
        <v>10</v>
      </c>
      <c r="D1234" t="s">
        <v>79</v>
      </c>
      <c r="E1234" t="s">
        <v>57</v>
      </c>
      <c r="F1234" t="s">
        <v>26</v>
      </c>
      <c r="G1234">
        <v>0.8</v>
      </c>
      <c r="H1234" t="s">
        <v>235</v>
      </c>
      <c r="I1234">
        <v>-3</v>
      </c>
      <c r="J1234" s="4" t="str">
        <f>HYPERLINK("https://www.eliteprospects.com/player/473673/ben-boyd")</f>
        <v>https://www.eliteprospects.com/player/473673/ben-boyd</v>
      </c>
      <c r="K1234" t="s">
        <v>27</v>
      </c>
      <c r="L1234" t="s">
        <v>918</v>
      </c>
      <c r="M1234" t="s">
        <v>155</v>
      </c>
      <c r="N1234">
        <v>6</v>
      </c>
      <c r="O1234" t="s">
        <v>937</v>
      </c>
      <c r="P1234">
        <v>0.1</v>
      </c>
      <c r="Q1234" t="s">
        <v>245</v>
      </c>
      <c r="R1234">
        <v>0</v>
      </c>
      <c r="S1234">
        <v>33.299999999999997</v>
      </c>
      <c r="T1234">
        <v>0</v>
      </c>
      <c r="U1234">
        <v>0</v>
      </c>
      <c r="V1234">
        <v>66.7</v>
      </c>
    </row>
    <row r="1235" spans="1:22" x14ac:dyDescent="0.25">
      <c r="A1235" t="s">
        <v>1172</v>
      </c>
      <c r="B1235" t="s">
        <v>917</v>
      </c>
      <c r="C1235">
        <v>15</v>
      </c>
      <c r="D1235" t="s">
        <v>260</v>
      </c>
      <c r="E1235" t="s">
        <v>96</v>
      </c>
      <c r="F1235" t="s">
        <v>57</v>
      </c>
      <c r="G1235">
        <v>0.4</v>
      </c>
      <c r="H1235" t="s">
        <v>52</v>
      </c>
      <c r="I1235">
        <v>-5</v>
      </c>
      <c r="J1235" s="4" t="str">
        <f>HYPERLINK("https://www.eliteprospects.com/player/529236/liam-arnsby")</f>
        <v>https://www.eliteprospects.com/player/529236/liam-arnsby</v>
      </c>
      <c r="K1235" t="s">
        <v>27</v>
      </c>
      <c r="L1235" t="s">
        <v>918</v>
      </c>
      <c r="M1235" t="s">
        <v>87</v>
      </c>
      <c r="N1235">
        <v>7</v>
      </c>
      <c r="O1235" t="s">
        <v>948</v>
      </c>
      <c r="P1235">
        <v>0.05</v>
      </c>
      <c r="Q1235" t="s">
        <v>245</v>
      </c>
      <c r="R1235">
        <v>9.1</v>
      </c>
      <c r="S1235">
        <v>18.2</v>
      </c>
      <c r="T1235">
        <v>9.1</v>
      </c>
      <c r="U1235">
        <v>13.6</v>
      </c>
      <c r="V1235">
        <v>50</v>
      </c>
    </row>
    <row r="1236" spans="1:22" x14ac:dyDescent="0.25">
      <c r="A1236" t="s">
        <v>1175</v>
      </c>
      <c r="B1236" t="s">
        <v>917</v>
      </c>
      <c r="C1236">
        <v>17</v>
      </c>
      <c r="D1236" t="s">
        <v>260</v>
      </c>
      <c r="E1236" t="s">
        <v>96</v>
      </c>
      <c r="F1236" t="s">
        <v>57</v>
      </c>
      <c r="G1236">
        <v>0.35</v>
      </c>
      <c r="H1236" t="s">
        <v>23</v>
      </c>
      <c r="I1236">
        <v>-7</v>
      </c>
      <c r="J1236" s="4" t="str">
        <f>HYPERLINK("https://www.eliteprospects.com/player/418347/liam-van-loon")</f>
        <v>https://www.eliteprospects.com/player/418347/liam-van-loon</v>
      </c>
      <c r="K1236" t="s">
        <v>27</v>
      </c>
      <c r="L1236" t="s">
        <v>918</v>
      </c>
      <c r="M1236" t="s">
        <v>91</v>
      </c>
      <c r="N1236">
        <v>5</v>
      </c>
      <c r="O1236" t="s">
        <v>935</v>
      </c>
      <c r="P1236">
        <v>0.04</v>
      </c>
      <c r="Q1236" t="s">
        <v>245</v>
      </c>
      <c r="R1236">
        <v>13.3</v>
      </c>
      <c r="S1236">
        <v>13.3</v>
      </c>
      <c r="T1236">
        <v>0</v>
      </c>
      <c r="U1236">
        <v>13.3</v>
      </c>
      <c r="V1236">
        <v>60</v>
      </c>
    </row>
    <row r="1237" spans="1:22" x14ac:dyDescent="0.25">
      <c r="A1237" t="s">
        <v>1177</v>
      </c>
      <c r="B1237" t="s">
        <v>917</v>
      </c>
      <c r="C1237">
        <v>19</v>
      </c>
      <c r="D1237" t="s">
        <v>96</v>
      </c>
      <c r="E1237" t="s">
        <v>132</v>
      </c>
      <c r="F1237" t="s">
        <v>96</v>
      </c>
      <c r="G1237">
        <v>0.26</v>
      </c>
      <c r="H1237" t="s">
        <v>57</v>
      </c>
      <c r="I1237">
        <v>-1</v>
      </c>
      <c r="J1237" s="4" t="str">
        <f>HYPERLINK("https://www.eliteprospects.com/player/563395/dylan-andrews")</f>
        <v>https://www.eliteprospects.com/player/563395/dylan-andrews</v>
      </c>
      <c r="K1237" t="s">
        <v>27</v>
      </c>
      <c r="L1237" t="s">
        <v>918</v>
      </c>
      <c r="M1237" t="s">
        <v>42</v>
      </c>
      <c r="N1237">
        <v>6</v>
      </c>
      <c r="O1237" t="s">
        <v>968</v>
      </c>
      <c r="P1237">
        <v>0.03</v>
      </c>
      <c r="Q1237" t="s">
        <v>245</v>
      </c>
      <c r="R1237">
        <v>9.1</v>
      </c>
      <c r="S1237">
        <v>18.2</v>
      </c>
      <c r="T1237">
        <v>9.1</v>
      </c>
      <c r="U1237">
        <v>13.6</v>
      </c>
      <c r="V1237">
        <v>50</v>
      </c>
    </row>
    <row r="1238" spans="1:22" x14ac:dyDescent="0.25">
      <c r="A1238" t="s">
        <v>1189</v>
      </c>
      <c r="B1238" t="s">
        <v>917</v>
      </c>
      <c r="C1238">
        <v>14</v>
      </c>
      <c r="D1238" t="s">
        <v>79</v>
      </c>
      <c r="E1238" t="s">
        <v>140</v>
      </c>
      <c r="F1238" t="s">
        <v>96</v>
      </c>
      <c r="G1238">
        <v>0.36</v>
      </c>
      <c r="H1238" t="s">
        <v>132</v>
      </c>
      <c r="I1238">
        <v>0</v>
      </c>
      <c r="J1238" s="4" t="str">
        <f>HYPERLINK("https://www.eliteprospects.com/player/473135/davis-cooper")</f>
        <v>https://www.eliteprospects.com/player/473135/davis-cooper</v>
      </c>
      <c r="K1238" t="s">
        <v>27</v>
      </c>
      <c r="L1238" t="s">
        <v>918</v>
      </c>
      <c r="M1238" t="s">
        <v>91</v>
      </c>
      <c r="N1238">
        <v>4</v>
      </c>
      <c r="O1238" t="s">
        <v>1051</v>
      </c>
      <c r="P1238">
        <v>0.04</v>
      </c>
      <c r="Q1238" t="s">
        <v>245</v>
      </c>
      <c r="R1238">
        <v>9.1</v>
      </c>
      <c r="S1238">
        <v>18.2</v>
      </c>
      <c r="T1238">
        <v>9.1</v>
      </c>
      <c r="U1238">
        <v>13.6</v>
      </c>
      <c r="V1238">
        <v>50</v>
      </c>
    </row>
    <row r="1239" spans="1:22" x14ac:dyDescent="0.25">
      <c r="A1239" t="s">
        <v>535</v>
      </c>
      <c r="B1239" t="s">
        <v>536</v>
      </c>
      <c r="C1239">
        <v>39</v>
      </c>
      <c r="D1239" t="s">
        <v>39</v>
      </c>
      <c r="E1239" t="s">
        <v>38</v>
      </c>
      <c r="F1239" t="s">
        <v>40</v>
      </c>
      <c r="G1239">
        <v>0.77</v>
      </c>
      <c r="H1239" t="s">
        <v>75</v>
      </c>
      <c r="I1239">
        <v>-8</v>
      </c>
      <c r="J1239" s="4" t="str">
        <f>HYPERLINK("https://www.eliteprospects.com/player/862359/easton-walos")</f>
        <v>https://www.eliteprospects.com/player/862359/easton-walos</v>
      </c>
      <c r="K1239" t="s">
        <v>27</v>
      </c>
      <c r="L1239" t="s">
        <v>485</v>
      </c>
      <c r="M1239" t="s">
        <v>42</v>
      </c>
      <c r="N1239">
        <v>1</v>
      </c>
      <c r="O1239" t="s">
        <v>494</v>
      </c>
      <c r="P1239">
        <v>0.11</v>
      </c>
      <c r="Q1239" t="s">
        <v>135</v>
      </c>
      <c r="R1239">
        <v>0</v>
      </c>
      <c r="S1239">
        <v>35.700000000000003</v>
      </c>
      <c r="T1239">
        <v>0</v>
      </c>
      <c r="U1239">
        <v>28.6</v>
      </c>
      <c r="V1239">
        <v>35.700000000000003</v>
      </c>
    </row>
    <row r="1240" spans="1:22" x14ac:dyDescent="0.25">
      <c r="A1240" t="s">
        <v>539</v>
      </c>
      <c r="B1240" t="s">
        <v>536</v>
      </c>
      <c r="C1240">
        <v>39</v>
      </c>
      <c r="D1240" t="s">
        <v>39</v>
      </c>
      <c r="E1240" t="s">
        <v>39</v>
      </c>
      <c r="F1240" t="s">
        <v>52</v>
      </c>
      <c r="G1240">
        <v>0.72</v>
      </c>
      <c r="H1240" t="s">
        <v>32</v>
      </c>
      <c r="I1240">
        <v>-16</v>
      </c>
      <c r="J1240" s="4" t="str">
        <f>HYPERLINK("https://www.eliteprospects.com/player/628089/beckham-edwards")</f>
        <v>https://www.eliteprospects.com/player/628089/beckham-edwards</v>
      </c>
      <c r="K1240" t="s">
        <v>27</v>
      </c>
      <c r="L1240" t="s">
        <v>485</v>
      </c>
      <c r="M1240" t="s">
        <v>42</v>
      </c>
      <c r="N1240">
        <v>2</v>
      </c>
      <c r="O1240" t="s">
        <v>501</v>
      </c>
      <c r="P1240">
        <v>0.1</v>
      </c>
      <c r="Q1240" t="s">
        <v>245</v>
      </c>
      <c r="R1240">
        <v>9.1</v>
      </c>
      <c r="S1240">
        <v>27.3</v>
      </c>
      <c r="T1240">
        <v>18.2</v>
      </c>
      <c r="U1240">
        <v>0</v>
      </c>
      <c r="V1240">
        <v>45.5</v>
      </c>
    </row>
    <row r="1241" spans="1:22" x14ac:dyDescent="0.25">
      <c r="A1241" t="s">
        <v>557</v>
      </c>
      <c r="B1241" t="s">
        <v>536</v>
      </c>
      <c r="C1241">
        <v>39</v>
      </c>
      <c r="D1241" t="s">
        <v>69</v>
      </c>
      <c r="E1241" t="s">
        <v>23</v>
      </c>
      <c r="F1241" t="s">
        <v>84</v>
      </c>
      <c r="G1241">
        <v>0.59</v>
      </c>
      <c r="H1241" t="s">
        <v>47</v>
      </c>
      <c r="I1241">
        <v>-28</v>
      </c>
      <c r="J1241" s="4" t="str">
        <f>HYPERLINK("https://www.eliteprospects.com/player/577200/jack-van-volsen")</f>
        <v>https://www.eliteprospects.com/player/577200/jack-van-volsen</v>
      </c>
      <c r="K1241" t="s">
        <v>27</v>
      </c>
      <c r="L1241" t="s">
        <v>485</v>
      </c>
      <c r="M1241" t="s">
        <v>42</v>
      </c>
      <c r="N1241">
        <v>4</v>
      </c>
      <c r="O1241" t="s">
        <v>486</v>
      </c>
      <c r="P1241">
        <v>0.08</v>
      </c>
      <c r="Q1241" t="s">
        <v>31</v>
      </c>
      <c r="R1241">
        <v>36.4</v>
      </c>
      <c r="S1241">
        <v>9.1</v>
      </c>
      <c r="T1241">
        <v>18.2</v>
      </c>
      <c r="U1241">
        <v>9.1</v>
      </c>
      <c r="V1241">
        <v>27.3</v>
      </c>
    </row>
    <row r="1242" spans="1:22" x14ac:dyDescent="0.25">
      <c r="A1242" t="s">
        <v>563</v>
      </c>
      <c r="B1242" t="s">
        <v>536</v>
      </c>
      <c r="C1242">
        <v>37</v>
      </c>
      <c r="D1242" t="s">
        <v>32</v>
      </c>
      <c r="E1242" t="s">
        <v>69</v>
      </c>
      <c r="F1242" t="s">
        <v>33</v>
      </c>
      <c r="G1242">
        <v>0.56999999999999995</v>
      </c>
      <c r="H1242" t="s">
        <v>503</v>
      </c>
      <c r="I1242">
        <v>-13</v>
      </c>
      <c r="J1242" s="4" t="str">
        <f>HYPERLINK("https://www.eliteprospects.com/player/867753/jordan-bax")</f>
        <v>https://www.eliteprospects.com/player/867753/jordan-bax</v>
      </c>
      <c r="K1242" t="s">
        <v>27</v>
      </c>
      <c r="L1242" t="s">
        <v>485</v>
      </c>
      <c r="M1242" t="s">
        <v>42</v>
      </c>
      <c r="N1242">
        <v>1</v>
      </c>
      <c r="O1242" t="s">
        <v>494</v>
      </c>
      <c r="P1242">
        <v>0.08</v>
      </c>
      <c r="Q1242" t="s">
        <v>31</v>
      </c>
      <c r="R1242">
        <v>36.4</v>
      </c>
      <c r="S1242">
        <v>9.1</v>
      </c>
      <c r="T1242">
        <v>18.2</v>
      </c>
      <c r="U1242">
        <v>9.1</v>
      </c>
      <c r="V1242">
        <v>27.3</v>
      </c>
    </row>
    <row r="1243" spans="1:22" x14ac:dyDescent="0.25">
      <c r="A1243" t="s">
        <v>569</v>
      </c>
      <c r="B1243" t="s">
        <v>536</v>
      </c>
      <c r="C1243">
        <v>38</v>
      </c>
      <c r="D1243" t="s">
        <v>26</v>
      </c>
      <c r="E1243" t="s">
        <v>23</v>
      </c>
      <c r="F1243" t="s">
        <v>24</v>
      </c>
      <c r="G1243">
        <v>0.53</v>
      </c>
      <c r="H1243" t="s">
        <v>55</v>
      </c>
      <c r="I1243">
        <v>-20</v>
      </c>
      <c r="J1243" s="4" t="str">
        <f>HYPERLINK("https://www.eliteprospects.com/player/887901/liam-beamish")</f>
        <v>https://www.eliteprospects.com/player/887901/liam-beamish</v>
      </c>
      <c r="K1243" t="s">
        <v>27</v>
      </c>
      <c r="L1243" t="s">
        <v>485</v>
      </c>
      <c r="M1243" t="s">
        <v>42</v>
      </c>
      <c r="N1243">
        <v>2</v>
      </c>
      <c r="O1243" t="s">
        <v>501</v>
      </c>
      <c r="P1243">
        <v>0.08</v>
      </c>
      <c r="Q1243" t="s">
        <v>31</v>
      </c>
      <c r="R1243">
        <v>36.4</v>
      </c>
      <c r="S1243">
        <v>9.1</v>
      </c>
      <c r="T1243">
        <v>18.2</v>
      </c>
      <c r="U1243">
        <v>9.1</v>
      </c>
      <c r="V1243">
        <v>27.3</v>
      </c>
    </row>
    <row r="1244" spans="1:22" x14ac:dyDescent="0.25">
      <c r="A1244" t="s">
        <v>571</v>
      </c>
      <c r="B1244" t="s">
        <v>536</v>
      </c>
      <c r="C1244">
        <v>35</v>
      </c>
      <c r="D1244" t="s">
        <v>26</v>
      </c>
      <c r="E1244" t="s">
        <v>69</v>
      </c>
      <c r="F1244" t="s">
        <v>51</v>
      </c>
      <c r="G1244">
        <v>0.54</v>
      </c>
      <c r="H1244" t="s">
        <v>38</v>
      </c>
      <c r="I1244">
        <v>-7</v>
      </c>
      <c r="J1244" s="4" t="str">
        <f>HYPERLINK("https://www.eliteprospects.com/player/726274/ben-pickell")</f>
        <v>https://www.eliteprospects.com/player/726274/ben-pickell</v>
      </c>
      <c r="K1244" t="s">
        <v>27</v>
      </c>
      <c r="L1244" t="s">
        <v>485</v>
      </c>
      <c r="M1244" t="s">
        <v>91</v>
      </c>
      <c r="N1244">
        <v>4</v>
      </c>
      <c r="O1244" t="s">
        <v>486</v>
      </c>
      <c r="P1244">
        <v>0.08</v>
      </c>
      <c r="Q1244" t="s">
        <v>31</v>
      </c>
      <c r="R1244">
        <v>36.4</v>
      </c>
      <c r="S1244">
        <v>9.1</v>
      </c>
      <c r="T1244">
        <v>18.2</v>
      </c>
      <c r="U1244">
        <v>9.1</v>
      </c>
      <c r="V1244">
        <v>27.3</v>
      </c>
    </row>
    <row r="1245" spans="1:22" x14ac:dyDescent="0.25">
      <c r="A1245" t="s">
        <v>576</v>
      </c>
      <c r="B1245" t="s">
        <v>536</v>
      </c>
      <c r="C1245">
        <v>22</v>
      </c>
      <c r="D1245" t="s">
        <v>45</v>
      </c>
      <c r="E1245" t="s">
        <v>26</v>
      </c>
      <c r="F1245" t="s">
        <v>60</v>
      </c>
      <c r="G1245">
        <v>0.77</v>
      </c>
      <c r="H1245" t="s">
        <v>66</v>
      </c>
      <c r="I1245">
        <v>-21</v>
      </c>
      <c r="J1245" s="4" t="str">
        <f>HYPERLINK("https://www.eliteprospects.com/player/628142/alessandro-di-iorio")</f>
        <v>https://www.eliteprospects.com/player/628142/alessandro-di-iorio</v>
      </c>
      <c r="K1245" t="s">
        <v>27</v>
      </c>
      <c r="L1245" t="s">
        <v>485</v>
      </c>
      <c r="M1245" t="s">
        <v>42</v>
      </c>
      <c r="N1245">
        <v>2</v>
      </c>
      <c r="O1245" t="s">
        <v>501</v>
      </c>
      <c r="P1245">
        <v>0.11</v>
      </c>
      <c r="Q1245" t="s">
        <v>135</v>
      </c>
      <c r="R1245">
        <v>0</v>
      </c>
      <c r="S1245">
        <v>35.700000000000003</v>
      </c>
      <c r="T1245">
        <v>0</v>
      </c>
      <c r="U1245">
        <v>28.6</v>
      </c>
      <c r="V1245">
        <v>35.700000000000003</v>
      </c>
    </row>
    <row r="1246" spans="1:22" x14ac:dyDescent="0.25">
      <c r="A1246" t="s">
        <v>592</v>
      </c>
      <c r="B1246" t="s">
        <v>536</v>
      </c>
      <c r="C1246">
        <v>38</v>
      </c>
      <c r="D1246" t="s">
        <v>57</v>
      </c>
      <c r="E1246" t="s">
        <v>78</v>
      </c>
      <c r="F1246" t="s">
        <v>65</v>
      </c>
      <c r="G1246">
        <v>0.34</v>
      </c>
      <c r="H1246" t="s">
        <v>26</v>
      </c>
      <c r="I1246">
        <v>-19</v>
      </c>
      <c r="J1246" s="4" t="str">
        <f>HYPERLINK("https://www.eliteprospects.com/player/905987/matthew-manza")</f>
        <v>https://www.eliteprospects.com/player/905987/matthew-manza</v>
      </c>
      <c r="K1246" t="s">
        <v>27</v>
      </c>
      <c r="L1246" t="s">
        <v>485</v>
      </c>
      <c r="M1246" t="s">
        <v>29</v>
      </c>
      <c r="N1246">
        <v>2</v>
      </c>
      <c r="O1246" t="s">
        <v>501</v>
      </c>
      <c r="P1246">
        <v>0.05</v>
      </c>
      <c r="Q1246" t="s">
        <v>245</v>
      </c>
      <c r="R1246">
        <v>13.3</v>
      </c>
      <c r="S1246">
        <v>13.3</v>
      </c>
      <c r="T1246">
        <v>0</v>
      </c>
      <c r="U1246">
        <v>13.3</v>
      </c>
      <c r="V1246">
        <v>60</v>
      </c>
    </row>
    <row r="1247" spans="1:22" x14ac:dyDescent="0.25">
      <c r="A1247" t="s">
        <v>606</v>
      </c>
      <c r="B1247" t="s">
        <v>536</v>
      </c>
      <c r="C1247">
        <v>30</v>
      </c>
      <c r="D1247" t="s">
        <v>66</v>
      </c>
      <c r="E1247" t="s">
        <v>79</v>
      </c>
      <c r="F1247" t="s">
        <v>57</v>
      </c>
      <c r="G1247">
        <v>0.2</v>
      </c>
      <c r="H1247" t="s">
        <v>53</v>
      </c>
      <c r="I1247">
        <v>-4</v>
      </c>
      <c r="J1247" s="4" t="str">
        <f>HYPERLINK("https://www.eliteprospects.com/player/1022121/brenner-lammens")</f>
        <v>https://www.eliteprospects.com/player/1022121/brenner-lammens</v>
      </c>
      <c r="K1247" t="s">
        <v>27</v>
      </c>
      <c r="L1247" t="s">
        <v>485</v>
      </c>
      <c r="M1247" t="s">
        <v>42</v>
      </c>
      <c r="N1247">
        <v>1</v>
      </c>
      <c r="O1247" t="s">
        <v>494</v>
      </c>
      <c r="P1247">
        <v>0.03</v>
      </c>
      <c r="Q1247" t="s">
        <v>245</v>
      </c>
      <c r="R1247">
        <v>9.1</v>
      </c>
      <c r="S1247">
        <v>18.2</v>
      </c>
      <c r="T1247">
        <v>9.1</v>
      </c>
      <c r="U1247">
        <v>13.6</v>
      </c>
      <c r="V1247">
        <v>50</v>
      </c>
    </row>
    <row r="1248" spans="1:22" x14ac:dyDescent="0.25">
      <c r="A1248" t="s">
        <v>614</v>
      </c>
      <c r="B1248" t="s">
        <v>536</v>
      </c>
      <c r="C1248">
        <v>24</v>
      </c>
      <c r="D1248" t="s">
        <v>260</v>
      </c>
      <c r="E1248" t="s">
        <v>79</v>
      </c>
      <c r="F1248" t="s">
        <v>140</v>
      </c>
      <c r="G1248">
        <v>0.13</v>
      </c>
      <c r="H1248" t="s">
        <v>66</v>
      </c>
      <c r="I1248">
        <v>-1</v>
      </c>
      <c r="J1248" s="4" t="str">
        <f>HYPERLINK("https://www.eliteprospects.com/player/617425/chase-gaughan")</f>
        <v>https://www.eliteprospects.com/player/617425/chase-gaughan</v>
      </c>
      <c r="K1248" t="s">
        <v>27</v>
      </c>
      <c r="L1248" t="s">
        <v>485</v>
      </c>
      <c r="M1248" t="s">
        <v>42</v>
      </c>
      <c r="N1248">
        <v>2</v>
      </c>
      <c r="O1248" t="s">
        <v>501</v>
      </c>
      <c r="P1248">
        <v>0.02</v>
      </c>
      <c r="Q1248" t="s">
        <v>245</v>
      </c>
      <c r="R1248">
        <v>9.1</v>
      </c>
      <c r="S1248">
        <v>18.2</v>
      </c>
      <c r="T1248">
        <v>9.1</v>
      </c>
      <c r="U1248">
        <v>13.6</v>
      </c>
      <c r="V1248">
        <v>50</v>
      </c>
    </row>
    <row r="1249" spans="1:22" x14ac:dyDescent="0.25">
      <c r="A1249" t="s">
        <v>617</v>
      </c>
      <c r="B1249" t="s">
        <v>536</v>
      </c>
      <c r="C1249">
        <v>30</v>
      </c>
      <c r="D1249" t="s">
        <v>260</v>
      </c>
      <c r="E1249" t="s">
        <v>79</v>
      </c>
      <c r="F1249" t="s">
        <v>140</v>
      </c>
      <c r="G1249">
        <v>0.1</v>
      </c>
      <c r="H1249" t="s">
        <v>84</v>
      </c>
      <c r="I1249">
        <v>-6</v>
      </c>
      <c r="J1249" s="4" t="str">
        <f>HYPERLINK("https://www.eliteprospects.com/player/726280/carson-hall")</f>
        <v>https://www.eliteprospects.com/player/726280/carson-hall</v>
      </c>
      <c r="K1249" t="s">
        <v>27</v>
      </c>
      <c r="L1249" t="s">
        <v>485</v>
      </c>
      <c r="M1249" t="s">
        <v>42</v>
      </c>
      <c r="N1249">
        <v>4</v>
      </c>
      <c r="O1249" t="s">
        <v>486</v>
      </c>
      <c r="P1249">
        <v>0.01</v>
      </c>
      <c r="Q1249" t="s">
        <v>245</v>
      </c>
      <c r="R1249">
        <v>13.3</v>
      </c>
      <c r="S1249">
        <v>13.3</v>
      </c>
      <c r="T1249">
        <v>0</v>
      </c>
      <c r="U1249">
        <v>13.3</v>
      </c>
      <c r="V1249">
        <v>60</v>
      </c>
    </row>
    <row r="1250" spans="1:22" x14ac:dyDescent="0.25">
      <c r="A1250" t="s">
        <v>626</v>
      </c>
      <c r="B1250" t="s">
        <v>536</v>
      </c>
      <c r="C1250">
        <v>14</v>
      </c>
      <c r="D1250" t="s">
        <v>260</v>
      </c>
      <c r="E1250" t="s">
        <v>132</v>
      </c>
      <c r="F1250" t="s">
        <v>260</v>
      </c>
      <c r="G1250">
        <v>7.0000000000000007E-2</v>
      </c>
      <c r="H1250" t="s">
        <v>79</v>
      </c>
      <c r="I1250">
        <v>-2</v>
      </c>
      <c r="J1250" s="4" t="str">
        <f>HYPERLINK("https://www.eliteprospects.com/player/888179/ryder-simpson")</f>
        <v>https://www.eliteprospects.com/player/888179/ryder-simpson</v>
      </c>
      <c r="K1250" t="s">
        <v>27</v>
      </c>
      <c r="L1250" t="s">
        <v>485</v>
      </c>
      <c r="M1250" t="s">
        <v>91</v>
      </c>
      <c r="N1250">
        <v>2</v>
      </c>
      <c r="O1250" t="s">
        <v>501</v>
      </c>
      <c r="P1250">
        <v>0.01</v>
      </c>
      <c r="Q1250" t="s">
        <v>245</v>
      </c>
      <c r="R1250">
        <v>9.1</v>
      </c>
      <c r="S1250">
        <v>18.2</v>
      </c>
      <c r="T1250">
        <v>9.1</v>
      </c>
      <c r="U1250">
        <v>13.6</v>
      </c>
      <c r="V1250">
        <v>50</v>
      </c>
    </row>
    <row r="1251" spans="1:22" x14ac:dyDescent="0.25">
      <c r="A1251" t="s">
        <v>666</v>
      </c>
      <c r="B1251" t="s">
        <v>667</v>
      </c>
      <c r="C1251">
        <v>35</v>
      </c>
      <c r="D1251" t="s">
        <v>60</v>
      </c>
      <c r="E1251" t="s">
        <v>55</v>
      </c>
      <c r="F1251" t="s">
        <v>265</v>
      </c>
      <c r="G1251">
        <v>1</v>
      </c>
      <c r="H1251" t="s">
        <v>39</v>
      </c>
      <c r="I1251">
        <v>4</v>
      </c>
      <c r="J1251" s="4" t="str">
        <f>HYPERLINK("https://www.eliteprospects.com/player/747334/hunter-laing")</f>
        <v>https://www.eliteprospects.com/player/747334/hunter-laing</v>
      </c>
      <c r="K1251" t="s">
        <v>27</v>
      </c>
      <c r="L1251" t="s">
        <v>631</v>
      </c>
      <c r="M1251" t="s">
        <v>87</v>
      </c>
      <c r="N1251">
        <v>5</v>
      </c>
      <c r="O1251" t="s">
        <v>645</v>
      </c>
      <c r="P1251">
        <v>0.14000000000000001</v>
      </c>
      <c r="Q1251" t="s">
        <v>31</v>
      </c>
      <c r="R1251">
        <v>66.7</v>
      </c>
      <c r="S1251">
        <v>0</v>
      </c>
      <c r="T1251">
        <v>0</v>
      </c>
      <c r="U1251">
        <v>0</v>
      </c>
      <c r="V1251">
        <v>33.299999999999997</v>
      </c>
    </row>
    <row r="1252" spans="1:22" x14ac:dyDescent="0.25">
      <c r="A1252" t="s">
        <v>673</v>
      </c>
      <c r="B1252" t="s">
        <v>667</v>
      </c>
      <c r="C1252">
        <v>36</v>
      </c>
      <c r="D1252" t="s">
        <v>65</v>
      </c>
      <c r="E1252" t="s">
        <v>33</v>
      </c>
      <c r="F1252" t="s">
        <v>178</v>
      </c>
      <c r="G1252">
        <v>0.94</v>
      </c>
      <c r="H1252" t="s">
        <v>24</v>
      </c>
      <c r="I1252">
        <v>2</v>
      </c>
      <c r="J1252" s="4" t="str">
        <f>HYPERLINK("https://www.eliteprospects.com/player/884684/cooper-williams")</f>
        <v>https://www.eliteprospects.com/player/884684/cooper-williams</v>
      </c>
      <c r="K1252" t="s">
        <v>27</v>
      </c>
      <c r="L1252" t="s">
        <v>631</v>
      </c>
      <c r="M1252" t="s">
        <v>35</v>
      </c>
      <c r="N1252">
        <v>2</v>
      </c>
      <c r="O1252" t="s">
        <v>636</v>
      </c>
      <c r="P1252">
        <v>0.13</v>
      </c>
      <c r="Q1252" t="s">
        <v>31</v>
      </c>
      <c r="R1252">
        <v>100</v>
      </c>
      <c r="S1252">
        <v>0</v>
      </c>
      <c r="T1252">
        <v>0</v>
      </c>
      <c r="U1252">
        <v>0</v>
      </c>
      <c r="V1252">
        <v>0</v>
      </c>
    </row>
    <row r="1253" spans="1:22" x14ac:dyDescent="0.25">
      <c r="A1253" t="s">
        <v>675</v>
      </c>
      <c r="B1253" t="s">
        <v>667</v>
      </c>
      <c r="C1253">
        <v>38</v>
      </c>
      <c r="D1253" t="s">
        <v>33</v>
      </c>
      <c r="E1253" t="s">
        <v>69</v>
      </c>
      <c r="F1253" t="s">
        <v>25</v>
      </c>
      <c r="G1253">
        <v>0.84</v>
      </c>
      <c r="H1253" t="s">
        <v>81</v>
      </c>
      <c r="I1253">
        <v>-5</v>
      </c>
      <c r="J1253" s="4" t="str">
        <f>HYPERLINK("https://www.eliteprospects.com/player/607343/rowan-calvert")</f>
        <v>https://www.eliteprospects.com/player/607343/rowan-calvert</v>
      </c>
      <c r="K1253" t="s">
        <v>27</v>
      </c>
      <c r="L1253" t="s">
        <v>631</v>
      </c>
      <c r="M1253" t="s">
        <v>35</v>
      </c>
      <c r="N1253">
        <v>5</v>
      </c>
      <c r="O1253" t="s">
        <v>645</v>
      </c>
      <c r="P1253">
        <v>0.12</v>
      </c>
      <c r="Q1253" t="s">
        <v>135</v>
      </c>
      <c r="R1253">
        <v>11.1</v>
      </c>
      <c r="S1253">
        <v>44.4</v>
      </c>
      <c r="T1253">
        <v>11.1</v>
      </c>
      <c r="U1253">
        <v>11.1</v>
      </c>
      <c r="V1253">
        <v>22.2</v>
      </c>
    </row>
    <row r="1254" spans="1:22" x14ac:dyDescent="0.25">
      <c r="A1254" t="s">
        <v>679</v>
      </c>
      <c r="B1254" t="s">
        <v>667</v>
      </c>
      <c r="C1254">
        <v>28</v>
      </c>
      <c r="D1254" t="s">
        <v>26</v>
      </c>
      <c r="E1254" t="s">
        <v>81</v>
      </c>
      <c r="F1254" t="s">
        <v>25</v>
      </c>
      <c r="G1254">
        <v>1.1399999999999999</v>
      </c>
      <c r="H1254" t="s">
        <v>24</v>
      </c>
      <c r="I1254">
        <v>2</v>
      </c>
      <c r="J1254" s="4" t="str">
        <f>HYPERLINK("https://www.eliteprospects.com/player/810734/david-lewandowski")</f>
        <v>https://www.eliteprospects.com/player/810734/david-lewandowski</v>
      </c>
      <c r="K1254" t="s">
        <v>27</v>
      </c>
      <c r="L1254" t="s">
        <v>631</v>
      </c>
      <c r="M1254" t="s">
        <v>91</v>
      </c>
      <c r="N1254">
        <v>2</v>
      </c>
      <c r="O1254" t="s">
        <v>636</v>
      </c>
      <c r="P1254">
        <v>0.16</v>
      </c>
      <c r="Q1254" t="s">
        <v>1277</v>
      </c>
      <c r="R1254">
        <v>0</v>
      </c>
      <c r="S1254">
        <v>33.299999999999997</v>
      </c>
      <c r="T1254">
        <v>50</v>
      </c>
      <c r="U1254">
        <v>16.7</v>
      </c>
      <c r="V1254">
        <v>0</v>
      </c>
    </row>
    <row r="1255" spans="1:22" x14ac:dyDescent="0.25">
      <c r="A1255" t="s">
        <v>685</v>
      </c>
      <c r="B1255" t="s">
        <v>667</v>
      </c>
      <c r="C1255">
        <v>37</v>
      </c>
      <c r="D1255" t="s">
        <v>69</v>
      </c>
      <c r="E1255" t="s">
        <v>41</v>
      </c>
      <c r="F1255" t="s">
        <v>125</v>
      </c>
      <c r="G1255">
        <v>0.7</v>
      </c>
      <c r="H1255" t="s">
        <v>32</v>
      </c>
      <c r="I1255">
        <v>6</v>
      </c>
      <c r="J1255" s="4" t="str">
        <f>HYPERLINK("https://www.eliteprospects.com/player/577082/hayden-harsanyi")</f>
        <v>https://www.eliteprospects.com/player/577082/hayden-harsanyi</v>
      </c>
      <c r="K1255" t="s">
        <v>27</v>
      </c>
      <c r="L1255" t="s">
        <v>631</v>
      </c>
      <c r="M1255" t="s">
        <v>35</v>
      </c>
      <c r="N1255">
        <v>4</v>
      </c>
      <c r="O1255" t="s">
        <v>632</v>
      </c>
      <c r="P1255">
        <v>0.1</v>
      </c>
      <c r="Q1255" t="s">
        <v>31</v>
      </c>
      <c r="R1255">
        <v>37.5</v>
      </c>
      <c r="S1255">
        <v>12.5</v>
      </c>
      <c r="T1255">
        <v>12.5</v>
      </c>
      <c r="U1255">
        <v>12.5</v>
      </c>
      <c r="V1255">
        <v>25</v>
      </c>
    </row>
    <row r="1256" spans="1:22" x14ac:dyDescent="0.25">
      <c r="A1256" t="s">
        <v>696</v>
      </c>
      <c r="B1256" t="s">
        <v>667</v>
      </c>
      <c r="C1256">
        <v>37</v>
      </c>
      <c r="D1256" t="s">
        <v>69</v>
      </c>
      <c r="E1256" t="s">
        <v>23</v>
      </c>
      <c r="F1256" t="s">
        <v>84</v>
      </c>
      <c r="G1256">
        <v>0.62</v>
      </c>
      <c r="H1256" t="s">
        <v>513</v>
      </c>
      <c r="I1256">
        <v>-7</v>
      </c>
      <c r="J1256" s="4" t="str">
        <f>HYPERLINK("https://www.eliteprospects.com/player/628073/zac-olsen")</f>
        <v>https://www.eliteprospects.com/player/628073/zac-olsen</v>
      </c>
      <c r="K1256" t="s">
        <v>27</v>
      </c>
      <c r="L1256" t="s">
        <v>631</v>
      </c>
      <c r="M1256" t="s">
        <v>35</v>
      </c>
      <c r="N1256">
        <v>3</v>
      </c>
      <c r="O1256" t="s">
        <v>639</v>
      </c>
      <c r="P1256">
        <v>0.09</v>
      </c>
      <c r="Q1256" t="s">
        <v>31</v>
      </c>
      <c r="R1256">
        <v>36.4</v>
      </c>
      <c r="S1256">
        <v>9.1</v>
      </c>
      <c r="T1256">
        <v>18.2</v>
      </c>
      <c r="U1256">
        <v>9.1</v>
      </c>
      <c r="V1256">
        <v>27.3</v>
      </c>
    </row>
    <row r="1257" spans="1:22" x14ac:dyDescent="0.25">
      <c r="A1257" t="s">
        <v>718</v>
      </c>
      <c r="B1257" t="s">
        <v>667</v>
      </c>
      <c r="C1257">
        <v>38</v>
      </c>
      <c r="D1257" t="s">
        <v>140</v>
      </c>
      <c r="E1257" t="s">
        <v>38</v>
      </c>
      <c r="F1257" t="s">
        <v>51</v>
      </c>
      <c r="G1257">
        <v>0.5</v>
      </c>
      <c r="H1257" t="s">
        <v>518</v>
      </c>
      <c r="I1257">
        <v>-1</v>
      </c>
      <c r="J1257" s="4" t="str">
        <f>HYPERLINK("https://www.eliteprospects.com/player/599356/tyler-parr")</f>
        <v>https://www.eliteprospects.com/player/599356/tyler-parr</v>
      </c>
      <c r="K1257" t="s">
        <v>27</v>
      </c>
      <c r="L1257" t="s">
        <v>631</v>
      </c>
      <c r="M1257" t="s">
        <v>35</v>
      </c>
      <c r="N1257">
        <v>5</v>
      </c>
      <c r="O1257" t="s">
        <v>645</v>
      </c>
      <c r="P1257">
        <v>7.0000000000000007E-2</v>
      </c>
      <c r="Q1257" t="s">
        <v>135</v>
      </c>
      <c r="R1257">
        <v>0</v>
      </c>
      <c r="S1257">
        <v>33.299999999999997</v>
      </c>
      <c r="T1257">
        <v>23.8</v>
      </c>
      <c r="U1257">
        <v>9.5</v>
      </c>
      <c r="V1257">
        <v>33.299999999999997</v>
      </c>
    </row>
    <row r="1258" spans="1:22" x14ac:dyDescent="0.25">
      <c r="A1258" t="s">
        <v>722</v>
      </c>
      <c r="B1258" t="s">
        <v>667</v>
      </c>
      <c r="C1258">
        <v>38</v>
      </c>
      <c r="D1258" t="s">
        <v>69</v>
      </c>
      <c r="E1258" t="s">
        <v>78</v>
      </c>
      <c r="F1258" t="s">
        <v>55</v>
      </c>
      <c r="G1258">
        <v>0.47</v>
      </c>
      <c r="H1258" t="s">
        <v>23</v>
      </c>
      <c r="I1258">
        <v>2</v>
      </c>
      <c r="J1258" s="4" t="str">
        <f>HYPERLINK("https://www.eliteprospects.com/player/577067/kazden-mathies")</f>
        <v>https://www.eliteprospects.com/player/577067/kazden-mathies</v>
      </c>
      <c r="K1258" t="s">
        <v>27</v>
      </c>
      <c r="L1258" t="s">
        <v>631</v>
      </c>
      <c r="M1258" t="s">
        <v>35</v>
      </c>
      <c r="N1258">
        <v>3</v>
      </c>
      <c r="O1258" t="s">
        <v>639</v>
      </c>
      <c r="P1258">
        <v>7.0000000000000007E-2</v>
      </c>
      <c r="Q1258" t="s">
        <v>245</v>
      </c>
      <c r="R1258">
        <v>14.3</v>
      </c>
      <c r="S1258">
        <v>28.6</v>
      </c>
      <c r="T1258">
        <v>0</v>
      </c>
      <c r="U1258">
        <v>14.3</v>
      </c>
      <c r="V1258">
        <v>42.9</v>
      </c>
    </row>
    <row r="1259" spans="1:22" x14ac:dyDescent="0.25">
      <c r="A1259" t="s">
        <v>760</v>
      </c>
      <c r="B1259" t="s">
        <v>667</v>
      </c>
      <c r="C1259">
        <v>30</v>
      </c>
      <c r="D1259" t="s">
        <v>79</v>
      </c>
      <c r="E1259" t="s">
        <v>78</v>
      </c>
      <c r="F1259" t="s">
        <v>45</v>
      </c>
      <c r="G1259">
        <v>0.3</v>
      </c>
      <c r="H1259" t="s">
        <v>84</v>
      </c>
      <c r="I1259">
        <v>0</v>
      </c>
      <c r="J1259" s="4" t="str">
        <f>HYPERLINK("https://www.eliteprospects.com/player/617641/gavin-clark")</f>
        <v>https://www.eliteprospects.com/player/617641/gavin-clark</v>
      </c>
      <c r="K1259" t="s">
        <v>27</v>
      </c>
      <c r="L1259" t="s">
        <v>631</v>
      </c>
      <c r="M1259" t="s">
        <v>35</v>
      </c>
      <c r="N1259">
        <v>1</v>
      </c>
      <c r="O1259" t="s">
        <v>634</v>
      </c>
      <c r="P1259">
        <v>0.04</v>
      </c>
      <c r="Q1259" t="s">
        <v>245</v>
      </c>
      <c r="R1259">
        <v>9.1</v>
      </c>
      <c r="S1259">
        <v>18.2</v>
      </c>
      <c r="T1259">
        <v>9.1</v>
      </c>
      <c r="U1259">
        <v>13.6</v>
      </c>
      <c r="V1259">
        <v>50</v>
      </c>
    </row>
    <row r="1260" spans="1:22" x14ac:dyDescent="0.25">
      <c r="A1260" t="s">
        <v>769</v>
      </c>
      <c r="B1260" t="s">
        <v>667</v>
      </c>
      <c r="C1260">
        <v>28</v>
      </c>
      <c r="D1260" t="s">
        <v>79</v>
      </c>
      <c r="E1260" t="s">
        <v>96</v>
      </c>
      <c r="F1260" t="s">
        <v>78</v>
      </c>
      <c r="G1260">
        <v>0.25</v>
      </c>
      <c r="H1260" t="s">
        <v>32</v>
      </c>
      <c r="I1260">
        <v>0</v>
      </c>
      <c r="J1260" s="4" t="str">
        <f>HYPERLINK("https://www.eliteprospects.com/player/815172/dustin-willhoft")</f>
        <v>https://www.eliteprospects.com/player/815172/dustin-willhoft</v>
      </c>
      <c r="K1260" t="s">
        <v>27</v>
      </c>
      <c r="L1260" t="s">
        <v>631</v>
      </c>
      <c r="M1260" t="s">
        <v>35</v>
      </c>
      <c r="N1260">
        <v>1</v>
      </c>
      <c r="O1260" t="s">
        <v>634</v>
      </c>
      <c r="P1260">
        <v>0.04</v>
      </c>
      <c r="Q1260" t="s">
        <v>245</v>
      </c>
      <c r="R1260">
        <v>9.1</v>
      </c>
      <c r="S1260">
        <v>18.2</v>
      </c>
      <c r="T1260">
        <v>9.1</v>
      </c>
      <c r="U1260">
        <v>13.6</v>
      </c>
      <c r="V1260">
        <v>50</v>
      </c>
    </row>
    <row r="1261" spans="1:22" x14ac:dyDescent="0.25">
      <c r="A1261" t="s">
        <v>792</v>
      </c>
      <c r="B1261" t="s">
        <v>667</v>
      </c>
      <c r="C1261">
        <v>35</v>
      </c>
      <c r="D1261" t="s">
        <v>79</v>
      </c>
      <c r="E1261" t="s">
        <v>79</v>
      </c>
      <c r="F1261" t="s">
        <v>66</v>
      </c>
      <c r="G1261">
        <v>0.11</v>
      </c>
      <c r="H1261" t="s">
        <v>47</v>
      </c>
      <c r="I1261">
        <v>-4</v>
      </c>
      <c r="J1261" s="4" t="str">
        <f>HYPERLINK("https://www.eliteprospects.com/player/879235/benjamin-bowtell")</f>
        <v>https://www.eliteprospects.com/player/879235/benjamin-bowtell</v>
      </c>
      <c r="K1261" t="s">
        <v>27</v>
      </c>
      <c r="L1261" t="s">
        <v>631</v>
      </c>
      <c r="M1261" t="s">
        <v>91</v>
      </c>
      <c r="N1261">
        <v>1</v>
      </c>
      <c r="O1261" t="s">
        <v>634</v>
      </c>
      <c r="P1261">
        <v>0.02</v>
      </c>
      <c r="Q1261" t="s">
        <v>245</v>
      </c>
      <c r="R1261">
        <v>9.1</v>
      </c>
      <c r="S1261">
        <v>18.2</v>
      </c>
      <c r="T1261">
        <v>9.1</v>
      </c>
      <c r="U1261">
        <v>13.6</v>
      </c>
      <c r="V1261">
        <v>50</v>
      </c>
    </row>
    <row r="1262" spans="1:22" x14ac:dyDescent="0.25">
      <c r="A1262" t="s">
        <v>799</v>
      </c>
      <c r="B1262" t="s">
        <v>667</v>
      </c>
      <c r="C1262">
        <v>19</v>
      </c>
      <c r="D1262" t="s">
        <v>79</v>
      </c>
      <c r="E1262" t="s">
        <v>132</v>
      </c>
      <c r="F1262" t="s">
        <v>79</v>
      </c>
      <c r="G1262">
        <v>0.11</v>
      </c>
      <c r="H1262" t="s">
        <v>47</v>
      </c>
      <c r="I1262">
        <v>-3</v>
      </c>
      <c r="J1262" s="4" t="str">
        <f>HYPERLINK("https://www.eliteprospects.com/player/883576/tristan-mitchell-mcellhone")</f>
        <v>https://www.eliteprospects.com/player/883576/tristan-mitchell-mcellhone</v>
      </c>
      <c r="K1262" t="s">
        <v>27</v>
      </c>
      <c r="L1262" t="s">
        <v>631</v>
      </c>
      <c r="M1262" t="s">
        <v>42</v>
      </c>
      <c r="N1262">
        <v>2</v>
      </c>
      <c r="O1262" t="s">
        <v>636</v>
      </c>
      <c r="P1262">
        <v>0.02</v>
      </c>
      <c r="Q1262" t="s">
        <v>245</v>
      </c>
      <c r="R1262">
        <v>9.1</v>
      </c>
      <c r="S1262">
        <v>18.2</v>
      </c>
      <c r="T1262">
        <v>9.1</v>
      </c>
      <c r="U1262">
        <v>13.6</v>
      </c>
      <c r="V1262">
        <v>50</v>
      </c>
    </row>
    <row r="1263" spans="1:22" x14ac:dyDescent="0.25">
      <c r="A1263" t="s">
        <v>661</v>
      </c>
      <c r="B1263" t="s">
        <v>662</v>
      </c>
      <c r="C1263">
        <v>36</v>
      </c>
      <c r="D1263" t="s">
        <v>60</v>
      </c>
      <c r="E1263" t="s">
        <v>33</v>
      </c>
      <c r="F1263" t="s">
        <v>53</v>
      </c>
      <c r="G1263">
        <v>1.06</v>
      </c>
      <c r="H1263" t="s">
        <v>125</v>
      </c>
      <c r="I1263">
        <v>7</v>
      </c>
      <c r="J1263" s="4" t="str">
        <f>HYPERLINK("https://www.eliteprospects.com/player/825487/antonio-martorana")</f>
        <v>https://www.eliteprospects.com/player/825487/antonio-martorana</v>
      </c>
      <c r="K1263" t="s">
        <v>27</v>
      </c>
      <c r="L1263" t="s">
        <v>631</v>
      </c>
      <c r="M1263" t="s">
        <v>35</v>
      </c>
      <c r="N1263">
        <v>3</v>
      </c>
      <c r="O1263" t="s">
        <v>639</v>
      </c>
      <c r="P1263">
        <v>0.15</v>
      </c>
      <c r="Q1263" t="s">
        <v>31</v>
      </c>
      <c r="R1263">
        <v>36.700000000000003</v>
      </c>
      <c r="S1263">
        <v>36.700000000000003</v>
      </c>
      <c r="T1263">
        <v>0</v>
      </c>
      <c r="U1263">
        <v>0</v>
      </c>
      <c r="V1263">
        <v>26.7</v>
      </c>
    </row>
    <row r="1264" spans="1:22" x14ac:dyDescent="0.25">
      <c r="A1264" t="s">
        <v>668</v>
      </c>
      <c r="B1264" t="s">
        <v>662</v>
      </c>
      <c r="C1264">
        <v>32</v>
      </c>
      <c r="D1264" t="s">
        <v>41</v>
      </c>
      <c r="E1264" t="s">
        <v>51</v>
      </c>
      <c r="F1264" t="s">
        <v>178</v>
      </c>
      <c r="G1264">
        <v>1.06</v>
      </c>
      <c r="H1264" t="s">
        <v>38</v>
      </c>
      <c r="I1264">
        <v>13</v>
      </c>
      <c r="J1264" s="4" t="str">
        <f>HYPERLINK("https://www.eliteprospects.com/player/967191/brock-england")</f>
        <v>https://www.eliteprospects.com/player/967191/brock-england</v>
      </c>
      <c r="K1264" t="s">
        <v>27</v>
      </c>
      <c r="L1264" t="s">
        <v>631</v>
      </c>
      <c r="M1264" t="s">
        <v>42</v>
      </c>
      <c r="N1264">
        <v>2</v>
      </c>
      <c r="O1264" t="s">
        <v>636</v>
      </c>
      <c r="P1264">
        <v>0.15</v>
      </c>
      <c r="Q1264" t="s">
        <v>31</v>
      </c>
      <c r="R1264">
        <v>36.700000000000003</v>
      </c>
      <c r="S1264">
        <v>36.700000000000003</v>
      </c>
      <c r="T1264">
        <v>0</v>
      </c>
      <c r="U1264">
        <v>0</v>
      </c>
      <c r="V1264">
        <v>26.7</v>
      </c>
    </row>
    <row r="1265" spans="1:22" x14ac:dyDescent="0.25">
      <c r="A1265" t="s">
        <v>669</v>
      </c>
      <c r="B1265" t="s">
        <v>662</v>
      </c>
      <c r="C1265">
        <v>36</v>
      </c>
      <c r="D1265" t="s">
        <v>41</v>
      </c>
      <c r="E1265" t="s">
        <v>51</v>
      </c>
      <c r="F1265" t="s">
        <v>178</v>
      </c>
      <c r="G1265">
        <v>0.94</v>
      </c>
      <c r="H1265" t="s">
        <v>600</v>
      </c>
      <c r="I1265">
        <v>2</v>
      </c>
      <c r="J1265" s="4" t="str">
        <f>HYPERLINK("https://www.eliteprospects.com/player/930791/matej-peka%C5%99")</f>
        <v>https://www.eliteprospects.com/player/930791/matej-peka%C5%99</v>
      </c>
      <c r="K1265" t="s">
        <v>27</v>
      </c>
      <c r="L1265" t="s">
        <v>631</v>
      </c>
      <c r="M1265" t="s">
        <v>122</v>
      </c>
      <c r="N1265">
        <v>2</v>
      </c>
      <c r="O1265" t="s">
        <v>636</v>
      </c>
      <c r="P1265">
        <v>0.13</v>
      </c>
      <c r="Q1265" t="s">
        <v>31</v>
      </c>
      <c r="R1265">
        <v>100</v>
      </c>
      <c r="S1265">
        <v>0</v>
      </c>
      <c r="T1265">
        <v>0</v>
      </c>
      <c r="U1265">
        <v>0</v>
      </c>
      <c r="V1265">
        <v>0</v>
      </c>
    </row>
    <row r="1266" spans="1:22" x14ac:dyDescent="0.25">
      <c r="A1266" t="s">
        <v>680</v>
      </c>
      <c r="B1266" t="s">
        <v>662</v>
      </c>
      <c r="C1266">
        <v>35</v>
      </c>
      <c r="D1266" t="s">
        <v>55</v>
      </c>
      <c r="E1266" t="s">
        <v>65</v>
      </c>
      <c r="F1266" t="s">
        <v>34</v>
      </c>
      <c r="G1266">
        <v>0.89</v>
      </c>
      <c r="H1266" t="s">
        <v>300</v>
      </c>
      <c r="I1266">
        <v>-2</v>
      </c>
      <c r="J1266" s="4" t="str">
        <f>HYPERLINK("https://www.eliteprospects.com/player/691224/coster-dunn")</f>
        <v>https://www.eliteprospects.com/player/691224/coster-dunn</v>
      </c>
      <c r="K1266" t="s">
        <v>27</v>
      </c>
      <c r="L1266" t="s">
        <v>631</v>
      </c>
      <c r="M1266" t="s">
        <v>42</v>
      </c>
      <c r="N1266">
        <v>5</v>
      </c>
      <c r="O1266" t="s">
        <v>645</v>
      </c>
      <c r="P1266">
        <v>0.13</v>
      </c>
      <c r="Q1266" t="s">
        <v>135</v>
      </c>
      <c r="R1266">
        <v>11.1</v>
      </c>
      <c r="S1266">
        <v>44.4</v>
      </c>
      <c r="T1266">
        <v>11.1</v>
      </c>
      <c r="U1266">
        <v>11.1</v>
      </c>
      <c r="V1266">
        <v>22.2</v>
      </c>
    </row>
    <row r="1267" spans="1:22" x14ac:dyDescent="0.25">
      <c r="A1267" t="s">
        <v>711</v>
      </c>
      <c r="B1267" t="s">
        <v>662</v>
      </c>
      <c r="C1267">
        <v>26</v>
      </c>
      <c r="D1267" t="s">
        <v>32</v>
      </c>
      <c r="E1267" t="s">
        <v>32</v>
      </c>
      <c r="F1267" t="s">
        <v>24</v>
      </c>
      <c r="G1267">
        <v>0.77</v>
      </c>
      <c r="H1267" t="s">
        <v>427</v>
      </c>
      <c r="I1267">
        <v>2</v>
      </c>
      <c r="J1267" s="4" t="str">
        <f>HYPERLINK("https://www.eliteprospects.com/player/691227/simon-lovsin")</f>
        <v>https://www.eliteprospects.com/player/691227/simon-lovsin</v>
      </c>
      <c r="K1267" t="s">
        <v>27</v>
      </c>
      <c r="L1267" t="s">
        <v>631</v>
      </c>
      <c r="M1267" t="s">
        <v>35</v>
      </c>
      <c r="N1267">
        <v>4</v>
      </c>
      <c r="O1267" t="s">
        <v>632</v>
      </c>
      <c r="P1267">
        <v>0.11</v>
      </c>
      <c r="Q1267" t="s">
        <v>135</v>
      </c>
      <c r="R1267">
        <v>20</v>
      </c>
      <c r="S1267">
        <v>40</v>
      </c>
      <c r="T1267">
        <v>20</v>
      </c>
      <c r="U1267">
        <v>0</v>
      </c>
      <c r="V1267">
        <v>20</v>
      </c>
    </row>
    <row r="1268" spans="1:22" x14ac:dyDescent="0.25">
      <c r="A1268" t="s">
        <v>732</v>
      </c>
      <c r="B1268" t="s">
        <v>662</v>
      </c>
      <c r="C1268">
        <v>36</v>
      </c>
      <c r="D1268" t="s">
        <v>26</v>
      </c>
      <c r="E1268" t="s">
        <v>26</v>
      </c>
      <c r="F1268" t="s">
        <v>38</v>
      </c>
      <c r="G1268">
        <v>0.44</v>
      </c>
      <c r="H1268" t="s">
        <v>69</v>
      </c>
      <c r="I1268">
        <v>0</v>
      </c>
      <c r="J1268" s="4" t="str">
        <f>HYPERLINK("https://www.eliteprospects.com/player/806557/sawyer-mayes")</f>
        <v>https://www.eliteprospects.com/player/806557/sawyer-mayes</v>
      </c>
      <c r="K1268" t="s">
        <v>27</v>
      </c>
      <c r="L1268" t="s">
        <v>631</v>
      </c>
      <c r="M1268" t="s">
        <v>42</v>
      </c>
      <c r="N1268">
        <v>4</v>
      </c>
      <c r="O1268" t="s">
        <v>632</v>
      </c>
      <c r="P1268">
        <v>0.06</v>
      </c>
      <c r="Q1268" t="s">
        <v>135</v>
      </c>
      <c r="R1268">
        <v>0</v>
      </c>
      <c r="S1268">
        <v>33.299999999999997</v>
      </c>
      <c r="T1268">
        <v>23.8</v>
      </c>
      <c r="U1268">
        <v>9.5</v>
      </c>
      <c r="V1268">
        <v>33.299999999999997</v>
      </c>
    </row>
    <row r="1269" spans="1:22" x14ac:dyDescent="0.25">
      <c r="A1269" t="s">
        <v>762</v>
      </c>
      <c r="B1269" t="s">
        <v>662</v>
      </c>
      <c r="C1269">
        <v>36</v>
      </c>
      <c r="D1269" t="s">
        <v>79</v>
      </c>
      <c r="E1269" t="s">
        <v>57</v>
      </c>
      <c r="F1269" t="s">
        <v>26</v>
      </c>
      <c r="G1269">
        <v>0.22</v>
      </c>
      <c r="H1269" t="s">
        <v>763</v>
      </c>
      <c r="I1269">
        <v>-8</v>
      </c>
      <c r="J1269" s="4" t="str">
        <f>HYPERLINK("https://www.eliteprospects.com/player/935867/brayden-holberton")</f>
        <v>https://www.eliteprospects.com/player/935867/brayden-holberton</v>
      </c>
      <c r="K1269" t="s">
        <v>27</v>
      </c>
      <c r="L1269" t="s">
        <v>631</v>
      </c>
      <c r="M1269" t="s">
        <v>35</v>
      </c>
      <c r="N1269">
        <v>3</v>
      </c>
      <c r="O1269" t="s">
        <v>639</v>
      </c>
      <c r="P1269">
        <v>0.03</v>
      </c>
      <c r="Q1269" t="s">
        <v>245</v>
      </c>
      <c r="R1269">
        <v>13.3</v>
      </c>
      <c r="S1269">
        <v>13.3</v>
      </c>
      <c r="T1269">
        <v>0</v>
      </c>
      <c r="U1269">
        <v>13.3</v>
      </c>
      <c r="V1269">
        <v>60</v>
      </c>
    </row>
    <row r="1270" spans="1:22" x14ac:dyDescent="0.25">
      <c r="A1270" t="s">
        <v>770</v>
      </c>
      <c r="B1270" t="s">
        <v>662</v>
      </c>
      <c r="C1270">
        <v>33</v>
      </c>
      <c r="D1270" t="s">
        <v>79</v>
      </c>
      <c r="E1270" t="s">
        <v>96</v>
      </c>
      <c r="F1270" t="s">
        <v>78</v>
      </c>
      <c r="G1270">
        <v>0.21</v>
      </c>
      <c r="H1270" t="s">
        <v>125</v>
      </c>
      <c r="I1270">
        <v>0</v>
      </c>
      <c r="J1270" s="4" t="str">
        <f>HYPERLINK("https://www.eliteprospects.com/player/924593/marcus-laraque")</f>
        <v>https://www.eliteprospects.com/player/924593/marcus-laraque</v>
      </c>
      <c r="K1270" t="s">
        <v>27</v>
      </c>
      <c r="L1270" t="s">
        <v>631</v>
      </c>
      <c r="M1270" t="s">
        <v>29</v>
      </c>
      <c r="N1270">
        <v>1</v>
      </c>
      <c r="O1270" t="s">
        <v>634</v>
      </c>
      <c r="P1270">
        <v>0.03</v>
      </c>
      <c r="Q1270" t="s">
        <v>245</v>
      </c>
      <c r="R1270">
        <v>9.1</v>
      </c>
      <c r="S1270">
        <v>18.2</v>
      </c>
      <c r="T1270">
        <v>9.1</v>
      </c>
      <c r="U1270">
        <v>13.6</v>
      </c>
      <c r="V1270">
        <v>50</v>
      </c>
    </row>
    <row r="1271" spans="1:22" x14ac:dyDescent="0.25">
      <c r="A1271" t="s">
        <v>800</v>
      </c>
      <c r="B1271" t="s">
        <v>662</v>
      </c>
      <c r="C1271">
        <v>24</v>
      </c>
      <c r="D1271" t="s">
        <v>132</v>
      </c>
      <c r="E1271" t="s">
        <v>79</v>
      </c>
      <c r="F1271" t="s">
        <v>79</v>
      </c>
      <c r="G1271">
        <v>0.08</v>
      </c>
      <c r="H1271" t="s">
        <v>79</v>
      </c>
      <c r="I1271">
        <v>-8</v>
      </c>
      <c r="J1271" s="4" t="str">
        <f>HYPERLINK("https://www.eliteprospects.com/player/969110/logan-miller")</f>
        <v>https://www.eliteprospects.com/player/969110/logan-miller</v>
      </c>
      <c r="K1271" t="s">
        <v>27</v>
      </c>
      <c r="L1271" t="s">
        <v>631</v>
      </c>
      <c r="M1271" t="s">
        <v>35</v>
      </c>
      <c r="N1271">
        <v>2</v>
      </c>
      <c r="O1271" t="s">
        <v>636</v>
      </c>
      <c r="P1271">
        <v>0.01</v>
      </c>
      <c r="Q1271" t="s">
        <v>245</v>
      </c>
      <c r="R1271">
        <v>13.3</v>
      </c>
      <c r="S1271">
        <v>13.3</v>
      </c>
      <c r="T1271">
        <v>0</v>
      </c>
      <c r="U1271">
        <v>13.3</v>
      </c>
      <c r="V1271">
        <v>60</v>
      </c>
    </row>
    <row r="1272" spans="1:22" x14ac:dyDescent="0.25">
      <c r="A1272" t="s">
        <v>810</v>
      </c>
      <c r="B1272" t="s">
        <v>811</v>
      </c>
      <c r="C1272">
        <v>35</v>
      </c>
      <c r="D1272" t="s">
        <v>52</v>
      </c>
      <c r="E1272" t="s">
        <v>125</v>
      </c>
      <c r="F1272" t="s">
        <v>544</v>
      </c>
      <c r="G1272">
        <v>1.54</v>
      </c>
      <c r="H1272" t="s">
        <v>25</v>
      </c>
      <c r="I1272">
        <v>14</v>
      </c>
      <c r="J1272" s="4" t="str">
        <f>HYPERLINK("https://www.eliteprospects.com/player/660795/felix-lacerte")</f>
        <v>https://www.eliteprospects.com/player/660795/felix-lacerte</v>
      </c>
      <c r="K1272" t="s">
        <v>27</v>
      </c>
      <c r="L1272" t="s">
        <v>804</v>
      </c>
      <c r="M1272" t="s">
        <v>29</v>
      </c>
      <c r="N1272">
        <v>4</v>
      </c>
      <c r="O1272" t="s">
        <v>809</v>
      </c>
      <c r="P1272">
        <v>0.17</v>
      </c>
      <c r="Q1272" t="s">
        <v>31</v>
      </c>
      <c r="R1272">
        <v>78.599999999999994</v>
      </c>
      <c r="S1272">
        <v>0</v>
      </c>
      <c r="T1272">
        <v>0</v>
      </c>
      <c r="U1272">
        <v>0</v>
      </c>
      <c r="V1272">
        <v>21.4</v>
      </c>
    </row>
    <row r="1273" spans="1:22" x14ac:dyDescent="0.25">
      <c r="A1273" t="s">
        <v>834</v>
      </c>
      <c r="B1273" t="s">
        <v>811</v>
      </c>
      <c r="C1273">
        <v>35</v>
      </c>
      <c r="D1273" t="s">
        <v>23</v>
      </c>
      <c r="E1273" t="s">
        <v>51</v>
      </c>
      <c r="F1273" t="s">
        <v>34</v>
      </c>
      <c r="G1273">
        <v>0.89</v>
      </c>
      <c r="H1273" t="s">
        <v>52</v>
      </c>
      <c r="I1273">
        <v>16</v>
      </c>
      <c r="J1273" s="4" t="str">
        <f>HYPERLINK("https://www.eliteprospects.com/player/870109/chad-lygitsakos")</f>
        <v>https://www.eliteprospects.com/player/870109/chad-lygitsakos</v>
      </c>
      <c r="K1273" t="s">
        <v>27</v>
      </c>
      <c r="L1273" t="s">
        <v>804</v>
      </c>
      <c r="M1273" t="s">
        <v>42</v>
      </c>
      <c r="N1273">
        <v>2</v>
      </c>
      <c r="O1273" t="s">
        <v>825</v>
      </c>
      <c r="P1273">
        <v>0.1</v>
      </c>
      <c r="Q1273" t="s">
        <v>31</v>
      </c>
      <c r="R1273">
        <v>37.5</v>
      </c>
      <c r="S1273">
        <v>12.5</v>
      </c>
      <c r="T1273">
        <v>12.5</v>
      </c>
      <c r="U1273">
        <v>12.5</v>
      </c>
      <c r="V1273">
        <v>25</v>
      </c>
    </row>
    <row r="1274" spans="1:22" x14ac:dyDescent="0.25">
      <c r="A1274" t="s">
        <v>835</v>
      </c>
      <c r="B1274" t="s">
        <v>811</v>
      </c>
      <c r="C1274">
        <v>29</v>
      </c>
      <c r="D1274" t="s">
        <v>39</v>
      </c>
      <c r="E1274" t="s">
        <v>38</v>
      </c>
      <c r="F1274" t="s">
        <v>40</v>
      </c>
      <c r="G1274">
        <v>1.03</v>
      </c>
      <c r="H1274" t="s">
        <v>39</v>
      </c>
      <c r="I1274">
        <v>14</v>
      </c>
      <c r="J1274" s="4" t="str">
        <f>HYPERLINK("https://www.eliteprospects.com/player/591246/vince-elie")</f>
        <v>https://www.eliteprospects.com/player/591246/vince-elie</v>
      </c>
      <c r="K1274" t="s">
        <v>27</v>
      </c>
      <c r="L1274" t="s">
        <v>804</v>
      </c>
      <c r="M1274" t="s">
        <v>29</v>
      </c>
      <c r="N1274">
        <v>4</v>
      </c>
      <c r="O1274" t="s">
        <v>809</v>
      </c>
      <c r="P1274">
        <v>0.12</v>
      </c>
      <c r="Q1274" t="s">
        <v>135</v>
      </c>
      <c r="R1274">
        <v>22.7</v>
      </c>
      <c r="S1274">
        <v>36.4</v>
      </c>
      <c r="T1274">
        <v>9.1</v>
      </c>
      <c r="U1274">
        <v>0</v>
      </c>
      <c r="V1274">
        <v>31.8</v>
      </c>
    </row>
    <row r="1275" spans="1:22" x14ac:dyDescent="0.25">
      <c r="A1275" t="s">
        <v>839</v>
      </c>
      <c r="B1275" t="s">
        <v>811</v>
      </c>
      <c r="C1275">
        <v>35</v>
      </c>
      <c r="D1275" t="s">
        <v>69</v>
      </c>
      <c r="E1275" t="s">
        <v>55</v>
      </c>
      <c r="F1275" t="s">
        <v>46</v>
      </c>
      <c r="G1275">
        <v>0.83</v>
      </c>
      <c r="H1275" t="s">
        <v>34</v>
      </c>
      <c r="I1275">
        <v>9</v>
      </c>
      <c r="J1275" s="4" t="str">
        <f>HYPERLINK("https://www.eliteprospects.com/player/803827/cole-chandler")</f>
        <v>https://www.eliteprospects.com/player/803827/cole-chandler</v>
      </c>
      <c r="K1275" t="s">
        <v>27</v>
      </c>
      <c r="L1275" t="s">
        <v>804</v>
      </c>
      <c r="M1275" t="s">
        <v>76</v>
      </c>
      <c r="N1275">
        <v>3</v>
      </c>
      <c r="O1275" t="s">
        <v>805</v>
      </c>
      <c r="P1275">
        <v>0.09</v>
      </c>
      <c r="Q1275" t="s">
        <v>135</v>
      </c>
      <c r="R1275">
        <v>11.1</v>
      </c>
      <c r="S1275">
        <v>55.6</v>
      </c>
      <c r="T1275">
        <v>11.1</v>
      </c>
      <c r="U1275">
        <v>11.1</v>
      </c>
      <c r="V1275">
        <v>11.1</v>
      </c>
    </row>
    <row r="1276" spans="1:22" x14ac:dyDescent="0.25">
      <c r="A1276" t="s">
        <v>851</v>
      </c>
      <c r="B1276" t="s">
        <v>811</v>
      </c>
      <c r="C1276">
        <v>22</v>
      </c>
      <c r="D1276" t="s">
        <v>32</v>
      </c>
      <c r="E1276" t="s">
        <v>65</v>
      </c>
      <c r="F1276" t="s">
        <v>84</v>
      </c>
      <c r="G1276">
        <v>1.05</v>
      </c>
      <c r="H1276" t="s">
        <v>66</v>
      </c>
      <c r="I1276">
        <v>13</v>
      </c>
      <c r="J1276" s="4" t="str">
        <f>HYPERLINK("https://www.eliteprospects.com/player/715784/ji%C5%99i-klima")</f>
        <v>https://www.eliteprospects.com/player/715784/ji%C5%99i-klima</v>
      </c>
      <c r="K1276" t="s">
        <v>27</v>
      </c>
      <c r="L1276" t="s">
        <v>804</v>
      </c>
      <c r="M1276" t="s">
        <v>91</v>
      </c>
      <c r="N1276">
        <v>3</v>
      </c>
      <c r="O1276" t="s">
        <v>805</v>
      </c>
      <c r="P1276">
        <v>0.12</v>
      </c>
      <c r="Q1276" t="s">
        <v>135</v>
      </c>
      <c r="R1276">
        <v>22.7</v>
      </c>
      <c r="S1276">
        <v>36.4</v>
      </c>
      <c r="T1276">
        <v>9.1</v>
      </c>
      <c r="U1276">
        <v>0</v>
      </c>
      <c r="V1276">
        <v>31.8</v>
      </c>
    </row>
    <row r="1277" spans="1:22" x14ac:dyDescent="0.25">
      <c r="A1277" t="s">
        <v>852</v>
      </c>
      <c r="B1277" t="s">
        <v>811</v>
      </c>
      <c r="C1277">
        <v>25</v>
      </c>
      <c r="D1277" t="s">
        <v>45</v>
      </c>
      <c r="E1277" t="s">
        <v>39</v>
      </c>
      <c r="F1277" t="s">
        <v>84</v>
      </c>
      <c r="G1277">
        <v>0.92</v>
      </c>
      <c r="H1277" t="s">
        <v>26</v>
      </c>
      <c r="I1277">
        <v>9</v>
      </c>
      <c r="J1277" s="4" t="str">
        <f>HYPERLINK("https://www.eliteprospects.com/player/913505/elias-schneider")</f>
        <v>https://www.eliteprospects.com/player/913505/elias-schneider</v>
      </c>
      <c r="K1277" t="s">
        <v>27</v>
      </c>
      <c r="L1277" t="s">
        <v>804</v>
      </c>
      <c r="M1277" t="s">
        <v>42</v>
      </c>
      <c r="N1277">
        <v>1</v>
      </c>
      <c r="O1277" t="s">
        <v>816</v>
      </c>
      <c r="P1277">
        <v>0.1</v>
      </c>
      <c r="Q1277" t="s">
        <v>31</v>
      </c>
      <c r="R1277">
        <v>37.5</v>
      </c>
      <c r="S1277">
        <v>12.5</v>
      </c>
      <c r="T1277">
        <v>12.5</v>
      </c>
      <c r="U1277">
        <v>12.5</v>
      </c>
      <c r="V1277">
        <v>25</v>
      </c>
    </row>
    <row r="1278" spans="1:22" x14ac:dyDescent="0.25">
      <c r="A1278" t="s">
        <v>882</v>
      </c>
      <c r="B1278" t="s">
        <v>811</v>
      </c>
      <c r="C1278">
        <v>25</v>
      </c>
      <c r="D1278" t="s">
        <v>66</v>
      </c>
      <c r="E1278" t="s">
        <v>96</v>
      </c>
      <c r="F1278" t="s">
        <v>45</v>
      </c>
      <c r="G1278">
        <v>0.36</v>
      </c>
      <c r="H1278" t="s">
        <v>69</v>
      </c>
      <c r="I1278">
        <v>0</v>
      </c>
      <c r="J1278" s="4" t="str">
        <f>HYPERLINK("https://www.eliteprospects.com/player/837513/jacob-lachance")</f>
        <v>https://www.eliteprospects.com/player/837513/jacob-lachance</v>
      </c>
      <c r="K1278" t="s">
        <v>27</v>
      </c>
      <c r="L1278" t="s">
        <v>804</v>
      </c>
      <c r="M1278" t="s">
        <v>42</v>
      </c>
      <c r="N1278">
        <v>3</v>
      </c>
      <c r="O1278" t="s">
        <v>805</v>
      </c>
      <c r="P1278">
        <v>0.04</v>
      </c>
      <c r="Q1278" t="s">
        <v>245</v>
      </c>
      <c r="R1278">
        <v>9.1</v>
      </c>
      <c r="S1278">
        <v>18.2</v>
      </c>
      <c r="T1278">
        <v>9.1</v>
      </c>
      <c r="U1278">
        <v>13.6</v>
      </c>
      <c r="V1278">
        <v>50</v>
      </c>
    </row>
    <row r="1279" spans="1:22" x14ac:dyDescent="0.25">
      <c r="A1279" t="s">
        <v>887</v>
      </c>
      <c r="B1279" t="s">
        <v>811</v>
      </c>
      <c r="C1279">
        <v>18</v>
      </c>
      <c r="D1279" t="s">
        <v>66</v>
      </c>
      <c r="E1279" t="s">
        <v>140</v>
      </c>
      <c r="F1279" t="s">
        <v>78</v>
      </c>
      <c r="G1279">
        <v>0.39</v>
      </c>
      <c r="H1279" t="s">
        <v>41</v>
      </c>
      <c r="I1279">
        <v>2</v>
      </c>
      <c r="J1279" s="4" t="str">
        <f>HYPERLINK("https://www.eliteprospects.com/player/721165/kody-dupuis")</f>
        <v>https://www.eliteprospects.com/player/721165/kody-dupuis</v>
      </c>
      <c r="K1279" t="s">
        <v>27</v>
      </c>
      <c r="L1279" t="s">
        <v>804</v>
      </c>
      <c r="M1279" t="s">
        <v>42</v>
      </c>
      <c r="N1279">
        <v>4</v>
      </c>
      <c r="O1279" t="s">
        <v>809</v>
      </c>
      <c r="P1279">
        <v>0.04</v>
      </c>
      <c r="Q1279" t="s">
        <v>245</v>
      </c>
      <c r="R1279">
        <v>0</v>
      </c>
      <c r="S1279">
        <v>0</v>
      </c>
      <c r="T1279">
        <v>0</v>
      </c>
      <c r="U1279">
        <v>0</v>
      </c>
      <c r="V1279">
        <v>100</v>
      </c>
    </row>
    <row r="1280" spans="1:22" x14ac:dyDescent="0.25">
      <c r="A1280" t="s">
        <v>898</v>
      </c>
      <c r="B1280" t="s">
        <v>811</v>
      </c>
      <c r="C1280">
        <v>10</v>
      </c>
      <c r="D1280" t="s">
        <v>79</v>
      </c>
      <c r="E1280" t="s">
        <v>79</v>
      </c>
      <c r="F1280" t="s">
        <v>66</v>
      </c>
      <c r="G1280">
        <v>0.4</v>
      </c>
      <c r="H1280" t="s">
        <v>79</v>
      </c>
      <c r="I1280">
        <v>3</v>
      </c>
      <c r="J1280" s="4" t="str">
        <f>HYPERLINK("https://www.eliteprospects.com/player/762976/antoine-l-italien")</f>
        <v>https://www.eliteprospects.com/player/762976/antoine-l-italien</v>
      </c>
      <c r="K1280" t="s">
        <v>27</v>
      </c>
      <c r="L1280" t="s">
        <v>804</v>
      </c>
      <c r="M1280" t="s">
        <v>29</v>
      </c>
      <c r="N1280">
        <v>2</v>
      </c>
      <c r="O1280" t="s">
        <v>825</v>
      </c>
      <c r="P1280">
        <v>0.05</v>
      </c>
      <c r="Q1280" t="s">
        <v>245</v>
      </c>
      <c r="R1280">
        <v>0</v>
      </c>
      <c r="S1280">
        <v>0</v>
      </c>
      <c r="T1280">
        <v>0</v>
      </c>
      <c r="U1280">
        <v>0</v>
      </c>
      <c r="V1280">
        <v>100</v>
      </c>
    </row>
    <row r="1281" spans="1:22" x14ac:dyDescent="0.25">
      <c r="A1281" t="s">
        <v>628</v>
      </c>
      <c r="B1281" t="s">
        <v>811</v>
      </c>
      <c r="C1281">
        <v>10</v>
      </c>
      <c r="D1281" t="s">
        <v>79</v>
      </c>
      <c r="E1281" t="s">
        <v>132</v>
      </c>
      <c r="F1281" t="s">
        <v>79</v>
      </c>
      <c r="G1281">
        <v>0.2</v>
      </c>
      <c r="H1281" t="s">
        <v>57</v>
      </c>
      <c r="I1281">
        <v>-2</v>
      </c>
      <c r="J1281" s="4" t="str">
        <f>HYPERLINK("https://www.eliteprospects.com/player/806027/miroslav-satan")</f>
        <v>https://www.eliteprospects.com/player/806027/miroslav-satan</v>
      </c>
      <c r="K1281" t="s">
        <v>27</v>
      </c>
      <c r="L1281" t="s">
        <v>804</v>
      </c>
      <c r="M1281" t="s">
        <v>76</v>
      </c>
      <c r="N1281">
        <v>2</v>
      </c>
      <c r="O1281" t="s">
        <v>629</v>
      </c>
      <c r="P1281">
        <v>0.02</v>
      </c>
      <c r="Q1281" t="s">
        <v>245</v>
      </c>
      <c r="R1281">
        <v>9.1</v>
      </c>
      <c r="S1281">
        <v>18.2</v>
      </c>
      <c r="T1281">
        <v>9.1</v>
      </c>
      <c r="U1281">
        <v>13.6</v>
      </c>
      <c r="V1281">
        <v>50</v>
      </c>
    </row>
    <row r="1282" spans="1:22" x14ac:dyDescent="0.25">
      <c r="A1282" t="s">
        <v>910</v>
      </c>
      <c r="B1282" t="s">
        <v>811</v>
      </c>
      <c r="C1282">
        <v>11</v>
      </c>
      <c r="D1282" t="s">
        <v>260</v>
      </c>
      <c r="E1282" t="s">
        <v>260</v>
      </c>
      <c r="F1282" t="s">
        <v>79</v>
      </c>
      <c r="G1282">
        <v>0.18</v>
      </c>
      <c r="H1282" t="s">
        <v>132</v>
      </c>
      <c r="I1282">
        <v>0</v>
      </c>
      <c r="J1282" s="4" t="str">
        <f>HYPERLINK("https://www.eliteprospects.com/player/785785/dylan-laframboise")</f>
        <v>https://www.eliteprospects.com/player/785785/dylan-laframboise</v>
      </c>
      <c r="K1282" t="s">
        <v>27</v>
      </c>
      <c r="L1282" t="s">
        <v>804</v>
      </c>
      <c r="M1282" t="s">
        <v>91</v>
      </c>
      <c r="N1282">
        <v>2</v>
      </c>
      <c r="O1282" t="s">
        <v>825</v>
      </c>
      <c r="P1282">
        <v>0.02</v>
      </c>
      <c r="Q1282" t="s">
        <v>245</v>
      </c>
      <c r="R1282">
        <v>9.1</v>
      </c>
      <c r="S1282">
        <v>18.2</v>
      </c>
      <c r="T1282">
        <v>9.1</v>
      </c>
      <c r="U1282">
        <v>13.6</v>
      </c>
      <c r="V1282">
        <v>50</v>
      </c>
    </row>
    <row r="1283" spans="1:22" x14ac:dyDescent="0.25">
      <c r="A1283" t="s">
        <v>911</v>
      </c>
      <c r="B1283" t="s">
        <v>811</v>
      </c>
      <c r="C1283">
        <v>13</v>
      </c>
      <c r="D1283" t="s">
        <v>132</v>
      </c>
      <c r="E1283" t="s">
        <v>79</v>
      </c>
      <c r="F1283" t="s">
        <v>79</v>
      </c>
      <c r="G1283">
        <v>0.15</v>
      </c>
      <c r="H1283" t="s">
        <v>32</v>
      </c>
      <c r="I1283">
        <v>-3</v>
      </c>
      <c r="J1283" s="4" t="str">
        <f>HYPERLINK("https://www.eliteprospects.com/player/879023/frederic-bergeron")</f>
        <v>https://www.eliteprospects.com/player/879023/frederic-bergeron</v>
      </c>
      <c r="K1283" t="s">
        <v>27</v>
      </c>
      <c r="L1283" t="s">
        <v>804</v>
      </c>
      <c r="M1283" t="s">
        <v>42</v>
      </c>
      <c r="N1283">
        <v>1</v>
      </c>
      <c r="O1283" t="s">
        <v>816</v>
      </c>
      <c r="P1283">
        <v>0.02</v>
      </c>
      <c r="Q1283" t="s">
        <v>245</v>
      </c>
      <c r="R1283">
        <v>9.1</v>
      </c>
      <c r="S1283">
        <v>18.2</v>
      </c>
      <c r="T1283">
        <v>9.1</v>
      </c>
      <c r="U1283">
        <v>13.6</v>
      </c>
      <c r="V1283">
        <v>50</v>
      </c>
    </row>
    <row r="1284" spans="1:22" x14ac:dyDescent="0.25">
      <c r="A1284" t="s">
        <v>915</v>
      </c>
      <c r="B1284" t="s">
        <v>811</v>
      </c>
      <c r="C1284">
        <v>12</v>
      </c>
      <c r="D1284" t="s">
        <v>132</v>
      </c>
      <c r="E1284" t="s">
        <v>132</v>
      </c>
      <c r="F1284" t="s">
        <v>132</v>
      </c>
      <c r="G1284">
        <v>0</v>
      </c>
      <c r="H1284" t="s">
        <v>96</v>
      </c>
      <c r="I1284">
        <v>-3</v>
      </c>
      <c r="J1284" s="4" t="str">
        <f>HYPERLINK("https://www.eliteprospects.com/player/903924/christian-furuvik")</f>
        <v>https://www.eliteprospects.com/player/903924/christian-furuvik</v>
      </c>
      <c r="K1284" t="s">
        <v>27</v>
      </c>
      <c r="L1284" t="s">
        <v>804</v>
      </c>
      <c r="M1284" t="s">
        <v>91</v>
      </c>
      <c r="N1284">
        <v>1</v>
      </c>
      <c r="O1284" t="s">
        <v>816</v>
      </c>
      <c r="P1284">
        <v>0</v>
      </c>
      <c r="Q1284" t="s">
        <v>245</v>
      </c>
      <c r="R1284">
        <v>9.1</v>
      </c>
      <c r="S1284">
        <v>18.2</v>
      </c>
      <c r="T1284">
        <v>9.1</v>
      </c>
      <c r="U1284">
        <v>13.6</v>
      </c>
      <c r="V1284">
        <v>50</v>
      </c>
    </row>
    <row r="1285" spans="1:22" x14ac:dyDescent="0.25">
      <c r="A1285" t="s">
        <v>831</v>
      </c>
      <c r="B1285" t="s">
        <v>832</v>
      </c>
      <c r="C1285">
        <v>37</v>
      </c>
      <c r="D1285" t="s">
        <v>39</v>
      </c>
      <c r="E1285" t="s">
        <v>55</v>
      </c>
      <c r="F1285" t="s">
        <v>25</v>
      </c>
      <c r="G1285">
        <v>0.86</v>
      </c>
      <c r="H1285" t="s">
        <v>265</v>
      </c>
      <c r="I1285">
        <v>-5</v>
      </c>
      <c r="J1285" s="4" t="str">
        <f>HYPERLINK("https://www.eliteprospects.com/player/619714/thomas-rousseau")</f>
        <v>https://www.eliteprospects.com/player/619714/thomas-rousseau</v>
      </c>
      <c r="K1285" t="s">
        <v>27</v>
      </c>
      <c r="L1285" t="s">
        <v>804</v>
      </c>
      <c r="M1285" t="s">
        <v>29</v>
      </c>
      <c r="N1285">
        <v>2</v>
      </c>
      <c r="O1285" t="s">
        <v>825</v>
      </c>
      <c r="P1285">
        <v>0.1</v>
      </c>
      <c r="Q1285" t="s">
        <v>245</v>
      </c>
      <c r="R1285">
        <v>0</v>
      </c>
      <c r="S1285">
        <v>33.299999999999997</v>
      </c>
      <c r="T1285">
        <v>0</v>
      </c>
      <c r="U1285">
        <v>0</v>
      </c>
      <c r="V1285">
        <v>66.7</v>
      </c>
    </row>
    <row r="1286" spans="1:22" x14ac:dyDescent="0.25">
      <c r="A1286" t="s">
        <v>842</v>
      </c>
      <c r="B1286" t="s">
        <v>832</v>
      </c>
      <c r="C1286">
        <v>36</v>
      </c>
      <c r="D1286" t="s">
        <v>57</v>
      </c>
      <c r="E1286" t="s">
        <v>47</v>
      </c>
      <c r="F1286" t="s">
        <v>52</v>
      </c>
      <c r="G1286">
        <v>0.78</v>
      </c>
      <c r="H1286" t="s">
        <v>32</v>
      </c>
      <c r="I1286">
        <v>-7</v>
      </c>
      <c r="J1286" s="4" t="str">
        <f>HYPERLINK("https://www.eliteprospects.com/player/896021/ilya-kolmakov")</f>
        <v>https://www.eliteprospects.com/player/896021/ilya-kolmakov</v>
      </c>
      <c r="K1286" t="s">
        <v>27</v>
      </c>
      <c r="L1286" t="s">
        <v>804</v>
      </c>
      <c r="M1286" t="s">
        <v>91</v>
      </c>
      <c r="N1286">
        <v>1</v>
      </c>
      <c r="O1286" t="s">
        <v>816</v>
      </c>
      <c r="P1286">
        <v>0.09</v>
      </c>
      <c r="Q1286" t="s">
        <v>31</v>
      </c>
      <c r="R1286">
        <v>36.4</v>
      </c>
      <c r="S1286">
        <v>9.1</v>
      </c>
      <c r="T1286">
        <v>18.2</v>
      </c>
      <c r="U1286">
        <v>9.1</v>
      </c>
      <c r="V1286">
        <v>27.3</v>
      </c>
    </row>
    <row r="1287" spans="1:22" x14ac:dyDescent="0.25">
      <c r="A1287" t="s">
        <v>843</v>
      </c>
      <c r="B1287" t="s">
        <v>832</v>
      </c>
      <c r="C1287">
        <v>31</v>
      </c>
      <c r="D1287" t="s">
        <v>39</v>
      </c>
      <c r="E1287" t="s">
        <v>23</v>
      </c>
      <c r="F1287" t="s">
        <v>125</v>
      </c>
      <c r="G1287">
        <v>0.84</v>
      </c>
      <c r="H1287" t="s">
        <v>638</v>
      </c>
      <c r="I1287">
        <v>-6</v>
      </c>
      <c r="J1287" s="4" t="str">
        <f>HYPERLINK("https://www.eliteprospects.com/player/763056/florent-houle")</f>
        <v>https://www.eliteprospects.com/player/763056/florent-houle</v>
      </c>
      <c r="K1287" t="s">
        <v>27</v>
      </c>
      <c r="L1287" t="s">
        <v>804</v>
      </c>
      <c r="M1287" t="s">
        <v>29</v>
      </c>
      <c r="N1287">
        <v>2</v>
      </c>
      <c r="O1287" t="s">
        <v>825</v>
      </c>
      <c r="P1287">
        <v>0.09</v>
      </c>
      <c r="Q1287" t="s">
        <v>31</v>
      </c>
      <c r="R1287">
        <v>36.4</v>
      </c>
      <c r="S1287">
        <v>9.1</v>
      </c>
      <c r="T1287">
        <v>18.2</v>
      </c>
      <c r="U1287">
        <v>9.1</v>
      </c>
      <c r="V1287">
        <v>27.3</v>
      </c>
    </row>
    <row r="1288" spans="1:22" x14ac:dyDescent="0.25">
      <c r="A1288" t="s">
        <v>861</v>
      </c>
      <c r="B1288" t="s">
        <v>832</v>
      </c>
      <c r="C1288">
        <v>33</v>
      </c>
      <c r="D1288" t="s">
        <v>66</v>
      </c>
      <c r="E1288" t="s">
        <v>39</v>
      </c>
      <c r="F1288" t="s">
        <v>55</v>
      </c>
      <c r="G1288">
        <v>0.55000000000000004</v>
      </c>
      <c r="H1288" t="s">
        <v>51</v>
      </c>
      <c r="I1288">
        <v>-7</v>
      </c>
      <c r="J1288" s="4" t="str">
        <f>HYPERLINK("https://www.eliteprospects.com/player/886796/jayden-plouffe")</f>
        <v>https://www.eliteprospects.com/player/886796/jayden-plouffe</v>
      </c>
      <c r="K1288" t="s">
        <v>27</v>
      </c>
      <c r="L1288" t="s">
        <v>804</v>
      </c>
      <c r="M1288" t="s">
        <v>91</v>
      </c>
      <c r="N1288">
        <v>2</v>
      </c>
      <c r="O1288" t="s">
        <v>825</v>
      </c>
      <c r="P1288">
        <v>0.06</v>
      </c>
      <c r="Q1288" t="s">
        <v>245</v>
      </c>
      <c r="R1288">
        <v>0</v>
      </c>
      <c r="S1288">
        <v>15.4</v>
      </c>
      <c r="T1288">
        <v>7.7</v>
      </c>
      <c r="U1288">
        <v>30.8</v>
      </c>
      <c r="V1288">
        <v>46.2</v>
      </c>
    </row>
    <row r="1289" spans="1:22" x14ac:dyDescent="0.25">
      <c r="A1289" t="s">
        <v>868</v>
      </c>
      <c r="B1289" t="s">
        <v>832</v>
      </c>
      <c r="C1289">
        <v>21</v>
      </c>
      <c r="D1289" t="s">
        <v>78</v>
      </c>
      <c r="E1289" t="s">
        <v>78</v>
      </c>
      <c r="F1289" t="s">
        <v>39</v>
      </c>
      <c r="G1289">
        <v>0.67</v>
      </c>
      <c r="H1289" t="s">
        <v>84</v>
      </c>
      <c r="I1289">
        <v>-9</v>
      </c>
      <c r="J1289" s="4" t="str">
        <f>HYPERLINK("https://www.eliteprospects.com/player/646871/olivier-dubois")</f>
        <v>https://www.eliteprospects.com/player/646871/olivier-dubois</v>
      </c>
      <c r="K1289" t="s">
        <v>27</v>
      </c>
      <c r="L1289" t="s">
        <v>804</v>
      </c>
      <c r="M1289" t="s">
        <v>91</v>
      </c>
      <c r="N1289">
        <v>4</v>
      </c>
      <c r="O1289" t="s">
        <v>809</v>
      </c>
      <c r="P1289">
        <v>0.08</v>
      </c>
      <c r="Q1289" t="s">
        <v>31</v>
      </c>
      <c r="R1289">
        <v>36.4</v>
      </c>
      <c r="S1289">
        <v>9.1</v>
      </c>
      <c r="T1289">
        <v>18.2</v>
      </c>
      <c r="U1289">
        <v>9.1</v>
      </c>
      <c r="V1289">
        <v>27.3</v>
      </c>
    </row>
    <row r="1290" spans="1:22" x14ac:dyDescent="0.25">
      <c r="A1290" t="s">
        <v>875</v>
      </c>
      <c r="B1290" t="s">
        <v>832</v>
      </c>
      <c r="C1290">
        <v>36</v>
      </c>
      <c r="D1290" t="s">
        <v>66</v>
      </c>
      <c r="E1290" t="s">
        <v>78</v>
      </c>
      <c r="F1290" t="s">
        <v>69</v>
      </c>
      <c r="G1290">
        <v>0.31</v>
      </c>
      <c r="H1290" t="s">
        <v>38</v>
      </c>
      <c r="I1290">
        <v>-2</v>
      </c>
      <c r="J1290" s="4" t="str">
        <f>HYPERLINK("https://www.eliteprospects.com/player/870111/loic-poirier")</f>
        <v>https://www.eliteprospects.com/player/870111/loic-poirier</v>
      </c>
      <c r="K1290" t="s">
        <v>27</v>
      </c>
      <c r="L1290" t="s">
        <v>804</v>
      </c>
      <c r="M1290" t="s">
        <v>91</v>
      </c>
      <c r="N1290">
        <v>2</v>
      </c>
      <c r="O1290" t="s">
        <v>825</v>
      </c>
      <c r="P1290">
        <v>0.04</v>
      </c>
      <c r="Q1290" t="s">
        <v>245</v>
      </c>
      <c r="R1290">
        <v>9.1</v>
      </c>
      <c r="S1290">
        <v>18.2</v>
      </c>
      <c r="T1290">
        <v>9.1</v>
      </c>
      <c r="U1290">
        <v>13.6</v>
      </c>
      <c r="V1290">
        <v>50</v>
      </c>
    </row>
    <row r="1291" spans="1:22" x14ac:dyDescent="0.25">
      <c r="A1291" t="s">
        <v>880</v>
      </c>
      <c r="B1291" t="s">
        <v>832</v>
      </c>
      <c r="C1291">
        <v>16</v>
      </c>
      <c r="D1291" t="s">
        <v>66</v>
      </c>
      <c r="E1291" t="s">
        <v>57</v>
      </c>
      <c r="F1291" t="s">
        <v>32</v>
      </c>
      <c r="G1291">
        <v>0.63</v>
      </c>
      <c r="H1291" t="s">
        <v>132</v>
      </c>
      <c r="I1291">
        <v>-2</v>
      </c>
      <c r="J1291" s="4" t="str">
        <f>HYPERLINK("https://www.eliteprospects.com/player/725509/chad-bellemare")</f>
        <v>https://www.eliteprospects.com/player/725509/chad-bellemare</v>
      </c>
      <c r="K1291" t="s">
        <v>27</v>
      </c>
      <c r="L1291" t="s">
        <v>804</v>
      </c>
      <c r="M1291" t="s">
        <v>29</v>
      </c>
      <c r="N1291">
        <v>4</v>
      </c>
      <c r="O1291" t="s">
        <v>809</v>
      </c>
      <c r="P1291">
        <v>7.0000000000000007E-2</v>
      </c>
      <c r="Q1291" t="s">
        <v>135</v>
      </c>
      <c r="R1291">
        <v>0</v>
      </c>
      <c r="S1291">
        <v>33.299999999999997</v>
      </c>
      <c r="T1291">
        <v>23.8</v>
      </c>
      <c r="U1291">
        <v>9.5</v>
      </c>
      <c r="V1291">
        <v>33.299999999999997</v>
      </c>
    </row>
    <row r="1292" spans="1:22" x14ac:dyDescent="0.25">
      <c r="A1292" t="s">
        <v>884</v>
      </c>
      <c r="B1292" t="s">
        <v>832</v>
      </c>
      <c r="C1292">
        <v>24</v>
      </c>
      <c r="D1292" t="s">
        <v>96</v>
      </c>
      <c r="E1292" t="s">
        <v>140</v>
      </c>
      <c r="F1292" t="s">
        <v>26</v>
      </c>
      <c r="G1292">
        <v>0.33</v>
      </c>
      <c r="H1292" t="s">
        <v>39</v>
      </c>
      <c r="I1292">
        <v>2</v>
      </c>
      <c r="J1292" s="4" t="str">
        <f>HYPERLINK("https://www.eliteprospects.com/player/874834/samuel-rochon")</f>
        <v>https://www.eliteprospects.com/player/874834/samuel-rochon</v>
      </c>
      <c r="K1292" t="s">
        <v>27</v>
      </c>
      <c r="L1292" t="s">
        <v>804</v>
      </c>
      <c r="M1292" t="s">
        <v>91</v>
      </c>
      <c r="N1292">
        <v>2</v>
      </c>
      <c r="O1292" t="s">
        <v>825</v>
      </c>
      <c r="P1292">
        <v>0.04</v>
      </c>
      <c r="Q1292" t="s">
        <v>245</v>
      </c>
      <c r="R1292">
        <v>0</v>
      </c>
      <c r="S1292">
        <v>0</v>
      </c>
      <c r="T1292">
        <v>0</v>
      </c>
      <c r="U1292">
        <v>0</v>
      </c>
      <c r="V1292">
        <v>100</v>
      </c>
    </row>
    <row r="1293" spans="1:22" x14ac:dyDescent="0.25">
      <c r="A1293" t="s">
        <v>892</v>
      </c>
      <c r="B1293" t="s">
        <v>832</v>
      </c>
      <c r="C1293">
        <v>27</v>
      </c>
      <c r="D1293" t="s">
        <v>79</v>
      </c>
      <c r="E1293" t="s">
        <v>66</v>
      </c>
      <c r="F1293" t="s">
        <v>57</v>
      </c>
      <c r="G1293">
        <v>0.22</v>
      </c>
      <c r="H1293" t="s">
        <v>65</v>
      </c>
      <c r="I1293">
        <v>-8</v>
      </c>
      <c r="J1293" s="4" t="str">
        <f>HYPERLINK("https://www.eliteprospects.com/player/928875/martins-klaucans")</f>
        <v>https://www.eliteprospects.com/player/928875/martins-klaucans</v>
      </c>
      <c r="K1293" t="s">
        <v>27</v>
      </c>
      <c r="L1293" t="s">
        <v>804</v>
      </c>
      <c r="M1293" t="s">
        <v>91</v>
      </c>
      <c r="N1293">
        <v>1</v>
      </c>
      <c r="O1293" t="s">
        <v>816</v>
      </c>
      <c r="P1293">
        <v>0.02</v>
      </c>
      <c r="Q1293" t="s">
        <v>245</v>
      </c>
      <c r="R1293">
        <v>13.3</v>
      </c>
      <c r="S1293">
        <v>13.3</v>
      </c>
      <c r="T1293">
        <v>0</v>
      </c>
      <c r="U1293">
        <v>13.3</v>
      </c>
      <c r="V1293">
        <v>60</v>
      </c>
    </row>
    <row r="1294" spans="1:22" x14ac:dyDescent="0.25">
      <c r="A1294" t="s">
        <v>893</v>
      </c>
      <c r="B1294" t="s">
        <v>832</v>
      </c>
      <c r="C1294">
        <v>22</v>
      </c>
      <c r="D1294" t="s">
        <v>140</v>
      </c>
      <c r="E1294" t="s">
        <v>79</v>
      </c>
      <c r="F1294" t="s">
        <v>96</v>
      </c>
      <c r="G1294">
        <v>0.23</v>
      </c>
      <c r="H1294" t="s">
        <v>32</v>
      </c>
      <c r="I1294">
        <v>-6</v>
      </c>
      <c r="J1294" s="4" t="str">
        <f>HYPERLINK("https://www.eliteprospects.com/player/727108/felix-ouellet")</f>
        <v>https://www.eliteprospects.com/player/727108/felix-ouellet</v>
      </c>
      <c r="K1294" t="s">
        <v>27</v>
      </c>
      <c r="L1294" t="s">
        <v>804</v>
      </c>
      <c r="M1294" t="s">
        <v>29</v>
      </c>
      <c r="N1294">
        <v>3</v>
      </c>
      <c r="O1294" t="s">
        <v>805</v>
      </c>
      <c r="P1294">
        <v>0.03</v>
      </c>
      <c r="Q1294" t="s">
        <v>245</v>
      </c>
      <c r="R1294">
        <v>13.3</v>
      </c>
      <c r="S1294">
        <v>13.3</v>
      </c>
      <c r="T1294">
        <v>0</v>
      </c>
      <c r="U1294">
        <v>13.3</v>
      </c>
      <c r="V1294">
        <v>60</v>
      </c>
    </row>
    <row r="1295" spans="1:22" x14ac:dyDescent="0.25">
      <c r="A1295" t="s">
        <v>905</v>
      </c>
      <c r="B1295" t="s">
        <v>832</v>
      </c>
      <c r="C1295">
        <v>30</v>
      </c>
      <c r="D1295" t="s">
        <v>79</v>
      </c>
      <c r="E1295" t="s">
        <v>260</v>
      </c>
      <c r="F1295" t="s">
        <v>140</v>
      </c>
      <c r="G1295">
        <v>0.1</v>
      </c>
      <c r="H1295" t="s">
        <v>33</v>
      </c>
      <c r="I1295">
        <v>-8</v>
      </c>
      <c r="J1295" s="4" t="str">
        <f>HYPERLINK("https://www.eliteprospects.com/player/993026/cameron-haye")</f>
        <v>https://www.eliteprospects.com/player/993026/cameron-haye</v>
      </c>
      <c r="K1295" t="s">
        <v>27</v>
      </c>
      <c r="L1295" t="s">
        <v>804</v>
      </c>
      <c r="M1295" t="s">
        <v>42</v>
      </c>
      <c r="N1295">
        <v>1</v>
      </c>
      <c r="O1295" t="s">
        <v>816</v>
      </c>
      <c r="P1295">
        <v>0.01</v>
      </c>
      <c r="Q1295" t="s">
        <v>245</v>
      </c>
      <c r="R1295">
        <v>13.3</v>
      </c>
      <c r="S1295">
        <v>13.3</v>
      </c>
      <c r="T1295">
        <v>0</v>
      </c>
      <c r="U1295">
        <v>13.3</v>
      </c>
      <c r="V1295">
        <v>60</v>
      </c>
    </row>
    <row r="1296" spans="1:22" x14ac:dyDescent="0.25">
      <c r="A1296" t="s">
        <v>908</v>
      </c>
      <c r="B1296" t="s">
        <v>832</v>
      </c>
      <c r="C1296">
        <v>22</v>
      </c>
      <c r="D1296" t="s">
        <v>132</v>
      </c>
      <c r="E1296" t="s">
        <v>140</v>
      </c>
      <c r="F1296" t="s">
        <v>140</v>
      </c>
      <c r="G1296">
        <v>0.14000000000000001</v>
      </c>
      <c r="H1296" t="s">
        <v>41</v>
      </c>
      <c r="I1296">
        <v>-2</v>
      </c>
      <c r="J1296" s="4" t="str">
        <f>HYPERLINK("https://www.eliteprospects.com/player/891137/olivier-boutin")</f>
        <v>https://www.eliteprospects.com/player/891137/olivier-boutin</v>
      </c>
      <c r="K1296" t="s">
        <v>27</v>
      </c>
      <c r="L1296" t="s">
        <v>804</v>
      </c>
      <c r="M1296" t="s">
        <v>42</v>
      </c>
      <c r="N1296">
        <v>2</v>
      </c>
      <c r="O1296" t="s">
        <v>825</v>
      </c>
      <c r="P1296">
        <v>0.02</v>
      </c>
      <c r="Q1296" t="s">
        <v>245</v>
      </c>
      <c r="R1296">
        <v>9.1</v>
      </c>
      <c r="S1296">
        <v>18.2</v>
      </c>
      <c r="T1296">
        <v>9.1</v>
      </c>
      <c r="U1296">
        <v>13.6</v>
      </c>
      <c r="V1296">
        <v>50</v>
      </c>
    </row>
    <row r="1297" spans="1:22" x14ac:dyDescent="0.25">
      <c r="A1297" t="s">
        <v>509</v>
      </c>
      <c r="B1297" t="s">
        <v>510</v>
      </c>
      <c r="C1297">
        <v>36</v>
      </c>
      <c r="D1297" t="s">
        <v>41</v>
      </c>
      <c r="E1297" t="s">
        <v>40</v>
      </c>
      <c r="F1297" t="s">
        <v>427</v>
      </c>
      <c r="G1297">
        <v>1.25</v>
      </c>
      <c r="H1297" t="s">
        <v>24</v>
      </c>
      <c r="I1297">
        <v>14</v>
      </c>
      <c r="J1297" s="4" t="str">
        <f>HYPERLINK("https://www.eliteprospects.com/player/603114/marco-mignosa")</f>
        <v>https://www.eliteprospects.com/player/603114/marco-mignosa</v>
      </c>
      <c r="K1297" t="s">
        <v>27</v>
      </c>
      <c r="L1297" t="s">
        <v>485</v>
      </c>
      <c r="M1297" t="s">
        <v>29</v>
      </c>
      <c r="N1297">
        <v>5</v>
      </c>
      <c r="O1297" t="s">
        <v>508</v>
      </c>
      <c r="P1297">
        <v>0.18</v>
      </c>
      <c r="Q1297" t="s">
        <v>31</v>
      </c>
      <c r="R1297">
        <v>78.599999999999994</v>
      </c>
      <c r="S1297">
        <v>0</v>
      </c>
      <c r="T1297">
        <v>0</v>
      </c>
      <c r="U1297">
        <v>0</v>
      </c>
      <c r="V1297">
        <v>21.4</v>
      </c>
    </row>
    <row r="1298" spans="1:22" x14ac:dyDescent="0.25">
      <c r="A1298" t="s">
        <v>522</v>
      </c>
      <c r="B1298" t="s">
        <v>510</v>
      </c>
      <c r="C1298">
        <v>38</v>
      </c>
      <c r="D1298" t="s">
        <v>41</v>
      </c>
      <c r="E1298" t="s">
        <v>47</v>
      </c>
      <c r="F1298" t="s">
        <v>518</v>
      </c>
      <c r="G1298">
        <v>0.97</v>
      </c>
      <c r="H1298" t="s">
        <v>57</v>
      </c>
      <c r="I1298">
        <v>6</v>
      </c>
      <c r="J1298" s="4" t="str">
        <f>HYPERLINK("https://www.eliteprospects.com/player/577165/quinn-mckenzie")</f>
        <v>https://www.eliteprospects.com/player/577165/quinn-mckenzie</v>
      </c>
      <c r="K1298" t="s">
        <v>27</v>
      </c>
      <c r="L1298" t="s">
        <v>485</v>
      </c>
      <c r="M1298" t="s">
        <v>42</v>
      </c>
      <c r="N1298">
        <v>1</v>
      </c>
      <c r="O1298" t="s">
        <v>494</v>
      </c>
      <c r="P1298">
        <v>0.14000000000000001</v>
      </c>
      <c r="Q1298" t="s">
        <v>31</v>
      </c>
      <c r="R1298">
        <v>50</v>
      </c>
      <c r="S1298">
        <v>35.700000000000003</v>
      </c>
      <c r="T1298">
        <v>0</v>
      </c>
      <c r="U1298">
        <v>0</v>
      </c>
      <c r="V1298">
        <v>14.3</v>
      </c>
    </row>
    <row r="1299" spans="1:22" x14ac:dyDescent="0.25">
      <c r="A1299" t="s">
        <v>523</v>
      </c>
      <c r="B1299" t="s">
        <v>510</v>
      </c>
      <c r="C1299">
        <v>38</v>
      </c>
      <c r="D1299" t="s">
        <v>39</v>
      </c>
      <c r="E1299" t="s">
        <v>84</v>
      </c>
      <c r="F1299" t="s">
        <v>518</v>
      </c>
      <c r="G1299">
        <v>0.97</v>
      </c>
      <c r="H1299" t="s">
        <v>23</v>
      </c>
      <c r="I1299">
        <v>16</v>
      </c>
      <c r="J1299" s="4" t="str">
        <f>HYPERLINK("https://www.eliteprospects.com/player/911131/christopher-brown")</f>
        <v>https://www.eliteprospects.com/player/911131/christopher-brown</v>
      </c>
      <c r="K1299" t="s">
        <v>27</v>
      </c>
      <c r="L1299" t="s">
        <v>485</v>
      </c>
      <c r="M1299" t="s">
        <v>42</v>
      </c>
      <c r="N1299">
        <v>4</v>
      </c>
      <c r="O1299" t="s">
        <v>486</v>
      </c>
      <c r="P1299">
        <v>0.14000000000000001</v>
      </c>
      <c r="Q1299" t="s">
        <v>31</v>
      </c>
      <c r="R1299">
        <v>50</v>
      </c>
      <c r="S1299">
        <v>35.700000000000003</v>
      </c>
      <c r="T1299">
        <v>0</v>
      </c>
      <c r="U1299">
        <v>0</v>
      </c>
      <c r="V1299">
        <v>14.3</v>
      </c>
    </row>
    <row r="1300" spans="1:22" x14ac:dyDescent="0.25">
      <c r="A1300" t="s">
        <v>530</v>
      </c>
      <c r="B1300" t="s">
        <v>510</v>
      </c>
      <c r="C1300">
        <v>36</v>
      </c>
      <c r="D1300" t="s">
        <v>51</v>
      </c>
      <c r="E1300" t="s">
        <v>41</v>
      </c>
      <c r="F1300" t="s">
        <v>178</v>
      </c>
      <c r="G1300">
        <v>0.94</v>
      </c>
      <c r="H1300" t="s">
        <v>187</v>
      </c>
      <c r="I1300">
        <v>7</v>
      </c>
      <c r="J1300" s="4" t="str">
        <f>HYPERLINK("https://www.eliteprospects.com/player/881175/jordan-charron")</f>
        <v>https://www.eliteprospects.com/player/881175/jordan-charron</v>
      </c>
      <c r="K1300" t="s">
        <v>27</v>
      </c>
      <c r="L1300" t="s">
        <v>485</v>
      </c>
      <c r="M1300" t="s">
        <v>29</v>
      </c>
      <c r="N1300">
        <v>2</v>
      </c>
      <c r="O1300" t="s">
        <v>501</v>
      </c>
      <c r="P1300">
        <v>0.14000000000000001</v>
      </c>
      <c r="Q1300" t="s">
        <v>31</v>
      </c>
      <c r="R1300">
        <v>50</v>
      </c>
      <c r="S1300">
        <v>35.700000000000003</v>
      </c>
      <c r="T1300">
        <v>0</v>
      </c>
      <c r="U1300">
        <v>0</v>
      </c>
      <c r="V1300">
        <v>14.3</v>
      </c>
    </row>
    <row r="1301" spans="1:22" x14ac:dyDescent="0.25">
      <c r="A1301" t="s">
        <v>559</v>
      </c>
      <c r="B1301" t="s">
        <v>510</v>
      </c>
      <c r="C1301">
        <v>33</v>
      </c>
      <c r="D1301" t="s">
        <v>45</v>
      </c>
      <c r="E1301" t="s">
        <v>39</v>
      </c>
      <c r="F1301" t="s">
        <v>84</v>
      </c>
      <c r="G1301">
        <v>0.7</v>
      </c>
      <c r="H1301" t="s">
        <v>24</v>
      </c>
      <c r="I1301">
        <v>14</v>
      </c>
      <c r="J1301" s="4" t="str">
        <f>HYPERLINK("https://www.eliteprospects.com/player/746864/travis-hayes")</f>
        <v>https://www.eliteprospects.com/player/746864/travis-hayes</v>
      </c>
      <c r="K1301" t="s">
        <v>27</v>
      </c>
      <c r="L1301" t="s">
        <v>485</v>
      </c>
      <c r="M1301" t="s">
        <v>29</v>
      </c>
      <c r="N1301">
        <v>3</v>
      </c>
      <c r="O1301" t="s">
        <v>492</v>
      </c>
      <c r="P1301">
        <v>0.1</v>
      </c>
      <c r="Q1301" t="s">
        <v>31</v>
      </c>
      <c r="R1301">
        <v>37.5</v>
      </c>
      <c r="S1301">
        <v>12.5</v>
      </c>
      <c r="T1301">
        <v>12.5</v>
      </c>
      <c r="U1301">
        <v>12.5</v>
      </c>
      <c r="V1301">
        <v>25</v>
      </c>
    </row>
    <row r="1302" spans="1:22" x14ac:dyDescent="0.25">
      <c r="A1302" t="s">
        <v>568</v>
      </c>
      <c r="B1302" t="s">
        <v>510</v>
      </c>
      <c r="C1302">
        <v>38</v>
      </c>
      <c r="D1302" t="s">
        <v>26</v>
      </c>
      <c r="E1302" t="s">
        <v>23</v>
      </c>
      <c r="F1302" t="s">
        <v>24</v>
      </c>
      <c r="G1302">
        <v>0.53</v>
      </c>
      <c r="H1302" t="s">
        <v>23</v>
      </c>
      <c r="I1302">
        <v>-1</v>
      </c>
      <c r="J1302" s="4" t="str">
        <f>HYPERLINK("https://www.eliteprospects.com/player/701349/noah-laus")</f>
        <v>https://www.eliteprospects.com/player/701349/noah-laus</v>
      </c>
      <c r="K1302" t="s">
        <v>27</v>
      </c>
      <c r="L1302" t="s">
        <v>485</v>
      </c>
      <c r="M1302" t="s">
        <v>35</v>
      </c>
      <c r="N1302">
        <v>1</v>
      </c>
      <c r="O1302" t="s">
        <v>494</v>
      </c>
      <c r="P1302">
        <v>0.08</v>
      </c>
      <c r="Q1302" t="s">
        <v>1277</v>
      </c>
      <c r="R1302">
        <v>16.7</v>
      </c>
      <c r="S1302">
        <v>16.7</v>
      </c>
      <c r="T1302">
        <v>25</v>
      </c>
      <c r="U1302">
        <v>16.7</v>
      </c>
      <c r="V1302">
        <v>25</v>
      </c>
    </row>
    <row r="1303" spans="1:22" x14ac:dyDescent="0.25">
      <c r="A1303" t="s">
        <v>582</v>
      </c>
      <c r="B1303" t="s">
        <v>510</v>
      </c>
      <c r="C1303">
        <v>13</v>
      </c>
      <c r="D1303" t="s">
        <v>96</v>
      </c>
      <c r="E1303" t="s">
        <v>69</v>
      </c>
      <c r="F1303" t="s">
        <v>38</v>
      </c>
      <c r="G1303">
        <v>1.23</v>
      </c>
      <c r="H1303" t="s">
        <v>55</v>
      </c>
      <c r="I1303">
        <v>7</v>
      </c>
      <c r="J1303" s="4" t="str">
        <f>HYPERLINK("https://www.eliteprospects.com/player/880884/brady-martin")</f>
        <v>https://www.eliteprospects.com/player/880884/brady-martin</v>
      </c>
      <c r="K1303" t="s">
        <v>27</v>
      </c>
      <c r="L1303" t="s">
        <v>485</v>
      </c>
      <c r="M1303" t="s">
        <v>42</v>
      </c>
      <c r="N1303">
        <v>3</v>
      </c>
      <c r="O1303" t="s">
        <v>492</v>
      </c>
      <c r="P1303">
        <v>0.18</v>
      </c>
      <c r="Q1303" t="s">
        <v>31</v>
      </c>
      <c r="R1303">
        <v>78.599999999999994</v>
      </c>
      <c r="S1303">
        <v>0</v>
      </c>
      <c r="T1303">
        <v>0</v>
      </c>
      <c r="U1303">
        <v>0</v>
      </c>
      <c r="V1303">
        <v>21.4</v>
      </c>
    </row>
    <row r="1304" spans="1:22" x14ac:dyDescent="0.25">
      <c r="A1304" t="s">
        <v>594</v>
      </c>
      <c r="B1304" t="s">
        <v>510</v>
      </c>
      <c r="C1304">
        <v>37</v>
      </c>
      <c r="D1304" t="s">
        <v>78</v>
      </c>
      <c r="E1304" t="s">
        <v>140</v>
      </c>
      <c r="F1304" t="s">
        <v>32</v>
      </c>
      <c r="G1304">
        <v>0.27</v>
      </c>
      <c r="H1304" t="s">
        <v>26</v>
      </c>
      <c r="I1304">
        <v>-3</v>
      </c>
      <c r="J1304" s="4" t="str">
        <f>HYPERLINK("https://www.eliteprospects.com/player/888245/brady-smith")</f>
        <v>https://www.eliteprospects.com/player/888245/brady-smith</v>
      </c>
      <c r="K1304" t="s">
        <v>27</v>
      </c>
      <c r="L1304" t="s">
        <v>485</v>
      </c>
      <c r="M1304" t="s">
        <v>42</v>
      </c>
      <c r="N1304">
        <v>2</v>
      </c>
      <c r="O1304" t="s">
        <v>501</v>
      </c>
      <c r="P1304">
        <v>0.04</v>
      </c>
      <c r="Q1304" t="s">
        <v>245</v>
      </c>
      <c r="R1304">
        <v>9.1</v>
      </c>
      <c r="S1304">
        <v>18.2</v>
      </c>
      <c r="T1304">
        <v>9.1</v>
      </c>
      <c r="U1304">
        <v>13.6</v>
      </c>
      <c r="V1304">
        <v>50</v>
      </c>
    </row>
    <row r="1305" spans="1:22" x14ac:dyDescent="0.25">
      <c r="A1305" t="s">
        <v>595</v>
      </c>
      <c r="B1305" t="s">
        <v>510</v>
      </c>
      <c r="C1305">
        <v>38</v>
      </c>
      <c r="D1305" t="s">
        <v>96</v>
      </c>
      <c r="E1305" t="s">
        <v>96</v>
      </c>
      <c r="F1305" t="s">
        <v>32</v>
      </c>
      <c r="G1305">
        <v>0.26</v>
      </c>
      <c r="H1305" t="s">
        <v>57</v>
      </c>
      <c r="I1305">
        <v>6</v>
      </c>
      <c r="J1305" s="4" t="str">
        <f>HYPERLINK("https://www.eliteprospects.com/player/891168/tobias-zvolensky")</f>
        <v>https://www.eliteprospects.com/player/891168/tobias-zvolensky</v>
      </c>
      <c r="K1305" t="s">
        <v>27</v>
      </c>
      <c r="L1305" t="s">
        <v>485</v>
      </c>
      <c r="M1305" t="s">
        <v>91</v>
      </c>
      <c r="N1305">
        <v>1</v>
      </c>
      <c r="O1305" t="s">
        <v>494</v>
      </c>
      <c r="P1305">
        <v>0.04</v>
      </c>
      <c r="Q1305" t="s">
        <v>245</v>
      </c>
      <c r="R1305">
        <v>0</v>
      </c>
      <c r="S1305">
        <v>25</v>
      </c>
      <c r="T1305">
        <v>0</v>
      </c>
      <c r="U1305">
        <v>25</v>
      </c>
      <c r="V1305">
        <v>50</v>
      </c>
    </row>
    <row r="1306" spans="1:22" x14ac:dyDescent="0.25">
      <c r="A1306" t="s">
        <v>603</v>
      </c>
      <c r="B1306" t="s">
        <v>510</v>
      </c>
      <c r="C1306">
        <v>27</v>
      </c>
      <c r="D1306" t="s">
        <v>79</v>
      </c>
      <c r="E1306" t="s">
        <v>96</v>
      </c>
      <c r="F1306" t="s">
        <v>78</v>
      </c>
      <c r="G1306">
        <v>0.26</v>
      </c>
      <c r="H1306" t="s">
        <v>79</v>
      </c>
      <c r="I1306">
        <v>-3</v>
      </c>
      <c r="J1306" s="4" t="str">
        <f>HYPERLINK("https://www.eliteprospects.com/player/701313/ryan-kaczynski")</f>
        <v>https://www.eliteprospects.com/player/701313/ryan-kaczynski</v>
      </c>
      <c r="K1306" t="s">
        <v>27</v>
      </c>
      <c r="L1306" t="s">
        <v>485</v>
      </c>
      <c r="M1306" t="s">
        <v>35</v>
      </c>
      <c r="N1306">
        <v>1</v>
      </c>
      <c r="O1306" t="s">
        <v>494</v>
      </c>
      <c r="P1306">
        <v>0.04</v>
      </c>
      <c r="Q1306" t="s">
        <v>245</v>
      </c>
      <c r="R1306">
        <v>9.1</v>
      </c>
      <c r="S1306">
        <v>18.2</v>
      </c>
      <c r="T1306">
        <v>9.1</v>
      </c>
      <c r="U1306">
        <v>13.6</v>
      </c>
      <c r="V1306">
        <v>50</v>
      </c>
    </row>
    <row r="1307" spans="1:22" x14ac:dyDescent="0.25">
      <c r="A1307" t="s">
        <v>612</v>
      </c>
      <c r="B1307" t="s">
        <v>510</v>
      </c>
      <c r="C1307">
        <v>20</v>
      </c>
      <c r="D1307" t="s">
        <v>260</v>
      </c>
      <c r="E1307" t="s">
        <v>140</v>
      </c>
      <c r="F1307" t="s">
        <v>66</v>
      </c>
      <c r="G1307">
        <v>0.2</v>
      </c>
      <c r="H1307" t="s">
        <v>41</v>
      </c>
      <c r="I1307">
        <v>-3</v>
      </c>
      <c r="J1307" s="4" t="str">
        <f>HYPERLINK("https://www.eliteprospects.com/player/750585/carson-andrew")</f>
        <v>https://www.eliteprospects.com/player/750585/carson-andrew</v>
      </c>
      <c r="K1307" t="s">
        <v>27</v>
      </c>
      <c r="L1307" t="s">
        <v>485</v>
      </c>
      <c r="M1307" t="s">
        <v>29</v>
      </c>
      <c r="N1307">
        <v>2</v>
      </c>
      <c r="O1307" t="s">
        <v>501</v>
      </c>
      <c r="P1307">
        <v>0.03</v>
      </c>
      <c r="Q1307" t="s">
        <v>245</v>
      </c>
      <c r="R1307">
        <v>9.1</v>
      </c>
      <c r="S1307">
        <v>18.2</v>
      </c>
      <c r="T1307">
        <v>9.1</v>
      </c>
      <c r="U1307">
        <v>13.6</v>
      </c>
      <c r="V1307">
        <v>50</v>
      </c>
    </row>
    <row r="1308" spans="1:22" x14ac:dyDescent="0.25">
      <c r="A1308" t="s">
        <v>623</v>
      </c>
      <c r="B1308" t="s">
        <v>510</v>
      </c>
      <c r="C1308">
        <v>24</v>
      </c>
      <c r="D1308" t="s">
        <v>260</v>
      </c>
      <c r="E1308" t="s">
        <v>260</v>
      </c>
      <c r="F1308" t="s">
        <v>79</v>
      </c>
      <c r="G1308">
        <v>0.08</v>
      </c>
      <c r="H1308" t="s">
        <v>38</v>
      </c>
      <c r="I1308">
        <v>-3</v>
      </c>
      <c r="J1308" s="4" t="str">
        <f>HYPERLINK("https://www.eliteprospects.com/player/785415/blake-arrowsmith")</f>
        <v>https://www.eliteprospects.com/player/785415/blake-arrowsmith</v>
      </c>
      <c r="K1308" t="s">
        <v>27</v>
      </c>
      <c r="L1308" t="s">
        <v>485</v>
      </c>
      <c r="M1308" t="s">
        <v>29</v>
      </c>
      <c r="N1308">
        <v>3</v>
      </c>
      <c r="O1308" t="s">
        <v>492</v>
      </c>
      <c r="P1308">
        <v>0.01</v>
      </c>
      <c r="Q1308" t="s">
        <v>245</v>
      </c>
      <c r="R1308">
        <v>9.1</v>
      </c>
      <c r="S1308">
        <v>18.2</v>
      </c>
      <c r="T1308">
        <v>9.1</v>
      </c>
      <c r="U1308">
        <v>13.6</v>
      </c>
      <c r="V1308">
        <v>50</v>
      </c>
    </row>
    <row r="1309" spans="1:22" x14ac:dyDescent="0.25">
      <c r="A1309" t="s">
        <v>670</v>
      </c>
      <c r="B1309" t="s">
        <v>671</v>
      </c>
      <c r="C1309">
        <v>37</v>
      </c>
      <c r="D1309" t="s">
        <v>39</v>
      </c>
      <c r="E1309" t="s">
        <v>24</v>
      </c>
      <c r="F1309" t="s">
        <v>178</v>
      </c>
      <c r="G1309">
        <v>0.92</v>
      </c>
      <c r="H1309" t="s">
        <v>672</v>
      </c>
      <c r="I1309">
        <v>7</v>
      </c>
      <c r="J1309" s="4" t="str">
        <f>HYPERLINK("https://www.eliteprospects.com/player/804748/chase-harrington")</f>
        <v>https://www.eliteprospects.com/player/804748/chase-harrington</v>
      </c>
      <c r="K1309" t="s">
        <v>27</v>
      </c>
      <c r="L1309" t="s">
        <v>631</v>
      </c>
      <c r="M1309" t="s">
        <v>35</v>
      </c>
      <c r="N1309">
        <v>4</v>
      </c>
      <c r="O1309" t="s">
        <v>632</v>
      </c>
      <c r="P1309">
        <v>0.13</v>
      </c>
      <c r="Q1309" t="s">
        <v>135</v>
      </c>
      <c r="R1309">
        <v>22.7</v>
      </c>
      <c r="S1309">
        <v>36.4</v>
      </c>
      <c r="T1309">
        <v>9.1</v>
      </c>
      <c r="U1309">
        <v>0</v>
      </c>
      <c r="V1309">
        <v>31.8</v>
      </c>
    </row>
    <row r="1310" spans="1:22" x14ac:dyDescent="0.25">
      <c r="A1310" t="s">
        <v>695</v>
      </c>
      <c r="B1310" t="s">
        <v>671</v>
      </c>
      <c r="C1310">
        <v>37</v>
      </c>
      <c r="D1310" t="s">
        <v>39</v>
      </c>
      <c r="E1310" t="s">
        <v>45</v>
      </c>
      <c r="F1310" t="s">
        <v>84</v>
      </c>
      <c r="G1310">
        <v>0.62</v>
      </c>
      <c r="H1310" t="s">
        <v>25</v>
      </c>
      <c r="I1310">
        <v>4</v>
      </c>
      <c r="J1310" s="4" t="str">
        <f>HYPERLINK("https://www.eliteprospects.com/player/879340/coco-armstrong")</f>
        <v>https://www.eliteprospects.com/player/879340/coco-armstrong</v>
      </c>
      <c r="K1310" t="s">
        <v>27</v>
      </c>
      <c r="L1310" t="s">
        <v>631</v>
      </c>
      <c r="M1310" t="s">
        <v>29</v>
      </c>
      <c r="N1310">
        <v>3</v>
      </c>
      <c r="O1310" t="s">
        <v>639</v>
      </c>
      <c r="P1310">
        <v>0.09</v>
      </c>
      <c r="Q1310" t="s">
        <v>31</v>
      </c>
      <c r="R1310">
        <v>33.299999999999997</v>
      </c>
      <c r="S1310">
        <v>8.3000000000000007</v>
      </c>
      <c r="T1310">
        <v>33.299999999999997</v>
      </c>
      <c r="U1310">
        <v>8.3000000000000007</v>
      </c>
      <c r="V1310">
        <v>16.7</v>
      </c>
    </row>
    <row r="1311" spans="1:22" x14ac:dyDescent="0.25">
      <c r="A1311" t="s">
        <v>703</v>
      </c>
      <c r="B1311" t="s">
        <v>671</v>
      </c>
      <c r="C1311">
        <v>38</v>
      </c>
      <c r="D1311" t="s">
        <v>65</v>
      </c>
      <c r="E1311" t="s">
        <v>45</v>
      </c>
      <c r="F1311" t="s">
        <v>47</v>
      </c>
      <c r="G1311">
        <v>0.57999999999999996</v>
      </c>
      <c r="H1311" t="s">
        <v>41</v>
      </c>
      <c r="I1311">
        <v>-1</v>
      </c>
      <c r="J1311" s="4" t="str">
        <f>HYPERLINK("https://www.eliteprospects.com/player/580138/sam-oremba")</f>
        <v>https://www.eliteprospects.com/player/580138/sam-oremba</v>
      </c>
      <c r="K1311" t="s">
        <v>27</v>
      </c>
      <c r="L1311" t="s">
        <v>631</v>
      </c>
      <c r="M1311" t="s">
        <v>35</v>
      </c>
      <c r="N1311">
        <v>6</v>
      </c>
      <c r="O1311" t="s">
        <v>643</v>
      </c>
      <c r="P1311">
        <v>0.08</v>
      </c>
      <c r="Q1311" t="s">
        <v>1277</v>
      </c>
      <c r="R1311">
        <v>16.7</v>
      </c>
      <c r="S1311">
        <v>16.7</v>
      </c>
      <c r="T1311">
        <v>25</v>
      </c>
      <c r="U1311">
        <v>16.7</v>
      </c>
      <c r="V1311">
        <v>25</v>
      </c>
    </row>
    <row r="1312" spans="1:22" x14ac:dyDescent="0.25">
      <c r="A1312" t="s">
        <v>704</v>
      </c>
      <c r="B1312" t="s">
        <v>671</v>
      </c>
      <c r="C1312">
        <v>35</v>
      </c>
      <c r="D1312" t="s">
        <v>23</v>
      </c>
      <c r="E1312" t="s">
        <v>32</v>
      </c>
      <c r="F1312" t="s">
        <v>47</v>
      </c>
      <c r="G1312">
        <v>0.63</v>
      </c>
      <c r="H1312" t="s">
        <v>47</v>
      </c>
      <c r="I1312">
        <v>3</v>
      </c>
      <c r="J1312" s="4" t="str">
        <f>HYPERLINK("https://www.eliteprospects.com/player/804375/owen-martin")</f>
        <v>https://www.eliteprospects.com/player/804375/owen-martin</v>
      </c>
      <c r="K1312" t="s">
        <v>27</v>
      </c>
      <c r="L1312" t="s">
        <v>631</v>
      </c>
      <c r="M1312" t="s">
        <v>42</v>
      </c>
      <c r="N1312">
        <v>4</v>
      </c>
      <c r="O1312" t="s">
        <v>632</v>
      </c>
      <c r="P1312">
        <v>0.09</v>
      </c>
      <c r="Q1312" t="s">
        <v>31</v>
      </c>
      <c r="R1312">
        <v>33.299999999999997</v>
      </c>
      <c r="S1312">
        <v>8.3000000000000007</v>
      </c>
      <c r="T1312">
        <v>33.299999999999997</v>
      </c>
      <c r="U1312">
        <v>8.3000000000000007</v>
      </c>
      <c r="V1312">
        <v>16.7</v>
      </c>
    </row>
    <row r="1313" spans="1:22" x14ac:dyDescent="0.25">
      <c r="A1313" t="s">
        <v>715</v>
      </c>
      <c r="B1313" t="s">
        <v>671</v>
      </c>
      <c r="C1313">
        <v>32</v>
      </c>
      <c r="D1313" t="s">
        <v>96</v>
      </c>
      <c r="E1313" t="s">
        <v>41</v>
      </c>
      <c r="F1313" t="s">
        <v>24</v>
      </c>
      <c r="G1313">
        <v>0.63</v>
      </c>
      <c r="H1313" t="s">
        <v>55</v>
      </c>
      <c r="I1313">
        <v>-8</v>
      </c>
      <c r="J1313" s="4" t="str">
        <f>HYPERLINK("https://www.eliteprospects.com/player/628123/cohen-harris")</f>
        <v>https://www.eliteprospects.com/player/628123/cohen-harris</v>
      </c>
      <c r="K1313" t="s">
        <v>27</v>
      </c>
      <c r="L1313" t="s">
        <v>631</v>
      </c>
      <c r="M1313" t="s">
        <v>35</v>
      </c>
      <c r="N1313">
        <v>2</v>
      </c>
      <c r="O1313" t="s">
        <v>636</v>
      </c>
      <c r="P1313">
        <v>0.09</v>
      </c>
      <c r="Q1313" t="s">
        <v>31</v>
      </c>
      <c r="R1313">
        <v>36.4</v>
      </c>
      <c r="S1313">
        <v>9.1</v>
      </c>
      <c r="T1313">
        <v>18.2</v>
      </c>
      <c r="U1313">
        <v>9.1</v>
      </c>
      <c r="V1313">
        <v>27.3</v>
      </c>
    </row>
    <row r="1314" spans="1:22" x14ac:dyDescent="0.25">
      <c r="A1314" t="s">
        <v>725</v>
      </c>
      <c r="B1314" t="s">
        <v>671</v>
      </c>
      <c r="C1314">
        <v>37</v>
      </c>
      <c r="D1314" t="s">
        <v>78</v>
      </c>
      <c r="E1314" t="s">
        <v>69</v>
      </c>
      <c r="F1314" t="s">
        <v>55</v>
      </c>
      <c r="G1314">
        <v>0.49</v>
      </c>
      <c r="H1314" t="s">
        <v>26</v>
      </c>
      <c r="I1314">
        <v>4</v>
      </c>
      <c r="J1314" s="4" t="str">
        <f>HYPERLINK("https://www.eliteprospects.com/player/881399/brody-gillespie")</f>
        <v>https://www.eliteprospects.com/player/881399/brody-gillespie</v>
      </c>
      <c r="K1314" t="s">
        <v>27</v>
      </c>
      <c r="L1314" t="s">
        <v>631</v>
      </c>
      <c r="M1314" t="s">
        <v>35</v>
      </c>
      <c r="N1314">
        <v>3</v>
      </c>
      <c r="O1314" t="s">
        <v>639</v>
      </c>
      <c r="P1314">
        <v>7.0000000000000007E-2</v>
      </c>
      <c r="Q1314" t="s">
        <v>245</v>
      </c>
      <c r="R1314">
        <v>14.3</v>
      </c>
      <c r="S1314">
        <v>28.6</v>
      </c>
      <c r="T1314">
        <v>0</v>
      </c>
      <c r="U1314">
        <v>14.3</v>
      </c>
      <c r="V1314">
        <v>42.9</v>
      </c>
    </row>
    <row r="1315" spans="1:22" x14ac:dyDescent="0.25">
      <c r="A1315" t="s">
        <v>743</v>
      </c>
      <c r="B1315" t="s">
        <v>671</v>
      </c>
      <c r="C1315">
        <v>29</v>
      </c>
      <c r="D1315" t="s">
        <v>96</v>
      </c>
      <c r="E1315" t="s">
        <v>26</v>
      </c>
      <c r="F1315" t="s">
        <v>65</v>
      </c>
      <c r="G1315">
        <v>0.45</v>
      </c>
      <c r="H1315" t="s">
        <v>33</v>
      </c>
      <c r="I1315">
        <v>8</v>
      </c>
      <c r="J1315" s="4" t="str">
        <f>HYPERLINK("https://www.eliteprospects.com/player/711234/ethan-hughes")</f>
        <v>https://www.eliteprospects.com/player/711234/ethan-hughes</v>
      </c>
      <c r="K1315" t="s">
        <v>27</v>
      </c>
      <c r="L1315" t="s">
        <v>631</v>
      </c>
      <c r="M1315" t="s">
        <v>35</v>
      </c>
      <c r="N1315">
        <v>4</v>
      </c>
      <c r="O1315" t="s">
        <v>632</v>
      </c>
      <c r="P1315">
        <v>0.06</v>
      </c>
      <c r="Q1315" t="s">
        <v>31</v>
      </c>
      <c r="R1315">
        <v>25</v>
      </c>
      <c r="S1315">
        <v>25</v>
      </c>
      <c r="T1315">
        <v>0</v>
      </c>
      <c r="U1315">
        <v>25</v>
      </c>
      <c r="V1315">
        <v>25</v>
      </c>
    </row>
    <row r="1316" spans="1:22" x14ac:dyDescent="0.25">
      <c r="A1316" t="s">
        <v>756</v>
      </c>
      <c r="B1316" t="s">
        <v>671</v>
      </c>
      <c r="C1316">
        <v>37</v>
      </c>
      <c r="D1316" t="s">
        <v>66</v>
      </c>
      <c r="E1316" t="s">
        <v>57</v>
      </c>
      <c r="F1316" t="s">
        <v>32</v>
      </c>
      <c r="G1316">
        <v>0.27</v>
      </c>
      <c r="H1316" t="s">
        <v>518</v>
      </c>
      <c r="I1316">
        <v>-4</v>
      </c>
      <c r="J1316" s="4" t="str">
        <f>HYPERLINK("https://www.eliteprospects.com/player/956634/gavin-burcar")</f>
        <v>https://www.eliteprospects.com/player/956634/gavin-burcar</v>
      </c>
      <c r="K1316" t="s">
        <v>27</v>
      </c>
      <c r="L1316" t="s">
        <v>631</v>
      </c>
      <c r="M1316" t="s">
        <v>35</v>
      </c>
      <c r="N1316">
        <v>1</v>
      </c>
      <c r="O1316" t="s">
        <v>634</v>
      </c>
      <c r="P1316">
        <v>0.04</v>
      </c>
      <c r="Q1316" t="s">
        <v>245</v>
      </c>
      <c r="R1316">
        <v>9.1</v>
      </c>
      <c r="S1316">
        <v>18.2</v>
      </c>
      <c r="T1316">
        <v>9.1</v>
      </c>
      <c r="U1316">
        <v>13.6</v>
      </c>
      <c r="V1316">
        <v>50</v>
      </c>
    </row>
    <row r="1317" spans="1:22" x14ac:dyDescent="0.25">
      <c r="A1317" t="s">
        <v>771</v>
      </c>
      <c r="B1317" t="s">
        <v>671</v>
      </c>
      <c r="C1317">
        <v>16</v>
      </c>
      <c r="D1317" t="s">
        <v>260</v>
      </c>
      <c r="E1317" t="s">
        <v>57</v>
      </c>
      <c r="F1317" t="s">
        <v>78</v>
      </c>
      <c r="G1317">
        <v>0.44</v>
      </c>
      <c r="H1317" t="s">
        <v>51</v>
      </c>
      <c r="I1317">
        <v>1</v>
      </c>
      <c r="J1317" s="4" t="str">
        <f>HYPERLINK("https://www.eliteprospects.com/player/951827/asanali-sarkenov")</f>
        <v>https://www.eliteprospects.com/player/951827/asanali-sarkenov</v>
      </c>
      <c r="K1317" t="s">
        <v>27</v>
      </c>
      <c r="L1317" t="s">
        <v>631</v>
      </c>
      <c r="M1317" t="s">
        <v>48</v>
      </c>
      <c r="N1317">
        <v>2</v>
      </c>
      <c r="O1317" t="s">
        <v>636</v>
      </c>
      <c r="P1317">
        <v>0.06</v>
      </c>
      <c r="Q1317" t="s">
        <v>245</v>
      </c>
      <c r="R1317">
        <v>14.3</v>
      </c>
      <c r="S1317">
        <v>28.6</v>
      </c>
      <c r="T1317">
        <v>0</v>
      </c>
      <c r="U1317">
        <v>14.3</v>
      </c>
      <c r="V1317">
        <v>42.9</v>
      </c>
    </row>
    <row r="1318" spans="1:22" x14ac:dyDescent="0.25">
      <c r="A1318" t="s">
        <v>772</v>
      </c>
      <c r="B1318" t="s">
        <v>671</v>
      </c>
      <c r="C1318">
        <v>27</v>
      </c>
      <c r="D1318" t="s">
        <v>66</v>
      </c>
      <c r="E1318" t="s">
        <v>79</v>
      </c>
      <c r="F1318" t="s">
        <v>57</v>
      </c>
      <c r="G1318">
        <v>0.22</v>
      </c>
      <c r="H1318" t="s">
        <v>57</v>
      </c>
      <c r="I1318">
        <v>-7</v>
      </c>
      <c r="J1318" s="4" t="str">
        <f>HYPERLINK("https://www.eliteprospects.com/player/577077/tristen-buckley")</f>
        <v>https://www.eliteprospects.com/player/577077/tristen-buckley</v>
      </c>
      <c r="K1318" t="s">
        <v>27</v>
      </c>
      <c r="L1318" t="s">
        <v>631</v>
      </c>
      <c r="M1318" t="s">
        <v>35</v>
      </c>
      <c r="N1318">
        <v>1</v>
      </c>
      <c r="O1318" t="s">
        <v>634</v>
      </c>
      <c r="P1318">
        <v>0.03</v>
      </c>
      <c r="Q1318" t="s">
        <v>245</v>
      </c>
      <c r="R1318">
        <v>13.3</v>
      </c>
      <c r="S1318">
        <v>13.3</v>
      </c>
      <c r="T1318">
        <v>0</v>
      </c>
      <c r="U1318">
        <v>13.3</v>
      </c>
      <c r="V1318">
        <v>60</v>
      </c>
    </row>
    <row r="1319" spans="1:22" x14ac:dyDescent="0.25">
      <c r="A1319" t="s">
        <v>784</v>
      </c>
      <c r="B1319" t="s">
        <v>671</v>
      </c>
      <c r="C1319">
        <v>15</v>
      </c>
      <c r="D1319" t="s">
        <v>79</v>
      </c>
      <c r="E1319" t="s">
        <v>140</v>
      </c>
      <c r="F1319" t="s">
        <v>96</v>
      </c>
      <c r="G1319">
        <v>0.33</v>
      </c>
      <c r="H1319" t="s">
        <v>66</v>
      </c>
      <c r="I1319">
        <v>6</v>
      </c>
      <c r="J1319" s="4" t="str">
        <f>HYPERLINK("https://www.eliteprospects.com/player/710600/smyth-rebman")</f>
        <v>https://www.eliteprospects.com/player/710600/smyth-rebman</v>
      </c>
      <c r="K1319" t="s">
        <v>27</v>
      </c>
      <c r="L1319" t="s">
        <v>631</v>
      </c>
      <c r="M1319" t="s">
        <v>35</v>
      </c>
      <c r="N1319">
        <v>5</v>
      </c>
      <c r="O1319" t="s">
        <v>645</v>
      </c>
      <c r="P1319">
        <v>0.05</v>
      </c>
      <c r="Q1319" t="s">
        <v>245</v>
      </c>
      <c r="R1319">
        <v>0</v>
      </c>
      <c r="S1319">
        <v>25</v>
      </c>
      <c r="T1319">
        <v>0</v>
      </c>
      <c r="U1319">
        <v>25</v>
      </c>
      <c r="V1319">
        <v>50</v>
      </c>
    </row>
    <row r="1320" spans="1:22" x14ac:dyDescent="0.25">
      <c r="A1320" t="s">
        <v>788</v>
      </c>
      <c r="B1320" t="s">
        <v>671</v>
      </c>
      <c r="C1320">
        <v>32</v>
      </c>
      <c r="D1320" t="s">
        <v>260</v>
      </c>
      <c r="E1320" t="s">
        <v>66</v>
      </c>
      <c r="F1320" t="s">
        <v>96</v>
      </c>
      <c r="G1320">
        <v>0.16</v>
      </c>
      <c r="H1320" t="s">
        <v>41</v>
      </c>
      <c r="I1320">
        <v>-4</v>
      </c>
      <c r="J1320" s="4" t="str">
        <f>HYPERLINK("https://www.eliteprospects.com/player/701508/ossie-mcintyre")</f>
        <v>https://www.eliteprospects.com/player/701508/ossie-mcintyre</v>
      </c>
      <c r="K1320" t="s">
        <v>27</v>
      </c>
      <c r="L1320" t="s">
        <v>631</v>
      </c>
      <c r="M1320" t="s">
        <v>35</v>
      </c>
      <c r="N1320">
        <v>2</v>
      </c>
      <c r="O1320" t="s">
        <v>636</v>
      </c>
      <c r="P1320">
        <v>0.02</v>
      </c>
      <c r="Q1320" t="s">
        <v>245</v>
      </c>
      <c r="R1320">
        <v>9.1</v>
      </c>
      <c r="S1320">
        <v>18.2</v>
      </c>
      <c r="T1320">
        <v>9.1</v>
      </c>
      <c r="U1320">
        <v>13.6</v>
      </c>
      <c r="V1320">
        <v>50</v>
      </c>
    </row>
    <row r="1321" spans="1:22" x14ac:dyDescent="0.25">
      <c r="A1321" t="s">
        <v>72</v>
      </c>
      <c r="B1321" t="s">
        <v>73</v>
      </c>
      <c r="C1321">
        <v>20</v>
      </c>
      <c r="D1321" t="s">
        <v>69</v>
      </c>
      <c r="E1321" t="s">
        <v>38</v>
      </c>
      <c r="F1321" t="s">
        <v>61</v>
      </c>
      <c r="G1321">
        <v>1.35</v>
      </c>
      <c r="H1321" t="s">
        <v>38</v>
      </c>
      <c r="I1321">
        <v>-1</v>
      </c>
      <c r="J1321" s="4" t="str">
        <f>HYPERLINK("https://www.eliteprospects.com/player/475205/tyson-gross")</f>
        <v>https://www.eliteprospects.com/player/475205/tyson-gross</v>
      </c>
      <c r="K1321" t="s">
        <v>27</v>
      </c>
      <c r="L1321" t="s">
        <v>28</v>
      </c>
      <c r="M1321" t="s">
        <v>29</v>
      </c>
      <c r="N1321">
        <v>3</v>
      </c>
      <c r="O1321" t="s">
        <v>74</v>
      </c>
      <c r="P1321">
        <v>0.26</v>
      </c>
      <c r="Q1321" t="s">
        <v>1276</v>
      </c>
      <c r="R1321">
        <v>0</v>
      </c>
      <c r="S1321">
        <v>0</v>
      </c>
      <c r="T1321">
        <v>0</v>
      </c>
      <c r="U1321">
        <v>100</v>
      </c>
      <c r="V1321">
        <v>0</v>
      </c>
    </row>
    <row r="1322" spans="1:22" x14ac:dyDescent="0.25">
      <c r="A1322" t="s">
        <v>93</v>
      </c>
      <c r="B1322" t="s">
        <v>73</v>
      </c>
      <c r="C1322">
        <v>20</v>
      </c>
      <c r="D1322" t="s">
        <v>65</v>
      </c>
      <c r="E1322" t="s">
        <v>45</v>
      </c>
      <c r="F1322" t="s">
        <v>47</v>
      </c>
      <c r="G1322">
        <v>1.1000000000000001</v>
      </c>
      <c r="H1322" t="s">
        <v>57</v>
      </c>
      <c r="I1322">
        <v>0</v>
      </c>
      <c r="J1322" s="4" t="str">
        <f>HYPERLINK("https://www.eliteprospects.com/player/664596/austin-burnevik")</f>
        <v>https://www.eliteprospects.com/player/664596/austin-burnevik</v>
      </c>
      <c r="K1322" t="s">
        <v>27</v>
      </c>
      <c r="L1322" t="s">
        <v>28</v>
      </c>
      <c r="M1322" t="s">
        <v>48</v>
      </c>
      <c r="N1322">
        <v>2</v>
      </c>
      <c r="O1322" t="s">
        <v>43</v>
      </c>
      <c r="P1322">
        <v>0.21</v>
      </c>
      <c r="Q1322" t="s">
        <v>1276</v>
      </c>
      <c r="R1322">
        <v>0</v>
      </c>
      <c r="S1322">
        <v>0</v>
      </c>
      <c r="T1322">
        <v>0</v>
      </c>
      <c r="U1322">
        <v>100</v>
      </c>
      <c r="V1322">
        <v>0</v>
      </c>
    </row>
    <row r="1323" spans="1:22" x14ac:dyDescent="0.25">
      <c r="A1323" t="s">
        <v>104</v>
      </c>
      <c r="B1323" t="s">
        <v>73</v>
      </c>
      <c r="C1323">
        <v>20</v>
      </c>
      <c r="D1323" t="s">
        <v>26</v>
      </c>
      <c r="E1323" t="s">
        <v>65</v>
      </c>
      <c r="F1323" t="s">
        <v>33</v>
      </c>
      <c r="G1323">
        <v>1.05</v>
      </c>
      <c r="H1323" t="s">
        <v>39</v>
      </c>
      <c r="I1323">
        <v>1</v>
      </c>
      <c r="J1323" s="4" t="str">
        <f>HYPERLINK("https://www.eliteprospects.com/player/623814/barrett-hall")</f>
        <v>https://www.eliteprospects.com/player/623814/barrett-hall</v>
      </c>
      <c r="K1323" t="s">
        <v>27</v>
      </c>
      <c r="L1323" t="s">
        <v>28</v>
      </c>
      <c r="M1323" t="s">
        <v>42</v>
      </c>
      <c r="N1323">
        <v>3</v>
      </c>
      <c r="O1323" t="s">
        <v>74</v>
      </c>
      <c r="P1323">
        <v>0.2</v>
      </c>
      <c r="Q1323" t="s">
        <v>135</v>
      </c>
      <c r="R1323">
        <v>25</v>
      </c>
      <c r="S1323">
        <v>50</v>
      </c>
      <c r="T1323">
        <v>0</v>
      </c>
      <c r="U1323">
        <v>0</v>
      </c>
      <c r="V1323">
        <v>25</v>
      </c>
    </row>
    <row r="1324" spans="1:22" x14ac:dyDescent="0.25">
      <c r="A1324" t="s">
        <v>270</v>
      </c>
      <c r="B1324" t="s">
        <v>73</v>
      </c>
      <c r="C1324">
        <v>20</v>
      </c>
      <c r="D1324" t="s">
        <v>96</v>
      </c>
      <c r="E1324" t="s">
        <v>96</v>
      </c>
      <c r="F1324" t="s">
        <v>32</v>
      </c>
      <c r="G1324">
        <v>0.5</v>
      </c>
      <c r="H1324" t="s">
        <v>23</v>
      </c>
      <c r="I1324">
        <v>-1</v>
      </c>
      <c r="J1324" s="4" t="str">
        <f>HYPERLINK("https://www.eliteprospects.com/player/694946/noah-urness")</f>
        <v>https://www.eliteprospects.com/player/694946/noah-urness</v>
      </c>
      <c r="K1324" t="s">
        <v>27</v>
      </c>
      <c r="L1324" t="s">
        <v>28</v>
      </c>
      <c r="M1324" t="s">
        <v>35</v>
      </c>
      <c r="N1324">
        <v>1</v>
      </c>
      <c r="O1324" t="s">
        <v>71</v>
      </c>
      <c r="P1324">
        <v>0.1</v>
      </c>
      <c r="Q1324" t="s">
        <v>245</v>
      </c>
      <c r="R1324">
        <v>0</v>
      </c>
      <c r="S1324">
        <v>33.299999999999997</v>
      </c>
      <c r="T1324">
        <v>0</v>
      </c>
      <c r="U1324">
        <v>0</v>
      </c>
      <c r="V1324">
        <v>66.7</v>
      </c>
    </row>
    <row r="1325" spans="1:22" x14ac:dyDescent="0.25">
      <c r="A1325" t="s">
        <v>286</v>
      </c>
      <c r="B1325" t="s">
        <v>73</v>
      </c>
      <c r="C1325">
        <v>20</v>
      </c>
      <c r="D1325" t="s">
        <v>79</v>
      </c>
      <c r="E1325" t="s">
        <v>26</v>
      </c>
      <c r="F1325" t="s">
        <v>32</v>
      </c>
      <c r="G1325">
        <v>0.5</v>
      </c>
      <c r="H1325" t="s">
        <v>39</v>
      </c>
      <c r="I1325">
        <v>-5</v>
      </c>
      <c r="J1325" s="4" t="str">
        <f>HYPERLINK("https://www.eliteprospects.com/player/721221/nolan-roed")</f>
        <v>https://www.eliteprospects.com/player/721221/nolan-roed</v>
      </c>
      <c r="K1325" t="s">
        <v>27</v>
      </c>
      <c r="L1325" t="s">
        <v>28</v>
      </c>
      <c r="M1325" t="s">
        <v>76</v>
      </c>
      <c r="N1325">
        <v>1</v>
      </c>
      <c r="O1325" t="s">
        <v>71</v>
      </c>
      <c r="P1325">
        <v>0.1</v>
      </c>
      <c r="Q1325" t="s">
        <v>245</v>
      </c>
      <c r="R1325">
        <v>0</v>
      </c>
      <c r="S1325">
        <v>33.299999999999997</v>
      </c>
      <c r="T1325">
        <v>0</v>
      </c>
      <c r="U1325">
        <v>0</v>
      </c>
      <c r="V1325">
        <v>66.7</v>
      </c>
    </row>
    <row r="1326" spans="1:22" x14ac:dyDescent="0.25">
      <c r="A1326" t="s">
        <v>320</v>
      </c>
      <c r="B1326" t="s">
        <v>73</v>
      </c>
      <c r="C1326">
        <v>20</v>
      </c>
      <c r="D1326" t="s">
        <v>66</v>
      </c>
      <c r="E1326" t="s">
        <v>66</v>
      </c>
      <c r="F1326" t="s">
        <v>26</v>
      </c>
      <c r="G1326">
        <v>0.4</v>
      </c>
      <c r="H1326" t="s">
        <v>26</v>
      </c>
      <c r="I1326">
        <v>-3</v>
      </c>
      <c r="J1326" s="4" t="str">
        <f>HYPERLINK("https://www.eliteprospects.com/player/603656/gavyn-thoreson")</f>
        <v>https://www.eliteprospects.com/player/603656/gavyn-thoreson</v>
      </c>
      <c r="K1326" t="s">
        <v>27</v>
      </c>
      <c r="L1326" t="s">
        <v>28</v>
      </c>
      <c r="M1326" t="s">
        <v>35</v>
      </c>
      <c r="N1326">
        <v>2</v>
      </c>
      <c r="O1326" t="s">
        <v>43</v>
      </c>
      <c r="P1326">
        <v>0.08</v>
      </c>
      <c r="Q1326" t="s">
        <v>1277</v>
      </c>
      <c r="R1326">
        <v>16.7</v>
      </c>
      <c r="S1326">
        <v>16.7</v>
      </c>
      <c r="T1326">
        <v>25</v>
      </c>
      <c r="U1326">
        <v>16.7</v>
      </c>
      <c r="V1326">
        <v>25</v>
      </c>
    </row>
    <row r="1327" spans="1:22" x14ac:dyDescent="0.25">
      <c r="A1327" t="s">
        <v>329</v>
      </c>
      <c r="B1327" t="s">
        <v>73</v>
      </c>
      <c r="C1327">
        <v>16</v>
      </c>
      <c r="D1327" t="s">
        <v>132</v>
      </c>
      <c r="E1327" t="s">
        <v>26</v>
      </c>
      <c r="F1327" t="s">
        <v>26</v>
      </c>
      <c r="G1327">
        <v>0.5</v>
      </c>
      <c r="H1327" t="s">
        <v>57</v>
      </c>
      <c r="I1327">
        <v>-6</v>
      </c>
      <c r="J1327" s="4" t="str">
        <f>HYPERLINK("https://www.eliteprospects.com/player/483377/adam-ingram")</f>
        <v>https://www.eliteprospects.com/player/483377/adam-ingram</v>
      </c>
      <c r="K1327" t="s">
        <v>27</v>
      </c>
      <c r="L1327" t="s">
        <v>28</v>
      </c>
      <c r="M1327" t="s">
        <v>42</v>
      </c>
      <c r="N1327">
        <v>4</v>
      </c>
      <c r="O1327" t="s">
        <v>30</v>
      </c>
      <c r="P1327">
        <v>0.1</v>
      </c>
      <c r="Q1327" t="s">
        <v>245</v>
      </c>
      <c r="R1327">
        <v>9.1</v>
      </c>
      <c r="S1327">
        <v>27.3</v>
      </c>
      <c r="T1327">
        <v>18.2</v>
      </c>
      <c r="U1327">
        <v>0</v>
      </c>
      <c r="V1327">
        <v>45.5</v>
      </c>
    </row>
    <row r="1328" spans="1:22" x14ac:dyDescent="0.25">
      <c r="A1328" t="s">
        <v>346</v>
      </c>
      <c r="B1328" t="s">
        <v>73</v>
      </c>
      <c r="C1328">
        <v>19</v>
      </c>
      <c r="D1328" t="s">
        <v>79</v>
      </c>
      <c r="E1328" t="s">
        <v>96</v>
      </c>
      <c r="F1328" t="s">
        <v>78</v>
      </c>
      <c r="G1328">
        <v>0.37</v>
      </c>
      <c r="H1328" t="s">
        <v>23</v>
      </c>
      <c r="I1328">
        <v>6</v>
      </c>
      <c r="J1328" s="4" t="str">
        <f>HYPERLINK("https://www.eliteprospects.com/player/545331/jack-reimann")</f>
        <v>https://www.eliteprospects.com/player/545331/jack-reimann</v>
      </c>
      <c r="K1328" t="s">
        <v>27</v>
      </c>
      <c r="L1328" t="s">
        <v>28</v>
      </c>
      <c r="M1328" t="s">
        <v>35</v>
      </c>
      <c r="N1328">
        <v>3</v>
      </c>
      <c r="O1328" t="s">
        <v>74</v>
      </c>
      <c r="P1328">
        <v>7.0000000000000007E-2</v>
      </c>
      <c r="Q1328" t="s">
        <v>31</v>
      </c>
      <c r="R1328">
        <v>25</v>
      </c>
      <c r="S1328">
        <v>25</v>
      </c>
      <c r="T1328">
        <v>0</v>
      </c>
      <c r="U1328">
        <v>25</v>
      </c>
      <c r="V1328">
        <v>25</v>
      </c>
    </row>
    <row r="1329" spans="1:22" x14ac:dyDescent="0.25">
      <c r="A1329" t="s">
        <v>355</v>
      </c>
      <c r="B1329" t="s">
        <v>73</v>
      </c>
      <c r="C1329">
        <v>20</v>
      </c>
      <c r="D1329" t="s">
        <v>66</v>
      </c>
      <c r="E1329" t="s">
        <v>79</v>
      </c>
      <c r="F1329" t="s">
        <v>57</v>
      </c>
      <c r="G1329">
        <v>0.3</v>
      </c>
      <c r="H1329" t="s">
        <v>66</v>
      </c>
      <c r="I1329">
        <v>6</v>
      </c>
      <c r="J1329" s="4" t="str">
        <f>HYPERLINK("https://www.eliteprospects.com/player/614528/grant-ahcan")</f>
        <v>https://www.eliteprospects.com/player/614528/grant-ahcan</v>
      </c>
      <c r="K1329" t="s">
        <v>27</v>
      </c>
      <c r="L1329" t="s">
        <v>28</v>
      </c>
      <c r="M1329" t="s">
        <v>70</v>
      </c>
      <c r="N1329">
        <v>4</v>
      </c>
      <c r="O1329" t="s">
        <v>30</v>
      </c>
      <c r="P1329">
        <v>0.06</v>
      </c>
      <c r="Q1329" t="s">
        <v>31</v>
      </c>
      <c r="R1329">
        <v>25</v>
      </c>
      <c r="S1329">
        <v>25</v>
      </c>
      <c r="T1329">
        <v>0</v>
      </c>
      <c r="U1329">
        <v>25</v>
      </c>
      <c r="V1329">
        <v>25</v>
      </c>
    </row>
    <row r="1330" spans="1:22" x14ac:dyDescent="0.25">
      <c r="A1330" t="s">
        <v>388</v>
      </c>
      <c r="B1330" t="s">
        <v>73</v>
      </c>
      <c r="C1330">
        <v>18</v>
      </c>
      <c r="D1330" t="s">
        <v>260</v>
      </c>
      <c r="E1330" t="s">
        <v>66</v>
      </c>
      <c r="F1330" t="s">
        <v>96</v>
      </c>
      <c r="G1330">
        <v>0.28000000000000003</v>
      </c>
      <c r="H1330" t="s">
        <v>132</v>
      </c>
      <c r="I1330">
        <v>6</v>
      </c>
      <c r="J1330" s="4" t="str">
        <f>HYPERLINK("https://www.eliteprospects.com/player/415655/ryan-rosborough")</f>
        <v>https://www.eliteprospects.com/player/415655/ryan-rosborough</v>
      </c>
      <c r="K1330" t="s">
        <v>27</v>
      </c>
      <c r="L1330" t="s">
        <v>28</v>
      </c>
      <c r="M1330" t="s">
        <v>35</v>
      </c>
      <c r="N1330">
        <v>5</v>
      </c>
      <c r="O1330" t="s">
        <v>67</v>
      </c>
      <c r="P1330">
        <v>0.05</v>
      </c>
      <c r="Q1330" t="s">
        <v>245</v>
      </c>
      <c r="R1330">
        <v>0</v>
      </c>
      <c r="S1330">
        <v>25</v>
      </c>
      <c r="T1330">
        <v>0</v>
      </c>
      <c r="U1330">
        <v>25</v>
      </c>
      <c r="V1330">
        <v>50</v>
      </c>
    </row>
    <row r="1331" spans="1:22" x14ac:dyDescent="0.25">
      <c r="A1331" t="s">
        <v>412</v>
      </c>
      <c r="B1331" t="s">
        <v>73</v>
      </c>
      <c r="C1331">
        <v>11</v>
      </c>
      <c r="D1331" t="s">
        <v>260</v>
      </c>
      <c r="E1331" t="s">
        <v>140</v>
      </c>
      <c r="F1331" t="s">
        <v>66</v>
      </c>
      <c r="G1331">
        <v>0.36</v>
      </c>
      <c r="H1331" t="s">
        <v>26</v>
      </c>
      <c r="I1331">
        <v>-2</v>
      </c>
      <c r="J1331" s="4" t="str">
        <f>HYPERLINK("https://www.eliteprospects.com/player/556755/verner-miettinen")</f>
        <v>https://www.eliteprospects.com/player/556755/verner-miettinen</v>
      </c>
      <c r="K1331" t="s">
        <v>27</v>
      </c>
      <c r="L1331" t="s">
        <v>28</v>
      </c>
      <c r="M1331" t="s">
        <v>42</v>
      </c>
      <c r="N1331">
        <v>3</v>
      </c>
      <c r="O1331" t="s">
        <v>74</v>
      </c>
      <c r="P1331">
        <v>7.0000000000000007E-2</v>
      </c>
      <c r="Q1331" t="s">
        <v>135</v>
      </c>
      <c r="R1331">
        <v>0</v>
      </c>
      <c r="S1331">
        <v>33.299999999999997</v>
      </c>
      <c r="T1331">
        <v>23.8</v>
      </c>
      <c r="U1331">
        <v>9.5</v>
      </c>
      <c r="V1331">
        <v>33.299999999999997</v>
      </c>
    </row>
    <row r="1332" spans="1:22" x14ac:dyDescent="0.25">
      <c r="A1332" t="s">
        <v>464</v>
      </c>
      <c r="B1332" t="s">
        <v>73</v>
      </c>
      <c r="C1332">
        <v>13</v>
      </c>
      <c r="D1332" t="s">
        <v>260</v>
      </c>
      <c r="E1332" t="s">
        <v>132</v>
      </c>
      <c r="F1332" t="s">
        <v>260</v>
      </c>
      <c r="G1332">
        <v>0.08</v>
      </c>
      <c r="H1332" t="s">
        <v>57</v>
      </c>
      <c r="I1332">
        <v>0</v>
      </c>
      <c r="J1332" s="4" t="str">
        <f>HYPERLINK("https://www.eliteprospects.com/player/478541/jack-rogers")</f>
        <v>https://www.eliteprospects.com/player/478541/jack-rogers</v>
      </c>
      <c r="K1332" t="s">
        <v>27</v>
      </c>
      <c r="L1332" t="s">
        <v>28</v>
      </c>
      <c r="M1332" t="s">
        <v>35</v>
      </c>
      <c r="N1332">
        <v>4</v>
      </c>
      <c r="O1332" t="s">
        <v>30</v>
      </c>
      <c r="P1332">
        <v>0.02</v>
      </c>
      <c r="Q1332" t="s">
        <v>245</v>
      </c>
      <c r="R1332">
        <v>9.1</v>
      </c>
      <c r="S1332">
        <v>18.2</v>
      </c>
      <c r="T1332">
        <v>9.1</v>
      </c>
      <c r="U1332">
        <v>13.6</v>
      </c>
      <c r="V1332">
        <v>50</v>
      </c>
    </row>
    <row r="1333" spans="1:22" x14ac:dyDescent="0.25">
      <c r="A1333" t="s">
        <v>471</v>
      </c>
      <c r="B1333" t="s">
        <v>73</v>
      </c>
      <c r="C1333">
        <v>15</v>
      </c>
      <c r="D1333" t="s">
        <v>132</v>
      </c>
      <c r="E1333" t="s">
        <v>260</v>
      </c>
      <c r="F1333" t="s">
        <v>260</v>
      </c>
      <c r="G1333">
        <v>7.0000000000000007E-2</v>
      </c>
      <c r="H1333" t="s">
        <v>60</v>
      </c>
      <c r="I1333">
        <v>-1</v>
      </c>
      <c r="J1333" s="4" t="str">
        <f>HYPERLINK("https://www.eliteprospects.com/player/572098/daimon-gardner")</f>
        <v>https://www.eliteprospects.com/player/572098/daimon-gardner</v>
      </c>
      <c r="K1333" t="s">
        <v>27</v>
      </c>
      <c r="L1333" t="s">
        <v>28</v>
      </c>
      <c r="M1333" t="s">
        <v>42</v>
      </c>
      <c r="N1333">
        <v>3</v>
      </c>
      <c r="O1333" t="s">
        <v>74</v>
      </c>
      <c r="P1333">
        <v>0.01</v>
      </c>
      <c r="Q1333" t="s">
        <v>245</v>
      </c>
      <c r="R1333">
        <v>9.1</v>
      </c>
      <c r="S1333">
        <v>18.2</v>
      </c>
      <c r="T1333">
        <v>9.1</v>
      </c>
      <c r="U1333">
        <v>13.6</v>
      </c>
      <c r="V1333">
        <v>50</v>
      </c>
    </row>
    <row r="1334" spans="1:22" x14ac:dyDescent="0.25">
      <c r="A1334" t="s">
        <v>1010</v>
      </c>
      <c r="B1334" t="s">
        <v>1011</v>
      </c>
      <c r="C1334">
        <v>17</v>
      </c>
      <c r="D1334" t="s">
        <v>26</v>
      </c>
      <c r="E1334" t="s">
        <v>26</v>
      </c>
      <c r="F1334" t="s">
        <v>38</v>
      </c>
      <c r="G1334">
        <v>0.94</v>
      </c>
      <c r="H1334" t="s">
        <v>1012</v>
      </c>
      <c r="I1334">
        <v>-5</v>
      </c>
      <c r="J1334" s="4" t="str">
        <f>HYPERLINK("https://www.eliteprospects.com/player/648823/ryan-mcguire")</f>
        <v>https://www.eliteprospects.com/player/648823/ryan-mcguire</v>
      </c>
      <c r="K1334" t="s">
        <v>27</v>
      </c>
      <c r="L1334" t="s">
        <v>918</v>
      </c>
      <c r="M1334" t="s">
        <v>76</v>
      </c>
      <c r="N1334">
        <v>5</v>
      </c>
      <c r="O1334" t="s">
        <v>1008</v>
      </c>
      <c r="P1334">
        <v>0.12</v>
      </c>
      <c r="Q1334" t="s">
        <v>135</v>
      </c>
      <c r="R1334">
        <v>11.1</v>
      </c>
      <c r="S1334">
        <v>44.4</v>
      </c>
      <c r="T1334">
        <v>11.1</v>
      </c>
      <c r="U1334">
        <v>11.1</v>
      </c>
      <c r="V1334">
        <v>22.2</v>
      </c>
    </row>
    <row r="1335" spans="1:22" x14ac:dyDescent="0.25">
      <c r="A1335" t="s">
        <v>1034</v>
      </c>
      <c r="B1335" t="s">
        <v>1011</v>
      </c>
      <c r="C1335">
        <v>17</v>
      </c>
      <c r="D1335" t="s">
        <v>96</v>
      </c>
      <c r="E1335" t="s">
        <v>32</v>
      </c>
      <c r="F1335" t="s">
        <v>41</v>
      </c>
      <c r="G1335">
        <v>0.88</v>
      </c>
      <c r="H1335" t="s">
        <v>79</v>
      </c>
      <c r="I1335">
        <v>-3</v>
      </c>
      <c r="J1335" s="4" t="str">
        <f>HYPERLINK("https://www.eliteprospects.com/player/580044/logan-o-neil")</f>
        <v>https://www.eliteprospects.com/player/580044/logan-o-neil</v>
      </c>
      <c r="K1335" t="s">
        <v>27</v>
      </c>
      <c r="L1335" t="s">
        <v>918</v>
      </c>
      <c r="M1335" t="s">
        <v>29</v>
      </c>
      <c r="N1335">
        <v>1</v>
      </c>
      <c r="O1335" t="s">
        <v>984</v>
      </c>
      <c r="P1335">
        <v>0.11</v>
      </c>
      <c r="Q1335" t="s">
        <v>135</v>
      </c>
      <c r="R1335">
        <v>20</v>
      </c>
      <c r="S1335">
        <v>40</v>
      </c>
      <c r="T1335">
        <v>0</v>
      </c>
      <c r="U1335">
        <v>20</v>
      </c>
      <c r="V1335">
        <v>20</v>
      </c>
    </row>
    <row r="1336" spans="1:22" x14ac:dyDescent="0.25">
      <c r="A1336" t="s">
        <v>1050</v>
      </c>
      <c r="B1336" t="s">
        <v>1011</v>
      </c>
      <c r="C1336">
        <v>17</v>
      </c>
      <c r="D1336" t="s">
        <v>32</v>
      </c>
      <c r="E1336" t="s">
        <v>140</v>
      </c>
      <c r="F1336" t="s">
        <v>65</v>
      </c>
      <c r="G1336">
        <v>0.76</v>
      </c>
      <c r="H1336" t="s">
        <v>24</v>
      </c>
      <c r="I1336">
        <v>-4</v>
      </c>
      <c r="J1336" s="4" t="str">
        <f>HYPERLINK("https://www.eliteprospects.com/player/563409/lucas-canning")</f>
        <v>https://www.eliteprospects.com/player/563409/lucas-canning</v>
      </c>
      <c r="K1336" t="s">
        <v>27</v>
      </c>
      <c r="L1336" t="s">
        <v>918</v>
      </c>
      <c r="M1336" t="s">
        <v>91</v>
      </c>
      <c r="N1336">
        <v>4</v>
      </c>
      <c r="O1336" t="s">
        <v>1051</v>
      </c>
      <c r="P1336">
        <v>0.1</v>
      </c>
      <c r="Q1336" t="s">
        <v>245</v>
      </c>
      <c r="R1336">
        <v>0</v>
      </c>
      <c r="S1336">
        <v>33.299999999999997</v>
      </c>
      <c r="T1336">
        <v>0</v>
      </c>
      <c r="U1336">
        <v>0</v>
      </c>
      <c r="V1336">
        <v>66.7</v>
      </c>
    </row>
    <row r="1337" spans="1:22" x14ac:dyDescent="0.25">
      <c r="A1337" t="s">
        <v>1062</v>
      </c>
      <c r="B1337" t="s">
        <v>1011</v>
      </c>
      <c r="C1337">
        <v>19</v>
      </c>
      <c r="D1337" t="s">
        <v>140</v>
      </c>
      <c r="E1337" t="s">
        <v>32</v>
      </c>
      <c r="F1337" t="s">
        <v>65</v>
      </c>
      <c r="G1337">
        <v>0.68</v>
      </c>
      <c r="H1337" t="s">
        <v>55</v>
      </c>
      <c r="I1337">
        <v>-3</v>
      </c>
      <c r="J1337" s="4" t="str">
        <f>HYPERLINK("https://www.eliteprospects.com/player/317644/logan-chisholm")</f>
        <v>https://www.eliteprospects.com/player/317644/logan-chisholm</v>
      </c>
      <c r="K1337" t="s">
        <v>27</v>
      </c>
      <c r="L1337" t="s">
        <v>918</v>
      </c>
      <c r="M1337" t="s">
        <v>91</v>
      </c>
      <c r="N1337">
        <v>6</v>
      </c>
      <c r="O1337" t="s">
        <v>937</v>
      </c>
      <c r="P1337">
        <v>0.08</v>
      </c>
      <c r="Q1337" t="s">
        <v>1277</v>
      </c>
      <c r="R1337">
        <v>16.7</v>
      </c>
      <c r="S1337">
        <v>16.7</v>
      </c>
      <c r="T1337">
        <v>25</v>
      </c>
      <c r="U1337">
        <v>16.7</v>
      </c>
      <c r="V1337">
        <v>25</v>
      </c>
    </row>
    <row r="1338" spans="1:22" x14ac:dyDescent="0.25">
      <c r="A1338" t="s">
        <v>1071</v>
      </c>
      <c r="B1338" t="s">
        <v>1011</v>
      </c>
      <c r="C1338">
        <v>19</v>
      </c>
      <c r="D1338" t="s">
        <v>78</v>
      </c>
      <c r="E1338" t="s">
        <v>96</v>
      </c>
      <c r="F1338" t="s">
        <v>23</v>
      </c>
      <c r="G1338">
        <v>0.63</v>
      </c>
      <c r="H1338" t="s">
        <v>32</v>
      </c>
      <c r="I1338">
        <v>-4</v>
      </c>
      <c r="J1338" s="4" t="str">
        <f>HYPERLINK("https://www.eliteprospects.com/player/565797/dominik-godin")</f>
        <v>https://www.eliteprospects.com/player/565797/dominik-godin</v>
      </c>
      <c r="K1338" t="s">
        <v>27</v>
      </c>
      <c r="L1338" t="s">
        <v>918</v>
      </c>
      <c r="M1338" t="s">
        <v>76</v>
      </c>
      <c r="N1338">
        <v>3</v>
      </c>
      <c r="O1338" t="s">
        <v>1002</v>
      </c>
      <c r="P1338">
        <v>0.08</v>
      </c>
      <c r="Q1338" t="s">
        <v>1277</v>
      </c>
      <c r="R1338">
        <v>16.7</v>
      </c>
      <c r="S1338">
        <v>16.7</v>
      </c>
      <c r="T1338">
        <v>25</v>
      </c>
      <c r="U1338">
        <v>16.7</v>
      </c>
      <c r="V1338">
        <v>25</v>
      </c>
    </row>
    <row r="1339" spans="1:22" x14ac:dyDescent="0.25">
      <c r="A1339" t="s">
        <v>1088</v>
      </c>
      <c r="B1339" t="s">
        <v>1011</v>
      </c>
      <c r="C1339">
        <v>16</v>
      </c>
      <c r="D1339" t="s">
        <v>57</v>
      </c>
      <c r="E1339" t="s">
        <v>96</v>
      </c>
      <c r="F1339" t="s">
        <v>69</v>
      </c>
      <c r="G1339">
        <v>0.69</v>
      </c>
      <c r="H1339" t="s">
        <v>38</v>
      </c>
      <c r="I1339">
        <v>3</v>
      </c>
      <c r="J1339" s="4" t="str">
        <f>HYPERLINK("https://www.eliteprospects.com/player/529404/matt-cato")</f>
        <v>https://www.eliteprospects.com/player/529404/matt-cato</v>
      </c>
      <c r="K1339" t="s">
        <v>27</v>
      </c>
      <c r="L1339" t="s">
        <v>918</v>
      </c>
      <c r="M1339" t="s">
        <v>42</v>
      </c>
      <c r="N1339">
        <v>3</v>
      </c>
      <c r="O1339" t="s">
        <v>1039</v>
      </c>
      <c r="P1339">
        <v>0.09</v>
      </c>
      <c r="Q1339" t="s">
        <v>31</v>
      </c>
      <c r="R1339">
        <v>33.299999999999997</v>
      </c>
      <c r="S1339">
        <v>8.3000000000000007</v>
      </c>
      <c r="T1339">
        <v>33.299999999999997</v>
      </c>
      <c r="U1339">
        <v>8.3000000000000007</v>
      </c>
      <c r="V1339">
        <v>16.7</v>
      </c>
    </row>
    <row r="1340" spans="1:22" x14ac:dyDescent="0.25">
      <c r="A1340" t="s">
        <v>1112</v>
      </c>
      <c r="B1340" t="s">
        <v>1011</v>
      </c>
      <c r="C1340">
        <v>19</v>
      </c>
      <c r="D1340" t="s">
        <v>140</v>
      </c>
      <c r="E1340" t="s">
        <v>78</v>
      </c>
      <c r="F1340" t="s">
        <v>32</v>
      </c>
      <c r="G1340">
        <v>0.53</v>
      </c>
      <c r="H1340" t="s">
        <v>66</v>
      </c>
      <c r="I1340">
        <v>0</v>
      </c>
      <c r="J1340" s="4" t="str">
        <f>HYPERLINK("https://www.eliteprospects.com/player/702166/cameron-mercer")</f>
        <v>https://www.eliteprospects.com/player/702166/cameron-mercer</v>
      </c>
      <c r="K1340" t="s">
        <v>27</v>
      </c>
      <c r="L1340" t="s">
        <v>918</v>
      </c>
      <c r="M1340" t="s">
        <v>42</v>
      </c>
      <c r="N1340">
        <v>5</v>
      </c>
      <c r="O1340" t="s">
        <v>1008</v>
      </c>
      <c r="P1340">
        <v>7.0000000000000007E-2</v>
      </c>
      <c r="Q1340" t="s">
        <v>135</v>
      </c>
      <c r="R1340">
        <v>0</v>
      </c>
      <c r="S1340">
        <v>33.299999999999997</v>
      </c>
      <c r="T1340">
        <v>23.8</v>
      </c>
      <c r="U1340">
        <v>9.5</v>
      </c>
      <c r="V1340">
        <v>33.299999999999997</v>
      </c>
    </row>
    <row r="1341" spans="1:22" x14ac:dyDescent="0.25">
      <c r="A1341" t="s">
        <v>1132</v>
      </c>
      <c r="B1341" t="s">
        <v>1011</v>
      </c>
      <c r="C1341">
        <v>19</v>
      </c>
      <c r="D1341" t="s">
        <v>66</v>
      </c>
      <c r="E1341" t="s">
        <v>66</v>
      </c>
      <c r="F1341" t="s">
        <v>26</v>
      </c>
      <c r="G1341">
        <v>0.42</v>
      </c>
      <c r="H1341" t="s">
        <v>39</v>
      </c>
      <c r="I1341">
        <v>1</v>
      </c>
      <c r="J1341" s="4" t="str">
        <f>HYPERLINK("https://www.eliteprospects.com/player/674044/antonino-pugliese")</f>
        <v>https://www.eliteprospects.com/player/674044/antonino-pugliese</v>
      </c>
      <c r="K1341" t="s">
        <v>27</v>
      </c>
      <c r="L1341" t="s">
        <v>918</v>
      </c>
      <c r="M1341" t="s">
        <v>91</v>
      </c>
      <c r="N1341">
        <v>5</v>
      </c>
      <c r="O1341" t="s">
        <v>1008</v>
      </c>
      <c r="P1341">
        <v>0.05</v>
      </c>
      <c r="Q1341" t="s">
        <v>245</v>
      </c>
      <c r="R1341">
        <v>0</v>
      </c>
      <c r="S1341">
        <v>0</v>
      </c>
      <c r="T1341">
        <v>0</v>
      </c>
      <c r="U1341">
        <v>0</v>
      </c>
      <c r="V1341">
        <v>100</v>
      </c>
    </row>
    <row r="1342" spans="1:22" x14ac:dyDescent="0.25">
      <c r="A1342" t="s">
        <v>115</v>
      </c>
      <c r="B1342" t="s">
        <v>116</v>
      </c>
      <c r="C1342">
        <v>19</v>
      </c>
      <c r="D1342" t="s">
        <v>26</v>
      </c>
      <c r="E1342" t="s">
        <v>23</v>
      </c>
      <c r="F1342" t="s">
        <v>24</v>
      </c>
      <c r="G1342">
        <v>1.05</v>
      </c>
      <c r="H1342" t="s">
        <v>57</v>
      </c>
      <c r="I1342">
        <v>-3</v>
      </c>
      <c r="J1342" s="4" t="str">
        <f>HYPERLINK("https://www.eliteprospects.com/player/521694/tyler-cristall")</f>
        <v>https://www.eliteprospects.com/player/521694/tyler-cristall</v>
      </c>
      <c r="K1342" t="s">
        <v>27</v>
      </c>
      <c r="L1342" t="s">
        <v>28</v>
      </c>
      <c r="M1342" t="s">
        <v>35</v>
      </c>
      <c r="N1342">
        <v>4</v>
      </c>
      <c r="O1342" t="s">
        <v>30</v>
      </c>
      <c r="P1342">
        <v>0.2</v>
      </c>
      <c r="Q1342" t="s">
        <v>1276</v>
      </c>
      <c r="R1342">
        <v>0</v>
      </c>
      <c r="S1342">
        <v>0</v>
      </c>
      <c r="T1342">
        <v>0</v>
      </c>
      <c r="U1342">
        <v>100</v>
      </c>
      <c r="V1342">
        <v>0</v>
      </c>
    </row>
    <row r="1343" spans="1:22" x14ac:dyDescent="0.25">
      <c r="A1343" t="s">
        <v>218</v>
      </c>
      <c r="B1343" t="s">
        <v>116</v>
      </c>
      <c r="C1343">
        <v>19</v>
      </c>
      <c r="D1343" t="s">
        <v>26</v>
      </c>
      <c r="E1343" t="s">
        <v>66</v>
      </c>
      <c r="F1343" t="s">
        <v>23</v>
      </c>
      <c r="G1343">
        <v>0.63</v>
      </c>
      <c r="H1343" t="s">
        <v>57</v>
      </c>
      <c r="I1343">
        <v>-10</v>
      </c>
      <c r="J1343" s="4" t="str">
        <f>HYPERLINK("https://www.eliteprospects.com/player/785951/rasmus-svartstrom")</f>
        <v>https://www.eliteprospects.com/player/785951/rasmus-svartstrom</v>
      </c>
      <c r="K1343" t="s">
        <v>27</v>
      </c>
      <c r="L1343" t="s">
        <v>28</v>
      </c>
      <c r="M1343" t="s">
        <v>35</v>
      </c>
      <c r="N1343">
        <v>1</v>
      </c>
      <c r="O1343" t="s">
        <v>71</v>
      </c>
      <c r="P1343">
        <v>0.12</v>
      </c>
      <c r="Q1343" t="s">
        <v>245</v>
      </c>
      <c r="R1343">
        <v>21.1</v>
      </c>
      <c r="S1343">
        <v>26.3</v>
      </c>
      <c r="T1343">
        <v>5.3</v>
      </c>
      <c r="U1343">
        <v>5.3</v>
      </c>
      <c r="V1343">
        <v>42.1</v>
      </c>
    </row>
    <row r="1344" spans="1:22" x14ac:dyDescent="0.25">
      <c r="A1344" t="s">
        <v>256</v>
      </c>
      <c r="B1344" t="s">
        <v>116</v>
      </c>
      <c r="C1344">
        <v>20</v>
      </c>
      <c r="D1344" t="s">
        <v>140</v>
      </c>
      <c r="E1344" t="s">
        <v>26</v>
      </c>
      <c r="F1344" t="s">
        <v>69</v>
      </c>
      <c r="G1344">
        <v>0.55000000000000004</v>
      </c>
      <c r="H1344" t="s">
        <v>66</v>
      </c>
      <c r="I1344">
        <v>-9</v>
      </c>
      <c r="J1344" s="4" t="str">
        <f>HYPERLINK("https://www.eliteprospects.com/player/692840/cayden-casey")</f>
        <v>https://www.eliteprospects.com/player/692840/cayden-casey</v>
      </c>
      <c r="K1344" t="s">
        <v>27</v>
      </c>
      <c r="L1344" t="s">
        <v>28</v>
      </c>
      <c r="M1344" t="s">
        <v>35</v>
      </c>
      <c r="N1344">
        <v>2</v>
      </c>
      <c r="O1344" t="s">
        <v>43</v>
      </c>
      <c r="P1344">
        <v>0.11</v>
      </c>
      <c r="Q1344" t="s">
        <v>135</v>
      </c>
      <c r="R1344">
        <v>0</v>
      </c>
      <c r="S1344">
        <v>35.700000000000003</v>
      </c>
      <c r="T1344">
        <v>0</v>
      </c>
      <c r="U1344">
        <v>28.6</v>
      </c>
      <c r="V1344">
        <v>35.700000000000003</v>
      </c>
    </row>
    <row r="1345" spans="1:22" x14ac:dyDescent="0.25">
      <c r="A1345" t="s">
        <v>261</v>
      </c>
      <c r="B1345" t="s">
        <v>116</v>
      </c>
      <c r="C1345">
        <v>19</v>
      </c>
      <c r="D1345" t="s">
        <v>260</v>
      </c>
      <c r="E1345" t="s">
        <v>32</v>
      </c>
      <c r="F1345" t="s">
        <v>69</v>
      </c>
      <c r="G1345">
        <v>0.57999999999999996</v>
      </c>
      <c r="H1345" t="s">
        <v>132</v>
      </c>
      <c r="I1345">
        <v>-13</v>
      </c>
      <c r="J1345" s="4" t="str">
        <f>HYPERLINK("https://www.eliteprospects.com/player/676861/cooper-pierson")</f>
        <v>https://www.eliteprospects.com/player/676861/cooper-pierson</v>
      </c>
      <c r="K1345" t="s">
        <v>27</v>
      </c>
      <c r="L1345" t="s">
        <v>28</v>
      </c>
      <c r="M1345" t="s">
        <v>35</v>
      </c>
      <c r="N1345">
        <v>1</v>
      </c>
      <c r="O1345" t="s">
        <v>71</v>
      </c>
      <c r="P1345">
        <v>0.11</v>
      </c>
      <c r="Q1345" t="s">
        <v>135</v>
      </c>
      <c r="R1345">
        <v>0</v>
      </c>
      <c r="S1345">
        <v>35.700000000000003</v>
      </c>
      <c r="T1345">
        <v>0</v>
      </c>
      <c r="U1345">
        <v>28.6</v>
      </c>
      <c r="V1345">
        <v>35.700000000000003</v>
      </c>
    </row>
    <row r="1346" spans="1:22" x14ac:dyDescent="0.25">
      <c r="A1346" t="s">
        <v>292</v>
      </c>
      <c r="B1346" t="s">
        <v>116</v>
      </c>
      <c r="C1346">
        <v>20</v>
      </c>
      <c r="D1346" t="s">
        <v>57</v>
      </c>
      <c r="E1346" t="s">
        <v>140</v>
      </c>
      <c r="F1346" t="s">
        <v>45</v>
      </c>
      <c r="G1346">
        <v>0.45</v>
      </c>
      <c r="H1346" t="s">
        <v>57</v>
      </c>
      <c r="I1346">
        <v>-12</v>
      </c>
      <c r="J1346" s="4" t="str">
        <f>HYPERLINK("https://www.eliteprospects.com/player/641537/filip-ju%C5%99icek")</f>
        <v>https://www.eliteprospects.com/player/641537/filip-ju%C5%99icek</v>
      </c>
      <c r="K1346" t="s">
        <v>27</v>
      </c>
      <c r="L1346" t="s">
        <v>28</v>
      </c>
      <c r="M1346" t="s">
        <v>35</v>
      </c>
      <c r="N1346">
        <v>1</v>
      </c>
      <c r="O1346" t="s">
        <v>71</v>
      </c>
      <c r="P1346">
        <v>0.09</v>
      </c>
      <c r="Q1346" t="s">
        <v>31</v>
      </c>
      <c r="R1346">
        <v>36.4</v>
      </c>
      <c r="S1346">
        <v>9.1</v>
      </c>
      <c r="T1346">
        <v>18.2</v>
      </c>
      <c r="U1346">
        <v>9.1</v>
      </c>
      <c r="V1346">
        <v>27.3</v>
      </c>
    </row>
    <row r="1347" spans="1:22" x14ac:dyDescent="0.25">
      <c r="A1347" t="s">
        <v>332</v>
      </c>
      <c r="B1347" t="s">
        <v>116</v>
      </c>
      <c r="C1347">
        <v>20</v>
      </c>
      <c r="D1347" t="s">
        <v>66</v>
      </c>
      <c r="E1347" t="s">
        <v>140</v>
      </c>
      <c r="F1347" t="s">
        <v>78</v>
      </c>
      <c r="G1347">
        <v>0.35</v>
      </c>
      <c r="H1347" t="s">
        <v>66</v>
      </c>
      <c r="I1347">
        <v>-10</v>
      </c>
      <c r="J1347" s="4" t="str">
        <f>HYPERLINK("https://www.eliteprospects.com/player/201860/gunnar-thoreson")</f>
        <v>https://www.eliteprospects.com/player/201860/gunnar-thoreson</v>
      </c>
      <c r="K1347" t="s">
        <v>27</v>
      </c>
      <c r="L1347" t="s">
        <v>28</v>
      </c>
      <c r="M1347" t="s">
        <v>42</v>
      </c>
      <c r="N1347">
        <v>3</v>
      </c>
      <c r="O1347" t="s">
        <v>74</v>
      </c>
      <c r="P1347">
        <v>7.0000000000000007E-2</v>
      </c>
      <c r="Q1347" t="s">
        <v>245</v>
      </c>
      <c r="R1347">
        <v>0</v>
      </c>
      <c r="S1347">
        <v>15.4</v>
      </c>
      <c r="T1347">
        <v>7.7</v>
      </c>
      <c r="U1347">
        <v>30.8</v>
      </c>
      <c r="V1347">
        <v>46.2</v>
      </c>
    </row>
    <row r="1348" spans="1:22" x14ac:dyDescent="0.25">
      <c r="A1348" t="s">
        <v>349</v>
      </c>
      <c r="B1348" t="s">
        <v>116</v>
      </c>
      <c r="C1348">
        <v>20</v>
      </c>
      <c r="D1348" t="s">
        <v>260</v>
      </c>
      <c r="E1348" t="s">
        <v>57</v>
      </c>
      <c r="F1348" t="s">
        <v>78</v>
      </c>
      <c r="G1348">
        <v>0.35</v>
      </c>
      <c r="H1348" t="s">
        <v>32</v>
      </c>
      <c r="I1348">
        <v>-13</v>
      </c>
      <c r="J1348" s="4" t="str">
        <f>HYPERLINK("https://www.eliteprospects.com/player/599566/isaac-tremblay")</f>
        <v>https://www.eliteprospects.com/player/599566/isaac-tremblay</v>
      </c>
      <c r="K1348" t="s">
        <v>27</v>
      </c>
      <c r="L1348" t="s">
        <v>28</v>
      </c>
      <c r="M1348" t="s">
        <v>42</v>
      </c>
      <c r="N1348">
        <v>2</v>
      </c>
      <c r="O1348" t="s">
        <v>43</v>
      </c>
      <c r="P1348">
        <v>7.0000000000000007E-2</v>
      </c>
      <c r="Q1348" t="s">
        <v>245</v>
      </c>
      <c r="R1348">
        <v>0</v>
      </c>
      <c r="S1348">
        <v>15.4</v>
      </c>
      <c r="T1348">
        <v>7.7</v>
      </c>
      <c r="U1348">
        <v>30.8</v>
      </c>
      <c r="V1348">
        <v>46.2</v>
      </c>
    </row>
    <row r="1349" spans="1:22" x14ac:dyDescent="0.25">
      <c r="A1349" t="s">
        <v>361</v>
      </c>
      <c r="B1349" t="s">
        <v>116</v>
      </c>
      <c r="C1349">
        <v>18</v>
      </c>
      <c r="D1349" t="s">
        <v>140</v>
      </c>
      <c r="E1349" t="s">
        <v>140</v>
      </c>
      <c r="F1349" t="s">
        <v>57</v>
      </c>
      <c r="G1349">
        <v>0.33</v>
      </c>
      <c r="H1349" t="s">
        <v>66</v>
      </c>
      <c r="I1349">
        <v>-11</v>
      </c>
      <c r="J1349" s="4" t="str">
        <f>HYPERLINK("https://www.eliteprospects.com/player/641269/sam-ledrew")</f>
        <v>https://www.eliteprospects.com/player/641269/sam-ledrew</v>
      </c>
      <c r="K1349" t="s">
        <v>27</v>
      </c>
      <c r="L1349" t="s">
        <v>28</v>
      </c>
      <c r="M1349" t="s">
        <v>29</v>
      </c>
      <c r="N1349">
        <v>1</v>
      </c>
      <c r="O1349" t="s">
        <v>71</v>
      </c>
      <c r="P1349">
        <v>0.06</v>
      </c>
      <c r="Q1349" t="s">
        <v>245</v>
      </c>
      <c r="R1349">
        <v>0</v>
      </c>
      <c r="S1349">
        <v>15.4</v>
      </c>
      <c r="T1349">
        <v>7.7</v>
      </c>
      <c r="U1349">
        <v>30.8</v>
      </c>
      <c r="V1349">
        <v>46.2</v>
      </c>
    </row>
    <row r="1350" spans="1:22" x14ac:dyDescent="0.25">
      <c r="A1350" t="s">
        <v>389</v>
      </c>
      <c r="B1350" t="s">
        <v>116</v>
      </c>
      <c r="C1350">
        <v>20</v>
      </c>
      <c r="D1350" t="s">
        <v>260</v>
      </c>
      <c r="E1350" t="s">
        <v>66</v>
      </c>
      <c r="F1350" t="s">
        <v>96</v>
      </c>
      <c r="G1350">
        <v>0.25</v>
      </c>
      <c r="H1350" t="s">
        <v>23</v>
      </c>
      <c r="I1350">
        <v>-8</v>
      </c>
      <c r="J1350" s="4" t="str">
        <f>HYPERLINK("https://www.eliteprospects.com/player/201932/frankie-carogioiello")</f>
        <v>https://www.eliteprospects.com/player/201932/frankie-carogioiello</v>
      </c>
      <c r="K1350" t="s">
        <v>27</v>
      </c>
      <c r="L1350" t="s">
        <v>28</v>
      </c>
      <c r="M1350" t="s">
        <v>42</v>
      </c>
      <c r="N1350">
        <v>4</v>
      </c>
      <c r="O1350" t="s">
        <v>30</v>
      </c>
      <c r="P1350">
        <v>0.05</v>
      </c>
      <c r="Q1350" t="s">
        <v>245</v>
      </c>
      <c r="R1350">
        <v>13.3</v>
      </c>
      <c r="S1350">
        <v>13.3</v>
      </c>
      <c r="T1350">
        <v>0</v>
      </c>
      <c r="U1350">
        <v>13.3</v>
      </c>
      <c r="V1350">
        <v>60</v>
      </c>
    </row>
    <row r="1351" spans="1:22" x14ac:dyDescent="0.25">
      <c r="A1351" t="s">
        <v>399</v>
      </c>
      <c r="B1351" t="s">
        <v>116</v>
      </c>
      <c r="C1351">
        <v>18</v>
      </c>
      <c r="D1351" t="s">
        <v>140</v>
      </c>
      <c r="E1351" t="s">
        <v>260</v>
      </c>
      <c r="F1351" t="s">
        <v>66</v>
      </c>
      <c r="G1351">
        <v>0.22</v>
      </c>
      <c r="H1351" t="s">
        <v>57</v>
      </c>
      <c r="I1351">
        <v>-12</v>
      </c>
      <c r="J1351" s="4" t="str">
        <f>HYPERLINK("https://www.eliteprospects.com/player/582737/nicholas-beneteau")</f>
        <v>https://www.eliteprospects.com/player/582737/nicholas-beneteau</v>
      </c>
      <c r="K1351" t="s">
        <v>27</v>
      </c>
      <c r="L1351" t="s">
        <v>28</v>
      </c>
      <c r="M1351" t="s">
        <v>87</v>
      </c>
      <c r="N1351">
        <v>2</v>
      </c>
      <c r="O1351" t="s">
        <v>43</v>
      </c>
      <c r="P1351">
        <v>0.04</v>
      </c>
      <c r="Q1351" t="s">
        <v>245</v>
      </c>
      <c r="R1351">
        <v>13.3</v>
      </c>
      <c r="S1351">
        <v>13.3</v>
      </c>
      <c r="T1351">
        <v>0</v>
      </c>
      <c r="U1351">
        <v>13.3</v>
      </c>
      <c r="V1351">
        <v>60</v>
      </c>
    </row>
    <row r="1352" spans="1:22" x14ac:dyDescent="0.25">
      <c r="A1352" t="s">
        <v>466</v>
      </c>
      <c r="B1352" t="s">
        <v>116</v>
      </c>
      <c r="C1352">
        <v>20</v>
      </c>
      <c r="D1352" t="s">
        <v>260</v>
      </c>
      <c r="E1352" t="s">
        <v>132</v>
      </c>
      <c r="F1352" t="s">
        <v>260</v>
      </c>
      <c r="G1352">
        <v>0.05</v>
      </c>
      <c r="H1352" t="s">
        <v>33</v>
      </c>
      <c r="I1352">
        <v>-12</v>
      </c>
      <c r="J1352" s="4" t="str">
        <f>HYPERLINK("https://www.eliteprospects.com/player/496021/gabriel-westling")</f>
        <v>https://www.eliteprospects.com/player/496021/gabriel-westling</v>
      </c>
      <c r="K1352" t="s">
        <v>27</v>
      </c>
      <c r="L1352" t="s">
        <v>28</v>
      </c>
      <c r="M1352" t="s">
        <v>76</v>
      </c>
      <c r="N1352">
        <v>2</v>
      </c>
      <c r="O1352" t="s">
        <v>43</v>
      </c>
      <c r="P1352">
        <v>0.01</v>
      </c>
      <c r="Q1352" t="s">
        <v>245</v>
      </c>
      <c r="R1352">
        <v>13.3</v>
      </c>
      <c r="S1352">
        <v>13.3</v>
      </c>
      <c r="T1352">
        <v>0</v>
      </c>
      <c r="U1352">
        <v>13.3</v>
      </c>
      <c r="V1352">
        <v>60</v>
      </c>
    </row>
    <row r="1353" spans="1:22" x14ac:dyDescent="0.25">
      <c r="A1353" t="s">
        <v>468</v>
      </c>
      <c r="B1353" t="s">
        <v>116</v>
      </c>
      <c r="C1353">
        <v>11</v>
      </c>
      <c r="D1353" t="s">
        <v>132</v>
      </c>
      <c r="E1353" t="s">
        <v>260</v>
      </c>
      <c r="F1353" t="s">
        <v>260</v>
      </c>
      <c r="G1353">
        <v>0.09</v>
      </c>
      <c r="H1353" t="s">
        <v>79</v>
      </c>
      <c r="I1353">
        <v>-2</v>
      </c>
      <c r="J1353" s="4" t="str">
        <f>HYPERLINK("https://www.eliteprospects.com/player/529392/jake-bernadet")</f>
        <v>https://www.eliteprospects.com/player/529392/jake-bernadet</v>
      </c>
      <c r="K1353" t="s">
        <v>27</v>
      </c>
      <c r="L1353" t="s">
        <v>28</v>
      </c>
      <c r="M1353" t="s">
        <v>35</v>
      </c>
      <c r="N1353">
        <v>2</v>
      </c>
      <c r="O1353" t="s">
        <v>43</v>
      </c>
      <c r="P1353">
        <v>0.02</v>
      </c>
      <c r="Q1353" t="s">
        <v>245</v>
      </c>
      <c r="R1353">
        <v>9.1</v>
      </c>
      <c r="S1353">
        <v>18.2</v>
      </c>
      <c r="T1353">
        <v>9.1</v>
      </c>
      <c r="U1353">
        <v>13.6</v>
      </c>
      <c r="V1353">
        <v>50</v>
      </c>
    </row>
    <row r="1354" spans="1:22" x14ac:dyDescent="0.25">
      <c r="A1354" t="s">
        <v>254</v>
      </c>
      <c r="B1354" t="s">
        <v>255</v>
      </c>
      <c r="C1354">
        <v>19</v>
      </c>
      <c r="D1354" t="s">
        <v>140</v>
      </c>
      <c r="E1354" t="s">
        <v>26</v>
      </c>
      <c r="F1354" t="s">
        <v>69</v>
      </c>
      <c r="G1354">
        <v>0.57999999999999996</v>
      </c>
      <c r="H1354" t="s">
        <v>26</v>
      </c>
      <c r="I1354">
        <v>-3</v>
      </c>
      <c r="J1354" s="4" t="str">
        <f>HYPERLINK("https://www.eliteprospects.com/player/511990/justin-mexico")</f>
        <v>https://www.eliteprospects.com/player/511990/justin-mexico</v>
      </c>
      <c r="K1354" t="s">
        <v>27</v>
      </c>
      <c r="L1354" t="s">
        <v>28</v>
      </c>
      <c r="M1354" t="s">
        <v>35</v>
      </c>
      <c r="N1354">
        <v>2</v>
      </c>
      <c r="O1354" t="s">
        <v>43</v>
      </c>
      <c r="P1354">
        <v>0.11</v>
      </c>
      <c r="Q1354" t="s">
        <v>135</v>
      </c>
      <c r="R1354">
        <v>20</v>
      </c>
      <c r="S1354">
        <v>40</v>
      </c>
      <c r="T1354">
        <v>0</v>
      </c>
      <c r="U1354">
        <v>20</v>
      </c>
      <c r="V1354">
        <v>20</v>
      </c>
    </row>
    <row r="1355" spans="1:22" x14ac:dyDescent="0.25">
      <c r="A1355" t="s">
        <v>262</v>
      </c>
      <c r="B1355" t="s">
        <v>255</v>
      </c>
      <c r="C1355">
        <v>19</v>
      </c>
      <c r="D1355" t="s">
        <v>26</v>
      </c>
      <c r="E1355" t="s">
        <v>79</v>
      </c>
      <c r="F1355" t="s">
        <v>32</v>
      </c>
      <c r="G1355">
        <v>0.53</v>
      </c>
      <c r="H1355" t="s">
        <v>32</v>
      </c>
      <c r="I1355">
        <v>-8</v>
      </c>
      <c r="J1355" s="4" t="str">
        <f>HYPERLINK("https://www.eliteprospects.com/player/201728/matthew-romer")</f>
        <v>https://www.eliteprospects.com/player/201728/matthew-romer</v>
      </c>
      <c r="K1355" t="s">
        <v>27</v>
      </c>
      <c r="L1355" t="s">
        <v>28</v>
      </c>
      <c r="M1355" t="s">
        <v>35</v>
      </c>
      <c r="N1355">
        <v>3</v>
      </c>
      <c r="O1355" t="s">
        <v>74</v>
      </c>
      <c r="P1355">
        <v>0.1</v>
      </c>
      <c r="Q1355" t="s">
        <v>245</v>
      </c>
      <c r="R1355">
        <v>9.1</v>
      </c>
      <c r="S1355">
        <v>27.3</v>
      </c>
      <c r="T1355">
        <v>18.2</v>
      </c>
      <c r="U1355">
        <v>0</v>
      </c>
      <c r="V1355">
        <v>45.5</v>
      </c>
    </row>
    <row r="1356" spans="1:22" x14ac:dyDescent="0.25">
      <c r="A1356" t="s">
        <v>321</v>
      </c>
      <c r="B1356" t="s">
        <v>255</v>
      </c>
      <c r="C1356">
        <v>11</v>
      </c>
      <c r="D1356" t="s">
        <v>140</v>
      </c>
      <c r="E1356" t="s">
        <v>96</v>
      </c>
      <c r="F1356" t="s">
        <v>26</v>
      </c>
      <c r="G1356">
        <v>0.73</v>
      </c>
      <c r="H1356" t="s">
        <v>57</v>
      </c>
      <c r="I1356">
        <v>-1</v>
      </c>
      <c r="J1356" s="4" t="str">
        <f>HYPERLINK("https://www.eliteprospects.com/player/478667/anthony-galante")</f>
        <v>https://www.eliteprospects.com/player/478667/anthony-galante</v>
      </c>
      <c r="K1356" t="s">
        <v>27</v>
      </c>
      <c r="L1356" t="s">
        <v>28</v>
      </c>
      <c r="M1356" t="s">
        <v>35</v>
      </c>
      <c r="N1356">
        <v>3</v>
      </c>
      <c r="O1356" t="s">
        <v>74</v>
      </c>
      <c r="P1356">
        <v>0.14000000000000001</v>
      </c>
      <c r="Q1356" t="s">
        <v>245</v>
      </c>
      <c r="R1356">
        <v>0</v>
      </c>
      <c r="S1356">
        <v>25</v>
      </c>
      <c r="T1356">
        <v>25</v>
      </c>
      <c r="U1356">
        <v>0</v>
      </c>
      <c r="V1356">
        <v>50</v>
      </c>
    </row>
    <row r="1357" spans="1:22" x14ac:dyDescent="0.25">
      <c r="A1357" t="s">
        <v>335</v>
      </c>
      <c r="B1357" t="s">
        <v>255</v>
      </c>
      <c r="C1357">
        <v>15</v>
      </c>
      <c r="D1357" t="s">
        <v>140</v>
      </c>
      <c r="E1357" t="s">
        <v>66</v>
      </c>
      <c r="F1357" t="s">
        <v>78</v>
      </c>
      <c r="G1357">
        <v>0.47</v>
      </c>
      <c r="H1357" t="s">
        <v>26</v>
      </c>
      <c r="I1357">
        <v>2</v>
      </c>
      <c r="J1357" s="4" t="str">
        <f>HYPERLINK("https://www.eliteprospects.com/player/587534/teddy-lagerback")</f>
        <v>https://www.eliteprospects.com/player/587534/teddy-lagerback</v>
      </c>
      <c r="K1357" t="s">
        <v>27</v>
      </c>
      <c r="L1357" t="s">
        <v>28</v>
      </c>
      <c r="M1357" t="s">
        <v>91</v>
      </c>
      <c r="N1357">
        <v>4</v>
      </c>
      <c r="O1357" t="s">
        <v>30</v>
      </c>
      <c r="P1357">
        <v>0.09</v>
      </c>
      <c r="Q1357" t="s">
        <v>31</v>
      </c>
      <c r="R1357">
        <v>33.299999999999997</v>
      </c>
      <c r="S1357">
        <v>8.3000000000000007</v>
      </c>
      <c r="T1357">
        <v>33.299999999999997</v>
      </c>
      <c r="U1357">
        <v>8.3000000000000007</v>
      </c>
      <c r="V1357">
        <v>16.7</v>
      </c>
    </row>
    <row r="1358" spans="1:22" x14ac:dyDescent="0.25">
      <c r="A1358" t="s">
        <v>338</v>
      </c>
      <c r="B1358" t="s">
        <v>255</v>
      </c>
      <c r="C1358">
        <v>19</v>
      </c>
      <c r="D1358" t="s">
        <v>140</v>
      </c>
      <c r="E1358" t="s">
        <v>66</v>
      </c>
      <c r="F1358" t="s">
        <v>78</v>
      </c>
      <c r="G1358">
        <v>0.37</v>
      </c>
      <c r="H1358" t="s">
        <v>23</v>
      </c>
      <c r="I1358">
        <v>-12</v>
      </c>
      <c r="J1358" s="4" t="str">
        <f>HYPERLINK("https://www.eliteprospects.com/player/706035/patrick-murphy")</f>
        <v>https://www.eliteprospects.com/player/706035/patrick-murphy</v>
      </c>
      <c r="K1358" t="s">
        <v>27</v>
      </c>
      <c r="L1358" t="s">
        <v>28</v>
      </c>
      <c r="M1358" t="s">
        <v>29</v>
      </c>
      <c r="N1358">
        <v>2</v>
      </c>
      <c r="O1358" t="s">
        <v>303</v>
      </c>
      <c r="P1358">
        <v>7.0000000000000007E-2</v>
      </c>
      <c r="Q1358" t="s">
        <v>245</v>
      </c>
      <c r="R1358">
        <v>0</v>
      </c>
      <c r="S1358">
        <v>15.4</v>
      </c>
      <c r="T1358">
        <v>7.7</v>
      </c>
      <c r="U1358">
        <v>30.8</v>
      </c>
      <c r="V1358">
        <v>46.2</v>
      </c>
    </row>
    <row r="1359" spans="1:22" x14ac:dyDescent="0.25">
      <c r="A1359" t="s">
        <v>343</v>
      </c>
      <c r="B1359" t="s">
        <v>255</v>
      </c>
      <c r="C1359">
        <v>19</v>
      </c>
      <c r="D1359" t="s">
        <v>79</v>
      </c>
      <c r="E1359" t="s">
        <v>96</v>
      </c>
      <c r="F1359" t="s">
        <v>78</v>
      </c>
      <c r="G1359">
        <v>0.37</v>
      </c>
      <c r="H1359" t="s">
        <v>66</v>
      </c>
      <c r="I1359">
        <v>1</v>
      </c>
      <c r="J1359" s="4" t="str">
        <f>HYPERLINK("https://www.eliteprospects.com/player/290187/frank-ireland")</f>
        <v>https://www.eliteprospects.com/player/290187/frank-ireland</v>
      </c>
      <c r="K1359" t="s">
        <v>27</v>
      </c>
      <c r="L1359" t="s">
        <v>28</v>
      </c>
      <c r="M1359" t="s">
        <v>35</v>
      </c>
      <c r="N1359">
        <v>4</v>
      </c>
      <c r="O1359" t="s">
        <v>30</v>
      </c>
      <c r="P1359">
        <v>7.0000000000000007E-2</v>
      </c>
      <c r="Q1359" t="s">
        <v>245</v>
      </c>
      <c r="R1359">
        <v>14.3</v>
      </c>
      <c r="S1359">
        <v>28.6</v>
      </c>
      <c r="T1359">
        <v>0</v>
      </c>
      <c r="U1359">
        <v>14.3</v>
      </c>
      <c r="V1359">
        <v>42.9</v>
      </c>
    </row>
    <row r="1360" spans="1:22" x14ac:dyDescent="0.25">
      <c r="A1360" t="s">
        <v>345</v>
      </c>
      <c r="B1360" t="s">
        <v>255</v>
      </c>
      <c r="C1360">
        <v>19</v>
      </c>
      <c r="D1360" t="s">
        <v>79</v>
      </c>
      <c r="E1360" t="s">
        <v>96</v>
      </c>
      <c r="F1360" t="s">
        <v>78</v>
      </c>
      <c r="G1360">
        <v>0.37</v>
      </c>
      <c r="H1360" t="s">
        <v>32</v>
      </c>
      <c r="I1360">
        <v>-16</v>
      </c>
      <c r="J1360" s="4" t="str">
        <f>HYPERLINK("https://www.eliteprospects.com/player/628509/joel-lehtinen")</f>
        <v>https://www.eliteprospects.com/player/628509/joel-lehtinen</v>
      </c>
      <c r="K1360" t="s">
        <v>27</v>
      </c>
      <c r="L1360" t="s">
        <v>28</v>
      </c>
      <c r="M1360" t="s">
        <v>35</v>
      </c>
      <c r="N1360">
        <v>2</v>
      </c>
      <c r="O1360" t="s">
        <v>43</v>
      </c>
      <c r="P1360">
        <v>7.0000000000000007E-2</v>
      </c>
      <c r="Q1360" t="s">
        <v>245</v>
      </c>
      <c r="R1360">
        <v>0</v>
      </c>
      <c r="S1360">
        <v>15.4</v>
      </c>
      <c r="T1360">
        <v>7.7</v>
      </c>
      <c r="U1360">
        <v>30.8</v>
      </c>
      <c r="V1360">
        <v>46.2</v>
      </c>
    </row>
    <row r="1361" spans="1:22" x14ac:dyDescent="0.25">
      <c r="A1361" t="s">
        <v>352</v>
      </c>
      <c r="B1361" t="s">
        <v>255</v>
      </c>
      <c r="C1361">
        <v>18</v>
      </c>
      <c r="D1361" t="s">
        <v>66</v>
      </c>
      <c r="E1361" t="s">
        <v>79</v>
      </c>
      <c r="F1361" t="s">
        <v>57</v>
      </c>
      <c r="G1361">
        <v>0.33</v>
      </c>
      <c r="H1361" t="s">
        <v>32</v>
      </c>
      <c r="I1361">
        <v>-3</v>
      </c>
      <c r="J1361" s="4" t="str">
        <f>HYPERLINK("https://www.eliteprospects.com/player/582632/cole-melady")</f>
        <v>https://www.eliteprospects.com/player/582632/cole-melady</v>
      </c>
      <c r="K1361" t="s">
        <v>27</v>
      </c>
      <c r="L1361" t="s">
        <v>28</v>
      </c>
      <c r="M1361" t="s">
        <v>35</v>
      </c>
      <c r="N1361">
        <v>2</v>
      </c>
      <c r="O1361" t="s">
        <v>43</v>
      </c>
      <c r="P1361">
        <v>0.06</v>
      </c>
      <c r="Q1361" t="s">
        <v>135</v>
      </c>
      <c r="R1361">
        <v>0</v>
      </c>
      <c r="S1361">
        <v>33.299999999999997</v>
      </c>
      <c r="T1361">
        <v>23.8</v>
      </c>
      <c r="U1361">
        <v>9.5</v>
      </c>
      <c r="V1361">
        <v>33.299999999999997</v>
      </c>
    </row>
    <row r="1362" spans="1:22" x14ac:dyDescent="0.25">
      <c r="A1362" t="s">
        <v>353</v>
      </c>
      <c r="B1362" t="s">
        <v>255</v>
      </c>
      <c r="C1362">
        <v>19</v>
      </c>
      <c r="D1362" t="s">
        <v>66</v>
      </c>
      <c r="E1362" t="s">
        <v>79</v>
      </c>
      <c r="F1362" t="s">
        <v>57</v>
      </c>
      <c r="G1362">
        <v>0.32</v>
      </c>
      <c r="H1362" t="s">
        <v>57</v>
      </c>
      <c r="I1362">
        <v>-6</v>
      </c>
      <c r="J1362" s="4" t="str">
        <f>HYPERLINK("https://www.eliteprospects.com/player/543008/joseph-grainda")</f>
        <v>https://www.eliteprospects.com/player/543008/joseph-grainda</v>
      </c>
      <c r="K1362" t="s">
        <v>27</v>
      </c>
      <c r="L1362" t="s">
        <v>28</v>
      </c>
      <c r="M1362" t="s">
        <v>91</v>
      </c>
      <c r="N1362">
        <v>3</v>
      </c>
      <c r="O1362" t="s">
        <v>74</v>
      </c>
      <c r="P1362">
        <v>0.06</v>
      </c>
      <c r="Q1362" t="s">
        <v>245</v>
      </c>
      <c r="R1362">
        <v>0</v>
      </c>
      <c r="S1362">
        <v>15.4</v>
      </c>
      <c r="T1362">
        <v>7.7</v>
      </c>
      <c r="U1362">
        <v>30.8</v>
      </c>
      <c r="V1362">
        <v>46.2</v>
      </c>
    </row>
    <row r="1363" spans="1:22" x14ac:dyDescent="0.25">
      <c r="A1363" t="s">
        <v>371</v>
      </c>
      <c r="B1363" t="s">
        <v>255</v>
      </c>
      <c r="C1363">
        <v>19</v>
      </c>
      <c r="D1363" t="s">
        <v>260</v>
      </c>
      <c r="E1363" t="s">
        <v>96</v>
      </c>
      <c r="F1363" t="s">
        <v>57</v>
      </c>
      <c r="G1363">
        <v>0.32</v>
      </c>
      <c r="H1363" t="s">
        <v>66</v>
      </c>
      <c r="I1363">
        <v>-3</v>
      </c>
      <c r="J1363" s="4" t="str">
        <f>HYPERLINK("https://www.eliteprospects.com/player/540682/billy-renfrew")</f>
        <v>https://www.eliteprospects.com/player/540682/billy-renfrew</v>
      </c>
      <c r="K1363" t="s">
        <v>27</v>
      </c>
      <c r="L1363" t="s">
        <v>28</v>
      </c>
      <c r="M1363" t="s">
        <v>35</v>
      </c>
      <c r="N1363">
        <v>2</v>
      </c>
      <c r="O1363" t="s">
        <v>43</v>
      </c>
      <c r="P1363">
        <v>0.06</v>
      </c>
      <c r="Q1363" t="s">
        <v>135</v>
      </c>
      <c r="R1363">
        <v>0</v>
      </c>
      <c r="S1363">
        <v>33.299999999999997</v>
      </c>
      <c r="T1363">
        <v>23.8</v>
      </c>
      <c r="U1363">
        <v>9.5</v>
      </c>
      <c r="V1363">
        <v>33.299999999999997</v>
      </c>
    </row>
    <row r="1364" spans="1:22" x14ac:dyDescent="0.25">
      <c r="A1364" t="s">
        <v>385</v>
      </c>
      <c r="B1364" t="s">
        <v>255</v>
      </c>
      <c r="C1364">
        <v>14</v>
      </c>
      <c r="D1364" t="s">
        <v>260</v>
      </c>
      <c r="E1364" t="s">
        <v>66</v>
      </c>
      <c r="F1364" t="s">
        <v>96</v>
      </c>
      <c r="G1364">
        <v>0.36</v>
      </c>
      <c r="H1364" t="s">
        <v>132</v>
      </c>
      <c r="I1364">
        <v>1</v>
      </c>
      <c r="J1364" s="4" t="str">
        <f>HYPERLINK("https://www.eliteprospects.com/player/651964/leo-chambers")</f>
        <v>https://www.eliteprospects.com/player/651964/leo-chambers</v>
      </c>
      <c r="K1364" t="s">
        <v>27</v>
      </c>
      <c r="L1364" t="s">
        <v>28</v>
      </c>
      <c r="M1364" t="s">
        <v>42</v>
      </c>
      <c r="N1364">
        <v>2</v>
      </c>
      <c r="O1364" t="s">
        <v>43</v>
      </c>
      <c r="P1364">
        <v>7.0000000000000007E-2</v>
      </c>
      <c r="Q1364" t="s">
        <v>245</v>
      </c>
      <c r="R1364">
        <v>14.3</v>
      </c>
      <c r="S1364">
        <v>28.6</v>
      </c>
      <c r="T1364">
        <v>0</v>
      </c>
      <c r="U1364">
        <v>14.3</v>
      </c>
      <c r="V1364">
        <v>42.9</v>
      </c>
    </row>
    <row r="1365" spans="1:22" x14ac:dyDescent="0.25">
      <c r="A1365" t="s">
        <v>432</v>
      </c>
      <c r="B1365" t="s">
        <v>255</v>
      </c>
      <c r="C1365">
        <v>15</v>
      </c>
      <c r="D1365" t="s">
        <v>260</v>
      </c>
      <c r="E1365" t="s">
        <v>79</v>
      </c>
      <c r="F1365" t="s">
        <v>140</v>
      </c>
      <c r="G1365">
        <v>0.2</v>
      </c>
      <c r="H1365" t="s">
        <v>79</v>
      </c>
      <c r="I1365">
        <v>-2</v>
      </c>
      <c r="J1365" s="4" t="str">
        <f>HYPERLINK("https://www.eliteprospects.com/player/390147/brady-hunter")</f>
        <v>https://www.eliteprospects.com/player/390147/brady-hunter</v>
      </c>
      <c r="K1365" t="s">
        <v>27</v>
      </c>
      <c r="L1365" t="s">
        <v>28</v>
      </c>
      <c r="M1365" t="s">
        <v>42</v>
      </c>
      <c r="N1365">
        <v>3</v>
      </c>
      <c r="O1365" t="s">
        <v>74</v>
      </c>
      <c r="P1365">
        <v>0.04</v>
      </c>
      <c r="Q1365" t="s">
        <v>245</v>
      </c>
      <c r="R1365">
        <v>9.1</v>
      </c>
      <c r="S1365">
        <v>18.2</v>
      </c>
      <c r="T1365">
        <v>9.1</v>
      </c>
      <c r="U1365">
        <v>13.6</v>
      </c>
      <c r="V1365">
        <v>50</v>
      </c>
    </row>
    <row r="1366" spans="1:22" x14ac:dyDescent="0.25">
      <c r="A1366" t="s">
        <v>475</v>
      </c>
      <c r="B1366" t="s">
        <v>255</v>
      </c>
      <c r="C1366">
        <v>10</v>
      </c>
      <c r="D1366" t="s">
        <v>132</v>
      </c>
      <c r="E1366" t="s">
        <v>132</v>
      </c>
      <c r="F1366" t="s">
        <v>132</v>
      </c>
      <c r="G1366">
        <v>0</v>
      </c>
      <c r="H1366" t="s">
        <v>66</v>
      </c>
      <c r="I1366">
        <v>-2</v>
      </c>
      <c r="J1366" s="4" t="str">
        <f>HYPERLINK("https://www.eliteprospects.com/player/661217/jake-gutwirth")</f>
        <v>https://www.eliteprospects.com/player/661217/jake-gutwirth</v>
      </c>
      <c r="K1366" t="s">
        <v>27</v>
      </c>
      <c r="L1366" t="s">
        <v>28</v>
      </c>
      <c r="M1366" t="s">
        <v>35</v>
      </c>
      <c r="N1366">
        <v>1</v>
      </c>
      <c r="O1366" t="s">
        <v>71</v>
      </c>
      <c r="P1366">
        <v>0</v>
      </c>
      <c r="Q1366" t="s">
        <v>245</v>
      </c>
      <c r="R1366">
        <v>9.1</v>
      </c>
      <c r="S1366">
        <v>18.2</v>
      </c>
      <c r="T1366">
        <v>9.1</v>
      </c>
      <c r="U1366">
        <v>13.6</v>
      </c>
      <c r="V1366">
        <v>50</v>
      </c>
    </row>
    <row r="1367" spans="1:22" x14ac:dyDescent="0.25">
      <c r="A1367" t="s">
        <v>487</v>
      </c>
      <c r="B1367" t="s">
        <v>488</v>
      </c>
      <c r="C1367">
        <v>33</v>
      </c>
      <c r="D1367" t="s">
        <v>81</v>
      </c>
      <c r="E1367" t="s">
        <v>52</v>
      </c>
      <c r="F1367" t="s">
        <v>489</v>
      </c>
      <c r="G1367">
        <v>1.58</v>
      </c>
      <c r="H1367" t="s">
        <v>23</v>
      </c>
      <c r="I1367">
        <v>-12</v>
      </c>
      <c r="J1367" s="4" t="str">
        <f>HYPERLINK("https://www.eliteprospects.com/player/911130/kieron-walton")</f>
        <v>https://www.eliteprospects.com/player/911130/kieron-walton</v>
      </c>
      <c r="K1367" t="s">
        <v>27</v>
      </c>
      <c r="L1367" t="s">
        <v>485</v>
      </c>
      <c r="M1367" t="s">
        <v>76</v>
      </c>
      <c r="N1367">
        <v>4</v>
      </c>
      <c r="O1367" t="s">
        <v>486</v>
      </c>
      <c r="P1367">
        <v>0.23</v>
      </c>
      <c r="Q1367" t="s">
        <v>245</v>
      </c>
      <c r="R1367">
        <v>0</v>
      </c>
      <c r="S1367">
        <v>0</v>
      </c>
      <c r="T1367">
        <v>0</v>
      </c>
      <c r="U1367">
        <v>0</v>
      </c>
      <c r="V1367">
        <v>100</v>
      </c>
    </row>
    <row r="1368" spans="1:22" x14ac:dyDescent="0.25">
      <c r="A1368" t="s">
        <v>570</v>
      </c>
      <c r="B1368" t="s">
        <v>488</v>
      </c>
      <c r="C1368">
        <v>31</v>
      </c>
      <c r="D1368" t="s">
        <v>78</v>
      </c>
      <c r="E1368" t="s">
        <v>65</v>
      </c>
      <c r="F1368" t="s">
        <v>24</v>
      </c>
      <c r="G1368">
        <v>0.65</v>
      </c>
      <c r="H1368" t="s">
        <v>79</v>
      </c>
      <c r="I1368">
        <v>-23</v>
      </c>
      <c r="J1368" s="4" t="str">
        <f>HYPERLINK("https://www.eliteprospects.com/player/690439/jan-chovan")</f>
        <v>https://www.eliteprospects.com/player/690439/jan-chovan</v>
      </c>
      <c r="K1368" t="s">
        <v>27</v>
      </c>
      <c r="L1368" t="s">
        <v>485</v>
      </c>
      <c r="M1368" t="s">
        <v>87</v>
      </c>
      <c r="N1368">
        <v>1</v>
      </c>
      <c r="O1368" t="s">
        <v>494</v>
      </c>
      <c r="P1368">
        <v>0.09</v>
      </c>
      <c r="Q1368" t="s">
        <v>31</v>
      </c>
      <c r="R1368">
        <v>36.4</v>
      </c>
      <c r="S1368">
        <v>9.1</v>
      </c>
      <c r="T1368">
        <v>18.2</v>
      </c>
      <c r="U1368">
        <v>9.1</v>
      </c>
      <c r="V1368">
        <v>27.3</v>
      </c>
    </row>
    <row r="1369" spans="1:22" x14ac:dyDescent="0.25">
      <c r="A1369" t="s">
        <v>572</v>
      </c>
      <c r="B1369" t="s">
        <v>488</v>
      </c>
      <c r="C1369">
        <v>38</v>
      </c>
      <c r="D1369" t="s">
        <v>26</v>
      </c>
      <c r="E1369" t="s">
        <v>69</v>
      </c>
      <c r="F1369" t="s">
        <v>51</v>
      </c>
      <c r="G1369">
        <v>0.5</v>
      </c>
      <c r="H1369" t="s">
        <v>81</v>
      </c>
      <c r="I1369">
        <v>-3</v>
      </c>
      <c r="J1369" s="4" t="str">
        <f>HYPERLINK("https://www.eliteprospects.com/player/881032/rowan-henderson")</f>
        <v>https://www.eliteprospects.com/player/881032/rowan-henderson</v>
      </c>
      <c r="K1369" t="s">
        <v>27</v>
      </c>
      <c r="L1369" t="s">
        <v>485</v>
      </c>
      <c r="M1369" t="s">
        <v>42</v>
      </c>
      <c r="N1369">
        <v>2</v>
      </c>
      <c r="O1369" t="s">
        <v>501</v>
      </c>
      <c r="P1369">
        <v>7.0000000000000007E-2</v>
      </c>
      <c r="Q1369" t="s">
        <v>135</v>
      </c>
      <c r="R1369">
        <v>0</v>
      </c>
      <c r="S1369">
        <v>33.299999999999997</v>
      </c>
      <c r="T1369">
        <v>23.8</v>
      </c>
      <c r="U1369">
        <v>9.5</v>
      </c>
      <c r="V1369">
        <v>33.299999999999997</v>
      </c>
    </row>
    <row r="1370" spans="1:22" x14ac:dyDescent="0.25">
      <c r="A1370" t="s">
        <v>581</v>
      </c>
      <c r="B1370" t="s">
        <v>488</v>
      </c>
      <c r="C1370">
        <v>33</v>
      </c>
      <c r="D1370" t="s">
        <v>45</v>
      </c>
      <c r="E1370" t="s">
        <v>78</v>
      </c>
      <c r="F1370" t="s">
        <v>38</v>
      </c>
      <c r="G1370">
        <v>0.48</v>
      </c>
      <c r="H1370" t="s">
        <v>544</v>
      </c>
      <c r="I1370">
        <v>-5</v>
      </c>
      <c r="J1370" s="4" t="str">
        <f>HYPERLINK("https://www.eliteprospects.com/player/723352/chase-coughlan")</f>
        <v>https://www.eliteprospects.com/player/723352/chase-coughlan</v>
      </c>
      <c r="K1370" t="s">
        <v>27</v>
      </c>
      <c r="L1370" t="s">
        <v>485</v>
      </c>
      <c r="M1370" t="s">
        <v>35</v>
      </c>
      <c r="N1370">
        <v>5</v>
      </c>
      <c r="O1370" t="s">
        <v>508</v>
      </c>
      <c r="P1370">
        <v>7.0000000000000007E-2</v>
      </c>
      <c r="Q1370" t="s">
        <v>135</v>
      </c>
      <c r="R1370">
        <v>0</v>
      </c>
      <c r="S1370">
        <v>33.299999999999997</v>
      </c>
      <c r="T1370">
        <v>23.8</v>
      </c>
      <c r="U1370">
        <v>9.5</v>
      </c>
      <c r="V1370">
        <v>33.299999999999997</v>
      </c>
    </row>
    <row r="1371" spans="1:22" x14ac:dyDescent="0.25">
      <c r="A1371" t="s">
        <v>586</v>
      </c>
      <c r="B1371" t="s">
        <v>488</v>
      </c>
      <c r="C1371">
        <v>38</v>
      </c>
      <c r="D1371" t="s">
        <v>96</v>
      </c>
      <c r="E1371" t="s">
        <v>32</v>
      </c>
      <c r="F1371" t="s">
        <v>41</v>
      </c>
      <c r="G1371">
        <v>0.39</v>
      </c>
      <c r="H1371" t="s">
        <v>300</v>
      </c>
      <c r="I1371">
        <v>-4</v>
      </c>
      <c r="J1371" s="4" t="str">
        <f>HYPERLINK("https://www.eliteprospects.com/player/889645/blake-clayton")</f>
        <v>https://www.eliteprospects.com/player/889645/blake-clayton</v>
      </c>
      <c r="K1371" t="s">
        <v>27</v>
      </c>
      <c r="L1371" t="s">
        <v>485</v>
      </c>
      <c r="M1371" t="s">
        <v>42</v>
      </c>
      <c r="N1371">
        <v>3</v>
      </c>
      <c r="O1371" t="s">
        <v>492</v>
      </c>
      <c r="P1371">
        <v>0.06</v>
      </c>
      <c r="Q1371" t="s">
        <v>135</v>
      </c>
      <c r="R1371">
        <v>0</v>
      </c>
      <c r="S1371">
        <v>33.299999999999997</v>
      </c>
      <c r="T1371">
        <v>23.8</v>
      </c>
      <c r="U1371">
        <v>9.5</v>
      </c>
      <c r="V1371">
        <v>33.299999999999997</v>
      </c>
    </row>
    <row r="1372" spans="1:22" x14ac:dyDescent="0.25">
      <c r="A1372" t="s">
        <v>591</v>
      </c>
      <c r="B1372" t="s">
        <v>488</v>
      </c>
      <c r="C1372">
        <v>34</v>
      </c>
      <c r="D1372" t="s">
        <v>57</v>
      </c>
      <c r="E1372" t="s">
        <v>26</v>
      </c>
      <c r="F1372" t="s">
        <v>39</v>
      </c>
      <c r="G1372">
        <v>0.41</v>
      </c>
      <c r="H1372" t="s">
        <v>66</v>
      </c>
      <c r="I1372">
        <v>-19</v>
      </c>
      <c r="J1372" s="4" t="str">
        <f>HYPERLINK("https://www.eliteprospects.com/player/787510/daniel-berehowsky")</f>
        <v>https://www.eliteprospects.com/player/787510/daniel-berehowsky</v>
      </c>
      <c r="K1372" t="s">
        <v>27</v>
      </c>
      <c r="L1372" t="s">
        <v>485</v>
      </c>
      <c r="M1372" t="s">
        <v>35</v>
      </c>
      <c r="N1372">
        <v>2</v>
      </c>
      <c r="O1372" t="s">
        <v>501</v>
      </c>
      <c r="P1372">
        <v>0.06</v>
      </c>
      <c r="Q1372" t="s">
        <v>245</v>
      </c>
      <c r="R1372">
        <v>0</v>
      </c>
      <c r="S1372">
        <v>15.4</v>
      </c>
      <c r="T1372">
        <v>7.7</v>
      </c>
      <c r="U1372">
        <v>30.8</v>
      </c>
      <c r="V1372">
        <v>46.2</v>
      </c>
    </row>
    <row r="1373" spans="1:22" x14ac:dyDescent="0.25">
      <c r="A1373" t="s">
        <v>597</v>
      </c>
      <c r="B1373" t="s">
        <v>488</v>
      </c>
      <c r="C1373">
        <v>37</v>
      </c>
      <c r="D1373" t="s">
        <v>260</v>
      </c>
      <c r="E1373" t="s">
        <v>26</v>
      </c>
      <c r="F1373" t="s">
        <v>45</v>
      </c>
      <c r="G1373">
        <v>0.24</v>
      </c>
      <c r="H1373" t="s">
        <v>23</v>
      </c>
      <c r="I1373">
        <v>-21</v>
      </c>
      <c r="J1373" s="4" t="str">
        <f>HYPERLINK("https://www.eliteprospects.com/player/895824/vladimir-provorov")</f>
        <v>https://www.eliteprospects.com/player/895824/vladimir-provorov</v>
      </c>
      <c r="K1373" t="s">
        <v>27</v>
      </c>
      <c r="L1373" t="s">
        <v>485</v>
      </c>
      <c r="M1373" t="s">
        <v>35</v>
      </c>
      <c r="N1373">
        <v>1</v>
      </c>
      <c r="O1373" t="s">
        <v>494</v>
      </c>
      <c r="P1373">
        <v>0.03</v>
      </c>
      <c r="Q1373" t="s">
        <v>245</v>
      </c>
      <c r="R1373">
        <v>13.3</v>
      </c>
      <c r="S1373">
        <v>13.3</v>
      </c>
      <c r="T1373">
        <v>0</v>
      </c>
      <c r="U1373">
        <v>13.3</v>
      </c>
      <c r="V1373">
        <v>60</v>
      </c>
    </row>
    <row r="1374" spans="1:22" x14ac:dyDescent="0.25">
      <c r="A1374" t="s">
        <v>602</v>
      </c>
      <c r="B1374" t="s">
        <v>488</v>
      </c>
      <c r="C1374">
        <v>37</v>
      </c>
      <c r="D1374" t="s">
        <v>140</v>
      </c>
      <c r="E1374" t="s">
        <v>66</v>
      </c>
      <c r="F1374" t="s">
        <v>78</v>
      </c>
      <c r="G1374">
        <v>0.19</v>
      </c>
      <c r="H1374" t="s">
        <v>26</v>
      </c>
      <c r="I1374">
        <v>-7</v>
      </c>
      <c r="J1374" s="4" t="str">
        <f>HYPERLINK("https://www.eliteprospects.com/player/897399/ethan-dean")</f>
        <v>https://www.eliteprospects.com/player/897399/ethan-dean</v>
      </c>
      <c r="K1374" t="s">
        <v>27</v>
      </c>
      <c r="L1374" t="s">
        <v>485</v>
      </c>
      <c r="M1374" t="s">
        <v>42</v>
      </c>
      <c r="N1374">
        <v>2</v>
      </c>
      <c r="O1374" t="s">
        <v>501</v>
      </c>
      <c r="P1374">
        <v>0.03</v>
      </c>
      <c r="Q1374" t="s">
        <v>245</v>
      </c>
      <c r="R1374">
        <v>13.3</v>
      </c>
      <c r="S1374">
        <v>13.3</v>
      </c>
      <c r="T1374">
        <v>0</v>
      </c>
      <c r="U1374">
        <v>13.3</v>
      </c>
      <c r="V1374">
        <v>60</v>
      </c>
    </row>
    <row r="1375" spans="1:22" x14ac:dyDescent="0.25">
      <c r="A1375" t="s">
        <v>604</v>
      </c>
      <c r="B1375" t="s">
        <v>488</v>
      </c>
      <c r="C1375">
        <v>36</v>
      </c>
      <c r="D1375" t="s">
        <v>79</v>
      </c>
      <c r="E1375" t="s">
        <v>96</v>
      </c>
      <c r="F1375" t="s">
        <v>78</v>
      </c>
      <c r="G1375">
        <v>0.19</v>
      </c>
      <c r="H1375" t="s">
        <v>65</v>
      </c>
      <c r="I1375">
        <v>-10</v>
      </c>
      <c r="J1375" s="4" t="str">
        <f>HYPERLINK("https://www.eliteprospects.com/player/701363/brayden-bennett")</f>
        <v>https://www.eliteprospects.com/player/701363/brayden-bennett</v>
      </c>
      <c r="K1375" t="s">
        <v>27</v>
      </c>
      <c r="L1375" t="s">
        <v>485</v>
      </c>
      <c r="M1375" t="s">
        <v>35</v>
      </c>
      <c r="N1375">
        <v>1</v>
      </c>
      <c r="O1375" t="s">
        <v>494</v>
      </c>
      <c r="P1375">
        <v>0.03</v>
      </c>
      <c r="Q1375" t="s">
        <v>245</v>
      </c>
      <c r="R1375">
        <v>13.3</v>
      </c>
      <c r="S1375">
        <v>13.3</v>
      </c>
      <c r="T1375">
        <v>0</v>
      </c>
      <c r="U1375">
        <v>13.3</v>
      </c>
      <c r="V1375">
        <v>60</v>
      </c>
    </row>
    <row r="1376" spans="1:22" x14ac:dyDescent="0.25">
      <c r="A1376" t="s">
        <v>605</v>
      </c>
      <c r="B1376" t="s">
        <v>488</v>
      </c>
      <c r="C1376">
        <v>14</v>
      </c>
      <c r="D1376" t="s">
        <v>66</v>
      </c>
      <c r="E1376" t="s">
        <v>79</v>
      </c>
      <c r="F1376" t="s">
        <v>57</v>
      </c>
      <c r="G1376">
        <v>0.43</v>
      </c>
      <c r="H1376" t="s">
        <v>41</v>
      </c>
      <c r="I1376">
        <v>-12</v>
      </c>
      <c r="J1376" s="4" t="str">
        <f>HYPERLINK("https://www.eliteprospects.com/player/890429/hudson-chitaroni")</f>
        <v>https://www.eliteprospects.com/player/890429/hudson-chitaroni</v>
      </c>
      <c r="K1376" t="s">
        <v>27</v>
      </c>
      <c r="L1376" t="s">
        <v>485</v>
      </c>
      <c r="M1376" t="s">
        <v>42</v>
      </c>
      <c r="N1376">
        <v>3</v>
      </c>
      <c r="O1376" t="s">
        <v>492</v>
      </c>
      <c r="P1376">
        <v>0.06</v>
      </c>
      <c r="Q1376" t="s">
        <v>245</v>
      </c>
      <c r="R1376">
        <v>0</v>
      </c>
      <c r="S1376">
        <v>15.4</v>
      </c>
      <c r="T1376">
        <v>7.7</v>
      </c>
      <c r="U1376">
        <v>30.8</v>
      </c>
      <c r="V1376">
        <v>46.2</v>
      </c>
    </row>
    <row r="1377" spans="1:22" x14ac:dyDescent="0.25">
      <c r="A1377" t="s">
        <v>624</v>
      </c>
      <c r="B1377" t="s">
        <v>488</v>
      </c>
      <c r="C1377">
        <v>12</v>
      </c>
      <c r="D1377" t="s">
        <v>132</v>
      </c>
      <c r="E1377" t="s">
        <v>79</v>
      </c>
      <c r="F1377" t="s">
        <v>79</v>
      </c>
      <c r="G1377">
        <v>0.17</v>
      </c>
      <c r="H1377" t="s">
        <v>26</v>
      </c>
      <c r="I1377">
        <v>-2</v>
      </c>
      <c r="J1377" s="4" t="str">
        <f>HYPERLINK("https://www.eliteprospects.com/player/940354/mason-walker")</f>
        <v>https://www.eliteprospects.com/player/940354/mason-walker</v>
      </c>
      <c r="K1377" t="s">
        <v>27</v>
      </c>
      <c r="L1377" t="s">
        <v>485</v>
      </c>
      <c r="M1377" t="s">
        <v>122</v>
      </c>
      <c r="N1377">
        <v>2</v>
      </c>
      <c r="O1377" t="s">
        <v>501</v>
      </c>
      <c r="P1377">
        <v>0.02</v>
      </c>
      <c r="Q1377" t="s">
        <v>245</v>
      </c>
      <c r="R1377">
        <v>9.1</v>
      </c>
      <c r="S1377">
        <v>18.2</v>
      </c>
      <c r="T1377">
        <v>9.1</v>
      </c>
      <c r="U1377">
        <v>13.6</v>
      </c>
      <c r="V1377">
        <v>50</v>
      </c>
    </row>
    <row r="1378" spans="1:22" x14ac:dyDescent="0.25">
      <c r="A1378" t="s">
        <v>708</v>
      </c>
      <c r="B1378" t="s">
        <v>709</v>
      </c>
      <c r="C1378">
        <v>37</v>
      </c>
      <c r="D1378" t="s">
        <v>32</v>
      </c>
      <c r="E1378" t="s">
        <v>69</v>
      </c>
      <c r="F1378" t="s">
        <v>33</v>
      </c>
      <c r="G1378">
        <v>0.56999999999999995</v>
      </c>
      <c r="H1378" t="s">
        <v>61</v>
      </c>
      <c r="I1378">
        <v>-27</v>
      </c>
      <c r="J1378" s="4" t="str">
        <f>HYPERLINK("https://www.eliteprospects.com/player/576979/zach-pantelakis")</f>
        <v>https://www.eliteprospects.com/player/576979/zach-pantelakis</v>
      </c>
      <c r="K1378" t="s">
        <v>27</v>
      </c>
      <c r="L1378" t="s">
        <v>631</v>
      </c>
      <c r="M1378" t="s">
        <v>35</v>
      </c>
      <c r="N1378">
        <v>3</v>
      </c>
      <c r="O1378" t="s">
        <v>639</v>
      </c>
      <c r="P1378">
        <v>0.08</v>
      </c>
      <c r="Q1378" t="s">
        <v>31</v>
      </c>
      <c r="R1378">
        <v>36.4</v>
      </c>
      <c r="S1378">
        <v>9.1</v>
      </c>
      <c r="T1378">
        <v>18.2</v>
      </c>
      <c r="U1378">
        <v>9.1</v>
      </c>
      <c r="V1378">
        <v>27.3</v>
      </c>
    </row>
    <row r="1379" spans="1:22" x14ac:dyDescent="0.25">
      <c r="A1379" t="s">
        <v>710</v>
      </c>
      <c r="B1379" t="s">
        <v>709</v>
      </c>
      <c r="C1379">
        <v>33</v>
      </c>
      <c r="D1379" t="s">
        <v>26</v>
      </c>
      <c r="E1379" t="s">
        <v>65</v>
      </c>
      <c r="F1379" t="s">
        <v>33</v>
      </c>
      <c r="G1379">
        <v>0.64</v>
      </c>
      <c r="H1379" t="s">
        <v>564</v>
      </c>
      <c r="I1379">
        <v>-26</v>
      </c>
      <c r="J1379" s="4" t="str">
        <f>HYPERLINK("https://www.eliteprospects.com/player/716639/hudson-darby")</f>
        <v>https://www.eliteprospects.com/player/716639/hudson-darby</v>
      </c>
      <c r="K1379" t="s">
        <v>27</v>
      </c>
      <c r="L1379" t="s">
        <v>631</v>
      </c>
      <c r="M1379" t="s">
        <v>35</v>
      </c>
      <c r="N1379">
        <v>4</v>
      </c>
      <c r="O1379" t="s">
        <v>632</v>
      </c>
      <c r="P1379">
        <v>0.09</v>
      </c>
      <c r="Q1379" t="s">
        <v>31</v>
      </c>
      <c r="R1379">
        <v>36.4</v>
      </c>
      <c r="S1379">
        <v>9.1</v>
      </c>
      <c r="T1379">
        <v>18.2</v>
      </c>
      <c r="U1379">
        <v>9.1</v>
      </c>
      <c r="V1379">
        <v>27.3</v>
      </c>
    </row>
    <row r="1380" spans="1:22" x14ac:dyDescent="0.25">
      <c r="A1380" t="s">
        <v>714</v>
      </c>
      <c r="B1380" t="s">
        <v>709</v>
      </c>
      <c r="C1380">
        <v>31</v>
      </c>
      <c r="D1380" t="s">
        <v>78</v>
      </c>
      <c r="E1380" t="s">
        <v>65</v>
      </c>
      <c r="F1380" t="s">
        <v>24</v>
      </c>
      <c r="G1380">
        <v>0.65</v>
      </c>
      <c r="H1380" t="s">
        <v>280</v>
      </c>
      <c r="I1380">
        <v>-12</v>
      </c>
      <c r="J1380" s="4" t="str">
        <f>HYPERLINK("https://www.eliteprospects.com/player/603576/anthony-wilson")</f>
        <v>https://www.eliteprospects.com/player/603576/anthony-wilson</v>
      </c>
      <c r="K1380" t="s">
        <v>27</v>
      </c>
      <c r="L1380" t="s">
        <v>631</v>
      </c>
      <c r="M1380" t="s">
        <v>35</v>
      </c>
      <c r="N1380">
        <v>5</v>
      </c>
      <c r="O1380" t="s">
        <v>645</v>
      </c>
      <c r="P1380">
        <v>0.09</v>
      </c>
      <c r="Q1380" t="s">
        <v>31</v>
      </c>
      <c r="R1380">
        <v>36.4</v>
      </c>
      <c r="S1380">
        <v>9.1</v>
      </c>
      <c r="T1380">
        <v>18.2</v>
      </c>
      <c r="U1380">
        <v>9.1</v>
      </c>
      <c r="V1380">
        <v>27.3</v>
      </c>
    </row>
    <row r="1381" spans="1:22" x14ac:dyDescent="0.25">
      <c r="A1381" t="s">
        <v>720</v>
      </c>
      <c r="B1381" t="s">
        <v>709</v>
      </c>
      <c r="C1381">
        <v>33</v>
      </c>
      <c r="D1381" t="s">
        <v>23</v>
      </c>
      <c r="E1381" t="s">
        <v>57</v>
      </c>
      <c r="F1381" t="s">
        <v>55</v>
      </c>
      <c r="G1381">
        <v>0.55000000000000004</v>
      </c>
      <c r="H1381" t="s">
        <v>75</v>
      </c>
      <c r="I1381">
        <v>-26</v>
      </c>
      <c r="J1381" s="4" t="str">
        <f>HYPERLINK("https://www.eliteprospects.com/player/597802/trae-wilke")</f>
        <v>https://www.eliteprospects.com/player/597802/trae-wilke</v>
      </c>
      <c r="K1381" t="s">
        <v>27</v>
      </c>
      <c r="L1381" t="s">
        <v>631</v>
      </c>
      <c r="M1381" t="s">
        <v>35</v>
      </c>
      <c r="N1381">
        <v>5</v>
      </c>
      <c r="O1381" t="s">
        <v>645</v>
      </c>
      <c r="P1381">
        <v>0.08</v>
      </c>
      <c r="Q1381" t="s">
        <v>31</v>
      </c>
      <c r="R1381">
        <v>36.4</v>
      </c>
      <c r="S1381">
        <v>9.1</v>
      </c>
      <c r="T1381">
        <v>18.2</v>
      </c>
      <c r="U1381">
        <v>9.1</v>
      </c>
      <c r="V1381">
        <v>27.3</v>
      </c>
    </row>
    <row r="1382" spans="1:22" x14ac:dyDescent="0.25">
      <c r="A1382" t="s">
        <v>724</v>
      </c>
      <c r="B1382" t="s">
        <v>709</v>
      </c>
      <c r="C1382">
        <v>30</v>
      </c>
      <c r="D1382" t="s">
        <v>78</v>
      </c>
      <c r="E1382" t="s">
        <v>69</v>
      </c>
      <c r="F1382" t="s">
        <v>55</v>
      </c>
      <c r="G1382">
        <v>0.6</v>
      </c>
      <c r="H1382" t="s">
        <v>269</v>
      </c>
      <c r="I1382">
        <v>-13</v>
      </c>
      <c r="J1382" s="4" t="str">
        <f>HYPERLINK("https://www.eliteprospects.com/player/983973/stepan-kuryachenkov")</f>
        <v>https://www.eliteprospects.com/player/983973/stepan-kuryachenkov</v>
      </c>
      <c r="K1382" t="s">
        <v>27</v>
      </c>
      <c r="L1382" t="s">
        <v>631</v>
      </c>
      <c r="M1382" t="s">
        <v>35</v>
      </c>
      <c r="N1382">
        <v>1</v>
      </c>
      <c r="O1382" t="s">
        <v>634</v>
      </c>
      <c r="P1382">
        <v>0.08</v>
      </c>
      <c r="Q1382" t="s">
        <v>31</v>
      </c>
      <c r="R1382">
        <v>36.4</v>
      </c>
      <c r="S1382">
        <v>9.1</v>
      </c>
      <c r="T1382">
        <v>18.2</v>
      </c>
      <c r="U1382">
        <v>9.1</v>
      </c>
      <c r="V1382">
        <v>27.3</v>
      </c>
    </row>
    <row r="1383" spans="1:22" x14ac:dyDescent="0.25">
      <c r="A1383" t="s">
        <v>735</v>
      </c>
      <c r="B1383" t="s">
        <v>709</v>
      </c>
      <c r="C1383">
        <v>19</v>
      </c>
      <c r="D1383" t="s">
        <v>45</v>
      </c>
      <c r="E1383" t="s">
        <v>57</v>
      </c>
      <c r="F1383" t="s">
        <v>41</v>
      </c>
      <c r="G1383">
        <v>0.79</v>
      </c>
      <c r="H1383" t="s">
        <v>26</v>
      </c>
      <c r="I1383">
        <v>-1</v>
      </c>
      <c r="J1383" s="4" t="str">
        <f>HYPERLINK("https://www.eliteprospects.com/player/801665/jaxen-gauchier")</f>
        <v>https://www.eliteprospects.com/player/801665/jaxen-gauchier</v>
      </c>
      <c r="K1383" t="s">
        <v>27</v>
      </c>
      <c r="L1383" t="s">
        <v>631</v>
      </c>
      <c r="M1383" t="s">
        <v>35</v>
      </c>
      <c r="N1383">
        <v>3</v>
      </c>
      <c r="O1383" t="s">
        <v>639</v>
      </c>
      <c r="P1383">
        <v>0.11</v>
      </c>
      <c r="Q1383" t="s">
        <v>135</v>
      </c>
      <c r="R1383">
        <v>20</v>
      </c>
      <c r="S1383">
        <v>40</v>
      </c>
      <c r="T1383">
        <v>0</v>
      </c>
      <c r="U1383">
        <v>20</v>
      </c>
      <c r="V1383">
        <v>20</v>
      </c>
    </row>
    <row r="1384" spans="1:22" x14ac:dyDescent="0.25">
      <c r="A1384" t="s">
        <v>736</v>
      </c>
      <c r="B1384" t="s">
        <v>709</v>
      </c>
      <c r="C1384">
        <v>33</v>
      </c>
      <c r="D1384" t="s">
        <v>26</v>
      </c>
      <c r="E1384" t="s">
        <v>78</v>
      </c>
      <c r="F1384" t="s">
        <v>41</v>
      </c>
      <c r="G1384">
        <v>0.45</v>
      </c>
      <c r="H1384" t="s">
        <v>544</v>
      </c>
      <c r="I1384">
        <v>-14</v>
      </c>
      <c r="J1384" s="4" t="str">
        <f>HYPERLINK("https://www.eliteprospects.com/player/879184/sawyer-dingman")</f>
        <v>https://www.eliteprospects.com/player/879184/sawyer-dingman</v>
      </c>
      <c r="K1384" t="s">
        <v>27</v>
      </c>
      <c r="L1384" t="s">
        <v>631</v>
      </c>
      <c r="M1384" t="s">
        <v>35</v>
      </c>
      <c r="N1384">
        <v>3</v>
      </c>
      <c r="O1384" t="s">
        <v>639</v>
      </c>
      <c r="P1384">
        <v>0.06</v>
      </c>
      <c r="Q1384" t="s">
        <v>245</v>
      </c>
      <c r="R1384">
        <v>0</v>
      </c>
      <c r="S1384">
        <v>15.4</v>
      </c>
      <c r="T1384">
        <v>7.7</v>
      </c>
      <c r="U1384">
        <v>30.8</v>
      </c>
      <c r="V1384">
        <v>46.2</v>
      </c>
    </row>
    <row r="1385" spans="1:22" x14ac:dyDescent="0.25">
      <c r="A1385" t="s">
        <v>740</v>
      </c>
      <c r="B1385" t="s">
        <v>709</v>
      </c>
      <c r="C1385">
        <v>38</v>
      </c>
      <c r="D1385" t="s">
        <v>96</v>
      </c>
      <c r="E1385" t="s">
        <v>45</v>
      </c>
      <c r="F1385" t="s">
        <v>39</v>
      </c>
      <c r="G1385">
        <v>0.37</v>
      </c>
      <c r="H1385" t="s">
        <v>51</v>
      </c>
      <c r="I1385">
        <v>-23</v>
      </c>
      <c r="J1385" s="4" t="str">
        <f>HYPERLINK("https://www.eliteprospects.com/player/577071/parker-rondeau")</f>
        <v>https://www.eliteprospects.com/player/577071/parker-rondeau</v>
      </c>
      <c r="K1385" t="s">
        <v>27</v>
      </c>
      <c r="L1385" t="s">
        <v>631</v>
      </c>
      <c r="M1385" t="s">
        <v>35</v>
      </c>
      <c r="N1385">
        <v>3</v>
      </c>
      <c r="O1385" t="s">
        <v>639</v>
      </c>
      <c r="P1385">
        <v>0.05</v>
      </c>
      <c r="Q1385" t="s">
        <v>245</v>
      </c>
      <c r="R1385">
        <v>13.3</v>
      </c>
      <c r="S1385">
        <v>13.3</v>
      </c>
      <c r="T1385">
        <v>0</v>
      </c>
      <c r="U1385">
        <v>13.3</v>
      </c>
      <c r="V1385">
        <v>60</v>
      </c>
    </row>
    <row r="1386" spans="1:22" x14ac:dyDescent="0.25">
      <c r="A1386" t="s">
        <v>764</v>
      </c>
      <c r="B1386" t="s">
        <v>709</v>
      </c>
      <c r="C1386">
        <v>38</v>
      </c>
      <c r="D1386" t="s">
        <v>79</v>
      </c>
      <c r="E1386" t="s">
        <v>57</v>
      </c>
      <c r="F1386" t="s">
        <v>26</v>
      </c>
      <c r="G1386">
        <v>0.21</v>
      </c>
      <c r="H1386" t="s">
        <v>84</v>
      </c>
      <c r="I1386">
        <v>-20</v>
      </c>
      <c r="J1386" s="4" t="str">
        <f>HYPERLINK("https://www.eliteprospects.com/player/701403/carter-moen")</f>
        <v>https://www.eliteprospects.com/player/701403/carter-moen</v>
      </c>
      <c r="K1386" t="s">
        <v>27</v>
      </c>
      <c r="L1386" t="s">
        <v>631</v>
      </c>
      <c r="M1386" t="s">
        <v>35</v>
      </c>
      <c r="N1386">
        <v>2</v>
      </c>
      <c r="O1386" t="s">
        <v>636</v>
      </c>
      <c r="P1386">
        <v>0.03</v>
      </c>
      <c r="Q1386" t="s">
        <v>245</v>
      </c>
      <c r="R1386">
        <v>13.3</v>
      </c>
      <c r="S1386">
        <v>13.3</v>
      </c>
      <c r="T1386">
        <v>0</v>
      </c>
      <c r="U1386">
        <v>13.3</v>
      </c>
      <c r="V1386">
        <v>60</v>
      </c>
    </row>
    <row r="1387" spans="1:22" x14ac:dyDescent="0.25">
      <c r="A1387" t="s">
        <v>778</v>
      </c>
      <c r="B1387" t="s">
        <v>709</v>
      </c>
      <c r="C1387">
        <v>34</v>
      </c>
      <c r="D1387" t="s">
        <v>79</v>
      </c>
      <c r="E1387" t="s">
        <v>66</v>
      </c>
      <c r="F1387" t="s">
        <v>57</v>
      </c>
      <c r="G1387">
        <v>0.18</v>
      </c>
      <c r="H1387" t="s">
        <v>38</v>
      </c>
      <c r="I1387">
        <v>-11</v>
      </c>
      <c r="J1387" s="4" t="str">
        <f>HYPERLINK("https://www.eliteprospects.com/player/820060/brennan-brown")</f>
        <v>https://www.eliteprospects.com/player/820060/brennan-brown</v>
      </c>
      <c r="K1387" t="s">
        <v>27</v>
      </c>
      <c r="L1387" t="s">
        <v>631</v>
      </c>
      <c r="M1387" t="s">
        <v>42</v>
      </c>
      <c r="N1387">
        <v>1</v>
      </c>
      <c r="O1387" t="s">
        <v>634</v>
      </c>
      <c r="P1387">
        <v>0.03</v>
      </c>
      <c r="Q1387" t="s">
        <v>245</v>
      </c>
      <c r="R1387">
        <v>13.3</v>
      </c>
      <c r="S1387">
        <v>13.3</v>
      </c>
      <c r="T1387">
        <v>0</v>
      </c>
      <c r="U1387">
        <v>13.3</v>
      </c>
      <c r="V1387">
        <v>60</v>
      </c>
    </row>
    <row r="1388" spans="1:22" x14ac:dyDescent="0.25">
      <c r="A1388" t="s">
        <v>786</v>
      </c>
      <c r="B1388" t="s">
        <v>709</v>
      </c>
      <c r="C1388">
        <v>22</v>
      </c>
      <c r="D1388" t="s">
        <v>79</v>
      </c>
      <c r="E1388" t="s">
        <v>140</v>
      </c>
      <c r="F1388" t="s">
        <v>96</v>
      </c>
      <c r="G1388">
        <v>0.23</v>
      </c>
      <c r="H1388" t="s">
        <v>125</v>
      </c>
      <c r="I1388">
        <v>-3</v>
      </c>
      <c r="J1388" s="4" t="str">
        <f>HYPERLINK("https://www.eliteprospects.com/player/879198/jayden-oleskiw")</f>
        <v>https://www.eliteprospects.com/player/879198/jayden-oleskiw</v>
      </c>
      <c r="K1388" t="s">
        <v>27</v>
      </c>
      <c r="L1388" t="s">
        <v>631</v>
      </c>
      <c r="M1388" t="s">
        <v>35</v>
      </c>
      <c r="N1388">
        <v>2</v>
      </c>
      <c r="O1388" t="s">
        <v>636</v>
      </c>
      <c r="P1388">
        <v>0.03</v>
      </c>
      <c r="Q1388" t="s">
        <v>245</v>
      </c>
      <c r="R1388">
        <v>9.1</v>
      </c>
      <c r="S1388">
        <v>18.2</v>
      </c>
      <c r="T1388">
        <v>9.1</v>
      </c>
      <c r="U1388">
        <v>13.6</v>
      </c>
      <c r="V1388">
        <v>50</v>
      </c>
    </row>
    <row r="1389" spans="1:22" x14ac:dyDescent="0.25">
      <c r="A1389" t="s">
        <v>797</v>
      </c>
      <c r="B1389" t="s">
        <v>709</v>
      </c>
      <c r="C1389">
        <v>27</v>
      </c>
      <c r="D1389" t="s">
        <v>260</v>
      </c>
      <c r="E1389" t="s">
        <v>79</v>
      </c>
      <c r="F1389" t="s">
        <v>140</v>
      </c>
      <c r="G1389">
        <v>0.11</v>
      </c>
      <c r="H1389" t="s">
        <v>46</v>
      </c>
      <c r="I1389">
        <v>-11</v>
      </c>
      <c r="J1389" s="4" t="str">
        <f>HYPERLINK("https://www.eliteprospects.com/player/1013638/brock-burch")</f>
        <v>https://www.eliteprospects.com/player/1013638/brock-burch</v>
      </c>
      <c r="K1389" t="s">
        <v>27</v>
      </c>
      <c r="L1389" t="s">
        <v>631</v>
      </c>
      <c r="M1389" t="s">
        <v>42</v>
      </c>
      <c r="N1389">
        <v>1</v>
      </c>
      <c r="O1389" t="s">
        <v>634</v>
      </c>
      <c r="P1389">
        <v>0.02</v>
      </c>
      <c r="Q1389" t="s">
        <v>245</v>
      </c>
      <c r="R1389">
        <v>13.3</v>
      </c>
      <c r="S1389">
        <v>13.3</v>
      </c>
      <c r="T1389">
        <v>0</v>
      </c>
      <c r="U1389">
        <v>13.3</v>
      </c>
      <c r="V1389">
        <v>60</v>
      </c>
    </row>
    <row r="1390" spans="1:22" x14ac:dyDescent="0.25">
      <c r="A1390" t="s">
        <v>798</v>
      </c>
      <c r="B1390" t="s">
        <v>709</v>
      </c>
      <c r="C1390">
        <v>25</v>
      </c>
      <c r="D1390" t="s">
        <v>132</v>
      </c>
      <c r="E1390" t="s">
        <v>140</v>
      </c>
      <c r="F1390" t="s">
        <v>140</v>
      </c>
      <c r="G1390">
        <v>0.12</v>
      </c>
      <c r="H1390" t="s">
        <v>78</v>
      </c>
      <c r="I1390">
        <v>-7</v>
      </c>
      <c r="J1390" s="4" t="str">
        <f>HYPERLINK("https://www.eliteprospects.com/player/884834/aidan-sexsmith")</f>
        <v>https://www.eliteprospects.com/player/884834/aidan-sexsmith</v>
      </c>
      <c r="K1390" t="s">
        <v>27</v>
      </c>
      <c r="L1390" t="s">
        <v>631</v>
      </c>
      <c r="M1390" t="s">
        <v>35</v>
      </c>
      <c r="N1390">
        <v>2</v>
      </c>
      <c r="O1390" t="s">
        <v>636</v>
      </c>
      <c r="P1390">
        <v>0.02</v>
      </c>
      <c r="Q1390" t="s">
        <v>245</v>
      </c>
      <c r="R1390">
        <v>13.3</v>
      </c>
      <c r="S1390">
        <v>13.3</v>
      </c>
      <c r="T1390">
        <v>0</v>
      </c>
      <c r="U1390">
        <v>13.3</v>
      </c>
      <c r="V1390">
        <v>60</v>
      </c>
    </row>
    <row r="1391" spans="1:22" x14ac:dyDescent="0.25">
      <c r="A1391" t="s">
        <v>941</v>
      </c>
      <c r="B1391" t="s">
        <v>942</v>
      </c>
      <c r="C1391">
        <v>16</v>
      </c>
      <c r="D1391" t="s">
        <v>45</v>
      </c>
      <c r="E1391" t="s">
        <v>41</v>
      </c>
      <c r="F1391" t="s">
        <v>81</v>
      </c>
      <c r="G1391">
        <v>1.5</v>
      </c>
      <c r="H1391" t="s">
        <v>79</v>
      </c>
      <c r="I1391">
        <v>0</v>
      </c>
      <c r="J1391" s="4" t="str">
        <f>HYPERLINK("https://www.eliteprospects.com/player/537559/william-portokalis")</f>
        <v>https://www.eliteprospects.com/player/537559/william-portokalis</v>
      </c>
      <c r="K1391" t="s">
        <v>27</v>
      </c>
      <c r="L1391" t="s">
        <v>918</v>
      </c>
      <c r="M1391" t="s">
        <v>42</v>
      </c>
      <c r="N1391">
        <v>5</v>
      </c>
      <c r="O1391" t="s">
        <v>935</v>
      </c>
      <c r="P1391">
        <v>0.19</v>
      </c>
      <c r="Q1391" t="s">
        <v>1276</v>
      </c>
      <c r="R1391">
        <v>0</v>
      </c>
      <c r="S1391">
        <v>0</v>
      </c>
      <c r="T1391">
        <v>0</v>
      </c>
      <c r="U1391">
        <v>100</v>
      </c>
      <c r="V1391">
        <v>0</v>
      </c>
    </row>
    <row r="1392" spans="1:22" x14ac:dyDescent="0.25">
      <c r="A1392" t="s">
        <v>1041</v>
      </c>
      <c r="B1392" t="s">
        <v>942</v>
      </c>
      <c r="C1392">
        <v>16</v>
      </c>
      <c r="D1392" t="s">
        <v>26</v>
      </c>
      <c r="E1392" t="s">
        <v>57</v>
      </c>
      <c r="F1392" t="s">
        <v>39</v>
      </c>
      <c r="G1392">
        <v>0.88</v>
      </c>
      <c r="H1392" t="s">
        <v>40</v>
      </c>
      <c r="I1392">
        <v>0</v>
      </c>
      <c r="J1392" s="4" t="str">
        <f>HYPERLINK("https://www.eliteprospects.com/player/569439/marko-djordjevic")</f>
        <v>https://www.eliteprospects.com/player/569439/marko-djordjevic</v>
      </c>
      <c r="K1392" t="s">
        <v>27</v>
      </c>
      <c r="L1392" t="s">
        <v>918</v>
      </c>
      <c r="M1392" t="s">
        <v>35</v>
      </c>
      <c r="N1392">
        <v>1</v>
      </c>
      <c r="O1392" t="s">
        <v>984</v>
      </c>
      <c r="P1392">
        <v>0.11</v>
      </c>
      <c r="Q1392" t="s">
        <v>135</v>
      </c>
      <c r="R1392">
        <v>20</v>
      </c>
      <c r="S1392">
        <v>40</v>
      </c>
      <c r="T1392">
        <v>0</v>
      </c>
      <c r="U1392">
        <v>20</v>
      </c>
      <c r="V1392">
        <v>20</v>
      </c>
    </row>
    <row r="1393" spans="1:22" x14ac:dyDescent="0.25">
      <c r="A1393" t="s">
        <v>1047</v>
      </c>
      <c r="B1393" t="s">
        <v>942</v>
      </c>
      <c r="C1393">
        <v>16</v>
      </c>
      <c r="D1393" t="s">
        <v>96</v>
      </c>
      <c r="E1393" t="s">
        <v>45</v>
      </c>
      <c r="F1393" t="s">
        <v>39</v>
      </c>
      <c r="G1393">
        <v>0.88</v>
      </c>
      <c r="H1393" t="s">
        <v>79</v>
      </c>
      <c r="I1393">
        <v>0</v>
      </c>
      <c r="J1393" s="4" t="str">
        <f>HYPERLINK("https://www.eliteprospects.com/player/565821/chase-lefebvre")</f>
        <v>https://www.eliteprospects.com/player/565821/chase-lefebvre</v>
      </c>
      <c r="K1393" t="s">
        <v>27</v>
      </c>
      <c r="L1393" t="s">
        <v>918</v>
      </c>
      <c r="M1393" t="s">
        <v>42</v>
      </c>
      <c r="N1393">
        <v>4</v>
      </c>
      <c r="O1393" t="s">
        <v>1025</v>
      </c>
      <c r="P1393">
        <v>0.11</v>
      </c>
      <c r="Q1393" t="s">
        <v>135</v>
      </c>
      <c r="R1393">
        <v>20</v>
      </c>
      <c r="S1393">
        <v>40</v>
      </c>
      <c r="T1393">
        <v>0</v>
      </c>
      <c r="U1393">
        <v>20</v>
      </c>
      <c r="V1393">
        <v>20</v>
      </c>
    </row>
    <row r="1394" spans="1:22" x14ac:dyDescent="0.25">
      <c r="A1394" t="s">
        <v>1054</v>
      </c>
      <c r="B1394" t="s">
        <v>942</v>
      </c>
      <c r="C1394">
        <v>16</v>
      </c>
      <c r="D1394" t="s">
        <v>26</v>
      </c>
      <c r="E1394" t="s">
        <v>96</v>
      </c>
      <c r="F1394" t="s">
        <v>65</v>
      </c>
      <c r="G1394">
        <v>0.81</v>
      </c>
      <c r="H1394" t="s">
        <v>57</v>
      </c>
      <c r="I1394">
        <v>0</v>
      </c>
      <c r="J1394" s="4" t="str">
        <f>HYPERLINK("https://www.eliteprospects.com/player/640812/gavin-grundner")</f>
        <v>https://www.eliteprospects.com/player/640812/gavin-grundner</v>
      </c>
      <c r="K1394" t="s">
        <v>27</v>
      </c>
      <c r="L1394" t="s">
        <v>918</v>
      </c>
      <c r="M1394" t="s">
        <v>91</v>
      </c>
      <c r="N1394">
        <v>4</v>
      </c>
      <c r="O1394" t="s">
        <v>1025</v>
      </c>
      <c r="P1394">
        <v>0.1</v>
      </c>
      <c r="Q1394" t="s">
        <v>245</v>
      </c>
      <c r="R1394">
        <v>0</v>
      </c>
      <c r="S1394">
        <v>33.299999999999997</v>
      </c>
      <c r="T1394">
        <v>0</v>
      </c>
      <c r="U1394">
        <v>0</v>
      </c>
      <c r="V1394">
        <v>66.7</v>
      </c>
    </row>
    <row r="1395" spans="1:22" x14ac:dyDescent="0.25">
      <c r="A1395" t="s">
        <v>1174</v>
      </c>
      <c r="B1395" t="s">
        <v>942</v>
      </c>
      <c r="C1395">
        <v>16</v>
      </c>
      <c r="D1395" t="s">
        <v>260</v>
      </c>
      <c r="E1395" t="s">
        <v>96</v>
      </c>
      <c r="F1395" t="s">
        <v>57</v>
      </c>
      <c r="G1395">
        <v>0.38</v>
      </c>
      <c r="H1395" t="s">
        <v>47</v>
      </c>
      <c r="I1395">
        <v>0</v>
      </c>
      <c r="J1395" s="4" t="str">
        <f>HYPERLINK("https://www.eliteprospects.com/player/582962/aleks-dimovski")</f>
        <v>https://www.eliteprospects.com/player/582962/aleks-dimovski</v>
      </c>
      <c r="K1395" t="s">
        <v>27</v>
      </c>
      <c r="L1395" t="s">
        <v>918</v>
      </c>
      <c r="M1395" t="s">
        <v>42</v>
      </c>
      <c r="N1395">
        <v>5</v>
      </c>
      <c r="O1395" t="s">
        <v>945</v>
      </c>
      <c r="P1395">
        <v>0.05</v>
      </c>
      <c r="Q1395" t="s">
        <v>245</v>
      </c>
      <c r="R1395">
        <v>9.1</v>
      </c>
      <c r="S1395">
        <v>18.2</v>
      </c>
      <c r="T1395">
        <v>9.1</v>
      </c>
      <c r="U1395">
        <v>13.6</v>
      </c>
      <c r="V1395">
        <v>50</v>
      </c>
    </row>
    <row r="1396" spans="1:22" x14ac:dyDescent="0.25">
      <c r="A1396" t="s">
        <v>1182</v>
      </c>
      <c r="B1396" t="s">
        <v>942</v>
      </c>
      <c r="C1396">
        <v>12</v>
      </c>
      <c r="D1396" t="s">
        <v>140</v>
      </c>
      <c r="E1396" t="s">
        <v>79</v>
      </c>
      <c r="F1396" t="s">
        <v>96</v>
      </c>
      <c r="G1396">
        <v>0.42</v>
      </c>
      <c r="H1396" t="s">
        <v>32</v>
      </c>
      <c r="I1396">
        <v>0</v>
      </c>
      <c r="J1396" s="4" t="str">
        <f>HYPERLINK("https://www.eliteprospects.com/player/424494/ian-martin")</f>
        <v>https://www.eliteprospects.com/player/424494/ian-martin</v>
      </c>
      <c r="K1396" t="s">
        <v>27</v>
      </c>
      <c r="L1396" t="s">
        <v>918</v>
      </c>
      <c r="M1396" t="s">
        <v>29</v>
      </c>
      <c r="N1396">
        <v>4</v>
      </c>
      <c r="O1396" t="s">
        <v>1033</v>
      </c>
      <c r="P1396">
        <v>0.05</v>
      </c>
      <c r="Q1396" t="s">
        <v>245</v>
      </c>
      <c r="R1396">
        <v>9.1</v>
      </c>
      <c r="S1396">
        <v>18.2</v>
      </c>
      <c r="T1396">
        <v>9.1</v>
      </c>
      <c r="U1396">
        <v>13.6</v>
      </c>
      <c r="V1396">
        <v>50</v>
      </c>
    </row>
    <row r="1397" spans="1:22" x14ac:dyDescent="0.25">
      <c r="A1397" t="s">
        <v>1230</v>
      </c>
      <c r="B1397" t="s">
        <v>942</v>
      </c>
      <c r="C1397">
        <v>11</v>
      </c>
      <c r="D1397" t="s">
        <v>260</v>
      </c>
      <c r="E1397" t="s">
        <v>79</v>
      </c>
      <c r="F1397" t="s">
        <v>140</v>
      </c>
      <c r="G1397">
        <v>0.27</v>
      </c>
      <c r="H1397" t="s">
        <v>79</v>
      </c>
      <c r="I1397">
        <v>0</v>
      </c>
      <c r="J1397" s="4" t="str">
        <f>HYPERLINK("https://www.eliteprospects.com/player/617881/adam-o-marra")</f>
        <v>https://www.eliteprospects.com/player/617881/adam-o-marra</v>
      </c>
      <c r="K1397" t="s">
        <v>27</v>
      </c>
      <c r="L1397" t="s">
        <v>918</v>
      </c>
      <c r="M1397" t="s">
        <v>42</v>
      </c>
      <c r="N1397">
        <v>2</v>
      </c>
      <c r="O1397" t="s">
        <v>1076</v>
      </c>
      <c r="P1397">
        <v>0.03</v>
      </c>
      <c r="Q1397" t="s">
        <v>245</v>
      </c>
      <c r="R1397">
        <v>9.1</v>
      </c>
      <c r="S1397">
        <v>18.2</v>
      </c>
      <c r="T1397">
        <v>9.1</v>
      </c>
      <c r="U1397">
        <v>13.6</v>
      </c>
      <c r="V1397">
        <v>50</v>
      </c>
    </row>
    <row r="1398" spans="1:22" x14ac:dyDescent="0.25">
      <c r="A1398" t="s">
        <v>1236</v>
      </c>
      <c r="B1398" t="s">
        <v>942</v>
      </c>
      <c r="C1398">
        <v>15</v>
      </c>
      <c r="D1398" t="s">
        <v>260</v>
      </c>
      <c r="E1398" t="s">
        <v>79</v>
      </c>
      <c r="F1398" t="s">
        <v>140</v>
      </c>
      <c r="G1398">
        <v>0.2</v>
      </c>
      <c r="H1398" t="s">
        <v>79</v>
      </c>
      <c r="I1398">
        <v>0</v>
      </c>
      <c r="J1398" s="4" t="str">
        <f>HYPERLINK("https://www.eliteprospects.com/player/215491/brock-mcleod")</f>
        <v>https://www.eliteprospects.com/player/215491/brock-mcleod</v>
      </c>
      <c r="K1398" t="s">
        <v>27</v>
      </c>
      <c r="L1398" t="s">
        <v>918</v>
      </c>
      <c r="M1398" t="s">
        <v>35</v>
      </c>
      <c r="N1398">
        <v>5</v>
      </c>
      <c r="O1398" t="s">
        <v>1237</v>
      </c>
      <c r="P1398">
        <v>0.02</v>
      </c>
      <c r="Q1398" t="s">
        <v>245</v>
      </c>
      <c r="R1398">
        <v>9.1</v>
      </c>
      <c r="S1398">
        <v>18.2</v>
      </c>
      <c r="T1398">
        <v>9.1</v>
      </c>
      <c r="U1398">
        <v>13.6</v>
      </c>
      <c r="V1398">
        <v>50</v>
      </c>
    </row>
    <row r="1399" spans="1:22" x14ac:dyDescent="0.25">
      <c r="A1399" t="s">
        <v>1241</v>
      </c>
      <c r="B1399" t="s">
        <v>942</v>
      </c>
      <c r="C1399">
        <v>16</v>
      </c>
      <c r="D1399" t="s">
        <v>260</v>
      </c>
      <c r="E1399" t="s">
        <v>79</v>
      </c>
      <c r="F1399" t="s">
        <v>140</v>
      </c>
      <c r="G1399">
        <v>0.19</v>
      </c>
      <c r="H1399" t="s">
        <v>52</v>
      </c>
      <c r="I1399">
        <v>0</v>
      </c>
      <c r="J1399" s="4" t="str">
        <f>HYPERLINK("https://www.eliteprospects.com/player/505417/mitch-lafay")</f>
        <v>https://www.eliteprospects.com/player/505417/mitch-lafay</v>
      </c>
      <c r="K1399" t="s">
        <v>27</v>
      </c>
      <c r="L1399" t="s">
        <v>918</v>
      </c>
      <c r="M1399" t="s">
        <v>122</v>
      </c>
      <c r="N1399">
        <v>2</v>
      </c>
      <c r="O1399" t="s">
        <v>1076</v>
      </c>
      <c r="P1399">
        <v>0.02</v>
      </c>
      <c r="Q1399" t="s">
        <v>245</v>
      </c>
      <c r="R1399">
        <v>9.1</v>
      </c>
      <c r="S1399">
        <v>18.2</v>
      </c>
      <c r="T1399">
        <v>9.1</v>
      </c>
      <c r="U1399">
        <v>13.6</v>
      </c>
      <c r="V1399">
        <v>50</v>
      </c>
    </row>
    <row r="1400" spans="1:22" x14ac:dyDescent="0.25">
      <c r="A1400" t="s">
        <v>506</v>
      </c>
      <c r="B1400" t="s">
        <v>507</v>
      </c>
      <c r="C1400">
        <v>38</v>
      </c>
      <c r="D1400" t="s">
        <v>51</v>
      </c>
      <c r="E1400" t="s">
        <v>125</v>
      </c>
      <c r="F1400" t="s">
        <v>427</v>
      </c>
      <c r="G1400">
        <v>1.18</v>
      </c>
      <c r="H1400" t="s">
        <v>40</v>
      </c>
      <c r="I1400">
        <v>5</v>
      </c>
      <c r="J1400" s="4" t="str">
        <f>HYPERLINK("https://www.eliteprospects.com/player/726392/dylan-edwards")</f>
        <v>https://www.eliteprospects.com/player/726392/dylan-edwards</v>
      </c>
      <c r="K1400" t="s">
        <v>27</v>
      </c>
      <c r="L1400" t="s">
        <v>485</v>
      </c>
      <c r="M1400" t="s">
        <v>35</v>
      </c>
      <c r="N1400">
        <v>5</v>
      </c>
      <c r="O1400" t="s">
        <v>508</v>
      </c>
      <c r="P1400">
        <v>0.17</v>
      </c>
      <c r="Q1400" t="s">
        <v>31</v>
      </c>
      <c r="R1400">
        <v>33.299999999999997</v>
      </c>
      <c r="S1400">
        <v>0</v>
      </c>
      <c r="T1400">
        <v>33.299999999999997</v>
      </c>
      <c r="U1400">
        <v>0</v>
      </c>
      <c r="V1400">
        <v>33.299999999999997</v>
      </c>
    </row>
    <row r="1401" spans="1:22" x14ac:dyDescent="0.25">
      <c r="A1401" t="s">
        <v>511</v>
      </c>
      <c r="B1401" t="s">
        <v>507</v>
      </c>
      <c r="C1401">
        <v>28</v>
      </c>
      <c r="D1401" t="s">
        <v>38</v>
      </c>
      <c r="E1401" t="s">
        <v>52</v>
      </c>
      <c r="F1401" t="s">
        <v>235</v>
      </c>
      <c r="G1401">
        <v>1.57</v>
      </c>
      <c r="H1401" t="s">
        <v>512</v>
      </c>
      <c r="I1401">
        <v>-7</v>
      </c>
      <c r="J1401" s="4" t="str">
        <f>HYPERLINK("https://www.eliteprospects.com/player/710842/nathan-villeneuve")</f>
        <v>https://www.eliteprospects.com/player/710842/nathan-villeneuve</v>
      </c>
      <c r="K1401" t="s">
        <v>27</v>
      </c>
      <c r="L1401" t="s">
        <v>485</v>
      </c>
      <c r="M1401" t="s">
        <v>76</v>
      </c>
      <c r="N1401">
        <v>4</v>
      </c>
      <c r="O1401" t="s">
        <v>486</v>
      </c>
      <c r="P1401">
        <v>0.23</v>
      </c>
      <c r="Q1401" t="s">
        <v>245</v>
      </c>
      <c r="R1401">
        <v>0</v>
      </c>
      <c r="S1401">
        <v>0</v>
      </c>
      <c r="T1401">
        <v>0</v>
      </c>
      <c r="U1401">
        <v>0</v>
      </c>
      <c r="V1401">
        <v>100</v>
      </c>
    </row>
    <row r="1402" spans="1:22" x14ac:dyDescent="0.25">
      <c r="A1402" t="s">
        <v>514</v>
      </c>
      <c r="B1402" t="s">
        <v>507</v>
      </c>
      <c r="C1402">
        <v>38</v>
      </c>
      <c r="D1402" t="s">
        <v>38</v>
      </c>
      <c r="E1402" t="s">
        <v>125</v>
      </c>
      <c r="F1402" t="s">
        <v>512</v>
      </c>
      <c r="G1402">
        <v>1.1100000000000001</v>
      </c>
      <c r="H1402" t="s">
        <v>38</v>
      </c>
      <c r="I1402">
        <v>-7</v>
      </c>
      <c r="J1402" s="4" t="str">
        <f>HYPERLINK("https://www.eliteprospects.com/player/897642/michael-dec")</f>
        <v>https://www.eliteprospects.com/player/897642/michael-dec</v>
      </c>
      <c r="K1402" t="s">
        <v>27</v>
      </c>
      <c r="L1402" t="s">
        <v>485</v>
      </c>
      <c r="M1402" t="s">
        <v>42</v>
      </c>
      <c r="N1402">
        <v>2</v>
      </c>
      <c r="O1402" t="s">
        <v>501</v>
      </c>
      <c r="P1402">
        <v>0.16</v>
      </c>
      <c r="Q1402" t="s">
        <v>31</v>
      </c>
      <c r="R1402">
        <v>50</v>
      </c>
      <c r="S1402">
        <v>0</v>
      </c>
      <c r="T1402">
        <v>0</v>
      </c>
      <c r="U1402">
        <v>0</v>
      </c>
      <c r="V1402">
        <v>50</v>
      </c>
    </row>
    <row r="1403" spans="1:22" x14ac:dyDescent="0.25">
      <c r="A1403" t="s">
        <v>516</v>
      </c>
      <c r="B1403" t="s">
        <v>507</v>
      </c>
      <c r="C1403">
        <v>68</v>
      </c>
      <c r="D1403" t="s">
        <v>55</v>
      </c>
      <c r="E1403" t="s">
        <v>47</v>
      </c>
      <c r="F1403" t="s">
        <v>300</v>
      </c>
      <c r="G1403">
        <v>0.59</v>
      </c>
      <c r="H1403" t="s">
        <v>23</v>
      </c>
      <c r="I1403">
        <v>-6</v>
      </c>
      <c r="J1403" s="4" t="str">
        <f>HYPERLINK("https://www.eliteprospects.com/player/747996/joshua-avery")</f>
        <v>https://www.eliteprospects.com/player/747996/joshua-avery</v>
      </c>
      <c r="K1403" t="s">
        <v>27</v>
      </c>
      <c r="L1403" t="s">
        <v>485</v>
      </c>
      <c r="M1403" t="s">
        <v>42</v>
      </c>
      <c r="N1403">
        <v>3</v>
      </c>
      <c r="O1403" t="s">
        <v>492</v>
      </c>
      <c r="P1403">
        <v>0.08</v>
      </c>
      <c r="Q1403" t="s">
        <v>31</v>
      </c>
      <c r="R1403">
        <v>36.4</v>
      </c>
      <c r="S1403">
        <v>9.1</v>
      </c>
      <c r="T1403">
        <v>18.2</v>
      </c>
      <c r="U1403">
        <v>9.1</v>
      </c>
      <c r="V1403">
        <v>27.3</v>
      </c>
    </row>
    <row r="1404" spans="1:22" x14ac:dyDescent="0.25">
      <c r="A1404" t="s">
        <v>517</v>
      </c>
      <c r="B1404" t="s">
        <v>507</v>
      </c>
      <c r="C1404">
        <v>38</v>
      </c>
      <c r="D1404" t="s">
        <v>55</v>
      </c>
      <c r="E1404" t="s">
        <v>33</v>
      </c>
      <c r="F1404" t="s">
        <v>187</v>
      </c>
      <c r="G1404">
        <v>1.03</v>
      </c>
      <c r="H1404" t="s">
        <v>518</v>
      </c>
      <c r="I1404">
        <v>-1</v>
      </c>
      <c r="J1404" s="4" t="str">
        <f>HYPERLINK("https://www.eliteprospects.com/player/693063/gabriel-frasca")</f>
        <v>https://www.eliteprospects.com/player/693063/gabriel-frasca</v>
      </c>
      <c r="K1404" t="s">
        <v>27</v>
      </c>
      <c r="L1404" t="s">
        <v>485</v>
      </c>
      <c r="M1404" t="s">
        <v>42</v>
      </c>
      <c r="N1404">
        <v>4</v>
      </c>
      <c r="O1404" t="s">
        <v>486</v>
      </c>
      <c r="P1404">
        <v>0.15</v>
      </c>
      <c r="Q1404" t="s">
        <v>135</v>
      </c>
      <c r="R1404">
        <v>20</v>
      </c>
      <c r="S1404">
        <v>40</v>
      </c>
      <c r="T1404">
        <v>0</v>
      </c>
      <c r="U1404">
        <v>20</v>
      </c>
      <c r="V1404">
        <v>20</v>
      </c>
    </row>
    <row r="1405" spans="1:22" x14ac:dyDescent="0.25">
      <c r="A1405" t="s">
        <v>524</v>
      </c>
      <c r="B1405" t="s">
        <v>507</v>
      </c>
      <c r="C1405">
        <v>37</v>
      </c>
      <c r="D1405" t="s">
        <v>60</v>
      </c>
      <c r="E1405" t="s">
        <v>51</v>
      </c>
      <c r="F1405" t="s">
        <v>280</v>
      </c>
      <c r="G1405">
        <v>0.97</v>
      </c>
      <c r="H1405" t="s">
        <v>57</v>
      </c>
      <c r="I1405">
        <v>-16</v>
      </c>
      <c r="J1405" s="4" t="str">
        <f>HYPERLINK("https://www.eliteprospects.com/player/702317/charlie-paquette")</f>
        <v>https://www.eliteprospects.com/player/702317/charlie-paquette</v>
      </c>
      <c r="K1405" t="s">
        <v>27</v>
      </c>
      <c r="L1405" t="s">
        <v>485</v>
      </c>
      <c r="M1405" t="s">
        <v>129</v>
      </c>
      <c r="N1405">
        <v>5</v>
      </c>
      <c r="O1405" t="s">
        <v>508</v>
      </c>
      <c r="P1405">
        <v>0.14000000000000001</v>
      </c>
      <c r="Q1405" t="s">
        <v>245</v>
      </c>
      <c r="R1405">
        <v>16.7</v>
      </c>
      <c r="S1405">
        <v>16.7</v>
      </c>
      <c r="T1405">
        <v>0</v>
      </c>
      <c r="U1405">
        <v>0</v>
      </c>
      <c r="V1405">
        <v>66.7</v>
      </c>
    </row>
    <row r="1406" spans="1:22" x14ac:dyDescent="0.25">
      <c r="A1406" t="s">
        <v>525</v>
      </c>
      <c r="B1406" t="s">
        <v>507</v>
      </c>
      <c r="C1406">
        <v>32</v>
      </c>
      <c r="D1406" t="s">
        <v>38</v>
      </c>
      <c r="E1406" t="s">
        <v>24</v>
      </c>
      <c r="F1406" t="s">
        <v>280</v>
      </c>
      <c r="G1406">
        <v>1.1299999999999999</v>
      </c>
      <c r="H1406" t="s">
        <v>32</v>
      </c>
      <c r="I1406">
        <v>2</v>
      </c>
      <c r="J1406" s="4" t="str">
        <f>HYPERLINK("https://www.eliteprospects.com/player/617222/kevin-he")</f>
        <v>https://www.eliteprospects.com/player/617222/kevin-he</v>
      </c>
      <c r="K1406" t="s">
        <v>27</v>
      </c>
      <c r="L1406" t="s">
        <v>485</v>
      </c>
      <c r="M1406" t="s">
        <v>91</v>
      </c>
      <c r="N1406">
        <v>4</v>
      </c>
      <c r="O1406" t="s">
        <v>486</v>
      </c>
      <c r="P1406">
        <v>0.16</v>
      </c>
      <c r="Q1406" t="s">
        <v>1277</v>
      </c>
      <c r="R1406">
        <v>0</v>
      </c>
      <c r="S1406">
        <v>33.299999999999997</v>
      </c>
      <c r="T1406">
        <v>50</v>
      </c>
      <c r="U1406">
        <v>16.7</v>
      </c>
      <c r="V1406">
        <v>0</v>
      </c>
    </row>
    <row r="1407" spans="1:22" x14ac:dyDescent="0.25">
      <c r="A1407" t="s">
        <v>537</v>
      </c>
      <c r="B1407" t="s">
        <v>507</v>
      </c>
      <c r="C1407">
        <v>37</v>
      </c>
      <c r="D1407" t="s">
        <v>41</v>
      </c>
      <c r="E1407" t="s">
        <v>65</v>
      </c>
      <c r="F1407" t="s">
        <v>52</v>
      </c>
      <c r="G1407">
        <v>0.76</v>
      </c>
      <c r="H1407" t="s">
        <v>187</v>
      </c>
      <c r="I1407">
        <v>-5</v>
      </c>
      <c r="J1407" s="4" t="str">
        <f>HYPERLINK("https://www.eliteprospects.com/player/597679/jacob-battaglia")</f>
        <v>https://www.eliteprospects.com/player/597679/jacob-battaglia</v>
      </c>
      <c r="K1407" t="s">
        <v>27</v>
      </c>
      <c r="L1407" t="s">
        <v>485</v>
      </c>
      <c r="M1407" t="s">
        <v>48</v>
      </c>
      <c r="N1407">
        <v>4</v>
      </c>
      <c r="O1407" t="s">
        <v>486</v>
      </c>
      <c r="P1407">
        <v>0.11</v>
      </c>
      <c r="Q1407" t="s">
        <v>135</v>
      </c>
      <c r="R1407">
        <v>20</v>
      </c>
      <c r="S1407">
        <v>40</v>
      </c>
      <c r="T1407">
        <v>0</v>
      </c>
      <c r="U1407">
        <v>20</v>
      </c>
      <c r="V1407">
        <v>20</v>
      </c>
    </row>
    <row r="1408" spans="1:22" x14ac:dyDescent="0.25">
      <c r="A1408" t="s">
        <v>538</v>
      </c>
      <c r="B1408" t="s">
        <v>507</v>
      </c>
      <c r="C1408">
        <v>34</v>
      </c>
      <c r="D1408" t="s">
        <v>39</v>
      </c>
      <c r="E1408" t="s">
        <v>39</v>
      </c>
      <c r="F1408" t="s">
        <v>52</v>
      </c>
      <c r="G1408">
        <v>0.82</v>
      </c>
      <c r="H1408" t="s">
        <v>24</v>
      </c>
      <c r="I1408">
        <v>-3</v>
      </c>
      <c r="J1408" s="4" t="str">
        <f>HYPERLINK("https://www.eliteprospects.com/player/888242/tyler-hopkins")</f>
        <v>https://www.eliteprospects.com/player/888242/tyler-hopkins</v>
      </c>
      <c r="K1408" t="s">
        <v>27</v>
      </c>
      <c r="L1408" t="s">
        <v>485</v>
      </c>
      <c r="M1408" t="s">
        <v>76</v>
      </c>
      <c r="N1408">
        <v>3</v>
      </c>
      <c r="O1408" t="s">
        <v>492</v>
      </c>
      <c r="P1408">
        <v>0.12</v>
      </c>
      <c r="Q1408" t="s">
        <v>135</v>
      </c>
      <c r="R1408">
        <v>11.1</v>
      </c>
      <c r="S1408">
        <v>44.4</v>
      </c>
      <c r="T1408">
        <v>11.1</v>
      </c>
      <c r="U1408">
        <v>11.1</v>
      </c>
      <c r="V1408">
        <v>22.2</v>
      </c>
    </row>
    <row r="1409" spans="1:22" x14ac:dyDescent="0.25">
      <c r="A1409" t="s">
        <v>540</v>
      </c>
      <c r="B1409" t="s">
        <v>507</v>
      </c>
      <c r="C1409">
        <v>38</v>
      </c>
      <c r="D1409" t="s">
        <v>65</v>
      </c>
      <c r="E1409" t="s">
        <v>41</v>
      </c>
      <c r="F1409" t="s">
        <v>52</v>
      </c>
      <c r="G1409">
        <v>0.74</v>
      </c>
      <c r="H1409" t="s">
        <v>518</v>
      </c>
      <c r="I1409">
        <v>-4</v>
      </c>
      <c r="J1409" s="4" t="str">
        <f>HYPERLINK("https://www.eliteprospects.com/player/726225/mason-zebeski")</f>
        <v>https://www.eliteprospects.com/player/726225/mason-zebeski</v>
      </c>
      <c r="K1409" t="s">
        <v>27</v>
      </c>
      <c r="L1409" t="s">
        <v>485</v>
      </c>
      <c r="M1409" t="s">
        <v>91</v>
      </c>
      <c r="N1409">
        <v>4</v>
      </c>
      <c r="O1409" t="s">
        <v>486</v>
      </c>
      <c r="P1409">
        <v>0.11</v>
      </c>
      <c r="Q1409" t="s">
        <v>135</v>
      </c>
      <c r="R1409">
        <v>20</v>
      </c>
      <c r="S1409">
        <v>40</v>
      </c>
      <c r="T1409">
        <v>0</v>
      </c>
      <c r="U1409">
        <v>20</v>
      </c>
      <c r="V1409">
        <v>20</v>
      </c>
    </row>
    <row r="1410" spans="1:22" x14ac:dyDescent="0.25">
      <c r="A1410" t="s">
        <v>541</v>
      </c>
      <c r="B1410" t="s">
        <v>507</v>
      </c>
      <c r="C1410">
        <v>28</v>
      </c>
      <c r="D1410" t="s">
        <v>23</v>
      </c>
      <c r="E1410" t="s">
        <v>38</v>
      </c>
      <c r="F1410" t="s">
        <v>52</v>
      </c>
      <c r="G1410">
        <v>1</v>
      </c>
      <c r="H1410" t="s">
        <v>69</v>
      </c>
      <c r="I1410">
        <v>-11</v>
      </c>
      <c r="J1410" s="4" t="str">
        <f>HYPERLINK("https://www.eliteprospects.com/player/911102/sam-o-reilly")</f>
        <v>https://www.eliteprospects.com/player/911102/sam-o-reilly</v>
      </c>
      <c r="K1410" t="s">
        <v>27</v>
      </c>
      <c r="L1410" t="s">
        <v>485</v>
      </c>
      <c r="M1410" t="s">
        <v>87</v>
      </c>
      <c r="N1410">
        <v>4</v>
      </c>
      <c r="O1410" t="s">
        <v>486</v>
      </c>
      <c r="P1410">
        <v>0.14000000000000001</v>
      </c>
      <c r="Q1410" t="s">
        <v>245</v>
      </c>
      <c r="R1410">
        <v>16.7</v>
      </c>
      <c r="S1410">
        <v>16.7</v>
      </c>
      <c r="T1410">
        <v>0</v>
      </c>
      <c r="U1410">
        <v>0</v>
      </c>
      <c r="V1410">
        <v>66.7</v>
      </c>
    </row>
    <row r="1411" spans="1:22" x14ac:dyDescent="0.25">
      <c r="A1411" t="s">
        <v>542</v>
      </c>
      <c r="B1411" t="s">
        <v>507</v>
      </c>
      <c r="C1411">
        <v>33</v>
      </c>
      <c r="D1411" t="s">
        <v>23</v>
      </c>
      <c r="E1411" t="s">
        <v>41</v>
      </c>
      <c r="F1411" t="s">
        <v>61</v>
      </c>
      <c r="G1411">
        <v>0.82</v>
      </c>
      <c r="H1411" t="s">
        <v>32</v>
      </c>
      <c r="I1411">
        <v>2</v>
      </c>
      <c r="J1411" s="4" t="str">
        <f>HYPERLINK("https://www.eliteprospects.com/player/916546/braidy-wassilyn")</f>
        <v>https://www.eliteprospects.com/player/916546/braidy-wassilyn</v>
      </c>
      <c r="K1411" t="s">
        <v>27</v>
      </c>
      <c r="L1411" t="s">
        <v>485</v>
      </c>
      <c r="M1411" t="s">
        <v>35</v>
      </c>
      <c r="N1411">
        <v>2</v>
      </c>
      <c r="O1411" t="s">
        <v>501</v>
      </c>
      <c r="P1411">
        <v>0.12</v>
      </c>
      <c r="Q1411" t="s">
        <v>31</v>
      </c>
      <c r="R1411">
        <v>100</v>
      </c>
      <c r="S1411">
        <v>0</v>
      </c>
      <c r="T1411">
        <v>0</v>
      </c>
      <c r="U1411">
        <v>0</v>
      </c>
      <c r="V1411">
        <v>0</v>
      </c>
    </row>
    <row r="1412" spans="1:22" x14ac:dyDescent="0.25">
      <c r="A1412" t="s">
        <v>545</v>
      </c>
      <c r="B1412" t="s">
        <v>507</v>
      </c>
      <c r="C1412">
        <v>34</v>
      </c>
      <c r="D1412" t="s">
        <v>41</v>
      </c>
      <c r="E1412" t="s">
        <v>69</v>
      </c>
      <c r="F1412" t="s">
        <v>125</v>
      </c>
      <c r="G1412">
        <v>0.76</v>
      </c>
      <c r="H1412" t="s">
        <v>300</v>
      </c>
      <c r="I1412">
        <v>5</v>
      </c>
      <c r="J1412" s="4" t="str">
        <f>HYPERLINK("https://www.eliteprospects.com/player/679709/gabriel-chiarot")</f>
        <v>https://www.eliteprospects.com/player/679709/gabriel-chiarot</v>
      </c>
      <c r="K1412" t="s">
        <v>27</v>
      </c>
      <c r="L1412" t="s">
        <v>485</v>
      </c>
      <c r="M1412" t="s">
        <v>48</v>
      </c>
      <c r="N1412">
        <v>3</v>
      </c>
      <c r="O1412" t="s">
        <v>492</v>
      </c>
      <c r="P1412">
        <v>0.11</v>
      </c>
      <c r="Q1412" t="s">
        <v>135</v>
      </c>
      <c r="R1412">
        <v>20</v>
      </c>
      <c r="S1412">
        <v>40</v>
      </c>
      <c r="T1412">
        <v>20</v>
      </c>
      <c r="U1412">
        <v>0</v>
      </c>
      <c r="V1412">
        <v>20</v>
      </c>
    </row>
    <row r="1413" spans="1:22" x14ac:dyDescent="0.25">
      <c r="A1413" t="s">
        <v>547</v>
      </c>
      <c r="B1413" t="s">
        <v>507</v>
      </c>
      <c r="C1413">
        <v>37</v>
      </c>
      <c r="D1413" t="s">
        <v>32</v>
      </c>
      <c r="E1413" t="s">
        <v>38</v>
      </c>
      <c r="F1413" t="s">
        <v>125</v>
      </c>
      <c r="G1413">
        <v>0.7</v>
      </c>
      <c r="H1413" t="s">
        <v>26</v>
      </c>
      <c r="I1413">
        <v>-9</v>
      </c>
      <c r="J1413" s="4" t="str">
        <f>HYPERLINK("https://www.eliteprospects.com/player/645161/alex-pharand")</f>
        <v>https://www.eliteprospects.com/player/645161/alex-pharand</v>
      </c>
      <c r="K1413" t="s">
        <v>27</v>
      </c>
      <c r="L1413" t="s">
        <v>485</v>
      </c>
      <c r="M1413" t="s">
        <v>87</v>
      </c>
      <c r="N1413">
        <v>5</v>
      </c>
      <c r="O1413" t="s">
        <v>508</v>
      </c>
      <c r="P1413">
        <v>0.1</v>
      </c>
      <c r="Q1413" t="s">
        <v>245</v>
      </c>
      <c r="R1413">
        <v>9.1</v>
      </c>
      <c r="S1413">
        <v>27.3</v>
      </c>
      <c r="T1413">
        <v>18.2</v>
      </c>
      <c r="U1413">
        <v>0</v>
      </c>
      <c r="V1413">
        <v>45.5</v>
      </c>
    </row>
    <row r="1414" spans="1:22" x14ac:dyDescent="0.25">
      <c r="A1414" t="s">
        <v>549</v>
      </c>
      <c r="B1414" t="s">
        <v>507</v>
      </c>
      <c r="C1414">
        <v>38</v>
      </c>
      <c r="D1414" t="s">
        <v>23</v>
      </c>
      <c r="E1414" t="s">
        <v>65</v>
      </c>
      <c r="F1414" t="s">
        <v>75</v>
      </c>
      <c r="G1414">
        <v>0.66</v>
      </c>
      <c r="H1414" t="s">
        <v>84</v>
      </c>
      <c r="I1414">
        <v>-6</v>
      </c>
      <c r="J1414" s="4" t="str">
        <f>HYPERLINK("https://www.eliteprospects.com/player/702319/sebastien-gervais")</f>
        <v>https://www.eliteprospects.com/player/702319/sebastien-gervais</v>
      </c>
      <c r="K1414" t="s">
        <v>27</v>
      </c>
      <c r="L1414" t="s">
        <v>485</v>
      </c>
      <c r="M1414" t="s">
        <v>42</v>
      </c>
      <c r="N1414">
        <v>5</v>
      </c>
      <c r="O1414" t="s">
        <v>508</v>
      </c>
      <c r="P1414">
        <v>0.1</v>
      </c>
      <c r="Q1414" t="s">
        <v>245</v>
      </c>
      <c r="R1414">
        <v>9.1</v>
      </c>
      <c r="S1414">
        <v>27.3</v>
      </c>
      <c r="T1414">
        <v>18.2</v>
      </c>
      <c r="U1414">
        <v>0</v>
      </c>
      <c r="V1414">
        <v>45.5</v>
      </c>
    </row>
    <row r="1415" spans="1:22" x14ac:dyDescent="0.25">
      <c r="A1415" t="s">
        <v>550</v>
      </c>
      <c r="B1415" t="s">
        <v>507</v>
      </c>
      <c r="C1415">
        <v>34</v>
      </c>
      <c r="D1415" t="s">
        <v>45</v>
      </c>
      <c r="E1415" t="s">
        <v>38</v>
      </c>
      <c r="F1415" t="s">
        <v>75</v>
      </c>
      <c r="G1415">
        <v>0.74</v>
      </c>
      <c r="H1415" t="s">
        <v>57</v>
      </c>
      <c r="I1415">
        <v>-1</v>
      </c>
      <c r="J1415" s="4" t="str">
        <f>HYPERLINK("https://www.eliteprospects.com/player/628100/alex-mclean")</f>
        <v>https://www.eliteprospects.com/player/628100/alex-mclean</v>
      </c>
      <c r="K1415" t="s">
        <v>27</v>
      </c>
      <c r="L1415" t="s">
        <v>485</v>
      </c>
      <c r="M1415" t="s">
        <v>35</v>
      </c>
      <c r="N1415">
        <v>2</v>
      </c>
      <c r="O1415" t="s">
        <v>501</v>
      </c>
      <c r="P1415">
        <v>0.11</v>
      </c>
      <c r="Q1415" t="s">
        <v>135</v>
      </c>
      <c r="R1415">
        <v>20</v>
      </c>
      <c r="S1415">
        <v>40</v>
      </c>
      <c r="T1415">
        <v>0</v>
      </c>
      <c r="U1415">
        <v>20</v>
      </c>
      <c r="V1415">
        <v>20</v>
      </c>
    </row>
    <row r="1416" spans="1:22" x14ac:dyDescent="0.25">
      <c r="A1416" t="s">
        <v>552</v>
      </c>
      <c r="B1416" t="s">
        <v>507</v>
      </c>
      <c r="C1416">
        <v>17</v>
      </c>
      <c r="D1416" t="s">
        <v>66</v>
      </c>
      <c r="E1416" t="s">
        <v>33</v>
      </c>
      <c r="F1416" t="s">
        <v>75</v>
      </c>
      <c r="G1416">
        <v>1.47</v>
      </c>
      <c r="H1416" t="s">
        <v>23</v>
      </c>
      <c r="I1416">
        <v>8</v>
      </c>
      <c r="J1416" s="4" t="str">
        <f>HYPERLINK("https://www.eliteprospects.com/player/879166/jett-luchanko")</f>
        <v>https://www.eliteprospects.com/player/879166/jett-luchanko</v>
      </c>
      <c r="K1416" t="s">
        <v>27</v>
      </c>
      <c r="L1416" t="s">
        <v>485</v>
      </c>
      <c r="M1416" t="s">
        <v>42</v>
      </c>
      <c r="N1416">
        <v>4</v>
      </c>
      <c r="O1416" t="s">
        <v>486</v>
      </c>
      <c r="P1416">
        <v>0.21</v>
      </c>
      <c r="Q1416" t="s">
        <v>31</v>
      </c>
      <c r="R1416">
        <v>57.1</v>
      </c>
      <c r="S1416">
        <v>32.1</v>
      </c>
      <c r="T1416">
        <v>0</v>
      </c>
      <c r="U1416">
        <v>0</v>
      </c>
      <c r="V1416">
        <v>10.7</v>
      </c>
    </row>
    <row r="1417" spans="1:22" x14ac:dyDescent="0.25">
      <c r="A1417" t="s">
        <v>553</v>
      </c>
      <c r="B1417" t="s">
        <v>507</v>
      </c>
      <c r="C1417">
        <v>40</v>
      </c>
      <c r="D1417" t="s">
        <v>32</v>
      </c>
      <c r="E1417" t="s">
        <v>39</v>
      </c>
      <c r="F1417" t="s">
        <v>81</v>
      </c>
      <c r="G1417">
        <v>0.6</v>
      </c>
      <c r="H1417" t="s">
        <v>84</v>
      </c>
      <c r="I1417">
        <v>6</v>
      </c>
      <c r="J1417" s="4" t="str">
        <f>HYPERLINK("https://www.eliteprospects.com/player/849735/ihnat-pazii")</f>
        <v>https://www.eliteprospects.com/player/849735/ihnat-pazii</v>
      </c>
      <c r="K1417" t="s">
        <v>27</v>
      </c>
      <c r="L1417" t="s">
        <v>485</v>
      </c>
      <c r="M1417" t="s">
        <v>91</v>
      </c>
      <c r="N1417">
        <v>3</v>
      </c>
      <c r="O1417" t="s">
        <v>492</v>
      </c>
      <c r="P1417">
        <v>0.09</v>
      </c>
      <c r="Q1417" t="s">
        <v>135</v>
      </c>
      <c r="R1417">
        <v>11.1</v>
      </c>
      <c r="S1417">
        <v>55.6</v>
      </c>
      <c r="T1417">
        <v>11.1</v>
      </c>
      <c r="U1417">
        <v>11.1</v>
      </c>
      <c r="V1417">
        <v>11.1</v>
      </c>
    </row>
    <row r="1418" spans="1:22" x14ac:dyDescent="0.25">
      <c r="A1418" t="s">
        <v>555</v>
      </c>
      <c r="B1418" t="s">
        <v>507</v>
      </c>
      <c r="C1418">
        <v>38</v>
      </c>
      <c r="D1418" t="s">
        <v>78</v>
      </c>
      <c r="E1418" t="s">
        <v>60</v>
      </c>
      <c r="F1418" t="s">
        <v>81</v>
      </c>
      <c r="G1418">
        <v>0.63</v>
      </c>
      <c r="H1418" t="s">
        <v>61</v>
      </c>
      <c r="I1418">
        <v>-8</v>
      </c>
      <c r="J1418" s="4" t="str">
        <f>HYPERLINK("https://www.eliteprospects.com/player/897588/ryan-brown")</f>
        <v>https://www.eliteprospects.com/player/897588/ryan-brown</v>
      </c>
      <c r="K1418" t="s">
        <v>27</v>
      </c>
      <c r="L1418" t="s">
        <v>485</v>
      </c>
      <c r="M1418" t="s">
        <v>91</v>
      </c>
      <c r="N1418">
        <v>3</v>
      </c>
      <c r="O1418" t="s">
        <v>492</v>
      </c>
      <c r="P1418">
        <v>0.09</v>
      </c>
      <c r="Q1418" t="s">
        <v>31</v>
      </c>
      <c r="R1418">
        <v>36.4</v>
      </c>
      <c r="S1418">
        <v>9.1</v>
      </c>
      <c r="T1418">
        <v>18.2</v>
      </c>
      <c r="U1418">
        <v>9.1</v>
      </c>
      <c r="V1418">
        <v>27.3</v>
      </c>
    </row>
    <row r="1419" spans="1:22" x14ac:dyDescent="0.25">
      <c r="A1419" t="s">
        <v>556</v>
      </c>
      <c r="B1419" t="s">
        <v>507</v>
      </c>
      <c r="C1419">
        <v>37</v>
      </c>
      <c r="D1419" t="s">
        <v>69</v>
      </c>
      <c r="E1419" t="s">
        <v>23</v>
      </c>
      <c r="F1419" t="s">
        <v>84</v>
      </c>
      <c r="G1419">
        <v>0.62</v>
      </c>
      <c r="H1419" t="s">
        <v>136</v>
      </c>
      <c r="I1419">
        <v>-20</v>
      </c>
      <c r="J1419" s="4" t="str">
        <f>HYPERLINK("https://www.eliteprospects.com/player/628141/colin-fitzgerald")</f>
        <v>https://www.eliteprospects.com/player/628141/colin-fitzgerald</v>
      </c>
      <c r="K1419" t="s">
        <v>27</v>
      </c>
      <c r="L1419" t="s">
        <v>485</v>
      </c>
      <c r="M1419" t="s">
        <v>42</v>
      </c>
      <c r="N1419">
        <v>2</v>
      </c>
      <c r="O1419" t="s">
        <v>501</v>
      </c>
      <c r="P1419">
        <v>0.09</v>
      </c>
      <c r="Q1419" t="s">
        <v>31</v>
      </c>
      <c r="R1419">
        <v>36.4</v>
      </c>
      <c r="S1419">
        <v>9.1</v>
      </c>
      <c r="T1419">
        <v>18.2</v>
      </c>
      <c r="U1419">
        <v>9.1</v>
      </c>
      <c r="V1419">
        <v>27.3</v>
      </c>
    </row>
    <row r="1420" spans="1:22" x14ac:dyDescent="0.25">
      <c r="A1420" t="s">
        <v>560</v>
      </c>
      <c r="B1420" t="s">
        <v>507</v>
      </c>
      <c r="C1420">
        <v>36</v>
      </c>
      <c r="D1420" t="s">
        <v>32</v>
      </c>
      <c r="E1420" t="s">
        <v>23</v>
      </c>
      <c r="F1420" t="s">
        <v>47</v>
      </c>
      <c r="G1420">
        <v>0.61</v>
      </c>
      <c r="H1420" t="s">
        <v>497</v>
      </c>
      <c r="I1420">
        <v>-2</v>
      </c>
      <c r="J1420" s="4" t="str">
        <f>HYPERLINK("https://www.eliteprospects.com/player/726405/nicholas-sima")</f>
        <v>https://www.eliteprospects.com/player/726405/nicholas-sima</v>
      </c>
      <c r="K1420" t="s">
        <v>27</v>
      </c>
      <c r="L1420" t="s">
        <v>485</v>
      </c>
      <c r="M1420" t="s">
        <v>29</v>
      </c>
      <c r="N1420">
        <v>5</v>
      </c>
      <c r="O1420" t="s">
        <v>508</v>
      </c>
      <c r="P1420">
        <v>0.09</v>
      </c>
      <c r="Q1420" t="s">
        <v>1277</v>
      </c>
      <c r="R1420">
        <v>16.7</v>
      </c>
      <c r="S1420">
        <v>16.7</v>
      </c>
      <c r="T1420">
        <v>25</v>
      </c>
      <c r="U1420">
        <v>16.7</v>
      </c>
      <c r="V1420">
        <v>25</v>
      </c>
    </row>
    <row r="1421" spans="1:22" x14ac:dyDescent="0.25">
      <c r="A1421" t="s">
        <v>565</v>
      </c>
      <c r="B1421" t="s">
        <v>507</v>
      </c>
      <c r="C1421">
        <v>38</v>
      </c>
      <c r="D1421" t="s">
        <v>57</v>
      </c>
      <c r="E1421" t="s">
        <v>41</v>
      </c>
      <c r="F1421" t="s">
        <v>33</v>
      </c>
      <c r="G1421">
        <v>0.55000000000000004</v>
      </c>
      <c r="H1421" t="s">
        <v>57</v>
      </c>
      <c r="I1421">
        <v>19</v>
      </c>
      <c r="J1421" s="4" t="str">
        <f>HYPERLINK("https://www.eliteprospects.com/player/710720/jack-dever")</f>
        <v>https://www.eliteprospects.com/player/710720/jack-dever</v>
      </c>
      <c r="K1421" t="s">
        <v>27</v>
      </c>
      <c r="L1421" t="s">
        <v>485</v>
      </c>
      <c r="M1421" t="s">
        <v>29</v>
      </c>
      <c r="N1421">
        <v>5</v>
      </c>
      <c r="O1421" t="s">
        <v>508</v>
      </c>
      <c r="P1421">
        <v>0.08</v>
      </c>
      <c r="Q1421" t="s">
        <v>135</v>
      </c>
      <c r="R1421">
        <v>11.1</v>
      </c>
      <c r="S1421">
        <v>55.6</v>
      </c>
      <c r="T1421">
        <v>11.1</v>
      </c>
      <c r="U1421">
        <v>11.1</v>
      </c>
      <c r="V1421">
        <v>11.1</v>
      </c>
    </row>
    <row r="1422" spans="1:22" x14ac:dyDescent="0.25">
      <c r="A1422" t="s">
        <v>566</v>
      </c>
      <c r="B1422" t="s">
        <v>507</v>
      </c>
      <c r="C1422">
        <v>34</v>
      </c>
      <c r="D1422" t="s">
        <v>23</v>
      </c>
      <c r="E1422" t="s">
        <v>26</v>
      </c>
      <c r="F1422" t="s">
        <v>24</v>
      </c>
      <c r="G1422">
        <v>0.59</v>
      </c>
      <c r="H1422" t="s">
        <v>57</v>
      </c>
      <c r="I1422">
        <v>2</v>
      </c>
      <c r="J1422" s="4" t="str">
        <f>HYPERLINK("https://www.eliteprospects.com/player/897649/jeremy-martin")</f>
        <v>https://www.eliteprospects.com/player/897649/jeremy-martin</v>
      </c>
      <c r="K1422" t="s">
        <v>27</v>
      </c>
      <c r="L1422" t="s">
        <v>485</v>
      </c>
      <c r="M1422" t="s">
        <v>91</v>
      </c>
      <c r="N1422">
        <v>3</v>
      </c>
      <c r="O1422" t="s">
        <v>492</v>
      </c>
      <c r="P1422">
        <v>0.08</v>
      </c>
      <c r="Q1422" t="s">
        <v>31</v>
      </c>
      <c r="R1422">
        <v>33.299999999999997</v>
      </c>
      <c r="S1422">
        <v>8.3000000000000007</v>
      </c>
      <c r="T1422">
        <v>33.299999999999997</v>
      </c>
      <c r="U1422">
        <v>8.3000000000000007</v>
      </c>
      <c r="V1422">
        <v>16.7</v>
      </c>
    </row>
    <row r="1423" spans="1:22" x14ac:dyDescent="0.25">
      <c r="A1423" t="s">
        <v>567</v>
      </c>
      <c r="B1423" t="s">
        <v>507</v>
      </c>
      <c r="C1423">
        <v>34</v>
      </c>
      <c r="D1423" t="s">
        <v>69</v>
      </c>
      <c r="E1423" t="s">
        <v>45</v>
      </c>
      <c r="F1423" t="s">
        <v>24</v>
      </c>
      <c r="G1423">
        <v>0.59</v>
      </c>
      <c r="H1423" t="s">
        <v>47</v>
      </c>
      <c r="I1423">
        <v>5</v>
      </c>
      <c r="J1423" s="4" t="str">
        <f>HYPERLINK("https://www.eliteprospects.com/player/890529/jean-cristoph-lemieux")</f>
        <v>https://www.eliteprospects.com/player/890529/jean-cristoph-lemieux</v>
      </c>
      <c r="K1423" t="s">
        <v>27</v>
      </c>
      <c r="L1423" t="s">
        <v>485</v>
      </c>
      <c r="M1423" t="s">
        <v>42</v>
      </c>
      <c r="N1423">
        <v>1</v>
      </c>
      <c r="O1423" t="s">
        <v>494</v>
      </c>
      <c r="P1423">
        <v>0.08</v>
      </c>
      <c r="Q1423" t="s">
        <v>31</v>
      </c>
      <c r="R1423">
        <v>33.299999999999997</v>
      </c>
      <c r="S1423">
        <v>8.3000000000000007</v>
      </c>
      <c r="T1423">
        <v>33.299999999999997</v>
      </c>
      <c r="U1423">
        <v>8.3000000000000007</v>
      </c>
      <c r="V1423">
        <v>16.7</v>
      </c>
    </row>
    <row r="1424" spans="1:22" x14ac:dyDescent="0.25">
      <c r="A1424" t="s">
        <v>573</v>
      </c>
      <c r="B1424" t="s">
        <v>507</v>
      </c>
      <c r="C1424">
        <v>27</v>
      </c>
      <c r="D1424" t="s">
        <v>57</v>
      </c>
      <c r="E1424" t="s">
        <v>65</v>
      </c>
      <c r="F1424" t="s">
        <v>51</v>
      </c>
      <c r="G1424">
        <v>0.7</v>
      </c>
      <c r="H1424" t="s">
        <v>55</v>
      </c>
      <c r="I1424">
        <v>-8</v>
      </c>
      <c r="J1424" s="4" t="str">
        <f>HYPERLINK("https://www.eliteprospects.com/player/577186/caden-taylor")</f>
        <v>https://www.eliteprospects.com/player/577186/caden-taylor</v>
      </c>
      <c r="K1424" t="s">
        <v>27</v>
      </c>
      <c r="L1424" t="s">
        <v>485</v>
      </c>
      <c r="M1424" t="s">
        <v>48</v>
      </c>
      <c r="N1424">
        <v>3</v>
      </c>
      <c r="O1424" t="s">
        <v>492</v>
      </c>
      <c r="P1424">
        <v>0.1</v>
      </c>
      <c r="Q1424" t="s">
        <v>245</v>
      </c>
      <c r="R1424">
        <v>9.1</v>
      </c>
      <c r="S1424">
        <v>27.3</v>
      </c>
      <c r="T1424">
        <v>18.2</v>
      </c>
      <c r="U1424">
        <v>0</v>
      </c>
      <c r="V1424">
        <v>45.5</v>
      </c>
    </row>
    <row r="1425" spans="1:22" x14ac:dyDescent="0.25">
      <c r="A1425" t="s">
        <v>574</v>
      </c>
      <c r="B1425" t="s">
        <v>507</v>
      </c>
      <c r="C1425">
        <v>32</v>
      </c>
      <c r="D1425" t="s">
        <v>45</v>
      </c>
      <c r="E1425" t="s">
        <v>45</v>
      </c>
      <c r="F1425" t="s">
        <v>55</v>
      </c>
      <c r="G1425">
        <v>0.56000000000000005</v>
      </c>
      <c r="H1425" t="s">
        <v>39</v>
      </c>
      <c r="I1425">
        <v>-3</v>
      </c>
      <c r="J1425" s="4" t="str">
        <f>HYPERLINK("https://www.eliteprospects.com/player/876318/aiden-o-donnell")</f>
        <v>https://www.eliteprospects.com/player/876318/aiden-o-donnell</v>
      </c>
      <c r="K1425" t="s">
        <v>27</v>
      </c>
      <c r="L1425" t="s">
        <v>485</v>
      </c>
      <c r="M1425" t="s">
        <v>35</v>
      </c>
      <c r="N1425">
        <v>2</v>
      </c>
      <c r="O1425" t="s">
        <v>501</v>
      </c>
      <c r="P1425">
        <v>0.08</v>
      </c>
      <c r="Q1425" t="s">
        <v>1277</v>
      </c>
      <c r="R1425">
        <v>16.7</v>
      </c>
      <c r="S1425">
        <v>16.7</v>
      </c>
      <c r="T1425">
        <v>25</v>
      </c>
      <c r="U1425">
        <v>16.7</v>
      </c>
      <c r="V1425">
        <v>25</v>
      </c>
    </row>
    <row r="1426" spans="1:22" x14ac:dyDescent="0.25">
      <c r="A1426" t="s">
        <v>575</v>
      </c>
      <c r="B1426" t="s">
        <v>507</v>
      </c>
      <c r="C1426">
        <v>31</v>
      </c>
      <c r="D1426" t="s">
        <v>57</v>
      </c>
      <c r="E1426" t="s">
        <v>23</v>
      </c>
      <c r="F1426" t="s">
        <v>55</v>
      </c>
      <c r="G1426">
        <v>0.57999999999999996</v>
      </c>
      <c r="H1426" t="s">
        <v>69</v>
      </c>
      <c r="I1426">
        <v>-5</v>
      </c>
      <c r="J1426" s="4" t="str">
        <f>HYPERLINK("https://www.eliteprospects.com/player/619031/alex-misiak")</f>
        <v>https://www.eliteprospects.com/player/619031/alex-misiak</v>
      </c>
      <c r="K1426" t="s">
        <v>27</v>
      </c>
      <c r="L1426" t="s">
        <v>485</v>
      </c>
      <c r="M1426" t="s">
        <v>35</v>
      </c>
      <c r="N1426">
        <v>1</v>
      </c>
      <c r="O1426" t="s">
        <v>494</v>
      </c>
      <c r="P1426">
        <v>0.08</v>
      </c>
      <c r="Q1426" t="s">
        <v>1277</v>
      </c>
      <c r="R1426">
        <v>16.7</v>
      </c>
      <c r="S1426">
        <v>16.7</v>
      </c>
      <c r="T1426">
        <v>25</v>
      </c>
      <c r="U1426">
        <v>16.7</v>
      </c>
      <c r="V1426">
        <v>25</v>
      </c>
    </row>
    <row r="1427" spans="1:22" x14ac:dyDescent="0.25">
      <c r="A1427" t="s">
        <v>580</v>
      </c>
      <c r="B1427" t="s">
        <v>507</v>
      </c>
      <c r="C1427">
        <v>26</v>
      </c>
      <c r="D1427" t="s">
        <v>32</v>
      </c>
      <c r="E1427" t="s">
        <v>57</v>
      </c>
      <c r="F1427" t="s">
        <v>38</v>
      </c>
      <c r="G1427">
        <v>0.62</v>
      </c>
      <c r="H1427" t="s">
        <v>125</v>
      </c>
      <c r="I1427">
        <v>11</v>
      </c>
      <c r="J1427" s="4" t="str">
        <f>HYPERLINK("https://www.eliteprospects.com/player/645163/sam-mccue")</f>
        <v>https://www.eliteprospects.com/player/645163/sam-mccue</v>
      </c>
      <c r="K1427" t="s">
        <v>27</v>
      </c>
      <c r="L1427" t="s">
        <v>485</v>
      </c>
      <c r="M1427" t="s">
        <v>70</v>
      </c>
      <c r="N1427">
        <v>4</v>
      </c>
      <c r="O1427" t="s">
        <v>486</v>
      </c>
      <c r="P1427">
        <v>0.09</v>
      </c>
      <c r="Q1427" t="s">
        <v>135</v>
      </c>
      <c r="R1427">
        <v>11.1</v>
      </c>
      <c r="S1427">
        <v>55.6</v>
      </c>
      <c r="T1427">
        <v>11.1</v>
      </c>
      <c r="U1427">
        <v>11.1</v>
      </c>
      <c r="V1427">
        <v>11.1</v>
      </c>
    </row>
    <row r="1428" spans="1:22" x14ac:dyDescent="0.25">
      <c r="A1428" t="s">
        <v>583</v>
      </c>
      <c r="B1428" t="s">
        <v>507</v>
      </c>
      <c r="C1428">
        <v>21</v>
      </c>
      <c r="D1428" t="s">
        <v>45</v>
      </c>
      <c r="E1428" t="s">
        <v>57</v>
      </c>
      <c r="F1428" t="s">
        <v>41</v>
      </c>
      <c r="G1428">
        <v>0.71</v>
      </c>
      <c r="H1428" t="s">
        <v>38</v>
      </c>
      <c r="I1428">
        <v>4</v>
      </c>
      <c r="J1428" s="4" t="str">
        <f>HYPERLINK("https://www.eliteprospects.com/player/917163/kaden-pitre")</f>
        <v>https://www.eliteprospects.com/player/917163/kaden-pitre</v>
      </c>
      <c r="K1428" t="s">
        <v>27</v>
      </c>
      <c r="L1428" t="s">
        <v>485</v>
      </c>
      <c r="M1428" t="s">
        <v>42</v>
      </c>
      <c r="N1428">
        <v>4</v>
      </c>
      <c r="O1428" t="s">
        <v>486</v>
      </c>
      <c r="P1428">
        <v>0.1</v>
      </c>
      <c r="Q1428" t="s">
        <v>245</v>
      </c>
      <c r="R1428">
        <v>20</v>
      </c>
      <c r="S1428">
        <v>20</v>
      </c>
      <c r="T1428">
        <v>20</v>
      </c>
      <c r="U1428">
        <v>0</v>
      </c>
      <c r="V1428">
        <v>40</v>
      </c>
    </row>
    <row r="1429" spans="1:22" x14ac:dyDescent="0.25">
      <c r="A1429" t="s">
        <v>584</v>
      </c>
      <c r="B1429" t="s">
        <v>507</v>
      </c>
      <c r="C1429">
        <v>24</v>
      </c>
      <c r="D1429" t="s">
        <v>26</v>
      </c>
      <c r="E1429" t="s">
        <v>78</v>
      </c>
      <c r="F1429" t="s">
        <v>41</v>
      </c>
      <c r="G1429">
        <v>0.63</v>
      </c>
      <c r="H1429" t="s">
        <v>79</v>
      </c>
      <c r="I1429">
        <v>11</v>
      </c>
      <c r="J1429" s="4" t="str">
        <f>HYPERLINK("https://www.eliteprospects.com/player/890507/layne-gallacher")</f>
        <v>https://www.eliteprospects.com/player/890507/layne-gallacher</v>
      </c>
      <c r="K1429" t="s">
        <v>27</v>
      </c>
      <c r="L1429" t="s">
        <v>485</v>
      </c>
      <c r="M1429" t="s">
        <v>42</v>
      </c>
      <c r="N1429">
        <v>2</v>
      </c>
      <c r="O1429" t="s">
        <v>501</v>
      </c>
      <c r="P1429">
        <v>0.09</v>
      </c>
      <c r="Q1429" t="s">
        <v>135</v>
      </c>
      <c r="R1429">
        <v>11.1</v>
      </c>
      <c r="S1429">
        <v>55.6</v>
      </c>
      <c r="T1429">
        <v>11.1</v>
      </c>
      <c r="U1429">
        <v>11.1</v>
      </c>
      <c r="V1429">
        <v>11.1</v>
      </c>
    </row>
    <row r="1430" spans="1:22" x14ac:dyDescent="0.25">
      <c r="A1430" t="s">
        <v>587</v>
      </c>
      <c r="B1430" t="s">
        <v>507</v>
      </c>
      <c r="C1430">
        <v>27</v>
      </c>
      <c r="D1430" t="s">
        <v>32</v>
      </c>
      <c r="E1430" t="s">
        <v>66</v>
      </c>
      <c r="F1430" t="s">
        <v>39</v>
      </c>
      <c r="G1430">
        <v>0.52</v>
      </c>
      <c r="H1430" t="s">
        <v>187</v>
      </c>
      <c r="I1430">
        <v>-4</v>
      </c>
      <c r="J1430" s="4" t="str">
        <f>HYPERLINK("https://www.eliteprospects.com/player/725863/brett-hammond")</f>
        <v>https://www.eliteprospects.com/player/725863/brett-hammond</v>
      </c>
      <c r="K1430" t="s">
        <v>27</v>
      </c>
      <c r="L1430" t="s">
        <v>485</v>
      </c>
      <c r="M1430" t="s">
        <v>42</v>
      </c>
      <c r="N1430">
        <v>3</v>
      </c>
      <c r="O1430" t="s">
        <v>492</v>
      </c>
      <c r="P1430">
        <v>7.0000000000000007E-2</v>
      </c>
      <c r="Q1430" t="s">
        <v>135</v>
      </c>
      <c r="R1430">
        <v>0</v>
      </c>
      <c r="S1430">
        <v>33.299999999999997</v>
      </c>
      <c r="T1430">
        <v>23.8</v>
      </c>
      <c r="U1430">
        <v>9.5</v>
      </c>
      <c r="V1430">
        <v>33.299999999999997</v>
      </c>
    </row>
    <row r="1431" spans="1:22" x14ac:dyDescent="0.25">
      <c r="A1431" t="s">
        <v>588</v>
      </c>
      <c r="B1431" t="s">
        <v>507</v>
      </c>
      <c r="C1431">
        <v>35</v>
      </c>
      <c r="D1431" t="s">
        <v>45</v>
      </c>
      <c r="E1431" t="s">
        <v>96</v>
      </c>
      <c r="F1431" t="s">
        <v>39</v>
      </c>
      <c r="G1431">
        <v>0.4</v>
      </c>
      <c r="H1431" t="s">
        <v>589</v>
      </c>
      <c r="I1431">
        <v>-4</v>
      </c>
      <c r="J1431" s="4" t="str">
        <f>HYPERLINK("https://www.eliteprospects.com/player/814956/wesley-royston")</f>
        <v>https://www.eliteprospects.com/player/814956/wesley-royston</v>
      </c>
      <c r="K1431" t="s">
        <v>27</v>
      </c>
      <c r="L1431" t="s">
        <v>485</v>
      </c>
      <c r="M1431" t="s">
        <v>29</v>
      </c>
      <c r="N1431">
        <v>3</v>
      </c>
      <c r="O1431" t="s">
        <v>492</v>
      </c>
      <c r="P1431">
        <v>0.06</v>
      </c>
      <c r="Q1431" t="s">
        <v>135</v>
      </c>
      <c r="R1431">
        <v>0</v>
      </c>
      <c r="S1431">
        <v>33.299999999999997</v>
      </c>
      <c r="T1431">
        <v>23.8</v>
      </c>
      <c r="U1431">
        <v>9.5</v>
      </c>
      <c r="V1431">
        <v>33.299999999999997</v>
      </c>
    </row>
    <row r="1432" spans="1:22" x14ac:dyDescent="0.25">
      <c r="A1432" t="s">
        <v>590</v>
      </c>
      <c r="B1432" t="s">
        <v>507</v>
      </c>
      <c r="C1432">
        <v>35</v>
      </c>
      <c r="D1432" t="s">
        <v>26</v>
      </c>
      <c r="E1432" t="s">
        <v>57</v>
      </c>
      <c r="F1432" t="s">
        <v>39</v>
      </c>
      <c r="G1432">
        <v>0.4</v>
      </c>
      <c r="H1432" t="s">
        <v>26</v>
      </c>
      <c r="I1432">
        <v>4</v>
      </c>
      <c r="J1432" s="4" t="str">
        <f>HYPERLINK("https://www.eliteprospects.com/player/876196/chase-hull")</f>
        <v>https://www.eliteprospects.com/player/876196/chase-hull</v>
      </c>
      <c r="K1432" t="s">
        <v>27</v>
      </c>
      <c r="L1432" t="s">
        <v>485</v>
      </c>
      <c r="M1432" t="s">
        <v>35</v>
      </c>
      <c r="N1432">
        <v>1</v>
      </c>
      <c r="O1432" t="s">
        <v>494</v>
      </c>
      <c r="P1432">
        <v>0.06</v>
      </c>
      <c r="Q1432" t="s">
        <v>245</v>
      </c>
      <c r="R1432">
        <v>14.3</v>
      </c>
      <c r="S1432">
        <v>28.6</v>
      </c>
      <c r="T1432">
        <v>0</v>
      </c>
      <c r="U1432">
        <v>14.3</v>
      </c>
      <c r="V1432">
        <v>42.9</v>
      </c>
    </row>
    <row r="1433" spans="1:22" x14ac:dyDescent="0.25">
      <c r="A1433" t="s">
        <v>593</v>
      </c>
      <c r="B1433" t="s">
        <v>507</v>
      </c>
      <c r="C1433">
        <v>38</v>
      </c>
      <c r="D1433" t="s">
        <v>96</v>
      </c>
      <c r="E1433" t="s">
        <v>26</v>
      </c>
      <c r="F1433" t="s">
        <v>65</v>
      </c>
      <c r="G1433">
        <v>0.34</v>
      </c>
      <c r="H1433" t="s">
        <v>32</v>
      </c>
      <c r="I1433">
        <v>8</v>
      </c>
      <c r="J1433" s="4" t="str">
        <f>HYPERLINK("https://www.eliteprospects.com/player/916558/brady-smith")</f>
        <v>https://www.eliteprospects.com/player/916558/brady-smith</v>
      </c>
      <c r="K1433" t="s">
        <v>27</v>
      </c>
      <c r="L1433" t="s">
        <v>485</v>
      </c>
      <c r="M1433" t="s">
        <v>29</v>
      </c>
      <c r="N1433">
        <v>2</v>
      </c>
      <c r="O1433" t="s">
        <v>501</v>
      </c>
      <c r="P1433">
        <v>0.05</v>
      </c>
      <c r="Q1433" t="s">
        <v>245</v>
      </c>
      <c r="R1433">
        <v>0</v>
      </c>
      <c r="S1433">
        <v>25</v>
      </c>
      <c r="T1433">
        <v>0</v>
      </c>
      <c r="U1433">
        <v>25</v>
      </c>
      <c r="V1433">
        <v>50</v>
      </c>
    </row>
    <row r="1434" spans="1:22" x14ac:dyDescent="0.25">
      <c r="A1434" t="s">
        <v>596</v>
      </c>
      <c r="B1434" t="s">
        <v>507</v>
      </c>
      <c r="C1434">
        <v>35</v>
      </c>
      <c r="D1434" t="s">
        <v>140</v>
      </c>
      <c r="E1434" t="s">
        <v>78</v>
      </c>
      <c r="F1434" t="s">
        <v>32</v>
      </c>
      <c r="G1434">
        <v>0.28999999999999998</v>
      </c>
      <c r="H1434" t="s">
        <v>60</v>
      </c>
      <c r="I1434">
        <v>1</v>
      </c>
      <c r="J1434" s="4" t="str">
        <f>HYPERLINK("https://www.eliteprospects.com/player/918218/logan-hawery")</f>
        <v>https://www.eliteprospects.com/player/918218/logan-hawery</v>
      </c>
      <c r="K1434" t="s">
        <v>27</v>
      </c>
      <c r="L1434" t="s">
        <v>485</v>
      </c>
      <c r="M1434" t="s">
        <v>42</v>
      </c>
      <c r="N1434">
        <v>2</v>
      </c>
      <c r="O1434" t="s">
        <v>501</v>
      </c>
      <c r="P1434">
        <v>0.04</v>
      </c>
      <c r="Q1434" t="s">
        <v>245</v>
      </c>
      <c r="R1434">
        <v>0</v>
      </c>
      <c r="S1434">
        <v>0</v>
      </c>
      <c r="T1434">
        <v>0</v>
      </c>
      <c r="U1434">
        <v>0</v>
      </c>
      <c r="V1434">
        <v>100</v>
      </c>
    </row>
    <row r="1435" spans="1:22" x14ac:dyDescent="0.25">
      <c r="A1435" t="s">
        <v>598</v>
      </c>
      <c r="B1435" t="s">
        <v>507</v>
      </c>
      <c r="C1435">
        <v>34</v>
      </c>
      <c r="D1435" t="s">
        <v>66</v>
      </c>
      <c r="E1435" t="s">
        <v>66</v>
      </c>
      <c r="F1435" t="s">
        <v>26</v>
      </c>
      <c r="G1435">
        <v>0.24</v>
      </c>
      <c r="H1435" t="s">
        <v>187</v>
      </c>
      <c r="I1435">
        <v>-13</v>
      </c>
      <c r="J1435" s="4" t="str">
        <f>HYPERLINK("https://www.eliteprospects.com/player/887913/noah-read")</f>
        <v>https://www.eliteprospects.com/player/887913/noah-read</v>
      </c>
      <c r="K1435" t="s">
        <v>27</v>
      </c>
      <c r="L1435" t="s">
        <v>485</v>
      </c>
      <c r="M1435" t="s">
        <v>76</v>
      </c>
      <c r="N1435">
        <v>2</v>
      </c>
      <c r="O1435" t="s">
        <v>501</v>
      </c>
      <c r="P1435">
        <v>0.03</v>
      </c>
      <c r="Q1435" t="s">
        <v>245</v>
      </c>
      <c r="R1435">
        <v>13.3</v>
      </c>
      <c r="S1435">
        <v>13.3</v>
      </c>
      <c r="T1435">
        <v>0</v>
      </c>
      <c r="U1435">
        <v>13.3</v>
      </c>
      <c r="V1435">
        <v>60</v>
      </c>
    </row>
    <row r="1436" spans="1:22" x14ac:dyDescent="0.25">
      <c r="A1436" t="s">
        <v>601</v>
      </c>
      <c r="B1436" t="s">
        <v>507</v>
      </c>
      <c r="C1436">
        <v>10</v>
      </c>
      <c r="D1436" t="s">
        <v>140</v>
      </c>
      <c r="E1436" t="s">
        <v>66</v>
      </c>
      <c r="F1436" t="s">
        <v>78</v>
      </c>
      <c r="G1436">
        <v>0.7</v>
      </c>
      <c r="H1436" t="s">
        <v>32</v>
      </c>
      <c r="I1436">
        <v>0</v>
      </c>
      <c r="J1436" s="4" t="str">
        <f>HYPERLINK("https://www.eliteprospects.com/player/719964/matthew-wang")</f>
        <v>https://www.eliteprospects.com/player/719964/matthew-wang</v>
      </c>
      <c r="K1436" t="s">
        <v>27</v>
      </c>
      <c r="L1436" t="s">
        <v>485</v>
      </c>
      <c r="M1436" t="s">
        <v>143</v>
      </c>
      <c r="N1436">
        <v>3</v>
      </c>
      <c r="O1436" t="s">
        <v>492</v>
      </c>
      <c r="P1436">
        <v>0.1</v>
      </c>
      <c r="Q1436" t="s">
        <v>245</v>
      </c>
      <c r="R1436">
        <v>0</v>
      </c>
      <c r="S1436">
        <v>33.299999999999997</v>
      </c>
      <c r="T1436">
        <v>0</v>
      </c>
      <c r="U1436">
        <v>0</v>
      </c>
      <c r="V1436">
        <v>66.7</v>
      </c>
    </row>
    <row r="1437" spans="1:22" x14ac:dyDescent="0.25">
      <c r="A1437" t="s">
        <v>607</v>
      </c>
      <c r="B1437" t="s">
        <v>507</v>
      </c>
      <c r="C1437">
        <v>32</v>
      </c>
      <c r="D1437" t="s">
        <v>79</v>
      </c>
      <c r="E1437" t="s">
        <v>66</v>
      </c>
      <c r="F1437" t="s">
        <v>57</v>
      </c>
      <c r="G1437">
        <v>0.19</v>
      </c>
      <c r="H1437" t="s">
        <v>38</v>
      </c>
      <c r="I1437">
        <v>-10</v>
      </c>
      <c r="J1437" s="4" t="str">
        <f>HYPERLINK("https://www.eliteprospects.com/player/862022/kase-kamzik")</f>
        <v>https://www.eliteprospects.com/player/862022/kase-kamzik</v>
      </c>
      <c r="K1437" t="s">
        <v>27</v>
      </c>
      <c r="L1437" t="s">
        <v>485</v>
      </c>
      <c r="M1437" t="s">
        <v>35</v>
      </c>
      <c r="N1437">
        <v>1</v>
      </c>
      <c r="O1437" t="s">
        <v>494</v>
      </c>
      <c r="P1437">
        <v>0.03</v>
      </c>
      <c r="Q1437" t="s">
        <v>245</v>
      </c>
      <c r="R1437">
        <v>13.3</v>
      </c>
      <c r="S1437">
        <v>13.3</v>
      </c>
      <c r="T1437">
        <v>0</v>
      </c>
      <c r="U1437">
        <v>13.3</v>
      </c>
      <c r="V1437">
        <v>60</v>
      </c>
    </row>
    <row r="1438" spans="1:22" x14ac:dyDescent="0.25">
      <c r="A1438" t="s">
        <v>609</v>
      </c>
      <c r="B1438" t="s">
        <v>507</v>
      </c>
      <c r="C1438">
        <v>27</v>
      </c>
      <c r="D1438" t="s">
        <v>79</v>
      </c>
      <c r="E1438" t="s">
        <v>140</v>
      </c>
      <c r="F1438" t="s">
        <v>96</v>
      </c>
      <c r="G1438">
        <v>0.19</v>
      </c>
      <c r="H1438" t="s">
        <v>66</v>
      </c>
      <c r="I1438">
        <v>0</v>
      </c>
      <c r="J1438" s="4" t="str">
        <f>HYPERLINK("https://www.eliteprospects.com/player/861652/jaxon-williams")</f>
        <v>https://www.eliteprospects.com/player/861652/jaxon-williams</v>
      </c>
      <c r="K1438" t="s">
        <v>27</v>
      </c>
      <c r="L1438" t="s">
        <v>485</v>
      </c>
      <c r="M1438" t="s">
        <v>29</v>
      </c>
      <c r="N1438">
        <v>1</v>
      </c>
      <c r="O1438" t="s">
        <v>494</v>
      </c>
      <c r="P1438">
        <v>0.03</v>
      </c>
      <c r="Q1438" t="s">
        <v>245</v>
      </c>
      <c r="R1438">
        <v>9.1</v>
      </c>
      <c r="S1438">
        <v>18.2</v>
      </c>
      <c r="T1438">
        <v>9.1</v>
      </c>
      <c r="U1438">
        <v>13.6</v>
      </c>
      <c r="V1438">
        <v>50</v>
      </c>
    </row>
    <row r="1439" spans="1:22" x14ac:dyDescent="0.25">
      <c r="A1439" t="s">
        <v>611</v>
      </c>
      <c r="B1439" t="s">
        <v>507</v>
      </c>
      <c r="C1439">
        <v>38</v>
      </c>
      <c r="D1439" t="s">
        <v>260</v>
      </c>
      <c r="E1439" t="s">
        <v>66</v>
      </c>
      <c r="F1439" t="s">
        <v>96</v>
      </c>
      <c r="G1439">
        <v>0.13</v>
      </c>
      <c r="H1439" t="s">
        <v>32</v>
      </c>
      <c r="I1439">
        <v>-2</v>
      </c>
      <c r="J1439" s="4" t="str">
        <f>HYPERLINK("https://www.eliteprospects.com/player/887876/evan-headrick")</f>
        <v>https://www.eliteprospects.com/player/887876/evan-headrick</v>
      </c>
      <c r="K1439" t="s">
        <v>27</v>
      </c>
      <c r="L1439" t="s">
        <v>485</v>
      </c>
      <c r="M1439" t="s">
        <v>42</v>
      </c>
      <c r="N1439">
        <v>2</v>
      </c>
      <c r="O1439" t="s">
        <v>501</v>
      </c>
      <c r="P1439">
        <v>0.02</v>
      </c>
      <c r="Q1439" t="s">
        <v>245</v>
      </c>
      <c r="R1439">
        <v>9.1</v>
      </c>
      <c r="S1439">
        <v>18.2</v>
      </c>
      <c r="T1439">
        <v>9.1</v>
      </c>
      <c r="U1439">
        <v>13.6</v>
      </c>
      <c r="V1439">
        <v>50</v>
      </c>
    </row>
    <row r="1440" spans="1:22" x14ac:dyDescent="0.25">
      <c r="A1440" t="s">
        <v>615</v>
      </c>
      <c r="B1440" t="s">
        <v>507</v>
      </c>
      <c r="C1440">
        <v>27</v>
      </c>
      <c r="D1440" t="s">
        <v>260</v>
      </c>
      <c r="E1440" t="s">
        <v>79</v>
      </c>
      <c r="F1440" t="s">
        <v>140</v>
      </c>
      <c r="G1440">
        <v>0.11</v>
      </c>
      <c r="H1440" t="s">
        <v>178</v>
      </c>
      <c r="I1440">
        <v>-2</v>
      </c>
      <c r="J1440" s="4" t="str">
        <f>HYPERLINK("https://www.eliteprospects.com/player/692790/charles-hilton")</f>
        <v>https://www.eliteprospects.com/player/692790/charles-hilton</v>
      </c>
      <c r="K1440" t="s">
        <v>27</v>
      </c>
      <c r="L1440" t="s">
        <v>485</v>
      </c>
      <c r="M1440" t="s">
        <v>35</v>
      </c>
      <c r="N1440">
        <v>3</v>
      </c>
      <c r="O1440" t="s">
        <v>492</v>
      </c>
      <c r="P1440">
        <v>0.02</v>
      </c>
      <c r="Q1440" t="s">
        <v>245</v>
      </c>
      <c r="R1440">
        <v>9.1</v>
      </c>
      <c r="S1440">
        <v>18.2</v>
      </c>
      <c r="T1440">
        <v>9.1</v>
      </c>
      <c r="U1440">
        <v>13.6</v>
      </c>
      <c r="V1440">
        <v>50</v>
      </c>
    </row>
    <row r="1441" spans="1:22" x14ac:dyDescent="0.25">
      <c r="A1441" t="s">
        <v>618</v>
      </c>
      <c r="B1441" t="s">
        <v>507</v>
      </c>
      <c r="C1441">
        <v>39</v>
      </c>
      <c r="D1441" t="s">
        <v>260</v>
      </c>
      <c r="E1441" t="s">
        <v>79</v>
      </c>
      <c r="F1441" t="s">
        <v>140</v>
      </c>
      <c r="G1441">
        <v>0.08</v>
      </c>
      <c r="H1441" t="s">
        <v>34</v>
      </c>
      <c r="I1441">
        <v>-11</v>
      </c>
      <c r="J1441" s="4" t="str">
        <f>HYPERLINK("https://www.eliteprospects.com/player/906221/tyler-challenger")</f>
        <v>https://www.eliteprospects.com/player/906221/tyler-challenger</v>
      </c>
      <c r="K1441" t="s">
        <v>27</v>
      </c>
      <c r="L1441" t="s">
        <v>485</v>
      </c>
      <c r="M1441" t="s">
        <v>91</v>
      </c>
      <c r="N1441">
        <v>2</v>
      </c>
      <c r="O1441" t="s">
        <v>501</v>
      </c>
      <c r="P1441">
        <v>0.01</v>
      </c>
      <c r="Q1441" t="s">
        <v>245</v>
      </c>
      <c r="R1441">
        <v>13.3</v>
      </c>
      <c r="S1441">
        <v>13.3</v>
      </c>
      <c r="T1441">
        <v>0</v>
      </c>
      <c r="U1441">
        <v>13.3</v>
      </c>
      <c r="V1441">
        <v>60</v>
      </c>
    </row>
    <row r="1442" spans="1:22" x14ac:dyDescent="0.25">
      <c r="A1442" t="s">
        <v>630</v>
      </c>
      <c r="B1442" t="s">
        <v>507</v>
      </c>
      <c r="C1442">
        <v>40</v>
      </c>
      <c r="D1442" t="s">
        <v>52</v>
      </c>
      <c r="E1442" t="s">
        <v>178</v>
      </c>
      <c r="F1442" t="s">
        <v>529</v>
      </c>
      <c r="G1442">
        <v>1.55</v>
      </c>
      <c r="H1442" t="s">
        <v>300</v>
      </c>
      <c r="I1442">
        <v>-11</v>
      </c>
      <c r="J1442" s="4" t="str">
        <f>HYPERLINK("https://www.eliteprospects.com/player/576988/cameron-schmidt")</f>
        <v>https://www.eliteprospects.com/player/576988/cameron-schmidt</v>
      </c>
      <c r="K1442" t="s">
        <v>27</v>
      </c>
      <c r="L1442" t="s">
        <v>631</v>
      </c>
      <c r="M1442" t="s">
        <v>29</v>
      </c>
      <c r="N1442">
        <v>4</v>
      </c>
      <c r="O1442" t="s">
        <v>632</v>
      </c>
      <c r="P1442">
        <v>0.22</v>
      </c>
      <c r="Q1442" t="s">
        <v>245</v>
      </c>
      <c r="R1442">
        <v>0</v>
      </c>
      <c r="S1442">
        <v>0</v>
      </c>
      <c r="T1442">
        <v>0</v>
      </c>
      <c r="U1442">
        <v>0</v>
      </c>
      <c r="V1442">
        <v>100</v>
      </c>
    </row>
    <row r="1443" spans="1:22" x14ac:dyDescent="0.25">
      <c r="A1443" t="s">
        <v>642</v>
      </c>
      <c r="B1443" t="s">
        <v>507</v>
      </c>
      <c r="C1443">
        <v>42</v>
      </c>
      <c r="D1443" t="s">
        <v>24</v>
      </c>
      <c r="E1443" t="s">
        <v>125</v>
      </c>
      <c r="F1443" t="s">
        <v>136</v>
      </c>
      <c r="G1443">
        <v>1.1000000000000001</v>
      </c>
      <c r="H1443" t="s">
        <v>638</v>
      </c>
      <c r="I1443">
        <v>-6</v>
      </c>
      <c r="J1443" s="4" t="str">
        <f>HYPERLINK("https://www.eliteprospects.com/player/642603/shane-smith")</f>
        <v>https://www.eliteprospects.com/player/642603/shane-smith</v>
      </c>
      <c r="K1443" t="s">
        <v>27</v>
      </c>
      <c r="L1443" t="s">
        <v>631</v>
      </c>
      <c r="M1443" t="s">
        <v>35</v>
      </c>
      <c r="N1443">
        <v>6</v>
      </c>
      <c r="O1443" t="s">
        <v>643</v>
      </c>
      <c r="P1443">
        <v>0.16</v>
      </c>
      <c r="Q1443" t="s">
        <v>31</v>
      </c>
      <c r="R1443">
        <v>50</v>
      </c>
      <c r="S1443">
        <v>0</v>
      </c>
      <c r="T1443">
        <v>0</v>
      </c>
      <c r="U1443">
        <v>0</v>
      </c>
      <c r="V1443">
        <v>50</v>
      </c>
    </row>
    <row r="1444" spans="1:22" x14ac:dyDescent="0.25">
      <c r="A1444" t="s">
        <v>648</v>
      </c>
      <c r="B1444" t="s">
        <v>507</v>
      </c>
      <c r="C1444">
        <v>39</v>
      </c>
      <c r="D1444" t="s">
        <v>60</v>
      </c>
      <c r="E1444" t="s">
        <v>61</v>
      </c>
      <c r="F1444" t="s">
        <v>235</v>
      </c>
      <c r="G1444">
        <v>1.1299999999999999</v>
      </c>
      <c r="H1444" t="s">
        <v>51</v>
      </c>
      <c r="I1444">
        <v>-4</v>
      </c>
      <c r="J1444" s="4" t="str">
        <f>HYPERLINK("https://www.eliteprospects.com/player/742394/luke-cozens")</f>
        <v>https://www.eliteprospects.com/player/742394/luke-cozens</v>
      </c>
      <c r="K1444" t="s">
        <v>27</v>
      </c>
      <c r="L1444" t="s">
        <v>631</v>
      </c>
      <c r="M1444" t="s">
        <v>35</v>
      </c>
      <c r="N1444">
        <v>4</v>
      </c>
      <c r="O1444" t="s">
        <v>632</v>
      </c>
      <c r="P1444">
        <v>0.16</v>
      </c>
      <c r="Q1444" t="s">
        <v>135</v>
      </c>
      <c r="R1444">
        <v>20</v>
      </c>
      <c r="S1444">
        <v>40</v>
      </c>
      <c r="T1444">
        <v>0</v>
      </c>
      <c r="U1444">
        <v>20</v>
      </c>
      <c r="V1444">
        <v>20</v>
      </c>
    </row>
    <row r="1445" spans="1:22" x14ac:dyDescent="0.25">
      <c r="A1445" t="s">
        <v>650</v>
      </c>
      <c r="B1445" t="s">
        <v>507</v>
      </c>
      <c r="C1445">
        <v>36</v>
      </c>
      <c r="D1445" t="s">
        <v>55</v>
      </c>
      <c r="E1445" t="s">
        <v>84</v>
      </c>
      <c r="F1445" t="s">
        <v>277</v>
      </c>
      <c r="G1445">
        <v>1.1399999999999999</v>
      </c>
      <c r="H1445" t="s">
        <v>280</v>
      </c>
      <c r="I1445">
        <v>3</v>
      </c>
      <c r="J1445" s="4" t="str">
        <f>HYPERLINK("https://www.eliteprospects.com/player/742508/julien-maze")</f>
        <v>https://www.eliteprospects.com/player/742508/julien-maze</v>
      </c>
      <c r="K1445" t="s">
        <v>27</v>
      </c>
      <c r="L1445" t="s">
        <v>631</v>
      </c>
      <c r="M1445" t="s">
        <v>35</v>
      </c>
      <c r="N1445">
        <v>4</v>
      </c>
      <c r="O1445" t="s">
        <v>632</v>
      </c>
      <c r="P1445">
        <v>0.16</v>
      </c>
      <c r="Q1445" t="s">
        <v>1277</v>
      </c>
      <c r="R1445">
        <v>0</v>
      </c>
      <c r="S1445">
        <v>33.299999999999997</v>
      </c>
      <c r="T1445">
        <v>50</v>
      </c>
      <c r="U1445">
        <v>16.7</v>
      </c>
      <c r="V1445">
        <v>0</v>
      </c>
    </row>
    <row r="1446" spans="1:22" x14ac:dyDescent="0.25">
      <c r="A1446" t="s">
        <v>652</v>
      </c>
      <c r="B1446" t="s">
        <v>507</v>
      </c>
      <c r="C1446">
        <v>39</v>
      </c>
      <c r="D1446" t="s">
        <v>38</v>
      </c>
      <c r="E1446" t="s">
        <v>75</v>
      </c>
      <c r="F1446" t="s">
        <v>277</v>
      </c>
      <c r="G1446">
        <v>1.05</v>
      </c>
      <c r="H1446" t="s">
        <v>53</v>
      </c>
      <c r="I1446">
        <v>8</v>
      </c>
      <c r="J1446" s="4" t="str">
        <f>HYPERLINK("https://www.eliteprospects.com/player/647542/logan-wormald")</f>
        <v>https://www.eliteprospects.com/player/647542/logan-wormald</v>
      </c>
      <c r="K1446" t="s">
        <v>27</v>
      </c>
      <c r="L1446" t="s">
        <v>631</v>
      </c>
      <c r="M1446" t="s">
        <v>35</v>
      </c>
      <c r="N1446">
        <v>5</v>
      </c>
      <c r="O1446" t="s">
        <v>645</v>
      </c>
      <c r="P1446">
        <v>0.15</v>
      </c>
      <c r="Q1446" t="s">
        <v>31</v>
      </c>
      <c r="R1446">
        <v>36.700000000000003</v>
      </c>
      <c r="S1446">
        <v>36.700000000000003</v>
      </c>
      <c r="T1446">
        <v>0</v>
      </c>
      <c r="U1446">
        <v>0</v>
      </c>
      <c r="V1446">
        <v>26.7</v>
      </c>
    </row>
    <row r="1447" spans="1:22" x14ac:dyDescent="0.25">
      <c r="A1447" t="s">
        <v>654</v>
      </c>
      <c r="B1447" t="s">
        <v>507</v>
      </c>
      <c r="C1447">
        <v>41</v>
      </c>
      <c r="D1447" t="s">
        <v>24</v>
      </c>
      <c r="E1447" t="s">
        <v>24</v>
      </c>
      <c r="F1447" t="s">
        <v>300</v>
      </c>
      <c r="G1447">
        <v>0.98</v>
      </c>
      <c r="H1447" t="s">
        <v>40</v>
      </c>
      <c r="I1447">
        <v>-4</v>
      </c>
      <c r="J1447" s="4" t="str">
        <f>HYPERLINK("https://www.eliteprospects.com/player/641767/ty-halaburda")</f>
        <v>https://www.eliteprospects.com/player/641767/ty-halaburda</v>
      </c>
      <c r="K1447" t="s">
        <v>27</v>
      </c>
      <c r="L1447" t="s">
        <v>631</v>
      </c>
      <c r="M1447" t="s">
        <v>42</v>
      </c>
      <c r="N1447">
        <v>5</v>
      </c>
      <c r="O1447" t="s">
        <v>645</v>
      </c>
      <c r="P1447">
        <v>0.14000000000000001</v>
      </c>
      <c r="Q1447" t="s">
        <v>245</v>
      </c>
      <c r="R1447">
        <v>0</v>
      </c>
      <c r="S1447">
        <v>25</v>
      </c>
      <c r="T1447">
        <v>25</v>
      </c>
      <c r="U1447">
        <v>0</v>
      </c>
      <c r="V1447">
        <v>50</v>
      </c>
    </row>
    <row r="1448" spans="1:22" x14ac:dyDescent="0.25">
      <c r="A1448" t="s">
        <v>655</v>
      </c>
      <c r="B1448" t="s">
        <v>507</v>
      </c>
      <c r="C1448">
        <v>33</v>
      </c>
      <c r="D1448" t="s">
        <v>60</v>
      </c>
      <c r="E1448" t="s">
        <v>84</v>
      </c>
      <c r="F1448" t="s">
        <v>300</v>
      </c>
      <c r="G1448">
        <v>1.21</v>
      </c>
      <c r="H1448" t="s">
        <v>47</v>
      </c>
      <c r="I1448">
        <v>14</v>
      </c>
      <c r="J1448" s="4" t="str">
        <f>HYPERLINK("https://www.eliteprospects.com/player/577115/brandon-gorzynski")</f>
        <v>https://www.eliteprospects.com/player/577115/brandon-gorzynski</v>
      </c>
      <c r="K1448" t="s">
        <v>27</v>
      </c>
      <c r="L1448" t="s">
        <v>631</v>
      </c>
      <c r="M1448" t="s">
        <v>91</v>
      </c>
      <c r="N1448">
        <v>3</v>
      </c>
      <c r="O1448" t="s">
        <v>639</v>
      </c>
      <c r="P1448">
        <v>0.17</v>
      </c>
      <c r="Q1448" t="s">
        <v>31</v>
      </c>
      <c r="R1448">
        <v>78.599999999999994</v>
      </c>
      <c r="S1448">
        <v>0</v>
      </c>
      <c r="T1448">
        <v>0</v>
      </c>
      <c r="U1448">
        <v>0</v>
      </c>
      <c r="V1448">
        <v>21.4</v>
      </c>
    </row>
    <row r="1449" spans="1:22" x14ac:dyDescent="0.25">
      <c r="A1449" t="s">
        <v>664</v>
      </c>
      <c r="B1449" t="s">
        <v>507</v>
      </c>
      <c r="C1449">
        <v>40</v>
      </c>
      <c r="D1449" t="s">
        <v>38</v>
      </c>
      <c r="E1449" t="s">
        <v>33</v>
      </c>
      <c r="F1449" t="s">
        <v>518</v>
      </c>
      <c r="G1449">
        <v>0.93</v>
      </c>
      <c r="H1449" t="s">
        <v>39</v>
      </c>
      <c r="I1449">
        <v>1</v>
      </c>
      <c r="J1449" s="4" t="str">
        <f>HYPERLINK("https://www.eliteprospects.com/player/628104/tyus-sparks")</f>
        <v>https://www.eliteprospects.com/player/628104/tyus-sparks</v>
      </c>
      <c r="K1449" t="s">
        <v>27</v>
      </c>
      <c r="L1449" t="s">
        <v>631</v>
      </c>
      <c r="M1449" t="s">
        <v>35</v>
      </c>
      <c r="N1449">
        <v>2</v>
      </c>
      <c r="O1449" t="s">
        <v>636</v>
      </c>
      <c r="P1449">
        <v>0.13</v>
      </c>
      <c r="Q1449" t="s">
        <v>31</v>
      </c>
      <c r="R1449">
        <v>100</v>
      </c>
      <c r="S1449">
        <v>0</v>
      </c>
      <c r="T1449">
        <v>0</v>
      </c>
      <c r="U1449">
        <v>0</v>
      </c>
      <c r="V1449">
        <v>0</v>
      </c>
    </row>
    <row r="1450" spans="1:22" x14ac:dyDescent="0.25">
      <c r="A1450" t="s">
        <v>665</v>
      </c>
      <c r="B1450" t="s">
        <v>507</v>
      </c>
      <c r="C1450">
        <v>34</v>
      </c>
      <c r="D1450" t="s">
        <v>41</v>
      </c>
      <c r="E1450" t="s">
        <v>47</v>
      </c>
      <c r="F1450" t="s">
        <v>518</v>
      </c>
      <c r="G1450">
        <v>1.0900000000000001</v>
      </c>
      <c r="H1450" t="s">
        <v>57</v>
      </c>
      <c r="I1450">
        <v>10</v>
      </c>
      <c r="J1450" s="4" t="str">
        <f>HYPERLINK("https://www.eliteprospects.com/player/643472/connor-dale")</f>
        <v>https://www.eliteprospects.com/player/643472/connor-dale</v>
      </c>
      <c r="K1450" t="s">
        <v>27</v>
      </c>
      <c r="L1450" t="s">
        <v>631</v>
      </c>
      <c r="M1450" t="s">
        <v>35</v>
      </c>
      <c r="N1450">
        <v>4</v>
      </c>
      <c r="O1450" t="s">
        <v>632</v>
      </c>
      <c r="P1450">
        <v>0.15</v>
      </c>
      <c r="Q1450" t="s">
        <v>31</v>
      </c>
      <c r="R1450">
        <v>36.700000000000003</v>
      </c>
      <c r="S1450">
        <v>36.700000000000003</v>
      </c>
      <c r="T1450">
        <v>0</v>
      </c>
      <c r="U1450">
        <v>0</v>
      </c>
      <c r="V1450">
        <v>26.7</v>
      </c>
    </row>
    <row r="1451" spans="1:22" x14ac:dyDescent="0.25">
      <c r="A1451" t="s">
        <v>674</v>
      </c>
      <c r="B1451" t="s">
        <v>507</v>
      </c>
      <c r="C1451">
        <v>37</v>
      </c>
      <c r="D1451" t="s">
        <v>32</v>
      </c>
      <c r="E1451" t="s">
        <v>81</v>
      </c>
      <c r="F1451" t="s">
        <v>178</v>
      </c>
      <c r="G1451">
        <v>0.92</v>
      </c>
      <c r="H1451" t="s">
        <v>26</v>
      </c>
      <c r="I1451">
        <v>-31</v>
      </c>
      <c r="J1451" s="4" t="str">
        <f>HYPERLINK("https://www.eliteprospects.com/player/825443/noah-kosick")</f>
        <v>https://www.eliteprospects.com/player/825443/noah-kosick</v>
      </c>
      <c r="K1451" t="s">
        <v>27</v>
      </c>
      <c r="L1451" t="s">
        <v>631</v>
      </c>
      <c r="M1451" t="s">
        <v>42</v>
      </c>
      <c r="N1451">
        <v>2</v>
      </c>
      <c r="O1451" t="s">
        <v>636</v>
      </c>
      <c r="P1451">
        <v>0.13</v>
      </c>
      <c r="Q1451" t="s">
        <v>245</v>
      </c>
      <c r="R1451">
        <v>21.1</v>
      </c>
      <c r="S1451">
        <v>26.3</v>
      </c>
      <c r="T1451">
        <v>5.3</v>
      </c>
      <c r="U1451">
        <v>5.3</v>
      </c>
      <c r="V1451">
        <v>42.1</v>
      </c>
    </row>
    <row r="1452" spans="1:22" x14ac:dyDescent="0.25">
      <c r="A1452" t="s">
        <v>677</v>
      </c>
      <c r="B1452" t="s">
        <v>507</v>
      </c>
      <c r="C1452">
        <v>36</v>
      </c>
      <c r="D1452" t="s">
        <v>39</v>
      </c>
      <c r="E1452" t="s">
        <v>55</v>
      </c>
      <c r="F1452" t="s">
        <v>25</v>
      </c>
      <c r="G1452">
        <v>0.89</v>
      </c>
      <c r="H1452" t="s">
        <v>25</v>
      </c>
      <c r="I1452">
        <v>-2</v>
      </c>
      <c r="J1452" s="4" t="str">
        <f>HYPERLINK("https://www.eliteprospects.com/player/628115/mathis-preston")</f>
        <v>https://www.eliteprospects.com/player/628115/mathis-preston</v>
      </c>
      <c r="K1452" t="s">
        <v>27</v>
      </c>
      <c r="L1452" t="s">
        <v>631</v>
      </c>
      <c r="M1452" t="s">
        <v>35</v>
      </c>
      <c r="N1452">
        <v>3</v>
      </c>
      <c r="O1452" t="s">
        <v>639</v>
      </c>
      <c r="P1452">
        <v>0.13</v>
      </c>
      <c r="Q1452" t="s">
        <v>135</v>
      </c>
      <c r="R1452">
        <v>11.1</v>
      </c>
      <c r="S1452">
        <v>44.4</v>
      </c>
      <c r="T1452">
        <v>11.1</v>
      </c>
      <c r="U1452">
        <v>11.1</v>
      </c>
      <c r="V1452">
        <v>22.2</v>
      </c>
    </row>
    <row r="1453" spans="1:22" x14ac:dyDescent="0.25">
      <c r="A1453" t="s">
        <v>681</v>
      </c>
      <c r="B1453" t="s">
        <v>507</v>
      </c>
      <c r="C1453">
        <v>34</v>
      </c>
      <c r="D1453" t="s">
        <v>69</v>
      </c>
      <c r="E1453" t="s">
        <v>51</v>
      </c>
      <c r="F1453" t="s">
        <v>40</v>
      </c>
      <c r="G1453">
        <v>0.88</v>
      </c>
      <c r="H1453" t="s">
        <v>38</v>
      </c>
      <c r="I1453">
        <v>7</v>
      </c>
      <c r="J1453" s="4" t="str">
        <f>HYPERLINK("https://www.eliteprospects.com/player/597834/maddix-mccagherty")</f>
        <v>https://www.eliteprospects.com/player/597834/maddix-mccagherty</v>
      </c>
      <c r="K1453" t="s">
        <v>27</v>
      </c>
      <c r="L1453" t="s">
        <v>631</v>
      </c>
      <c r="M1453" t="s">
        <v>35</v>
      </c>
      <c r="N1453">
        <v>5</v>
      </c>
      <c r="O1453" t="s">
        <v>645</v>
      </c>
      <c r="P1453">
        <v>0.12</v>
      </c>
      <c r="Q1453" t="s">
        <v>135</v>
      </c>
      <c r="R1453">
        <v>22.7</v>
      </c>
      <c r="S1453">
        <v>36.4</v>
      </c>
      <c r="T1453">
        <v>9.1</v>
      </c>
      <c r="U1453">
        <v>0</v>
      </c>
      <c r="V1453">
        <v>31.8</v>
      </c>
    </row>
    <row r="1454" spans="1:22" x14ac:dyDescent="0.25">
      <c r="A1454" t="s">
        <v>687</v>
      </c>
      <c r="B1454" t="s">
        <v>507</v>
      </c>
      <c r="C1454">
        <v>37</v>
      </c>
      <c r="D1454" t="s">
        <v>32</v>
      </c>
      <c r="E1454" t="s">
        <v>38</v>
      </c>
      <c r="F1454" t="s">
        <v>125</v>
      </c>
      <c r="G1454">
        <v>0.7</v>
      </c>
      <c r="H1454" t="s">
        <v>52</v>
      </c>
      <c r="I1454">
        <v>-11</v>
      </c>
      <c r="J1454" s="4" t="str">
        <f>HYPERLINK("https://www.eliteprospects.com/player/689896/aaron-obobaifo")</f>
        <v>https://www.eliteprospects.com/player/689896/aaron-obobaifo</v>
      </c>
      <c r="K1454" t="s">
        <v>27</v>
      </c>
      <c r="L1454" t="s">
        <v>631</v>
      </c>
      <c r="M1454" t="s">
        <v>42</v>
      </c>
      <c r="N1454">
        <v>3</v>
      </c>
      <c r="O1454" t="s">
        <v>639</v>
      </c>
      <c r="P1454">
        <v>0.1</v>
      </c>
      <c r="Q1454" t="s">
        <v>245</v>
      </c>
      <c r="R1454">
        <v>9.1</v>
      </c>
      <c r="S1454">
        <v>27.3</v>
      </c>
      <c r="T1454">
        <v>18.2</v>
      </c>
      <c r="U1454">
        <v>0</v>
      </c>
      <c r="V1454">
        <v>45.5</v>
      </c>
    </row>
    <row r="1455" spans="1:22" x14ac:dyDescent="0.25">
      <c r="A1455" t="s">
        <v>692</v>
      </c>
      <c r="B1455" t="s">
        <v>507</v>
      </c>
      <c r="C1455">
        <v>35</v>
      </c>
      <c r="D1455" t="s">
        <v>45</v>
      </c>
      <c r="E1455" t="s">
        <v>41</v>
      </c>
      <c r="F1455" t="s">
        <v>81</v>
      </c>
      <c r="G1455">
        <v>0.69</v>
      </c>
      <c r="H1455" t="s">
        <v>39</v>
      </c>
      <c r="I1455">
        <v>-16</v>
      </c>
      <c r="J1455" s="4" t="str">
        <f>HYPERLINK("https://www.eliteprospects.com/player/661688/owen-berge")</f>
        <v>https://www.eliteprospects.com/player/661688/owen-berge</v>
      </c>
      <c r="K1455" t="s">
        <v>27</v>
      </c>
      <c r="L1455" t="s">
        <v>631</v>
      </c>
      <c r="M1455" t="s">
        <v>35</v>
      </c>
      <c r="N1455">
        <v>4</v>
      </c>
      <c r="O1455" t="s">
        <v>632</v>
      </c>
      <c r="P1455">
        <v>0.1</v>
      </c>
      <c r="Q1455" t="s">
        <v>245</v>
      </c>
      <c r="R1455">
        <v>9.1</v>
      </c>
      <c r="S1455">
        <v>27.3</v>
      </c>
      <c r="T1455">
        <v>18.2</v>
      </c>
      <c r="U1455">
        <v>0</v>
      </c>
      <c r="V1455">
        <v>45.5</v>
      </c>
    </row>
    <row r="1456" spans="1:22" x14ac:dyDescent="0.25">
      <c r="A1456" t="s">
        <v>693</v>
      </c>
      <c r="B1456" t="s">
        <v>507</v>
      </c>
      <c r="C1456">
        <v>27</v>
      </c>
      <c r="D1456" t="s">
        <v>78</v>
      </c>
      <c r="E1456" t="s">
        <v>60</v>
      </c>
      <c r="F1456" t="s">
        <v>81</v>
      </c>
      <c r="G1456">
        <v>0.89</v>
      </c>
      <c r="H1456" t="s">
        <v>513</v>
      </c>
      <c r="I1456">
        <v>-5</v>
      </c>
      <c r="J1456" s="4" t="str">
        <f>HYPERLINK("https://www.eliteprospects.com/player/710545/jaxon-fuder")</f>
        <v>https://www.eliteprospects.com/player/710545/jaxon-fuder</v>
      </c>
      <c r="K1456" t="s">
        <v>27</v>
      </c>
      <c r="L1456" t="s">
        <v>631</v>
      </c>
      <c r="M1456" t="s">
        <v>143</v>
      </c>
      <c r="N1456">
        <v>2</v>
      </c>
      <c r="O1456" t="s">
        <v>636</v>
      </c>
      <c r="P1456">
        <v>0.13</v>
      </c>
      <c r="Q1456" t="s">
        <v>135</v>
      </c>
      <c r="R1456">
        <v>11.1</v>
      </c>
      <c r="S1456">
        <v>44.4</v>
      </c>
      <c r="T1456">
        <v>11.1</v>
      </c>
      <c r="U1456">
        <v>11.1</v>
      </c>
      <c r="V1456">
        <v>22.2</v>
      </c>
    </row>
    <row r="1457" spans="1:22" x14ac:dyDescent="0.25">
      <c r="A1457" t="s">
        <v>697</v>
      </c>
      <c r="B1457" t="s">
        <v>507</v>
      </c>
      <c r="C1457">
        <v>17</v>
      </c>
      <c r="D1457" t="s">
        <v>32</v>
      </c>
      <c r="E1457" t="s">
        <v>65</v>
      </c>
      <c r="F1457" t="s">
        <v>84</v>
      </c>
      <c r="G1457">
        <v>1.35</v>
      </c>
      <c r="H1457" t="s">
        <v>79</v>
      </c>
      <c r="I1457">
        <v>3</v>
      </c>
      <c r="J1457" s="4" t="str">
        <f>HYPERLINK("https://www.eliteprospects.com/player/577080/braeden-cootes")</f>
        <v>https://www.eliteprospects.com/player/577080/braeden-cootes</v>
      </c>
      <c r="K1457" t="s">
        <v>27</v>
      </c>
      <c r="L1457" t="s">
        <v>631</v>
      </c>
      <c r="M1457" t="s">
        <v>87</v>
      </c>
      <c r="N1457">
        <v>4</v>
      </c>
      <c r="O1457" t="s">
        <v>632</v>
      </c>
      <c r="P1457">
        <v>0.19</v>
      </c>
      <c r="Q1457" t="s">
        <v>135</v>
      </c>
      <c r="R1457">
        <v>25</v>
      </c>
      <c r="S1457">
        <v>50</v>
      </c>
      <c r="T1457">
        <v>0</v>
      </c>
      <c r="U1457">
        <v>0</v>
      </c>
      <c r="V1457">
        <v>25</v>
      </c>
    </row>
    <row r="1458" spans="1:22" x14ac:dyDescent="0.25">
      <c r="A1458" t="s">
        <v>698</v>
      </c>
      <c r="B1458" t="s">
        <v>507</v>
      </c>
      <c r="C1458">
        <v>32</v>
      </c>
      <c r="D1458" t="s">
        <v>32</v>
      </c>
      <c r="E1458" t="s">
        <v>65</v>
      </c>
      <c r="F1458" t="s">
        <v>84</v>
      </c>
      <c r="G1458">
        <v>0.72</v>
      </c>
      <c r="H1458" t="s">
        <v>427</v>
      </c>
      <c r="I1458">
        <v>3</v>
      </c>
      <c r="J1458" s="4" t="str">
        <f>HYPERLINK("https://www.eliteprospects.com/player/643387/harrison-lodewyk")</f>
        <v>https://www.eliteprospects.com/player/643387/harrison-lodewyk</v>
      </c>
      <c r="K1458" t="s">
        <v>27</v>
      </c>
      <c r="L1458" t="s">
        <v>631</v>
      </c>
      <c r="M1458" t="s">
        <v>35</v>
      </c>
      <c r="N1458">
        <v>5</v>
      </c>
      <c r="O1458" t="s">
        <v>645</v>
      </c>
      <c r="P1458">
        <v>0.1</v>
      </c>
      <c r="Q1458" t="s">
        <v>245</v>
      </c>
      <c r="R1458">
        <v>20</v>
      </c>
      <c r="S1458">
        <v>20</v>
      </c>
      <c r="T1458">
        <v>20</v>
      </c>
      <c r="U1458">
        <v>0</v>
      </c>
      <c r="V1458">
        <v>40</v>
      </c>
    </row>
    <row r="1459" spans="1:22" x14ac:dyDescent="0.25">
      <c r="A1459" t="s">
        <v>699</v>
      </c>
      <c r="B1459" t="s">
        <v>507</v>
      </c>
      <c r="C1459">
        <v>34</v>
      </c>
      <c r="D1459" t="s">
        <v>45</v>
      </c>
      <c r="E1459" t="s">
        <v>39</v>
      </c>
      <c r="F1459" t="s">
        <v>84</v>
      </c>
      <c r="G1459">
        <v>0.68</v>
      </c>
      <c r="H1459" t="s">
        <v>23</v>
      </c>
      <c r="I1459">
        <v>-13</v>
      </c>
      <c r="J1459" s="4" t="str">
        <f>HYPERLINK("https://www.eliteprospects.com/player/619021/dominik-petr")</f>
        <v>https://www.eliteprospects.com/player/619021/dominik-petr</v>
      </c>
      <c r="K1459" t="s">
        <v>27</v>
      </c>
      <c r="L1459" t="s">
        <v>631</v>
      </c>
      <c r="M1459" t="s">
        <v>76</v>
      </c>
      <c r="N1459">
        <v>3</v>
      </c>
      <c r="O1459" t="s">
        <v>639</v>
      </c>
      <c r="P1459">
        <v>0.1</v>
      </c>
      <c r="Q1459" t="s">
        <v>245</v>
      </c>
      <c r="R1459">
        <v>9.1</v>
      </c>
      <c r="S1459">
        <v>27.3</v>
      </c>
      <c r="T1459">
        <v>18.2</v>
      </c>
      <c r="U1459">
        <v>0</v>
      </c>
      <c r="V1459">
        <v>45.5</v>
      </c>
    </row>
    <row r="1460" spans="1:22" x14ac:dyDescent="0.25">
      <c r="A1460" t="s">
        <v>700</v>
      </c>
      <c r="B1460" t="s">
        <v>507</v>
      </c>
      <c r="C1460">
        <v>35</v>
      </c>
      <c r="D1460" t="s">
        <v>26</v>
      </c>
      <c r="E1460" t="s">
        <v>41</v>
      </c>
      <c r="F1460" t="s">
        <v>84</v>
      </c>
      <c r="G1460">
        <v>0.66</v>
      </c>
      <c r="H1460" t="s">
        <v>26</v>
      </c>
      <c r="I1460">
        <v>-4</v>
      </c>
      <c r="J1460" s="4" t="str">
        <f>HYPERLINK("https://www.eliteprospects.com/player/710599/kayden-longley")</f>
        <v>https://www.eliteprospects.com/player/710599/kayden-longley</v>
      </c>
      <c r="K1460" t="s">
        <v>27</v>
      </c>
      <c r="L1460" t="s">
        <v>631</v>
      </c>
      <c r="M1460" t="s">
        <v>35</v>
      </c>
      <c r="N1460">
        <v>4</v>
      </c>
      <c r="O1460" t="s">
        <v>632</v>
      </c>
      <c r="P1460">
        <v>0.09</v>
      </c>
      <c r="Q1460" t="s">
        <v>1277</v>
      </c>
      <c r="R1460">
        <v>16.7</v>
      </c>
      <c r="S1460">
        <v>16.7</v>
      </c>
      <c r="T1460">
        <v>25</v>
      </c>
      <c r="U1460">
        <v>16.7</v>
      </c>
      <c r="V1460">
        <v>25</v>
      </c>
    </row>
    <row r="1461" spans="1:22" x14ac:dyDescent="0.25">
      <c r="A1461" t="s">
        <v>707</v>
      </c>
      <c r="B1461" t="s">
        <v>507</v>
      </c>
      <c r="C1461">
        <v>37</v>
      </c>
      <c r="D1461" t="s">
        <v>69</v>
      </c>
      <c r="E1461" t="s">
        <v>32</v>
      </c>
      <c r="F1461" t="s">
        <v>33</v>
      </c>
      <c r="G1461">
        <v>0.56999999999999995</v>
      </c>
      <c r="H1461" t="s">
        <v>24</v>
      </c>
      <c r="I1461">
        <v>3</v>
      </c>
      <c r="J1461" s="4" t="str">
        <f>HYPERLINK("https://www.eliteprospects.com/player/875968/joe-iginla")</f>
        <v>https://www.eliteprospects.com/player/875968/joe-iginla</v>
      </c>
      <c r="K1461" t="s">
        <v>27</v>
      </c>
      <c r="L1461" t="s">
        <v>631</v>
      </c>
      <c r="M1461" t="s">
        <v>35</v>
      </c>
      <c r="N1461">
        <v>3</v>
      </c>
      <c r="O1461" t="s">
        <v>639</v>
      </c>
      <c r="P1461">
        <v>0.08</v>
      </c>
      <c r="Q1461" t="s">
        <v>31</v>
      </c>
      <c r="R1461">
        <v>33.299999999999997</v>
      </c>
      <c r="S1461">
        <v>8.3000000000000007</v>
      </c>
      <c r="T1461">
        <v>33.299999999999997</v>
      </c>
      <c r="U1461">
        <v>8.3000000000000007</v>
      </c>
      <c r="V1461">
        <v>16.7</v>
      </c>
    </row>
    <row r="1462" spans="1:22" x14ac:dyDescent="0.25">
      <c r="A1462" t="s">
        <v>712</v>
      </c>
      <c r="B1462" t="s">
        <v>507</v>
      </c>
      <c r="C1462">
        <v>35</v>
      </c>
      <c r="D1462" t="s">
        <v>45</v>
      </c>
      <c r="E1462" t="s">
        <v>69</v>
      </c>
      <c r="F1462" t="s">
        <v>24</v>
      </c>
      <c r="G1462">
        <v>0.56999999999999995</v>
      </c>
      <c r="H1462" t="s">
        <v>26</v>
      </c>
      <c r="I1462">
        <v>9</v>
      </c>
      <c r="J1462" s="4" t="str">
        <f>HYPERLINK("https://www.eliteprospects.com/player/628082/ty-meunier")</f>
        <v>https://www.eliteprospects.com/player/628082/ty-meunier</v>
      </c>
      <c r="K1462" t="s">
        <v>27</v>
      </c>
      <c r="L1462" t="s">
        <v>631</v>
      </c>
      <c r="M1462" t="s">
        <v>35</v>
      </c>
      <c r="N1462">
        <v>2</v>
      </c>
      <c r="O1462" t="s">
        <v>636</v>
      </c>
      <c r="P1462">
        <v>0.08</v>
      </c>
      <c r="Q1462" t="s">
        <v>135</v>
      </c>
      <c r="R1462">
        <v>11.1</v>
      </c>
      <c r="S1462">
        <v>55.6</v>
      </c>
      <c r="T1462">
        <v>11.1</v>
      </c>
      <c r="U1462">
        <v>11.1</v>
      </c>
      <c r="V1462">
        <v>11.1</v>
      </c>
    </row>
    <row r="1463" spans="1:22" x14ac:dyDescent="0.25">
      <c r="A1463" t="s">
        <v>719</v>
      </c>
      <c r="B1463" t="s">
        <v>507</v>
      </c>
      <c r="C1463">
        <v>33</v>
      </c>
      <c r="D1463" t="s">
        <v>65</v>
      </c>
      <c r="E1463" t="s">
        <v>96</v>
      </c>
      <c r="F1463" t="s">
        <v>55</v>
      </c>
      <c r="G1463">
        <v>0.55000000000000004</v>
      </c>
      <c r="H1463" t="s">
        <v>66</v>
      </c>
      <c r="I1463">
        <v>-3</v>
      </c>
      <c r="J1463" s="4" t="str">
        <f>HYPERLINK("https://www.eliteprospects.com/player/855920/poul-andersen")</f>
        <v>https://www.eliteprospects.com/player/855920/poul-andersen</v>
      </c>
      <c r="K1463" t="s">
        <v>27</v>
      </c>
      <c r="L1463" t="s">
        <v>631</v>
      </c>
      <c r="M1463" t="s">
        <v>29</v>
      </c>
      <c r="N1463">
        <v>1</v>
      </c>
      <c r="O1463" t="s">
        <v>634</v>
      </c>
      <c r="P1463">
        <v>0.08</v>
      </c>
      <c r="Q1463" t="s">
        <v>1277</v>
      </c>
      <c r="R1463">
        <v>16.7</v>
      </c>
      <c r="S1463">
        <v>16.7</v>
      </c>
      <c r="T1463">
        <v>25</v>
      </c>
      <c r="U1463">
        <v>16.7</v>
      </c>
      <c r="V1463">
        <v>25</v>
      </c>
    </row>
    <row r="1464" spans="1:22" x14ac:dyDescent="0.25">
      <c r="A1464" t="s">
        <v>723</v>
      </c>
      <c r="B1464" t="s">
        <v>507</v>
      </c>
      <c r="C1464">
        <v>37</v>
      </c>
      <c r="D1464" t="s">
        <v>26</v>
      </c>
      <c r="E1464" t="s">
        <v>32</v>
      </c>
      <c r="F1464" t="s">
        <v>55</v>
      </c>
      <c r="G1464">
        <v>0.49</v>
      </c>
      <c r="H1464" t="s">
        <v>52</v>
      </c>
      <c r="I1464">
        <v>-22</v>
      </c>
      <c r="J1464" s="4" t="str">
        <f>HYPERLINK("https://www.eliteprospects.com/player/805740/blake-vanek")</f>
        <v>https://www.eliteprospects.com/player/805740/blake-vanek</v>
      </c>
      <c r="K1464" t="s">
        <v>27</v>
      </c>
      <c r="L1464" t="s">
        <v>631</v>
      </c>
      <c r="M1464" t="s">
        <v>29</v>
      </c>
      <c r="N1464">
        <v>1</v>
      </c>
      <c r="O1464" t="s">
        <v>634</v>
      </c>
      <c r="P1464">
        <v>7.0000000000000007E-2</v>
      </c>
      <c r="Q1464" t="s">
        <v>245</v>
      </c>
      <c r="R1464">
        <v>0</v>
      </c>
      <c r="S1464">
        <v>15.4</v>
      </c>
      <c r="T1464">
        <v>7.7</v>
      </c>
      <c r="U1464">
        <v>30.8</v>
      </c>
      <c r="V1464">
        <v>46.2</v>
      </c>
    </row>
    <row r="1465" spans="1:22" x14ac:dyDescent="0.25">
      <c r="A1465" t="s">
        <v>729</v>
      </c>
      <c r="B1465" t="s">
        <v>507</v>
      </c>
      <c r="C1465">
        <v>35</v>
      </c>
      <c r="D1465" t="s">
        <v>45</v>
      </c>
      <c r="E1465" t="s">
        <v>78</v>
      </c>
      <c r="F1465" t="s">
        <v>38</v>
      </c>
      <c r="G1465">
        <v>0.46</v>
      </c>
      <c r="H1465" t="s">
        <v>26</v>
      </c>
      <c r="I1465">
        <v>-2</v>
      </c>
      <c r="J1465" s="4" t="str">
        <f>HYPERLINK("https://www.eliteprospects.com/player/879131/brendan-rudolph")</f>
        <v>https://www.eliteprospects.com/player/879131/brendan-rudolph</v>
      </c>
      <c r="K1465" t="s">
        <v>27</v>
      </c>
      <c r="L1465" t="s">
        <v>631</v>
      </c>
      <c r="M1465" t="s">
        <v>35</v>
      </c>
      <c r="N1465">
        <v>3</v>
      </c>
      <c r="O1465" t="s">
        <v>639</v>
      </c>
      <c r="P1465">
        <v>0.06</v>
      </c>
      <c r="Q1465" t="s">
        <v>135</v>
      </c>
      <c r="R1465">
        <v>0</v>
      </c>
      <c r="S1465">
        <v>33.299999999999997</v>
      </c>
      <c r="T1465">
        <v>23.8</v>
      </c>
      <c r="U1465">
        <v>9.5</v>
      </c>
      <c r="V1465">
        <v>33.299999999999997</v>
      </c>
    </row>
    <row r="1466" spans="1:22" x14ac:dyDescent="0.25">
      <c r="A1466" t="s">
        <v>734</v>
      </c>
      <c r="B1466" t="s">
        <v>507</v>
      </c>
      <c r="C1466">
        <v>30</v>
      </c>
      <c r="D1466" t="s">
        <v>96</v>
      </c>
      <c r="E1466" t="s">
        <v>69</v>
      </c>
      <c r="F1466" t="s">
        <v>38</v>
      </c>
      <c r="G1466">
        <v>0.53</v>
      </c>
      <c r="H1466" t="s">
        <v>65</v>
      </c>
      <c r="I1466">
        <v>-2</v>
      </c>
      <c r="J1466" s="4" t="str">
        <f>HYPERLINK("https://www.eliteprospects.com/player/804848/levi-benson")</f>
        <v>https://www.eliteprospects.com/player/804848/levi-benson</v>
      </c>
      <c r="K1466" t="s">
        <v>27</v>
      </c>
      <c r="L1466" t="s">
        <v>631</v>
      </c>
      <c r="M1466" t="s">
        <v>35</v>
      </c>
      <c r="N1466">
        <v>2</v>
      </c>
      <c r="O1466" t="s">
        <v>636</v>
      </c>
      <c r="P1466">
        <v>7.0000000000000007E-2</v>
      </c>
      <c r="Q1466" t="s">
        <v>135</v>
      </c>
      <c r="R1466">
        <v>0</v>
      </c>
      <c r="S1466">
        <v>33.299999999999997</v>
      </c>
      <c r="T1466">
        <v>23.8</v>
      </c>
      <c r="U1466">
        <v>9.5</v>
      </c>
      <c r="V1466">
        <v>33.299999999999997</v>
      </c>
    </row>
    <row r="1467" spans="1:22" x14ac:dyDescent="0.25">
      <c r="A1467" t="s">
        <v>741</v>
      </c>
      <c r="B1467" t="s">
        <v>507</v>
      </c>
      <c r="C1467">
        <v>36</v>
      </c>
      <c r="D1467" t="s">
        <v>32</v>
      </c>
      <c r="E1467" t="s">
        <v>140</v>
      </c>
      <c r="F1467" t="s">
        <v>65</v>
      </c>
      <c r="G1467">
        <v>0.36</v>
      </c>
      <c r="H1467" t="s">
        <v>84</v>
      </c>
      <c r="I1467">
        <v>-10</v>
      </c>
      <c r="J1467" s="4" t="str">
        <f>HYPERLINK("https://www.eliteprospects.com/player/914114/kalder-varga")</f>
        <v>https://www.eliteprospects.com/player/914114/kalder-varga</v>
      </c>
      <c r="K1467" t="s">
        <v>27</v>
      </c>
      <c r="L1467" t="s">
        <v>631</v>
      </c>
      <c r="M1467" t="s">
        <v>35</v>
      </c>
      <c r="N1467">
        <v>2</v>
      </c>
      <c r="O1467" t="s">
        <v>636</v>
      </c>
      <c r="P1467">
        <v>0.05</v>
      </c>
      <c r="Q1467" t="s">
        <v>245</v>
      </c>
      <c r="R1467">
        <v>13.3</v>
      </c>
      <c r="S1467">
        <v>13.3</v>
      </c>
      <c r="T1467">
        <v>0</v>
      </c>
      <c r="U1467">
        <v>13.3</v>
      </c>
      <c r="V1467">
        <v>60</v>
      </c>
    </row>
    <row r="1468" spans="1:22" x14ac:dyDescent="0.25">
      <c r="A1468" t="s">
        <v>744</v>
      </c>
      <c r="B1468" t="s">
        <v>507</v>
      </c>
      <c r="C1468">
        <v>35</v>
      </c>
      <c r="D1468" t="s">
        <v>96</v>
      </c>
      <c r="E1468" t="s">
        <v>26</v>
      </c>
      <c r="F1468" t="s">
        <v>65</v>
      </c>
      <c r="G1468">
        <v>0.37</v>
      </c>
      <c r="H1468" t="s">
        <v>65</v>
      </c>
      <c r="I1468">
        <v>1</v>
      </c>
      <c r="J1468" s="4" t="str">
        <f>HYPERLINK("https://www.eliteprospects.com/player/679637/nolan-caffey")</f>
        <v>https://www.eliteprospects.com/player/679637/nolan-caffey</v>
      </c>
      <c r="K1468" t="s">
        <v>27</v>
      </c>
      <c r="L1468" t="s">
        <v>631</v>
      </c>
      <c r="M1468" t="s">
        <v>35</v>
      </c>
      <c r="N1468">
        <v>1</v>
      </c>
      <c r="O1468" t="s">
        <v>634</v>
      </c>
      <c r="P1468">
        <v>0.05</v>
      </c>
      <c r="Q1468" t="s">
        <v>245</v>
      </c>
      <c r="R1468">
        <v>0</v>
      </c>
      <c r="S1468">
        <v>0</v>
      </c>
      <c r="T1468">
        <v>0</v>
      </c>
      <c r="U1468">
        <v>0</v>
      </c>
      <c r="V1468">
        <v>100</v>
      </c>
    </row>
    <row r="1469" spans="1:22" x14ac:dyDescent="0.25">
      <c r="A1469" t="s">
        <v>745</v>
      </c>
      <c r="B1469" t="s">
        <v>507</v>
      </c>
      <c r="C1469">
        <v>31</v>
      </c>
      <c r="D1469" t="s">
        <v>140</v>
      </c>
      <c r="E1469" t="s">
        <v>32</v>
      </c>
      <c r="F1469" t="s">
        <v>65</v>
      </c>
      <c r="G1469">
        <v>0.42</v>
      </c>
      <c r="H1469" t="s">
        <v>52</v>
      </c>
      <c r="I1469">
        <v>5</v>
      </c>
      <c r="J1469" s="4" t="str">
        <f>HYPERLINK("https://www.eliteprospects.com/player/804335/oli-chenier")</f>
        <v>https://www.eliteprospects.com/player/804335/oli-chenier</v>
      </c>
      <c r="K1469" t="s">
        <v>27</v>
      </c>
      <c r="L1469" t="s">
        <v>631</v>
      </c>
      <c r="M1469" t="s">
        <v>35</v>
      </c>
      <c r="N1469">
        <v>4</v>
      </c>
      <c r="O1469" t="s">
        <v>632</v>
      </c>
      <c r="P1469">
        <v>0.06</v>
      </c>
      <c r="Q1469" t="s">
        <v>245</v>
      </c>
      <c r="R1469">
        <v>14.3</v>
      </c>
      <c r="S1469">
        <v>28.6</v>
      </c>
      <c r="T1469">
        <v>0</v>
      </c>
      <c r="U1469">
        <v>14.3</v>
      </c>
      <c r="V1469">
        <v>42.9</v>
      </c>
    </row>
    <row r="1470" spans="1:22" x14ac:dyDescent="0.25">
      <c r="A1470" t="s">
        <v>747</v>
      </c>
      <c r="B1470" t="s">
        <v>507</v>
      </c>
      <c r="C1470">
        <v>34</v>
      </c>
      <c r="D1470" t="s">
        <v>66</v>
      </c>
      <c r="E1470" t="s">
        <v>26</v>
      </c>
      <c r="F1470" t="s">
        <v>23</v>
      </c>
      <c r="G1470">
        <v>0.35</v>
      </c>
      <c r="H1470" t="s">
        <v>512</v>
      </c>
      <c r="I1470">
        <v>-7</v>
      </c>
      <c r="J1470" s="4" t="str">
        <f>HYPERLINK("https://www.eliteprospects.com/player/891524/cameron-kuzma")</f>
        <v>https://www.eliteprospects.com/player/891524/cameron-kuzma</v>
      </c>
      <c r="K1470" t="s">
        <v>27</v>
      </c>
      <c r="L1470" t="s">
        <v>631</v>
      </c>
      <c r="M1470" t="s">
        <v>42</v>
      </c>
      <c r="N1470">
        <v>3</v>
      </c>
      <c r="O1470" t="s">
        <v>639</v>
      </c>
      <c r="P1470">
        <v>0.05</v>
      </c>
      <c r="Q1470" t="s">
        <v>245</v>
      </c>
      <c r="R1470">
        <v>13.3</v>
      </c>
      <c r="S1470">
        <v>13.3</v>
      </c>
      <c r="T1470">
        <v>0</v>
      </c>
      <c r="U1470">
        <v>13.3</v>
      </c>
      <c r="V1470">
        <v>60</v>
      </c>
    </row>
    <row r="1471" spans="1:22" x14ac:dyDescent="0.25">
      <c r="A1471" t="s">
        <v>748</v>
      </c>
      <c r="B1471" t="s">
        <v>507</v>
      </c>
      <c r="C1471">
        <v>24</v>
      </c>
      <c r="D1471" t="s">
        <v>57</v>
      </c>
      <c r="E1471" t="s">
        <v>96</v>
      </c>
      <c r="F1471" t="s">
        <v>69</v>
      </c>
      <c r="G1471">
        <v>0.46</v>
      </c>
      <c r="H1471" t="s">
        <v>235</v>
      </c>
      <c r="I1471">
        <v>0</v>
      </c>
      <c r="J1471" s="4" t="str">
        <f>HYPERLINK("https://www.eliteprospects.com/player/577131/matthew-gard")</f>
        <v>https://www.eliteprospects.com/player/577131/matthew-gard</v>
      </c>
      <c r="K1471" t="s">
        <v>27</v>
      </c>
      <c r="L1471" t="s">
        <v>631</v>
      </c>
      <c r="M1471" t="s">
        <v>42</v>
      </c>
      <c r="N1471">
        <v>3</v>
      </c>
      <c r="O1471" t="s">
        <v>639</v>
      </c>
      <c r="P1471">
        <v>0.06</v>
      </c>
      <c r="Q1471" t="s">
        <v>135</v>
      </c>
      <c r="R1471">
        <v>0</v>
      </c>
      <c r="S1471">
        <v>33.299999999999997</v>
      </c>
      <c r="T1471">
        <v>23.8</v>
      </c>
      <c r="U1471">
        <v>9.5</v>
      </c>
      <c r="V1471">
        <v>33.299999999999997</v>
      </c>
    </row>
    <row r="1472" spans="1:22" x14ac:dyDescent="0.25">
      <c r="A1472" t="s">
        <v>749</v>
      </c>
      <c r="B1472" t="s">
        <v>507</v>
      </c>
      <c r="C1472">
        <v>31</v>
      </c>
      <c r="D1472" t="s">
        <v>96</v>
      </c>
      <c r="E1472" t="s">
        <v>57</v>
      </c>
      <c r="F1472" t="s">
        <v>69</v>
      </c>
      <c r="G1472">
        <v>0.35</v>
      </c>
      <c r="H1472" t="s">
        <v>52</v>
      </c>
      <c r="I1472">
        <v>-13</v>
      </c>
      <c r="J1472" s="4" t="str">
        <f>HYPERLINK("https://www.eliteprospects.com/player/654451/shaun-rios")</f>
        <v>https://www.eliteprospects.com/player/654451/shaun-rios</v>
      </c>
      <c r="K1472" t="s">
        <v>27</v>
      </c>
      <c r="L1472" t="s">
        <v>631</v>
      </c>
      <c r="M1472" t="s">
        <v>35</v>
      </c>
      <c r="N1472">
        <v>2</v>
      </c>
      <c r="O1472" t="s">
        <v>636</v>
      </c>
      <c r="P1472">
        <v>0.05</v>
      </c>
      <c r="Q1472" t="s">
        <v>245</v>
      </c>
      <c r="R1472">
        <v>13.3</v>
      </c>
      <c r="S1472">
        <v>13.3</v>
      </c>
      <c r="T1472">
        <v>0</v>
      </c>
      <c r="U1472">
        <v>13.3</v>
      </c>
      <c r="V1472">
        <v>60</v>
      </c>
    </row>
    <row r="1473" spans="1:22" x14ac:dyDescent="0.25">
      <c r="A1473" t="s">
        <v>754</v>
      </c>
      <c r="B1473" t="s">
        <v>507</v>
      </c>
      <c r="C1473">
        <v>30</v>
      </c>
      <c r="D1473" t="s">
        <v>96</v>
      </c>
      <c r="E1473" t="s">
        <v>96</v>
      </c>
      <c r="F1473" t="s">
        <v>32</v>
      </c>
      <c r="G1473">
        <v>0.33</v>
      </c>
      <c r="H1473" t="s">
        <v>45</v>
      </c>
      <c r="I1473">
        <v>-3</v>
      </c>
      <c r="J1473" s="4" t="str">
        <f>HYPERLINK("https://www.eliteprospects.com/player/891478/colton-gerrior")</f>
        <v>https://www.eliteprospects.com/player/891478/colton-gerrior</v>
      </c>
      <c r="K1473" t="s">
        <v>27</v>
      </c>
      <c r="L1473" t="s">
        <v>631</v>
      </c>
      <c r="M1473" t="s">
        <v>42</v>
      </c>
      <c r="N1473">
        <v>3</v>
      </c>
      <c r="O1473" t="s">
        <v>639</v>
      </c>
      <c r="P1473">
        <v>0.05</v>
      </c>
      <c r="Q1473" t="s">
        <v>245</v>
      </c>
      <c r="R1473">
        <v>9.1</v>
      </c>
      <c r="S1473">
        <v>18.2</v>
      </c>
      <c r="T1473">
        <v>9.1</v>
      </c>
      <c r="U1473">
        <v>13.6</v>
      </c>
      <c r="V1473">
        <v>50</v>
      </c>
    </row>
    <row r="1474" spans="1:22" x14ac:dyDescent="0.25">
      <c r="A1474" t="s">
        <v>755</v>
      </c>
      <c r="B1474" t="s">
        <v>507</v>
      </c>
      <c r="C1474">
        <v>28</v>
      </c>
      <c r="D1474" t="s">
        <v>66</v>
      </c>
      <c r="E1474" t="s">
        <v>57</v>
      </c>
      <c r="F1474" t="s">
        <v>32</v>
      </c>
      <c r="G1474">
        <v>0.36</v>
      </c>
      <c r="H1474" t="s">
        <v>23</v>
      </c>
      <c r="I1474">
        <v>-2</v>
      </c>
      <c r="J1474" s="4" t="str">
        <f>HYPERLINK("https://www.eliteprospects.com/player/878331/noah-milford")</f>
        <v>https://www.eliteprospects.com/player/878331/noah-milford</v>
      </c>
      <c r="K1474" t="s">
        <v>27</v>
      </c>
      <c r="L1474" t="s">
        <v>631</v>
      </c>
      <c r="M1474" t="s">
        <v>35</v>
      </c>
      <c r="N1474">
        <v>2</v>
      </c>
      <c r="O1474" t="s">
        <v>636</v>
      </c>
      <c r="P1474">
        <v>0.05</v>
      </c>
      <c r="Q1474" t="s">
        <v>245</v>
      </c>
      <c r="R1474">
        <v>9.1</v>
      </c>
      <c r="S1474">
        <v>18.2</v>
      </c>
      <c r="T1474">
        <v>9.1</v>
      </c>
      <c r="U1474">
        <v>13.6</v>
      </c>
      <c r="V1474">
        <v>50</v>
      </c>
    </row>
    <row r="1475" spans="1:22" x14ac:dyDescent="0.25">
      <c r="A1475" t="s">
        <v>757</v>
      </c>
      <c r="B1475" t="s">
        <v>507</v>
      </c>
      <c r="C1475">
        <v>36</v>
      </c>
      <c r="D1475" t="s">
        <v>260</v>
      </c>
      <c r="E1475" t="s">
        <v>45</v>
      </c>
      <c r="F1475" t="s">
        <v>32</v>
      </c>
      <c r="G1475">
        <v>0.28000000000000003</v>
      </c>
      <c r="H1475" t="s">
        <v>84</v>
      </c>
      <c r="I1475">
        <v>-2</v>
      </c>
      <c r="J1475" s="4" t="str">
        <f>HYPERLINK("https://www.eliteprospects.com/player/807555/cole-temple")</f>
        <v>https://www.eliteprospects.com/player/807555/cole-temple</v>
      </c>
      <c r="K1475" t="s">
        <v>27</v>
      </c>
      <c r="L1475" t="s">
        <v>631</v>
      </c>
      <c r="M1475" t="s">
        <v>76</v>
      </c>
      <c r="N1475">
        <v>4</v>
      </c>
      <c r="O1475" t="s">
        <v>632</v>
      </c>
      <c r="P1475">
        <v>0.04</v>
      </c>
      <c r="Q1475" t="s">
        <v>245</v>
      </c>
      <c r="R1475">
        <v>9.1</v>
      </c>
      <c r="S1475">
        <v>18.2</v>
      </c>
      <c r="T1475">
        <v>9.1</v>
      </c>
      <c r="U1475">
        <v>13.6</v>
      </c>
      <c r="V1475">
        <v>50</v>
      </c>
    </row>
    <row r="1476" spans="1:22" x14ac:dyDescent="0.25">
      <c r="A1476" t="s">
        <v>767</v>
      </c>
      <c r="B1476" t="s">
        <v>507</v>
      </c>
      <c r="C1476">
        <v>16</v>
      </c>
      <c r="D1476" t="s">
        <v>79</v>
      </c>
      <c r="E1476" t="s">
        <v>96</v>
      </c>
      <c r="F1476" t="s">
        <v>78</v>
      </c>
      <c r="G1476">
        <v>0.44</v>
      </c>
      <c r="H1476" t="s">
        <v>51</v>
      </c>
      <c r="I1476">
        <v>0</v>
      </c>
      <c r="J1476" s="4" t="str">
        <f>HYPERLINK("https://www.eliteprospects.com/player/577127/ethan-bibeau")</f>
        <v>https://www.eliteprospects.com/player/577127/ethan-bibeau</v>
      </c>
      <c r="K1476" t="s">
        <v>27</v>
      </c>
      <c r="L1476" t="s">
        <v>631</v>
      </c>
      <c r="M1476" t="s">
        <v>35</v>
      </c>
      <c r="N1476">
        <v>3</v>
      </c>
      <c r="O1476" t="s">
        <v>639</v>
      </c>
      <c r="P1476">
        <v>0.06</v>
      </c>
      <c r="Q1476" t="s">
        <v>135</v>
      </c>
      <c r="R1476">
        <v>0</v>
      </c>
      <c r="S1476">
        <v>33.299999999999997</v>
      </c>
      <c r="T1476">
        <v>23.8</v>
      </c>
      <c r="U1476">
        <v>9.5</v>
      </c>
      <c r="V1476">
        <v>33.299999999999997</v>
      </c>
    </row>
    <row r="1477" spans="1:22" x14ac:dyDescent="0.25">
      <c r="A1477" t="s">
        <v>768</v>
      </c>
      <c r="B1477" t="s">
        <v>507</v>
      </c>
      <c r="C1477">
        <v>26</v>
      </c>
      <c r="D1477" t="s">
        <v>79</v>
      </c>
      <c r="E1477" t="s">
        <v>96</v>
      </c>
      <c r="F1477" t="s">
        <v>78</v>
      </c>
      <c r="G1477">
        <v>0.27</v>
      </c>
      <c r="H1477" t="s">
        <v>25</v>
      </c>
      <c r="I1477">
        <v>2</v>
      </c>
      <c r="J1477" s="4" t="str">
        <f>HYPERLINK("https://www.eliteprospects.com/player/628105/kanjyu-gojsic")</f>
        <v>https://www.eliteprospects.com/player/628105/kanjyu-gojsic</v>
      </c>
      <c r="K1477" t="s">
        <v>27</v>
      </c>
      <c r="L1477" t="s">
        <v>631</v>
      </c>
      <c r="M1477" t="s">
        <v>35</v>
      </c>
      <c r="N1477">
        <v>2</v>
      </c>
      <c r="O1477" t="s">
        <v>636</v>
      </c>
      <c r="P1477">
        <v>0.04</v>
      </c>
      <c r="Q1477" t="s">
        <v>245</v>
      </c>
      <c r="R1477">
        <v>0</v>
      </c>
      <c r="S1477">
        <v>0</v>
      </c>
      <c r="T1477">
        <v>0</v>
      </c>
      <c r="U1477">
        <v>0</v>
      </c>
      <c r="V1477">
        <v>100</v>
      </c>
    </row>
    <row r="1478" spans="1:22" x14ac:dyDescent="0.25">
      <c r="A1478" t="s">
        <v>775</v>
      </c>
      <c r="B1478" t="s">
        <v>507</v>
      </c>
      <c r="C1478">
        <v>22</v>
      </c>
      <c r="D1478" t="s">
        <v>140</v>
      </c>
      <c r="E1478" t="s">
        <v>140</v>
      </c>
      <c r="F1478" t="s">
        <v>57</v>
      </c>
      <c r="G1478">
        <v>0.27</v>
      </c>
      <c r="H1478" t="s">
        <v>66</v>
      </c>
      <c r="I1478">
        <v>-2</v>
      </c>
      <c r="J1478" s="4" t="str">
        <f>HYPERLINK("https://www.eliteprospects.com/player/866018/elias-pul")</f>
        <v>https://www.eliteprospects.com/player/866018/elias-pul</v>
      </c>
      <c r="K1478" t="s">
        <v>27</v>
      </c>
      <c r="L1478" t="s">
        <v>631</v>
      </c>
      <c r="M1478" t="s">
        <v>35</v>
      </c>
      <c r="N1478">
        <v>1</v>
      </c>
      <c r="O1478" t="s">
        <v>634</v>
      </c>
      <c r="P1478">
        <v>0.04</v>
      </c>
      <c r="Q1478" t="s">
        <v>245</v>
      </c>
      <c r="R1478">
        <v>9.1</v>
      </c>
      <c r="S1478">
        <v>18.2</v>
      </c>
      <c r="T1478">
        <v>9.1</v>
      </c>
      <c r="U1478">
        <v>13.6</v>
      </c>
      <c r="V1478">
        <v>50</v>
      </c>
    </row>
    <row r="1479" spans="1:22" x14ac:dyDescent="0.25">
      <c r="A1479" t="s">
        <v>776</v>
      </c>
      <c r="B1479" t="s">
        <v>507</v>
      </c>
      <c r="C1479">
        <v>26</v>
      </c>
      <c r="D1479" t="s">
        <v>140</v>
      </c>
      <c r="E1479" t="s">
        <v>140</v>
      </c>
      <c r="F1479" t="s">
        <v>57</v>
      </c>
      <c r="G1479">
        <v>0.23</v>
      </c>
      <c r="H1479" t="s">
        <v>65</v>
      </c>
      <c r="I1479">
        <v>-6</v>
      </c>
      <c r="J1479" s="4" t="str">
        <f>HYPERLINK("https://www.eliteprospects.com/player/888314/zane-torre")</f>
        <v>https://www.eliteprospects.com/player/888314/zane-torre</v>
      </c>
      <c r="K1479" t="s">
        <v>27</v>
      </c>
      <c r="L1479" t="s">
        <v>631</v>
      </c>
      <c r="M1479" t="s">
        <v>35</v>
      </c>
      <c r="N1479">
        <v>1</v>
      </c>
      <c r="O1479" t="s">
        <v>634</v>
      </c>
      <c r="P1479">
        <v>0.03</v>
      </c>
      <c r="Q1479" t="s">
        <v>245</v>
      </c>
      <c r="R1479">
        <v>13.3</v>
      </c>
      <c r="S1479">
        <v>13.3</v>
      </c>
      <c r="T1479">
        <v>0</v>
      </c>
      <c r="U1479">
        <v>13.3</v>
      </c>
      <c r="V1479">
        <v>60</v>
      </c>
    </row>
    <row r="1480" spans="1:22" x14ac:dyDescent="0.25">
      <c r="A1480" t="s">
        <v>779</v>
      </c>
      <c r="B1480" t="s">
        <v>507</v>
      </c>
      <c r="C1480">
        <v>36</v>
      </c>
      <c r="D1480" t="s">
        <v>79</v>
      </c>
      <c r="E1480" t="s">
        <v>66</v>
      </c>
      <c r="F1480" t="s">
        <v>57</v>
      </c>
      <c r="G1480">
        <v>0.17</v>
      </c>
      <c r="H1480" t="s">
        <v>489</v>
      </c>
      <c r="I1480">
        <v>-8</v>
      </c>
      <c r="J1480" s="4" t="str">
        <f>HYPERLINK("https://www.eliteprospects.com/player/801658/patrick-sopiarz")</f>
        <v>https://www.eliteprospects.com/player/801658/patrick-sopiarz</v>
      </c>
      <c r="K1480" t="s">
        <v>27</v>
      </c>
      <c r="L1480" t="s">
        <v>631</v>
      </c>
      <c r="M1480" t="s">
        <v>42</v>
      </c>
      <c r="N1480">
        <v>2</v>
      </c>
      <c r="O1480" t="s">
        <v>636</v>
      </c>
      <c r="P1480">
        <v>0.02</v>
      </c>
      <c r="Q1480" t="s">
        <v>245</v>
      </c>
      <c r="R1480">
        <v>13.3</v>
      </c>
      <c r="S1480">
        <v>13.3</v>
      </c>
      <c r="T1480">
        <v>0</v>
      </c>
      <c r="U1480">
        <v>13.3</v>
      </c>
      <c r="V1480">
        <v>60</v>
      </c>
    </row>
    <row r="1481" spans="1:22" x14ac:dyDescent="0.25">
      <c r="A1481" t="s">
        <v>783</v>
      </c>
      <c r="B1481" t="s">
        <v>507</v>
      </c>
      <c r="C1481">
        <v>27</v>
      </c>
      <c r="D1481" t="s">
        <v>260</v>
      </c>
      <c r="E1481" t="s">
        <v>96</v>
      </c>
      <c r="F1481" t="s">
        <v>57</v>
      </c>
      <c r="G1481">
        <v>0.22</v>
      </c>
      <c r="H1481" t="s">
        <v>57</v>
      </c>
      <c r="I1481">
        <v>-1</v>
      </c>
      <c r="J1481" s="4" t="str">
        <f>HYPERLINK("https://www.eliteprospects.com/player/879853/kohen-lodge")</f>
        <v>https://www.eliteprospects.com/player/879853/kohen-lodge</v>
      </c>
      <c r="K1481" t="s">
        <v>27</v>
      </c>
      <c r="L1481" t="s">
        <v>631</v>
      </c>
      <c r="M1481" t="s">
        <v>35</v>
      </c>
      <c r="N1481">
        <v>2</v>
      </c>
      <c r="O1481" t="s">
        <v>636</v>
      </c>
      <c r="P1481">
        <v>0.03</v>
      </c>
      <c r="Q1481" t="s">
        <v>245</v>
      </c>
      <c r="R1481">
        <v>9.1</v>
      </c>
      <c r="S1481">
        <v>18.2</v>
      </c>
      <c r="T1481">
        <v>9.1</v>
      </c>
      <c r="U1481">
        <v>13.6</v>
      </c>
      <c r="V1481">
        <v>50</v>
      </c>
    </row>
    <row r="1482" spans="1:22" x14ac:dyDescent="0.25">
      <c r="A1482" t="s">
        <v>789</v>
      </c>
      <c r="B1482" t="s">
        <v>507</v>
      </c>
      <c r="C1482">
        <v>13</v>
      </c>
      <c r="D1482" t="s">
        <v>140</v>
      </c>
      <c r="E1482" t="s">
        <v>260</v>
      </c>
      <c r="F1482" t="s">
        <v>66</v>
      </c>
      <c r="G1482">
        <v>0.31</v>
      </c>
      <c r="H1482" t="s">
        <v>66</v>
      </c>
      <c r="I1482">
        <v>0</v>
      </c>
      <c r="J1482" s="4" t="str">
        <f>HYPERLINK("https://www.eliteprospects.com/player/808718/jack-toogood")</f>
        <v>https://www.eliteprospects.com/player/808718/jack-toogood</v>
      </c>
      <c r="K1482" t="s">
        <v>27</v>
      </c>
      <c r="L1482" t="s">
        <v>631</v>
      </c>
      <c r="M1482" t="s">
        <v>48</v>
      </c>
      <c r="N1482">
        <v>3</v>
      </c>
      <c r="O1482" t="s">
        <v>639</v>
      </c>
      <c r="P1482">
        <v>0.04</v>
      </c>
      <c r="Q1482" t="s">
        <v>245</v>
      </c>
      <c r="R1482">
        <v>9.1</v>
      </c>
      <c r="S1482">
        <v>18.2</v>
      </c>
      <c r="T1482">
        <v>9.1</v>
      </c>
      <c r="U1482">
        <v>13.6</v>
      </c>
      <c r="V1482">
        <v>50</v>
      </c>
    </row>
    <row r="1483" spans="1:22" x14ac:dyDescent="0.25">
      <c r="A1483" t="s">
        <v>830</v>
      </c>
      <c r="B1483" t="s">
        <v>507</v>
      </c>
      <c r="C1483">
        <v>34</v>
      </c>
      <c r="D1483" t="s">
        <v>65</v>
      </c>
      <c r="E1483" t="s">
        <v>24</v>
      </c>
      <c r="F1483" t="s">
        <v>269</v>
      </c>
      <c r="G1483">
        <v>0.97</v>
      </c>
      <c r="H1483" t="s">
        <v>60</v>
      </c>
      <c r="I1483">
        <v>-5</v>
      </c>
      <c r="J1483" s="4" t="str">
        <f>HYPERLINK("https://www.eliteprospects.com/player/647659/louis-charles-plourde")</f>
        <v>https://www.eliteprospects.com/player/647659/louis-charles-plourde</v>
      </c>
      <c r="K1483" t="s">
        <v>27</v>
      </c>
      <c r="L1483" t="s">
        <v>804</v>
      </c>
      <c r="M1483" t="s">
        <v>91</v>
      </c>
      <c r="N1483">
        <v>4</v>
      </c>
      <c r="O1483" t="s">
        <v>809</v>
      </c>
      <c r="P1483">
        <v>0.11</v>
      </c>
      <c r="Q1483" t="s">
        <v>135</v>
      </c>
      <c r="R1483">
        <v>20</v>
      </c>
      <c r="S1483">
        <v>40</v>
      </c>
      <c r="T1483">
        <v>0</v>
      </c>
      <c r="U1483">
        <v>20</v>
      </c>
      <c r="V1483">
        <v>20</v>
      </c>
    </row>
    <row r="1484" spans="1:22" x14ac:dyDescent="0.25">
      <c r="A1484" t="s">
        <v>833</v>
      </c>
      <c r="B1484" t="s">
        <v>507</v>
      </c>
      <c r="C1484">
        <v>34</v>
      </c>
      <c r="D1484" t="s">
        <v>23</v>
      </c>
      <c r="E1484" t="s">
        <v>24</v>
      </c>
      <c r="F1484" t="s">
        <v>25</v>
      </c>
      <c r="G1484">
        <v>0.94</v>
      </c>
      <c r="H1484" t="s">
        <v>34</v>
      </c>
      <c r="I1484">
        <v>-2</v>
      </c>
      <c r="J1484" s="4" t="str">
        <f>HYPERLINK("https://www.eliteprospects.com/player/724621/mavrick-lachance")</f>
        <v>https://www.eliteprospects.com/player/724621/mavrick-lachance</v>
      </c>
      <c r="K1484" t="s">
        <v>27</v>
      </c>
      <c r="L1484" t="s">
        <v>804</v>
      </c>
      <c r="M1484" t="s">
        <v>42</v>
      </c>
      <c r="N1484">
        <v>3</v>
      </c>
      <c r="O1484" t="s">
        <v>805</v>
      </c>
      <c r="P1484">
        <v>0.11</v>
      </c>
      <c r="Q1484" t="s">
        <v>135</v>
      </c>
      <c r="R1484">
        <v>20</v>
      </c>
      <c r="S1484">
        <v>40</v>
      </c>
      <c r="T1484">
        <v>0</v>
      </c>
      <c r="U1484">
        <v>20</v>
      </c>
      <c r="V1484">
        <v>20</v>
      </c>
    </row>
    <row r="1485" spans="1:22" x14ac:dyDescent="0.25">
      <c r="A1485" t="s">
        <v>836</v>
      </c>
      <c r="B1485" t="s">
        <v>507</v>
      </c>
      <c r="C1485">
        <v>34</v>
      </c>
      <c r="D1485" t="s">
        <v>41</v>
      </c>
      <c r="E1485" t="s">
        <v>39</v>
      </c>
      <c r="F1485" t="s">
        <v>46</v>
      </c>
      <c r="G1485">
        <v>0.85</v>
      </c>
      <c r="H1485" t="s">
        <v>136</v>
      </c>
      <c r="I1485">
        <v>-8</v>
      </c>
      <c r="J1485" s="4" t="str">
        <f>HYPERLINK("https://www.eliteprospects.com/player/819472/liam-lefebvre")</f>
        <v>https://www.eliteprospects.com/player/819472/liam-lefebvre</v>
      </c>
      <c r="K1485" t="s">
        <v>27</v>
      </c>
      <c r="L1485" t="s">
        <v>804</v>
      </c>
      <c r="M1485" t="s">
        <v>42</v>
      </c>
      <c r="N1485">
        <v>1</v>
      </c>
      <c r="O1485" t="s">
        <v>816</v>
      </c>
      <c r="P1485">
        <v>0.1</v>
      </c>
      <c r="Q1485" t="s">
        <v>245</v>
      </c>
      <c r="R1485">
        <v>9.1</v>
      </c>
      <c r="S1485">
        <v>27.3</v>
      </c>
      <c r="T1485">
        <v>18.2</v>
      </c>
      <c r="U1485">
        <v>0</v>
      </c>
      <c r="V1485">
        <v>45.5</v>
      </c>
    </row>
    <row r="1486" spans="1:22" x14ac:dyDescent="0.25">
      <c r="A1486" t="s">
        <v>845</v>
      </c>
      <c r="B1486" t="s">
        <v>507</v>
      </c>
      <c r="C1486">
        <v>36</v>
      </c>
      <c r="D1486" t="s">
        <v>32</v>
      </c>
      <c r="E1486" t="s">
        <v>38</v>
      </c>
      <c r="F1486" t="s">
        <v>125</v>
      </c>
      <c r="G1486">
        <v>0.72</v>
      </c>
      <c r="H1486" t="s">
        <v>32</v>
      </c>
      <c r="I1486">
        <v>-15</v>
      </c>
      <c r="J1486" s="4" t="str">
        <f>HYPERLINK("https://www.eliteprospects.com/player/565773/alexis-michaud")</f>
        <v>https://www.eliteprospects.com/player/565773/alexis-michaud</v>
      </c>
      <c r="K1486" t="s">
        <v>27</v>
      </c>
      <c r="L1486" t="s">
        <v>804</v>
      </c>
      <c r="M1486" t="s">
        <v>29</v>
      </c>
      <c r="N1486">
        <v>4</v>
      </c>
      <c r="O1486" t="s">
        <v>809</v>
      </c>
      <c r="P1486">
        <v>0.08</v>
      </c>
      <c r="Q1486" t="s">
        <v>31</v>
      </c>
      <c r="R1486">
        <v>36.4</v>
      </c>
      <c r="S1486">
        <v>9.1</v>
      </c>
      <c r="T1486">
        <v>18.2</v>
      </c>
      <c r="U1486">
        <v>9.1</v>
      </c>
      <c r="V1486">
        <v>27.3</v>
      </c>
    </row>
    <row r="1487" spans="1:22" x14ac:dyDescent="0.25">
      <c r="A1487" t="s">
        <v>846</v>
      </c>
      <c r="B1487" t="s">
        <v>507</v>
      </c>
      <c r="C1487">
        <v>34</v>
      </c>
      <c r="D1487" t="s">
        <v>45</v>
      </c>
      <c r="E1487" t="s">
        <v>60</v>
      </c>
      <c r="F1487" t="s">
        <v>125</v>
      </c>
      <c r="G1487">
        <v>0.76</v>
      </c>
      <c r="H1487" t="s">
        <v>32</v>
      </c>
      <c r="I1487">
        <v>-7</v>
      </c>
      <c r="J1487" s="4" t="str">
        <f>HYPERLINK("https://www.eliteprospects.com/player/719131/lou-levesque")</f>
        <v>https://www.eliteprospects.com/player/719131/lou-levesque</v>
      </c>
      <c r="K1487" t="s">
        <v>27</v>
      </c>
      <c r="L1487" t="s">
        <v>804</v>
      </c>
      <c r="M1487" t="s">
        <v>91</v>
      </c>
      <c r="N1487">
        <v>3</v>
      </c>
      <c r="O1487" t="s">
        <v>805</v>
      </c>
      <c r="P1487">
        <v>0.09</v>
      </c>
      <c r="Q1487" t="s">
        <v>31</v>
      </c>
      <c r="R1487">
        <v>36.4</v>
      </c>
      <c r="S1487">
        <v>9.1</v>
      </c>
      <c r="T1487">
        <v>18.2</v>
      </c>
      <c r="U1487">
        <v>9.1</v>
      </c>
      <c r="V1487">
        <v>27.3</v>
      </c>
    </row>
    <row r="1488" spans="1:22" x14ac:dyDescent="0.25">
      <c r="A1488" t="s">
        <v>849</v>
      </c>
      <c r="B1488" t="s">
        <v>507</v>
      </c>
      <c r="C1488">
        <v>35</v>
      </c>
      <c r="D1488" t="s">
        <v>23</v>
      </c>
      <c r="E1488" t="s">
        <v>23</v>
      </c>
      <c r="F1488" t="s">
        <v>81</v>
      </c>
      <c r="G1488">
        <v>0.69</v>
      </c>
      <c r="H1488" t="s">
        <v>66</v>
      </c>
      <c r="I1488">
        <v>-23</v>
      </c>
      <c r="J1488" s="4" t="str">
        <f>HYPERLINK("https://www.eliteprospects.com/player/747998/robin-benoit")</f>
        <v>https://www.eliteprospects.com/player/747998/robin-benoit</v>
      </c>
      <c r="K1488" t="s">
        <v>27</v>
      </c>
      <c r="L1488" t="s">
        <v>804</v>
      </c>
      <c r="M1488" t="s">
        <v>29</v>
      </c>
      <c r="N1488">
        <v>2</v>
      </c>
      <c r="O1488" t="s">
        <v>825</v>
      </c>
      <c r="P1488">
        <v>0.08</v>
      </c>
      <c r="Q1488" t="s">
        <v>31</v>
      </c>
      <c r="R1488">
        <v>36.4</v>
      </c>
      <c r="S1488">
        <v>9.1</v>
      </c>
      <c r="T1488">
        <v>18.2</v>
      </c>
      <c r="U1488">
        <v>9.1</v>
      </c>
      <c r="V1488">
        <v>27.3</v>
      </c>
    </row>
    <row r="1489" spans="1:22" x14ac:dyDescent="0.25">
      <c r="A1489" t="s">
        <v>853</v>
      </c>
      <c r="B1489" t="s">
        <v>507</v>
      </c>
      <c r="C1489">
        <v>34</v>
      </c>
      <c r="D1489" t="s">
        <v>78</v>
      </c>
      <c r="E1489" t="s">
        <v>38</v>
      </c>
      <c r="F1489" t="s">
        <v>84</v>
      </c>
      <c r="G1489">
        <v>0.68</v>
      </c>
      <c r="H1489" t="s">
        <v>40</v>
      </c>
      <c r="I1489">
        <v>2</v>
      </c>
      <c r="J1489" s="4" t="str">
        <f>HYPERLINK("https://www.eliteprospects.com/player/666947/raoul-boilard")</f>
        <v>https://www.eliteprospects.com/player/666947/raoul-boilard</v>
      </c>
      <c r="K1489" t="s">
        <v>27</v>
      </c>
      <c r="L1489" t="s">
        <v>804</v>
      </c>
      <c r="M1489" t="s">
        <v>76</v>
      </c>
      <c r="N1489">
        <v>3</v>
      </c>
      <c r="O1489" t="s">
        <v>805</v>
      </c>
      <c r="P1489">
        <v>0.08</v>
      </c>
      <c r="Q1489" t="s">
        <v>31</v>
      </c>
      <c r="R1489">
        <v>33.299999999999997</v>
      </c>
      <c r="S1489">
        <v>8.3000000000000007</v>
      </c>
      <c r="T1489">
        <v>33.299999999999997</v>
      </c>
      <c r="U1489">
        <v>8.3000000000000007</v>
      </c>
      <c r="V1489">
        <v>16.7</v>
      </c>
    </row>
    <row r="1490" spans="1:22" x14ac:dyDescent="0.25">
      <c r="A1490" t="s">
        <v>858</v>
      </c>
      <c r="B1490" t="s">
        <v>507</v>
      </c>
      <c r="C1490">
        <v>26</v>
      </c>
      <c r="D1490" t="s">
        <v>26</v>
      </c>
      <c r="E1490" t="s">
        <v>23</v>
      </c>
      <c r="F1490" t="s">
        <v>24</v>
      </c>
      <c r="G1490">
        <v>0.77</v>
      </c>
      <c r="H1490" t="s">
        <v>26</v>
      </c>
      <c r="I1490">
        <v>-3</v>
      </c>
      <c r="J1490" s="4" t="str">
        <f>HYPERLINK("https://www.eliteprospects.com/player/1051652/kornei-korneyev")</f>
        <v>https://www.eliteprospects.com/player/1051652/kornei-korneyev</v>
      </c>
      <c r="K1490" t="s">
        <v>27</v>
      </c>
      <c r="L1490" t="s">
        <v>804</v>
      </c>
      <c r="M1490" t="s">
        <v>29</v>
      </c>
      <c r="N1490">
        <v>2</v>
      </c>
      <c r="O1490" t="s">
        <v>825</v>
      </c>
      <c r="P1490">
        <v>0.09</v>
      </c>
      <c r="Q1490" t="s">
        <v>1277</v>
      </c>
      <c r="R1490">
        <v>16.7</v>
      </c>
      <c r="S1490">
        <v>16.7</v>
      </c>
      <c r="T1490">
        <v>25</v>
      </c>
      <c r="U1490">
        <v>16.7</v>
      </c>
      <c r="V1490">
        <v>25</v>
      </c>
    </row>
    <row r="1491" spans="1:22" x14ac:dyDescent="0.25">
      <c r="A1491" t="s">
        <v>859</v>
      </c>
      <c r="B1491" t="s">
        <v>507</v>
      </c>
      <c r="C1491">
        <v>33</v>
      </c>
      <c r="D1491" t="s">
        <v>32</v>
      </c>
      <c r="E1491" t="s">
        <v>45</v>
      </c>
      <c r="F1491" t="s">
        <v>51</v>
      </c>
      <c r="G1491">
        <v>0.57999999999999996</v>
      </c>
      <c r="H1491" t="s">
        <v>427</v>
      </c>
      <c r="I1491">
        <v>-19</v>
      </c>
      <c r="J1491" s="4" t="str">
        <f>HYPERLINK("https://www.eliteprospects.com/player/609123/kyle-powers")</f>
        <v>https://www.eliteprospects.com/player/609123/kyle-powers</v>
      </c>
      <c r="K1491" t="s">
        <v>27</v>
      </c>
      <c r="L1491" t="s">
        <v>804</v>
      </c>
      <c r="M1491" t="s">
        <v>42</v>
      </c>
      <c r="N1491">
        <v>3</v>
      </c>
      <c r="O1491" t="s">
        <v>805</v>
      </c>
      <c r="P1491">
        <v>7.0000000000000007E-2</v>
      </c>
      <c r="Q1491" t="s">
        <v>245</v>
      </c>
      <c r="R1491">
        <v>0</v>
      </c>
      <c r="S1491">
        <v>15.4</v>
      </c>
      <c r="T1491">
        <v>7.7</v>
      </c>
      <c r="U1491">
        <v>30.8</v>
      </c>
      <c r="V1491">
        <v>46.2</v>
      </c>
    </row>
    <row r="1492" spans="1:22" x14ac:dyDescent="0.25">
      <c r="A1492" t="s">
        <v>860</v>
      </c>
      <c r="B1492" t="s">
        <v>507</v>
      </c>
      <c r="C1492">
        <v>38</v>
      </c>
      <c r="D1492" t="s">
        <v>78</v>
      </c>
      <c r="E1492" t="s">
        <v>23</v>
      </c>
      <c r="F1492" t="s">
        <v>51</v>
      </c>
      <c r="G1492">
        <v>0.5</v>
      </c>
      <c r="H1492" t="s">
        <v>39</v>
      </c>
      <c r="I1492">
        <v>-7</v>
      </c>
      <c r="J1492" s="4" t="str">
        <f>HYPERLINK("https://www.eliteprospects.com/player/690139/gleb-semyonov")</f>
        <v>https://www.eliteprospects.com/player/690139/gleb-semyonov</v>
      </c>
      <c r="K1492" t="s">
        <v>27</v>
      </c>
      <c r="L1492" t="s">
        <v>804</v>
      </c>
      <c r="M1492" t="s">
        <v>87</v>
      </c>
      <c r="N1492">
        <v>1</v>
      </c>
      <c r="O1492" t="s">
        <v>816</v>
      </c>
      <c r="P1492">
        <v>0.06</v>
      </c>
      <c r="Q1492" t="s">
        <v>245</v>
      </c>
      <c r="R1492">
        <v>0</v>
      </c>
      <c r="S1492">
        <v>15.4</v>
      </c>
      <c r="T1492">
        <v>7.7</v>
      </c>
      <c r="U1492">
        <v>30.8</v>
      </c>
      <c r="V1492">
        <v>46.2</v>
      </c>
    </row>
    <row r="1493" spans="1:22" x14ac:dyDescent="0.25">
      <c r="A1493" t="s">
        <v>863</v>
      </c>
      <c r="B1493" t="s">
        <v>507</v>
      </c>
      <c r="C1493">
        <v>29</v>
      </c>
      <c r="D1493" t="s">
        <v>57</v>
      </c>
      <c r="E1493" t="s">
        <v>69</v>
      </c>
      <c r="F1493" t="s">
        <v>60</v>
      </c>
      <c r="G1493">
        <v>0.59</v>
      </c>
      <c r="H1493" t="s">
        <v>75</v>
      </c>
      <c r="I1493">
        <v>-8</v>
      </c>
      <c r="J1493" s="4" t="str">
        <f>HYPERLINK("https://www.eliteprospects.com/player/599573/maxime-cote")</f>
        <v>https://www.eliteprospects.com/player/599573/maxime-cote</v>
      </c>
      <c r="K1493" t="s">
        <v>27</v>
      </c>
      <c r="L1493" t="s">
        <v>804</v>
      </c>
      <c r="M1493" t="s">
        <v>91</v>
      </c>
      <c r="N1493">
        <v>5</v>
      </c>
      <c r="O1493" t="s">
        <v>807</v>
      </c>
      <c r="P1493">
        <v>7.0000000000000007E-2</v>
      </c>
      <c r="Q1493" t="s">
        <v>245</v>
      </c>
      <c r="R1493">
        <v>0</v>
      </c>
      <c r="S1493">
        <v>15.4</v>
      </c>
      <c r="T1493">
        <v>7.7</v>
      </c>
      <c r="U1493">
        <v>30.8</v>
      </c>
      <c r="V1493">
        <v>46.2</v>
      </c>
    </row>
    <row r="1494" spans="1:22" x14ac:dyDescent="0.25">
      <c r="A1494" t="s">
        <v>867</v>
      </c>
      <c r="B1494" t="s">
        <v>507</v>
      </c>
      <c r="C1494">
        <v>36</v>
      </c>
      <c r="D1494" t="s">
        <v>96</v>
      </c>
      <c r="E1494" t="s">
        <v>32</v>
      </c>
      <c r="F1494" t="s">
        <v>41</v>
      </c>
      <c r="G1494">
        <v>0.42</v>
      </c>
      <c r="H1494" t="s">
        <v>34</v>
      </c>
      <c r="I1494">
        <v>9</v>
      </c>
      <c r="J1494" s="4" t="str">
        <f>HYPERLINK("https://www.eliteprospects.com/player/577044/rafael-cloutier")</f>
        <v>https://www.eliteprospects.com/player/577044/rafael-cloutier</v>
      </c>
      <c r="K1494" t="s">
        <v>27</v>
      </c>
      <c r="L1494" t="s">
        <v>804</v>
      </c>
      <c r="M1494" t="s">
        <v>91</v>
      </c>
      <c r="N1494">
        <v>2</v>
      </c>
      <c r="O1494" t="s">
        <v>825</v>
      </c>
      <c r="P1494">
        <v>0.05</v>
      </c>
      <c r="Q1494" t="s">
        <v>245</v>
      </c>
      <c r="R1494">
        <v>0</v>
      </c>
      <c r="S1494">
        <v>25</v>
      </c>
      <c r="T1494">
        <v>0</v>
      </c>
      <c r="U1494">
        <v>25</v>
      </c>
      <c r="V1494">
        <v>50</v>
      </c>
    </row>
    <row r="1495" spans="1:22" x14ac:dyDescent="0.25">
      <c r="A1495" t="s">
        <v>869</v>
      </c>
      <c r="B1495" t="s">
        <v>507</v>
      </c>
      <c r="C1495">
        <v>32</v>
      </c>
      <c r="D1495" t="s">
        <v>78</v>
      </c>
      <c r="E1495" t="s">
        <v>78</v>
      </c>
      <c r="F1495" t="s">
        <v>39</v>
      </c>
      <c r="G1495">
        <v>0.44</v>
      </c>
      <c r="H1495" t="s">
        <v>32</v>
      </c>
      <c r="I1495">
        <v>-2</v>
      </c>
      <c r="J1495" s="4" t="str">
        <f>HYPERLINK("https://www.eliteprospects.com/player/741103/elliot-dube")</f>
        <v>https://www.eliteprospects.com/player/741103/elliot-dube</v>
      </c>
      <c r="K1495" t="s">
        <v>27</v>
      </c>
      <c r="L1495" t="s">
        <v>804</v>
      </c>
      <c r="M1495" t="s">
        <v>42</v>
      </c>
      <c r="N1495">
        <v>2</v>
      </c>
      <c r="O1495" t="s">
        <v>825</v>
      </c>
      <c r="P1495">
        <v>0.05</v>
      </c>
      <c r="Q1495" t="s">
        <v>245</v>
      </c>
      <c r="R1495">
        <v>9.1</v>
      </c>
      <c r="S1495">
        <v>18.2</v>
      </c>
      <c r="T1495">
        <v>9.1</v>
      </c>
      <c r="U1495">
        <v>13.6</v>
      </c>
      <c r="V1495">
        <v>50</v>
      </c>
    </row>
    <row r="1496" spans="1:22" x14ac:dyDescent="0.25">
      <c r="A1496" t="s">
        <v>870</v>
      </c>
      <c r="B1496" t="s">
        <v>507</v>
      </c>
      <c r="C1496">
        <v>32</v>
      </c>
      <c r="D1496" t="s">
        <v>140</v>
      </c>
      <c r="E1496" t="s">
        <v>69</v>
      </c>
      <c r="F1496" t="s">
        <v>39</v>
      </c>
      <c r="G1496">
        <v>0.44</v>
      </c>
      <c r="H1496" t="s">
        <v>33</v>
      </c>
      <c r="I1496">
        <v>2</v>
      </c>
      <c r="J1496" s="4" t="str">
        <f>HYPERLINK("https://www.eliteprospects.com/player/799001/jordan-forget")</f>
        <v>https://www.eliteprospects.com/player/799001/jordan-forget</v>
      </c>
      <c r="K1496" t="s">
        <v>27</v>
      </c>
      <c r="L1496" t="s">
        <v>804</v>
      </c>
      <c r="M1496" t="s">
        <v>29</v>
      </c>
      <c r="N1496">
        <v>3</v>
      </c>
      <c r="O1496" t="s">
        <v>805</v>
      </c>
      <c r="P1496">
        <v>0.05</v>
      </c>
      <c r="Q1496" t="s">
        <v>245</v>
      </c>
      <c r="R1496">
        <v>0</v>
      </c>
      <c r="S1496">
        <v>0</v>
      </c>
      <c r="T1496">
        <v>0</v>
      </c>
      <c r="U1496">
        <v>0</v>
      </c>
      <c r="V1496">
        <v>100</v>
      </c>
    </row>
    <row r="1497" spans="1:22" x14ac:dyDescent="0.25">
      <c r="A1497" t="s">
        <v>873</v>
      </c>
      <c r="B1497" t="s">
        <v>507</v>
      </c>
      <c r="C1497">
        <v>34</v>
      </c>
      <c r="D1497" t="s">
        <v>96</v>
      </c>
      <c r="E1497" t="s">
        <v>78</v>
      </c>
      <c r="F1497" t="s">
        <v>23</v>
      </c>
      <c r="G1497">
        <v>0.35</v>
      </c>
      <c r="H1497" t="s">
        <v>32</v>
      </c>
      <c r="I1497">
        <v>14</v>
      </c>
      <c r="J1497" s="4" t="str">
        <f>HYPERLINK("https://www.eliteprospects.com/player/684321/brayden-besner")</f>
        <v>https://www.eliteprospects.com/player/684321/brayden-besner</v>
      </c>
      <c r="K1497" t="s">
        <v>27</v>
      </c>
      <c r="L1497" t="s">
        <v>804</v>
      </c>
      <c r="M1497" t="s">
        <v>91</v>
      </c>
      <c r="N1497">
        <v>2</v>
      </c>
      <c r="O1497" t="s">
        <v>825</v>
      </c>
      <c r="P1497">
        <v>0.04</v>
      </c>
      <c r="Q1497" t="s">
        <v>245</v>
      </c>
      <c r="R1497">
        <v>0</v>
      </c>
      <c r="S1497">
        <v>25</v>
      </c>
      <c r="T1497">
        <v>0</v>
      </c>
      <c r="U1497">
        <v>25</v>
      </c>
      <c r="V1497">
        <v>50</v>
      </c>
    </row>
    <row r="1498" spans="1:22" x14ac:dyDescent="0.25">
      <c r="A1498" t="s">
        <v>876</v>
      </c>
      <c r="B1498" t="s">
        <v>507</v>
      </c>
      <c r="C1498">
        <v>27</v>
      </c>
      <c r="D1498" t="s">
        <v>57</v>
      </c>
      <c r="E1498" t="s">
        <v>66</v>
      </c>
      <c r="F1498" t="s">
        <v>32</v>
      </c>
      <c r="G1498">
        <v>0.37</v>
      </c>
      <c r="H1498" t="s">
        <v>23</v>
      </c>
      <c r="I1498">
        <v>-23</v>
      </c>
      <c r="J1498" s="4" t="str">
        <f>HYPERLINK("https://www.eliteprospects.com/player/574575/adam-cavallin")</f>
        <v>https://www.eliteprospects.com/player/574575/adam-cavallin</v>
      </c>
      <c r="K1498" t="s">
        <v>27</v>
      </c>
      <c r="L1498" t="s">
        <v>804</v>
      </c>
      <c r="M1498" t="s">
        <v>91</v>
      </c>
      <c r="N1498">
        <v>4</v>
      </c>
      <c r="O1498" t="s">
        <v>877</v>
      </c>
      <c r="P1498">
        <v>0.04</v>
      </c>
      <c r="Q1498" t="s">
        <v>245</v>
      </c>
      <c r="R1498">
        <v>13.3</v>
      </c>
      <c r="S1498">
        <v>13.3</v>
      </c>
      <c r="T1498">
        <v>0</v>
      </c>
      <c r="U1498">
        <v>13.3</v>
      </c>
      <c r="V1498">
        <v>60</v>
      </c>
    </row>
    <row r="1499" spans="1:22" x14ac:dyDescent="0.25">
      <c r="A1499" t="s">
        <v>879</v>
      </c>
      <c r="B1499" t="s">
        <v>507</v>
      </c>
      <c r="C1499">
        <v>34</v>
      </c>
      <c r="D1499" t="s">
        <v>96</v>
      </c>
      <c r="E1499" t="s">
        <v>96</v>
      </c>
      <c r="F1499" t="s">
        <v>32</v>
      </c>
      <c r="G1499">
        <v>0.28999999999999998</v>
      </c>
      <c r="H1499" t="s">
        <v>280</v>
      </c>
      <c r="I1499">
        <v>-3</v>
      </c>
      <c r="J1499" s="4" t="str">
        <f>HYPERLINK("https://www.eliteprospects.com/player/709805/brogan-mcneil")</f>
        <v>https://www.eliteprospects.com/player/709805/brogan-mcneil</v>
      </c>
      <c r="K1499" t="s">
        <v>27</v>
      </c>
      <c r="L1499" t="s">
        <v>804</v>
      </c>
      <c r="M1499" t="s">
        <v>29</v>
      </c>
      <c r="N1499">
        <v>2</v>
      </c>
      <c r="O1499" t="s">
        <v>825</v>
      </c>
      <c r="P1499">
        <v>0.03</v>
      </c>
      <c r="Q1499" t="s">
        <v>245</v>
      </c>
      <c r="R1499">
        <v>9.1</v>
      </c>
      <c r="S1499">
        <v>18.2</v>
      </c>
      <c r="T1499">
        <v>9.1</v>
      </c>
      <c r="U1499">
        <v>13.6</v>
      </c>
      <c r="V1499">
        <v>50</v>
      </c>
    </row>
    <row r="1500" spans="1:22" x14ac:dyDescent="0.25">
      <c r="A1500" t="s">
        <v>886</v>
      </c>
      <c r="B1500" t="s">
        <v>507</v>
      </c>
      <c r="C1500">
        <v>36</v>
      </c>
      <c r="D1500" t="s">
        <v>96</v>
      </c>
      <c r="E1500" t="s">
        <v>79</v>
      </c>
      <c r="F1500" t="s">
        <v>78</v>
      </c>
      <c r="G1500">
        <v>0.19</v>
      </c>
      <c r="H1500" t="s">
        <v>512</v>
      </c>
      <c r="I1500">
        <v>-12</v>
      </c>
      <c r="J1500" s="4" t="str">
        <f>HYPERLINK("https://www.eliteprospects.com/player/923732/jabez-seymour")</f>
        <v>https://www.eliteprospects.com/player/923732/jabez-seymour</v>
      </c>
      <c r="K1500" t="s">
        <v>27</v>
      </c>
      <c r="L1500" t="s">
        <v>804</v>
      </c>
      <c r="M1500" t="s">
        <v>29</v>
      </c>
      <c r="N1500">
        <v>3</v>
      </c>
      <c r="O1500" t="s">
        <v>805</v>
      </c>
      <c r="P1500">
        <v>0.02</v>
      </c>
      <c r="Q1500" t="s">
        <v>245</v>
      </c>
      <c r="R1500">
        <v>13.3</v>
      </c>
      <c r="S1500">
        <v>13.3</v>
      </c>
      <c r="T1500">
        <v>0</v>
      </c>
      <c r="U1500">
        <v>13.3</v>
      </c>
      <c r="V1500">
        <v>60</v>
      </c>
    </row>
    <row r="1501" spans="1:22" x14ac:dyDescent="0.25">
      <c r="A1501" t="s">
        <v>888</v>
      </c>
      <c r="B1501" t="s">
        <v>507</v>
      </c>
      <c r="C1501">
        <v>26</v>
      </c>
      <c r="D1501" t="s">
        <v>66</v>
      </c>
      <c r="E1501" t="s">
        <v>140</v>
      </c>
      <c r="F1501" t="s">
        <v>78</v>
      </c>
      <c r="G1501">
        <v>0.27</v>
      </c>
      <c r="H1501" t="s">
        <v>265</v>
      </c>
      <c r="I1501">
        <v>-4</v>
      </c>
      <c r="J1501" s="4" t="str">
        <f>HYPERLINK("https://www.eliteprospects.com/player/638788/jacob-beaulieu")</f>
        <v>https://www.eliteprospects.com/player/638788/jacob-beaulieu</v>
      </c>
      <c r="K1501" t="s">
        <v>27</v>
      </c>
      <c r="L1501" t="s">
        <v>804</v>
      </c>
      <c r="M1501" t="s">
        <v>29</v>
      </c>
      <c r="N1501">
        <v>4</v>
      </c>
      <c r="O1501" t="s">
        <v>809</v>
      </c>
      <c r="P1501">
        <v>0.03</v>
      </c>
      <c r="Q1501" t="s">
        <v>245</v>
      </c>
      <c r="R1501">
        <v>9.1</v>
      </c>
      <c r="S1501">
        <v>18.2</v>
      </c>
      <c r="T1501">
        <v>9.1</v>
      </c>
      <c r="U1501">
        <v>13.6</v>
      </c>
      <c r="V1501">
        <v>50</v>
      </c>
    </row>
    <row r="1502" spans="1:22" x14ac:dyDescent="0.25">
      <c r="A1502" t="s">
        <v>889</v>
      </c>
      <c r="B1502" t="s">
        <v>507</v>
      </c>
      <c r="C1502">
        <v>23</v>
      </c>
      <c r="D1502" t="s">
        <v>66</v>
      </c>
      <c r="E1502" t="s">
        <v>79</v>
      </c>
      <c r="F1502" t="s">
        <v>57</v>
      </c>
      <c r="G1502">
        <v>0.26</v>
      </c>
      <c r="H1502" t="s">
        <v>23</v>
      </c>
      <c r="I1502">
        <v>-6</v>
      </c>
      <c r="J1502" s="4" t="str">
        <f>HYPERLINK("https://www.eliteprospects.com/player/673079/justin-gendron")</f>
        <v>https://www.eliteprospects.com/player/673079/justin-gendron</v>
      </c>
      <c r="K1502" t="s">
        <v>27</v>
      </c>
      <c r="L1502" t="s">
        <v>804</v>
      </c>
      <c r="M1502" t="s">
        <v>29</v>
      </c>
      <c r="N1502">
        <v>5</v>
      </c>
      <c r="O1502" t="s">
        <v>807</v>
      </c>
      <c r="P1502">
        <v>0.03</v>
      </c>
      <c r="Q1502" t="s">
        <v>245</v>
      </c>
      <c r="R1502">
        <v>13.3</v>
      </c>
      <c r="S1502">
        <v>13.3</v>
      </c>
      <c r="T1502">
        <v>0</v>
      </c>
      <c r="U1502">
        <v>13.3</v>
      </c>
      <c r="V1502">
        <v>60</v>
      </c>
    </row>
    <row r="1503" spans="1:22" x14ac:dyDescent="0.25">
      <c r="A1503" t="s">
        <v>890</v>
      </c>
      <c r="B1503" t="s">
        <v>507</v>
      </c>
      <c r="C1503">
        <v>31</v>
      </c>
      <c r="D1503" t="s">
        <v>140</v>
      </c>
      <c r="E1503" t="s">
        <v>140</v>
      </c>
      <c r="F1503" t="s">
        <v>57</v>
      </c>
      <c r="G1503">
        <v>0.19</v>
      </c>
      <c r="H1503" t="s">
        <v>269</v>
      </c>
      <c r="I1503">
        <v>-8</v>
      </c>
      <c r="J1503" s="4" t="str">
        <f>HYPERLINK("https://www.eliteprospects.com/player/748890/egan-beveridge")</f>
        <v>https://www.eliteprospects.com/player/748890/egan-beveridge</v>
      </c>
      <c r="K1503" t="s">
        <v>27</v>
      </c>
      <c r="L1503" t="s">
        <v>804</v>
      </c>
      <c r="M1503" t="s">
        <v>29</v>
      </c>
      <c r="N1503">
        <v>3</v>
      </c>
      <c r="O1503" t="s">
        <v>805</v>
      </c>
      <c r="P1503">
        <v>0.02</v>
      </c>
      <c r="Q1503" t="s">
        <v>245</v>
      </c>
      <c r="R1503">
        <v>13.3</v>
      </c>
      <c r="S1503">
        <v>13.3</v>
      </c>
      <c r="T1503">
        <v>0</v>
      </c>
      <c r="U1503">
        <v>13.3</v>
      </c>
      <c r="V1503">
        <v>60</v>
      </c>
    </row>
    <row r="1504" spans="1:22" x14ac:dyDescent="0.25">
      <c r="A1504" t="s">
        <v>895</v>
      </c>
      <c r="B1504" t="s">
        <v>507</v>
      </c>
      <c r="C1504">
        <v>23</v>
      </c>
      <c r="D1504" t="s">
        <v>79</v>
      </c>
      <c r="E1504" t="s">
        <v>140</v>
      </c>
      <c r="F1504" t="s">
        <v>96</v>
      </c>
      <c r="G1504">
        <v>0.22</v>
      </c>
      <c r="H1504" t="s">
        <v>57</v>
      </c>
      <c r="I1504">
        <v>-2</v>
      </c>
      <c r="J1504" s="4" t="str">
        <f>HYPERLINK("https://www.eliteprospects.com/player/1072289/lev-gaponov")</f>
        <v>https://www.eliteprospects.com/player/1072289/lev-gaponov</v>
      </c>
      <c r="K1504" t="s">
        <v>27</v>
      </c>
      <c r="L1504" t="s">
        <v>804</v>
      </c>
      <c r="M1504" t="s">
        <v>42</v>
      </c>
      <c r="N1504">
        <v>1</v>
      </c>
      <c r="O1504" t="s">
        <v>816</v>
      </c>
      <c r="P1504">
        <v>0.02</v>
      </c>
      <c r="Q1504" t="s">
        <v>245</v>
      </c>
      <c r="R1504">
        <v>9.1</v>
      </c>
      <c r="S1504">
        <v>18.2</v>
      </c>
      <c r="T1504">
        <v>9.1</v>
      </c>
      <c r="U1504">
        <v>13.6</v>
      </c>
      <c r="V1504">
        <v>50</v>
      </c>
    </row>
    <row r="1505" spans="1:22" x14ac:dyDescent="0.25">
      <c r="A1505" t="s">
        <v>901</v>
      </c>
      <c r="B1505" t="s">
        <v>507</v>
      </c>
      <c r="C1505">
        <v>36</v>
      </c>
      <c r="D1505" t="s">
        <v>79</v>
      </c>
      <c r="E1505" t="s">
        <v>79</v>
      </c>
      <c r="F1505" t="s">
        <v>66</v>
      </c>
      <c r="G1505">
        <v>0.11</v>
      </c>
      <c r="H1505" t="s">
        <v>47</v>
      </c>
      <c r="I1505">
        <v>-10</v>
      </c>
      <c r="J1505" s="4" t="str">
        <f>HYPERLINK("https://www.eliteprospects.com/player/887364/lynden-larsen")</f>
        <v>https://www.eliteprospects.com/player/887364/lynden-larsen</v>
      </c>
      <c r="K1505" t="s">
        <v>27</v>
      </c>
      <c r="L1505" t="s">
        <v>804</v>
      </c>
      <c r="M1505" t="s">
        <v>91</v>
      </c>
      <c r="N1505">
        <v>2</v>
      </c>
      <c r="O1505" t="s">
        <v>825</v>
      </c>
      <c r="P1505">
        <v>0.01</v>
      </c>
      <c r="Q1505" t="s">
        <v>245</v>
      </c>
      <c r="R1505">
        <v>13.3</v>
      </c>
      <c r="S1505">
        <v>13.3</v>
      </c>
      <c r="T1505">
        <v>0</v>
      </c>
      <c r="U1505">
        <v>13.3</v>
      </c>
      <c r="V1505">
        <v>60</v>
      </c>
    </row>
    <row r="1506" spans="1:22" x14ac:dyDescent="0.25">
      <c r="A1506" t="s">
        <v>903</v>
      </c>
      <c r="B1506" t="s">
        <v>507</v>
      </c>
      <c r="C1506">
        <v>16</v>
      </c>
      <c r="D1506" t="s">
        <v>140</v>
      </c>
      <c r="E1506" t="s">
        <v>132</v>
      </c>
      <c r="F1506" t="s">
        <v>140</v>
      </c>
      <c r="G1506">
        <v>0.19</v>
      </c>
      <c r="H1506" t="s">
        <v>79</v>
      </c>
      <c r="I1506">
        <v>-8</v>
      </c>
      <c r="J1506" s="4" t="str">
        <f>HYPERLINK("https://www.eliteprospects.com/player/886813/samuel-boyer")</f>
        <v>https://www.eliteprospects.com/player/886813/samuel-boyer</v>
      </c>
      <c r="K1506" t="s">
        <v>27</v>
      </c>
      <c r="L1506" t="s">
        <v>804</v>
      </c>
      <c r="M1506" t="s">
        <v>91</v>
      </c>
      <c r="N1506">
        <v>1</v>
      </c>
      <c r="O1506" t="s">
        <v>816</v>
      </c>
      <c r="P1506">
        <v>0.02</v>
      </c>
      <c r="Q1506" t="s">
        <v>245</v>
      </c>
      <c r="R1506">
        <v>13.3</v>
      </c>
      <c r="S1506">
        <v>13.3</v>
      </c>
      <c r="T1506">
        <v>0</v>
      </c>
      <c r="U1506">
        <v>13.3</v>
      </c>
      <c r="V1506">
        <v>60</v>
      </c>
    </row>
    <row r="1507" spans="1:22" x14ac:dyDescent="0.25">
      <c r="A1507" t="s">
        <v>904</v>
      </c>
      <c r="B1507" t="s">
        <v>507</v>
      </c>
      <c r="C1507">
        <v>25</v>
      </c>
      <c r="D1507" t="s">
        <v>79</v>
      </c>
      <c r="E1507" t="s">
        <v>260</v>
      </c>
      <c r="F1507" t="s">
        <v>140</v>
      </c>
      <c r="G1507">
        <v>0.12</v>
      </c>
      <c r="H1507" t="s">
        <v>84</v>
      </c>
      <c r="I1507">
        <v>-10</v>
      </c>
      <c r="J1507" s="4" t="str">
        <f>HYPERLINK("https://www.eliteprospects.com/player/701459/matys-st-gelais")</f>
        <v>https://www.eliteprospects.com/player/701459/matys-st-gelais</v>
      </c>
      <c r="K1507" t="s">
        <v>27</v>
      </c>
      <c r="L1507" t="s">
        <v>804</v>
      </c>
      <c r="M1507" t="s">
        <v>91</v>
      </c>
      <c r="N1507">
        <v>1</v>
      </c>
      <c r="O1507" t="s">
        <v>816</v>
      </c>
      <c r="P1507">
        <v>0.01</v>
      </c>
      <c r="Q1507" t="s">
        <v>245</v>
      </c>
      <c r="R1507">
        <v>13.3</v>
      </c>
      <c r="S1507">
        <v>13.3</v>
      </c>
      <c r="T1507">
        <v>0</v>
      </c>
      <c r="U1507">
        <v>13.3</v>
      </c>
      <c r="V1507">
        <v>60</v>
      </c>
    </row>
    <row r="1508" spans="1:22" x14ac:dyDescent="0.25">
      <c r="A1508" t="s">
        <v>906</v>
      </c>
      <c r="B1508" t="s">
        <v>507</v>
      </c>
      <c r="C1508">
        <v>19</v>
      </c>
      <c r="D1508" t="s">
        <v>260</v>
      </c>
      <c r="E1508" t="s">
        <v>79</v>
      </c>
      <c r="F1508" t="s">
        <v>140</v>
      </c>
      <c r="G1508">
        <v>0.16</v>
      </c>
      <c r="H1508" t="s">
        <v>32</v>
      </c>
      <c r="I1508">
        <v>-2</v>
      </c>
      <c r="J1508" s="4" t="str">
        <f>HYPERLINK("https://www.eliteprospects.com/player/806428/ryan-dwyer")</f>
        <v>https://www.eliteprospects.com/player/806428/ryan-dwyer</v>
      </c>
      <c r="K1508" t="s">
        <v>27</v>
      </c>
      <c r="L1508" t="s">
        <v>804</v>
      </c>
      <c r="M1508" t="s">
        <v>42</v>
      </c>
      <c r="N1508">
        <v>2</v>
      </c>
      <c r="O1508" t="s">
        <v>825</v>
      </c>
      <c r="P1508">
        <v>0.02</v>
      </c>
      <c r="Q1508" t="s">
        <v>245</v>
      </c>
      <c r="R1508">
        <v>9.1</v>
      </c>
      <c r="S1508">
        <v>18.2</v>
      </c>
      <c r="T1508">
        <v>9.1</v>
      </c>
      <c r="U1508">
        <v>13.6</v>
      </c>
      <c r="V1508">
        <v>50</v>
      </c>
    </row>
    <row r="1509" spans="1:22" x14ac:dyDescent="0.25">
      <c r="A1509" t="s">
        <v>907</v>
      </c>
      <c r="B1509" t="s">
        <v>507</v>
      </c>
      <c r="C1509">
        <v>22</v>
      </c>
      <c r="D1509" t="s">
        <v>260</v>
      </c>
      <c r="E1509" t="s">
        <v>79</v>
      </c>
      <c r="F1509" t="s">
        <v>140</v>
      </c>
      <c r="G1509">
        <v>0.14000000000000001</v>
      </c>
      <c r="H1509" t="s">
        <v>47</v>
      </c>
      <c r="I1509">
        <v>-5</v>
      </c>
      <c r="J1509" s="4" t="str">
        <f>HYPERLINK("https://www.eliteprospects.com/player/759418/olivier-laverdiere")</f>
        <v>https://www.eliteprospects.com/player/759418/olivier-laverdiere</v>
      </c>
      <c r="K1509" t="s">
        <v>27</v>
      </c>
      <c r="L1509" t="s">
        <v>804</v>
      </c>
      <c r="M1509" t="s">
        <v>91</v>
      </c>
      <c r="N1509">
        <v>2</v>
      </c>
      <c r="O1509" t="s">
        <v>825</v>
      </c>
      <c r="P1509">
        <v>0.02</v>
      </c>
      <c r="Q1509" t="s">
        <v>245</v>
      </c>
      <c r="R1509">
        <v>9.1</v>
      </c>
      <c r="S1509">
        <v>18.2</v>
      </c>
      <c r="T1509">
        <v>9.1</v>
      </c>
      <c r="U1509">
        <v>13.6</v>
      </c>
      <c r="V1509">
        <v>50</v>
      </c>
    </row>
    <row r="1510" spans="1:22" x14ac:dyDescent="0.25">
      <c r="A1510" t="s">
        <v>912</v>
      </c>
      <c r="B1510" t="s">
        <v>507</v>
      </c>
      <c r="C1510">
        <v>24</v>
      </c>
      <c r="D1510" t="s">
        <v>260</v>
      </c>
      <c r="E1510" t="s">
        <v>132</v>
      </c>
      <c r="F1510" t="s">
        <v>260</v>
      </c>
      <c r="G1510">
        <v>0.04</v>
      </c>
      <c r="H1510" t="s">
        <v>66</v>
      </c>
      <c r="I1510">
        <v>0</v>
      </c>
      <c r="J1510" s="4" t="str">
        <f>HYPERLINK("https://www.eliteprospects.com/player/873405/juraj-jonas-durco")</f>
        <v>https://www.eliteprospects.com/player/873405/juraj-jonas-durco</v>
      </c>
      <c r="K1510" t="s">
        <v>27</v>
      </c>
      <c r="L1510" t="s">
        <v>804</v>
      </c>
      <c r="M1510" t="s">
        <v>91</v>
      </c>
      <c r="N1510">
        <v>1</v>
      </c>
      <c r="O1510" t="s">
        <v>816</v>
      </c>
      <c r="P1510">
        <v>0</v>
      </c>
      <c r="Q1510" t="s">
        <v>245</v>
      </c>
      <c r="R1510">
        <v>9.1</v>
      </c>
      <c r="S1510">
        <v>18.2</v>
      </c>
      <c r="T1510">
        <v>9.1</v>
      </c>
      <c r="U1510">
        <v>13.6</v>
      </c>
      <c r="V1510">
        <v>50</v>
      </c>
    </row>
    <row r="1511" spans="1:22" x14ac:dyDescent="0.25">
      <c r="A1511" t="s">
        <v>658</v>
      </c>
      <c r="B1511" t="s">
        <v>659</v>
      </c>
      <c r="C1511">
        <v>37</v>
      </c>
      <c r="D1511" t="s">
        <v>55</v>
      </c>
      <c r="E1511" t="s">
        <v>33</v>
      </c>
      <c r="F1511" t="s">
        <v>187</v>
      </c>
      <c r="G1511">
        <v>1.05</v>
      </c>
      <c r="H1511" t="s">
        <v>57</v>
      </c>
      <c r="I1511">
        <v>-2</v>
      </c>
      <c r="J1511" s="4" t="str">
        <f>HYPERLINK("https://www.eliteprospects.com/player/576978/savin-virk")</f>
        <v>https://www.eliteprospects.com/player/576978/savin-virk</v>
      </c>
      <c r="K1511" t="s">
        <v>27</v>
      </c>
      <c r="L1511" t="s">
        <v>631</v>
      </c>
      <c r="M1511" t="s">
        <v>35</v>
      </c>
      <c r="N1511">
        <v>2</v>
      </c>
      <c r="O1511" t="s">
        <v>636</v>
      </c>
      <c r="P1511">
        <v>0.15</v>
      </c>
      <c r="Q1511" t="s">
        <v>135</v>
      </c>
      <c r="R1511">
        <v>20</v>
      </c>
      <c r="S1511">
        <v>40</v>
      </c>
      <c r="T1511">
        <v>0</v>
      </c>
      <c r="U1511">
        <v>20</v>
      </c>
      <c r="V1511">
        <v>20</v>
      </c>
    </row>
    <row r="1512" spans="1:22" x14ac:dyDescent="0.25">
      <c r="A1512" t="s">
        <v>678</v>
      </c>
      <c r="B1512" t="s">
        <v>659</v>
      </c>
      <c r="C1512">
        <v>37</v>
      </c>
      <c r="D1512" t="s">
        <v>32</v>
      </c>
      <c r="E1512" t="s">
        <v>47</v>
      </c>
      <c r="F1512" t="s">
        <v>25</v>
      </c>
      <c r="G1512">
        <v>0.86</v>
      </c>
      <c r="H1512" t="s">
        <v>47</v>
      </c>
      <c r="I1512">
        <v>6</v>
      </c>
      <c r="J1512" s="4" t="str">
        <f>HYPERLINK("https://www.eliteprospects.com/player/705433/gavin-garland")</f>
        <v>https://www.eliteprospects.com/player/705433/gavin-garland</v>
      </c>
      <c r="K1512" t="s">
        <v>27</v>
      </c>
      <c r="L1512" t="s">
        <v>631</v>
      </c>
      <c r="M1512" t="s">
        <v>35</v>
      </c>
      <c r="N1512">
        <v>2</v>
      </c>
      <c r="O1512" t="s">
        <v>636</v>
      </c>
      <c r="P1512">
        <v>0.12</v>
      </c>
      <c r="Q1512" t="s">
        <v>135</v>
      </c>
      <c r="R1512">
        <v>22.7</v>
      </c>
      <c r="S1512">
        <v>36.4</v>
      </c>
      <c r="T1512">
        <v>9.1</v>
      </c>
      <c r="U1512">
        <v>0</v>
      </c>
      <c r="V1512">
        <v>31.8</v>
      </c>
    </row>
    <row r="1513" spans="1:22" x14ac:dyDescent="0.25">
      <c r="A1513" t="s">
        <v>705</v>
      </c>
      <c r="B1513" t="s">
        <v>659</v>
      </c>
      <c r="C1513">
        <v>37</v>
      </c>
      <c r="D1513" t="s">
        <v>66</v>
      </c>
      <c r="E1513" t="s">
        <v>55</v>
      </c>
      <c r="F1513" t="s">
        <v>47</v>
      </c>
      <c r="G1513">
        <v>0.59</v>
      </c>
      <c r="H1513" t="s">
        <v>178</v>
      </c>
      <c r="I1513">
        <v>-10</v>
      </c>
      <c r="J1513" s="4" t="str">
        <f>HYPERLINK("https://www.eliteprospects.com/player/647854/jake-gudelj")</f>
        <v>https://www.eliteprospects.com/player/647854/jake-gudelj</v>
      </c>
      <c r="K1513" t="s">
        <v>27</v>
      </c>
      <c r="L1513" t="s">
        <v>631</v>
      </c>
      <c r="M1513" t="s">
        <v>35</v>
      </c>
      <c r="N1513">
        <v>5</v>
      </c>
      <c r="O1513" t="s">
        <v>645</v>
      </c>
      <c r="P1513">
        <v>0.08</v>
      </c>
      <c r="Q1513" t="s">
        <v>31</v>
      </c>
      <c r="R1513">
        <v>36.4</v>
      </c>
      <c r="S1513">
        <v>9.1</v>
      </c>
      <c r="T1513">
        <v>18.2</v>
      </c>
      <c r="U1513">
        <v>9.1</v>
      </c>
      <c r="V1513">
        <v>27.3</v>
      </c>
    </row>
    <row r="1514" spans="1:22" x14ac:dyDescent="0.25">
      <c r="A1514" t="s">
        <v>721</v>
      </c>
      <c r="B1514" t="s">
        <v>659</v>
      </c>
      <c r="C1514">
        <v>35</v>
      </c>
      <c r="D1514" t="s">
        <v>69</v>
      </c>
      <c r="E1514" t="s">
        <v>78</v>
      </c>
      <c r="F1514" t="s">
        <v>55</v>
      </c>
      <c r="G1514">
        <v>0.51</v>
      </c>
      <c r="H1514" t="s">
        <v>61</v>
      </c>
      <c r="I1514">
        <v>-3</v>
      </c>
      <c r="J1514" s="4" t="str">
        <f>HYPERLINK("https://www.eliteprospects.com/player/879129/cruz-pavao")</f>
        <v>https://www.eliteprospects.com/player/879129/cruz-pavao</v>
      </c>
      <c r="K1514" t="s">
        <v>27</v>
      </c>
      <c r="L1514" t="s">
        <v>631</v>
      </c>
      <c r="M1514" t="s">
        <v>35</v>
      </c>
      <c r="N1514">
        <v>3</v>
      </c>
      <c r="O1514" t="s">
        <v>639</v>
      </c>
      <c r="P1514">
        <v>7.0000000000000007E-2</v>
      </c>
      <c r="Q1514" t="s">
        <v>135</v>
      </c>
      <c r="R1514">
        <v>0</v>
      </c>
      <c r="S1514">
        <v>33.299999999999997</v>
      </c>
      <c r="T1514">
        <v>23.8</v>
      </c>
      <c r="U1514">
        <v>9.5</v>
      </c>
      <c r="V1514">
        <v>33.299999999999997</v>
      </c>
    </row>
    <row r="1515" spans="1:22" x14ac:dyDescent="0.25">
      <c r="A1515" t="s">
        <v>728</v>
      </c>
      <c r="B1515" t="s">
        <v>659</v>
      </c>
      <c r="C1515">
        <v>31</v>
      </c>
      <c r="D1515" t="s">
        <v>45</v>
      </c>
      <c r="E1515" t="s">
        <v>26</v>
      </c>
      <c r="F1515" t="s">
        <v>60</v>
      </c>
      <c r="G1515">
        <v>0.55000000000000004</v>
      </c>
      <c r="H1515" t="s">
        <v>26</v>
      </c>
      <c r="I1515">
        <v>0</v>
      </c>
      <c r="J1515" s="4" t="str">
        <f>HYPERLINK("https://www.eliteprospects.com/player/966511/crew-martinson")</f>
        <v>https://www.eliteprospects.com/player/966511/crew-martinson</v>
      </c>
      <c r="K1515" t="s">
        <v>27</v>
      </c>
      <c r="L1515" t="s">
        <v>631</v>
      </c>
      <c r="M1515" t="s">
        <v>35</v>
      </c>
      <c r="N1515">
        <v>2</v>
      </c>
      <c r="O1515" t="s">
        <v>636</v>
      </c>
      <c r="P1515">
        <v>0.08</v>
      </c>
      <c r="Q1515" t="s">
        <v>1277</v>
      </c>
      <c r="R1515">
        <v>16.7</v>
      </c>
      <c r="S1515">
        <v>16.7</v>
      </c>
      <c r="T1515">
        <v>25</v>
      </c>
      <c r="U1515">
        <v>16.7</v>
      </c>
      <c r="V1515">
        <v>25</v>
      </c>
    </row>
    <row r="1516" spans="1:22" x14ac:dyDescent="0.25">
      <c r="A1516" t="s">
        <v>738</v>
      </c>
      <c r="B1516" t="s">
        <v>659</v>
      </c>
      <c r="C1516">
        <v>32</v>
      </c>
      <c r="D1516" t="s">
        <v>57</v>
      </c>
      <c r="E1516" t="s">
        <v>26</v>
      </c>
      <c r="F1516" t="s">
        <v>39</v>
      </c>
      <c r="G1516">
        <v>0.44</v>
      </c>
      <c r="H1516" t="s">
        <v>739</v>
      </c>
      <c r="I1516">
        <v>-5</v>
      </c>
      <c r="J1516" s="4" t="str">
        <f>HYPERLINK("https://www.eliteprospects.com/player/804725/cash-koch")</f>
        <v>https://www.eliteprospects.com/player/804725/cash-koch</v>
      </c>
      <c r="K1516" t="s">
        <v>27</v>
      </c>
      <c r="L1516" t="s">
        <v>631</v>
      </c>
      <c r="M1516" t="s">
        <v>35</v>
      </c>
      <c r="N1516">
        <v>4</v>
      </c>
      <c r="O1516" t="s">
        <v>632</v>
      </c>
      <c r="P1516">
        <v>0.06</v>
      </c>
      <c r="Q1516" t="s">
        <v>135</v>
      </c>
      <c r="R1516">
        <v>0</v>
      </c>
      <c r="S1516">
        <v>33.299999999999997</v>
      </c>
      <c r="T1516">
        <v>23.8</v>
      </c>
      <c r="U1516">
        <v>9.5</v>
      </c>
      <c r="V1516">
        <v>33.299999999999997</v>
      </c>
    </row>
    <row r="1517" spans="1:22" x14ac:dyDescent="0.25">
      <c r="A1517" t="s">
        <v>753</v>
      </c>
      <c r="B1517" t="s">
        <v>659</v>
      </c>
      <c r="C1517">
        <v>22</v>
      </c>
      <c r="D1517" t="s">
        <v>66</v>
      </c>
      <c r="E1517" t="s">
        <v>78</v>
      </c>
      <c r="F1517" t="s">
        <v>69</v>
      </c>
      <c r="G1517">
        <v>0.5</v>
      </c>
      <c r="H1517" t="s">
        <v>512</v>
      </c>
      <c r="I1517">
        <v>5</v>
      </c>
      <c r="J1517" s="4" t="str">
        <f>HYPERLINK("https://www.eliteprospects.com/player/710816/grady-martin")</f>
        <v>https://www.eliteprospects.com/player/710816/grady-martin</v>
      </c>
      <c r="K1517" t="s">
        <v>27</v>
      </c>
      <c r="L1517" t="s">
        <v>631</v>
      </c>
      <c r="M1517" t="s">
        <v>35</v>
      </c>
      <c r="N1517">
        <v>4</v>
      </c>
      <c r="O1517" t="s">
        <v>632</v>
      </c>
      <c r="P1517">
        <v>7.0000000000000007E-2</v>
      </c>
      <c r="Q1517" t="s">
        <v>245</v>
      </c>
      <c r="R1517">
        <v>14.3</v>
      </c>
      <c r="S1517">
        <v>28.6</v>
      </c>
      <c r="T1517">
        <v>0</v>
      </c>
      <c r="U1517">
        <v>14.3</v>
      </c>
      <c r="V1517">
        <v>42.9</v>
      </c>
    </row>
    <row r="1518" spans="1:22" x14ac:dyDescent="0.25">
      <c r="A1518" t="s">
        <v>773</v>
      </c>
      <c r="B1518" t="s">
        <v>659</v>
      </c>
      <c r="C1518">
        <v>27</v>
      </c>
      <c r="D1518" t="s">
        <v>66</v>
      </c>
      <c r="E1518" t="s">
        <v>79</v>
      </c>
      <c r="F1518" t="s">
        <v>57</v>
      </c>
      <c r="G1518">
        <v>0.22</v>
      </c>
      <c r="H1518" t="s">
        <v>23</v>
      </c>
      <c r="I1518">
        <v>-3</v>
      </c>
      <c r="J1518" s="4" t="str">
        <f>HYPERLINK("https://www.eliteprospects.com/player/963781/alexander-laing")</f>
        <v>https://www.eliteprospects.com/player/963781/alexander-laing</v>
      </c>
      <c r="K1518" t="s">
        <v>27</v>
      </c>
      <c r="L1518" t="s">
        <v>631</v>
      </c>
      <c r="M1518" t="s">
        <v>35</v>
      </c>
      <c r="N1518">
        <v>2</v>
      </c>
      <c r="O1518" t="s">
        <v>636</v>
      </c>
      <c r="P1518">
        <v>0.03</v>
      </c>
      <c r="Q1518" t="s">
        <v>245</v>
      </c>
      <c r="R1518">
        <v>9.1</v>
      </c>
      <c r="S1518">
        <v>18.2</v>
      </c>
      <c r="T1518">
        <v>9.1</v>
      </c>
      <c r="U1518">
        <v>13.6</v>
      </c>
      <c r="V1518">
        <v>50</v>
      </c>
    </row>
    <row r="1519" spans="1:22" x14ac:dyDescent="0.25">
      <c r="A1519" t="s">
        <v>777</v>
      </c>
      <c r="B1519" t="s">
        <v>659</v>
      </c>
      <c r="C1519">
        <v>37</v>
      </c>
      <c r="D1519" t="s">
        <v>140</v>
      </c>
      <c r="E1519" t="s">
        <v>140</v>
      </c>
      <c r="F1519" t="s">
        <v>57</v>
      </c>
      <c r="G1519">
        <v>0.16</v>
      </c>
      <c r="H1519" t="s">
        <v>66</v>
      </c>
      <c r="I1519">
        <v>1</v>
      </c>
      <c r="J1519" s="4" t="str">
        <f>HYPERLINK("https://www.eliteprospects.com/player/905933/david-krcal")</f>
        <v>https://www.eliteprospects.com/player/905933/david-krcal</v>
      </c>
      <c r="K1519" t="s">
        <v>27</v>
      </c>
      <c r="L1519" t="s">
        <v>631</v>
      </c>
      <c r="M1519" t="s">
        <v>91</v>
      </c>
      <c r="N1519">
        <v>1</v>
      </c>
      <c r="O1519" t="s">
        <v>634</v>
      </c>
      <c r="P1519">
        <v>0.02</v>
      </c>
      <c r="Q1519" t="s">
        <v>245</v>
      </c>
      <c r="R1519">
        <v>0</v>
      </c>
      <c r="S1519">
        <v>0</v>
      </c>
      <c r="T1519">
        <v>0</v>
      </c>
      <c r="U1519">
        <v>0</v>
      </c>
      <c r="V1519">
        <v>100</v>
      </c>
    </row>
    <row r="1520" spans="1:22" x14ac:dyDescent="0.25">
      <c r="A1520" t="s">
        <v>780</v>
      </c>
      <c r="B1520" t="s">
        <v>659</v>
      </c>
      <c r="C1520">
        <v>22</v>
      </c>
      <c r="D1520" t="s">
        <v>260</v>
      </c>
      <c r="E1520" t="s">
        <v>96</v>
      </c>
      <c r="F1520" t="s">
        <v>57</v>
      </c>
      <c r="G1520">
        <v>0.27</v>
      </c>
      <c r="H1520" t="s">
        <v>79</v>
      </c>
      <c r="I1520">
        <v>-1</v>
      </c>
      <c r="J1520" s="4" t="str">
        <f>HYPERLINK("https://www.eliteprospects.com/player/628059/carter-kingerski")</f>
        <v>https://www.eliteprospects.com/player/628059/carter-kingerski</v>
      </c>
      <c r="K1520" t="s">
        <v>27</v>
      </c>
      <c r="L1520" t="s">
        <v>631</v>
      </c>
      <c r="M1520" t="s">
        <v>35</v>
      </c>
      <c r="N1520">
        <v>2</v>
      </c>
      <c r="O1520" t="s">
        <v>636</v>
      </c>
      <c r="P1520">
        <v>0.04</v>
      </c>
      <c r="Q1520" t="s">
        <v>245</v>
      </c>
      <c r="R1520">
        <v>9.1</v>
      </c>
      <c r="S1520">
        <v>18.2</v>
      </c>
      <c r="T1520">
        <v>9.1</v>
      </c>
      <c r="U1520">
        <v>13.6</v>
      </c>
      <c r="V1520">
        <v>50</v>
      </c>
    </row>
    <row r="1521" spans="1:22" x14ac:dyDescent="0.25">
      <c r="A1521" t="s">
        <v>782</v>
      </c>
      <c r="B1521" t="s">
        <v>659</v>
      </c>
      <c r="C1521">
        <v>23</v>
      </c>
      <c r="D1521" t="s">
        <v>260</v>
      </c>
      <c r="E1521" t="s">
        <v>96</v>
      </c>
      <c r="F1521" t="s">
        <v>57</v>
      </c>
      <c r="G1521">
        <v>0.26</v>
      </c>
      <c r="H1521" t="s">
        <v>66</v>
      </c>
      <c r="I1521">
        <v>-3</v>
      </c>
      <c r="J1521" s="4" t="str">
        <f>HYPERLINK("https://www.eliteprospects.com/player/690463/tomas-racz")</f>
        <v>https://www.eliteprospects.com/player/690463/tomas-racz</v>
      </c>
      <c r="K1521" t="s">
        <v>27</v>
      </c>
      <c r="L1521" t="s">
        <v>631</v>
      </c>
      <c r="M1521" t="s">
        <v>35</v>
      </c>
      <c r="N1521">
        <v>1</v>
      </c>
      <c r="O1521" t="s">
        <v>634</v>
      </c>
      <c r="P1521">
        <v>0.04</v>
      </c>
      <c r="Q1521" t="s">
        <v>245</v>
      </c>
      <c r="R1521">
        <v>9.1</v>
      </c>
      <c r="S1521">
        <v>18.2</v>
      </c>
      <c r="T1521">
        <v>9.1</v>
      </c>
      <c r="U1521">
        <v>13.6</v>
      </c>
      <c r="V1521">
        <v>50</v>
      </c>
    </row>
    <row r="1522" spans="1:22" x14ac:dyDescent="0.25">
      <c r="A1522" t="s">
        <v>785</v>
      </c>
      <c r="B1522" t="s">
        <v>659</v>
      </c>
      <c r="C1522">
        <v>20</v>
      </c>
      <c r="D1522" t="s">
        <v>79</v>
      </c>
      <c r="E1522" t="s">
        <v>140</v>
      </c>
      <c r="F1522" t="s">
        <v>96</v>
      </c>
      <c r="G1522">
        <v>0.25</v>
      </c>
      <c r="H1522" t="s">
        <v>57</v>
      </c>
      <c r="I1522">
        <v>0</v>
      </c>
      <c r="J1522" s="4" t="str">
        <f>HYPERLINK("https://www.eliteprospects.com/player/754562/jesse-mckinnon")</f>
        <v>https://www.eliteprospects.com/player/754562/jesse-mckinnon</v>
      </c>
      <c r="K1522" t="s">
        <v>27</v>
      </c>
      <c r="L1522" t="s">
        <v>631</v>
      </c>
      <c r="M1522" t="s">
        <v>35</v>
      </c>
      <c r="N1522">
        <v>2</v>
      </c>
      <c r="O1522" t="s">
        <v>636</v>
      </c>
      <c r="P1522">
        <v>0.04</v>
      </c>
      <c r="Q1522" t="s">
        <v>245</v>
      </c>
      <c r="R1522">
        <v>9.1</v>
      </c>
      <c r="S1522">
        <v>18.2</v>
      </c>
      <c r="T1522">
        <v>9.1</v>
      </c>
      <c r="U1522">
        <v>13.6</v>
      </c>
      <c r="V1522">
        <v>50</v>
      </c>
    </row>
    <row r="1523" spans="1:22" x14ac:dyDescent="0.25">
      <c r="A1523" t="s">
        <v>790</v>
      </c>
      <c r="B1523" t="s">
        <v>659</v>
      </c>
      <c r="C1523">
        <v>19</v>
      </c>
      <c r="D1523" t="s">
        <v>140</v>
      </c>
      <c r="E1523" t="s">
        <v>260</v>
      </c>
      <c r="F1523" t="s">
        <v>66</v>
      </c>
      <c r="G1523">
        <v>0.21</v>
      </c>
      <c r="H1523" t="s">
        <v>69</v>
      </c>
      <c r="I1523">
        <v>0</v>
      </c>
      <c r="J1523" s="4" t="str">
        <f>HYPERLINK("https://www.eliteprospects.com/player/890164/mason-mykichuk")</f>
        <v>https://www.eliteprospects.com/player/890164/mason-mykichuk</v>
      </c>
      <c r="K1523" t="s">
        <v>27</v>
      </c>
      <c r="L1523" t="s">
        <v>631</v>
      </c>
      <c r="M1523" t="s">
        <v>42</v>
      </c>
      <c r="N1523">
        <v>2</v>
      </c>
      <c r="O1523" t="s">
        <v>636</v>
      </c>
      <c r="P1523">
        <v>0.03</v>
      </c>
      <c r="Q1523" t="s">
        <v>245</v>
      </c>
      <c r="R1523">
        <v>9.1</v>
      </c>
      <c r="S1523">
        <v>18.2</v>
      </c>
      <c r="T1523">
        <v>9.1</v>
      </c>
      <c r="U1523">
        <v>13.6</v>
      </c>
      <c r="V1523">
        <v>50</v>
      </c>
    </row>
    <row r="1524" spans="1:22" x14ac:dyDescent="0.25">
      <c r="A1524" t="s">
        <v>1019</v>
      </c>
      <c r="B1524" t="s">
        <v>1020</v>
      </c>
      <c r="C1524">
        <v>17</v>
      </c>
      <c r="D1524" t="s">
        <v>57</v>
      </c>
      <c r="E1524" t="s">
        <v>32</v>
      </c>
      <c r="F1524" t="s">
        <v>38</v>
      </c>
      <c r="G1524">
        <v>0.94</v>
      </c>
      <c r="H1524" t="s">
        <v>26</v>
      </c>
      <c r="I1524">
        <v>-9</v>
      </c>
      <c r="J1524" s="4" t="str">
        <f>HYPERLINK("https://www.eliteprospects.com/player/551728/christian-lowe")</f>
        <v>https://www.eliteprospects.com/player/551728/christian-lowe</v>
      </c>
      <c r="K1524" t="s">
        <v>27</v>
      </c>
      <c r="L1524" t="s">
        <v>918</v>
      </c>
      <c r="M1524" t="s">
        <v>35</v>
      </c>
      <c r="N1524">
        <v>2</v>
      </c>
      <c r="O1524" t="s">
        <v>1021</v>
      </c>
      <c r="P1524">
        <v>0.12</v>
      </c>
      <c r="Q1524" t="s">
        <v>245</v>
      </c>
      <c r="R1524">
        <v>21.1</v>
      </c>
      <c r="S1524">
        <v>26.3</v>
      </c>
      <c r="T1524">
        <v>5.3</v>
      </c>
      <c r="U1524">
        <v>5.3</v>
      </c>
      <c r="V1524">
        <v>42.1</v>
      </c>
    </row>
    <row r="1525" spans="1:22" x14ac:dyDescent="0.25">
      <c r="A1525" t="s">
        <v>1042</v>
      </c>
      <c r="B1525" t="s">
        <v>1020</v>
      </c>
      <c r="C1525">
        <v>18</v>
      </c>
      <c r="D1525" t="s">
        <v>26</v>
      </c>
      <c r="E1525" t="s">
        <v>57</v>
      </c>
      <c r="F1525" t="s">
        <v>39</v>
      </c>
      <c r="G1525">
        <v>0.78</v>
      </c>
      <c r="H1525" t="s">
        <v>26</v>
      </c>
      <c r="I1525">
        <v>-3</v>
      </c>
      <c r="J1525" s="4" t="str">
        <f>HYPERLINK("https://www.eliteprospects.com/player/646173/mikhail-simchuk")</f>
        <v>https://www.eliteprospects.com/player/646173/mikhail-simchuk</v>
      </c>
      <c r="K1525" t="s">
        <v>27</v>
      </c>
      <c r="L1525" t="s">
        <v>918</v>
      </c>
      <c r="M1525" t="s">
        <v>35</v>
      </c>
      <c r="N1525">
        <v>1</v>
      </c>
      <c r="O1525" t="s">
        <v>984</v>
      </c>
      <c r="P1525">
        <v>0.1</v>
      </c>
      <c r="Q1525" t="s">
        <v>245</v>
      </c>
      <c r="R1525">
        <v>0</v>
      </c>
      <c r="S1525">
        <v>33.299999999999997</v>
      </c>
      <c r="T1525">
        <v>0</v>
      </c>
      <c r="U1525">
        <v>0</v>
      </c>
      <c r="V1525">
        <v>66.7</v>
      </c>
    </row>
    <row r="1526" spans="1:22" x14ac:dyDescent="0.25">
      <c r="A1526" t="s">
        <v>1044</v>
      </c>
      <c r="B1526" t="s">
        <v>1020</v>
      </c>
      <c r="C1526">
        <v>18</v>
      </c>
      <c r="D1526" t="s">
        <v>26</v>
      </c>
      <c r="E1526" t="s">
        <v>57</v>
      </c>
      <c r="F1526" t="s">
        <v>39</v>
      </c>
      <c r="G1526">
        <v>0.78</v>
      </c>
      <c r="H1526" t="s">
        <v>280</v>
      </c>
      <c r="I1526">
        <v>-11</v>
      </c>
      <c r="J1526" s="4" t="str">
        <f>HYPERLINK("https://www.eliteprospects.com/player/538853/artem-hrabovetskyi")</f>
        <v>https://www.eliteprospects.com/player/538853/artem-hrabovetskyi</v>
      </c>
      <c r="K1526" t="s">
        <v>27</v>
      </c>
      <c r="L1526" t="s">
        <v>918</v>
      </c>
      <c r="M1526" t="s">
        <v>35</v>
      </c>
      <c r="N1526">
        <v>1</v>
      </c>
      <c r="O1526" t="s">
        <v>984</v>
      </c>
      <c r="P1526">
        <v>0.1</v>
      </c>
      <c r="Q1526" t="s">
        <v>245</v>
      </c>
      <c r="R1526">
        <v>9.1</v>
      </c>
      <c r="S1526">
        <v>27.3</v>
      </c>
      <c r="T1526">
        <v>18.2</v>
      </c>
      <c r="U1526">
        <v>0</v>
      </c>
      <c r="V1526">
        <v>45.5</v>
      </c>
    </row>
    <row r="1527" spans="1:22" x14ac:dyDescent="0.25">
      <c r="A1527" t="s">
        <v>1148</v>
      </c>
      <c r="B1527" t="s">
        <v>1020</v>
      </c>
      <c r="C1527">
        <v>17</v>
      </c>
      <c r="D1527" t="s">
        <v>140</v>
      </c>
      <c r="E1527" t="s">
        <v>66</v>
      </c>
      <c r="F1527" t="s">
        <v>78</v>
      </c>
      <c r="G1527">
        <v>0.41</v>
      </c>
      <c r="H1527" t="s">
        <v>26</v>
      </c>
      <c r="I1527">
        <v>-6</v>
      </c>
      <c r="J1527" s="4" t="str">
        <f>HYPERLINK("https://www.eliteprospects.com/player/565022/connor-farren")</f>
        <v>https://www.eliteprospects.com/player/565022/connor-farren</v>
      </c>
      <c r="K1527" t="s">
        <v>27</v>
      </c>
      <c r="L1527" t="s">
        <v>918</v>
      </c>
      <c r="M1527" t="s">
        <v>35</v>
      </c>
      <c r="N1527">
        <v>1</v>
      </c>
      <c r="O1527" t="s">
        <v>984</v>
      </c>
      <c r="P1527">
        <v>0.05</v>
      </c>
      <c r="Q1527" t="s">
        <v>245</v>
      </c>
      <c r="R1527">
        <v>13.3</v>
      </c>
      <c r="S1527">
        <v>13.3</v>
      </c>
      <c r="T1527">
        <v>0</v>
      </c>
      <c r="U1527">
        <v>13.3</v>
      </c>
      <c r="V1527">
        <v>60</v>
      </c>
    </row>
    <row r="1528" spans="1:22" x14ac:dyDescent="0.25">
      <c r="A1528" t="s">
        <v>1187</v>
      </c>
      <c r="B1528" t="s">
        <v>1020</v>
      </c>
      <c r="C1528">
        <v>18</v>
      </c>
      <c r="D1528" t="s">
        <v>140</v>
      </c>
      <c r="E1528" t="s">
        <v>79</v>
      </c>
      <c r="F1528" t="s">
        <v>96</v>
      </c>
      <c r="G1528">
        <v>0.28000000000000003</v>
      </c>
      <c r="H1528" t="s">
        <v>39</v>
      </c>
      <c r="I1528">
        <v>-12</v>
      </c>
      <c r="J1528" s="4" t="str">
        <f>HYPERLINK("https://www.eliteprospects.com/player/573189/james-swan")</f>
        <v>https://www.eliteprospects.com/player/573189/james-swan</v>
      </c>
      <c r="K1528" t="s">
        <v>27</v>
      </c>
      <c r="L1528" t="s">
        <v>918</v>
      </c>
      <c r="M1528" t="s">
        <v>91</v>
      </c>
      <c r="N1528">
        <v>5</v>
      </c>
      <c r="O1528" t="s">
        <v>930</v>
      </c>
      <c r="P1528">
        <v>0.04</v>
      </c>
      <c r="Q1528" t="s">
        <v>245</v>
      </c>
      <c r="R1528">
        <v>13.3</v>
      </c>
      <c r="S1528">
        <v>13.3</v>
      </c>
      <c r="T1528">
        <v>0</v>
      </c>
      <c r="U1528">
        <v>13.3</v>
      </c>
      <c r="V1528">
        <v>60</v>
      </c>
    </row>
    <row r="1529" spans="1:22" x14ac:dyDescent="0.25">
      <c r="A1529" t="s">
        <v>1203</v>
      </c>
      <c r="B1529" t="s">
        <v>1020</v>
      </c>
      <c r="C1529">
        <v>15</v>
      </c>
      <c r="D1529" t="s">
        <v>79</v>
      </c>
      <c r="E1529" t="s">
        <v>79</v>
      </c>
      <c r="F1529" t="s">
        <v>66</v>
      </c>
      <c r="G1529">
        <v>0.27</v>
      </c>
      <c r="H1529" t="s">
        <v>26</v>
      </c>
      <c r="I1529">
        <v>-10</v>
      </c>
      <c r="J1529" s="4" t="str">
        <f>HYPERLINK("https://www.eliteprospects.com/player/571514/matteo-lamoureux")</f>
        <v>https://www.eliteprospects.com/player/571514/matteo-lamoureux</v>
      </c>
      <c r="K1529" t="s">
        <v>27</v>
      </c>
      <c r="L1529" t="s">
        <v>918</v>
      </c>
      <c r="M1529" t="s">
        <v>87</v>
      </c>
      <c r="N1529">
        <v>1</v>
      </c>
      <c r="O1529" t="s">
        <v>984</v>
      </c>
      <c r="P1529">
        <v>0.03</v>
      </c>
      <c r="Q1529" t="s">
        <v>245</v>
      </c>
      <c r="R1529">
        <v>13.3</v>
      </c>
      <c r="S1529">
        <v>13.3</v>
      </c>
      <c r="T1529">
        <v>0</v>
      </c>
      <c r="U1529">
        <v>13.3</v>
      </c>
      <c r="V1529">
        <v>60</v>
      </c>
    </row>
    <row r="1530" spans="1:22" x14ac:dyDescent="0.25">
      <c r="A1530" t="s">
        <v>1216</v>
      </c>
      <c r="B1530" t="s">
        <v>1020</v>
      </c>
      <c r="C1530">
        <v>18</v>
      </c>
      <c r="D1530" t="s">
        <v>260</v>
      </c>
      <c r="E1530" t="s">
        <v>140</v>
      </c>
      <c r="F1530" t="s">
        <v>66</v>
      </c>
      <c r="G1530">
        <v>0.22</v>
      </c>
      <c r="H1530" t="s">
        <v>32</v>
      </c>
      <c r="I1530">
        <v>-5</v>
      </c>
      <c r="J1530" s="4" t="str">
        <f>HYPERLINK("https://www.eliteprospects.com/player/505860/aiden-knutson")</f>
        <v>https://www.eliteprospects.com/player/505860/aiden-knutson</v>
      </c>
      <c r="K1530" t="s">
        <v>27</v>
      </c>
      <c r="L1530" t="s">
        <v>918</v>
      </c>
      <c r="M1530" t="s">
        <v>35</v>
      </c>
      <c r="N1530">
        <v>1</v>
      </c>
      <c r="O1530" t="s">
        <v>984</v>
      </c>
      <c r="P1530">
        <v>0.03</v>
      </c>
      <c r="Q1530" t="s">
        <v>245</v>
      </c>
      <c r="R1530">
        <v>9.1</v>
      </c>
      <c r="S1530">
        <v>18.2</v>
      </c>
      <c r="T1530">
        <v>9.1</v>
      </c>
      <c r="U1530">
        <v>13.6</v>
      </c>
      <c r="V1530">
        <v>50</v>
      </c>
    </row>
    <row r="1531" spans="1:22" x14ac:dyDescent="0.25">
      <c r="A1531" t="s">
        <v>1243</v>
      </c>
      <c r="B1531" t="s">
        <v>1020</v>
      </c>
      <c r="C1531">
        <v>18</v>
      </c>
      <c r="D1531" t="s">
        <v>260</v>
      </c>
      <c r="E1531" t="s">
        <v>79</v>
      </c>
      <c r="F1531" t="s">
        <v>140</v>
      </c>
      <c r="G1531">
        <v>0.17</v>
      </c>
      <c r="H1531" t="s">
        <v>38</v>
      </c>
      <c r="I1531">
        <v>-14</v>
      </c>
      <c r="J1531" s="4" t="str">
        <f>HYPERLINK("https://www.eliteprospects.com/player/584788/matthias-bessey")</f>
        <v>https://www.eliteprospects.com/player/584788/matthias-bessey</v>
      </c>
      <c r="K1531" t="s">
        <v>27</v>
      </c>
      <c r="L1531" t="s">
        <v>918</v>
      </c>
      <c r="M1531" t="s">
        <v>35</v>
      </c>
      <c r="N1531">
        <v>1</v>
      </c>
      <c r="O1531" t="s">
        <v>984</v>
      </c>
      <c r="P1531">
        <v>0.02</v>
      </c>
      <c r="Q1531" t="s">
        <v>245</v>
      </c>
      <c r="R1531">
        <v>13.3</v>
      </c>
      <c r="S1531">
        <v>13.3</v>
      </c>
      <c r="T1531">
        <v>0</v>
      </c>
      <c r="U1531">
        <v>13.3</v>
      </c>
      <c r="V1531">
        <v>60</v>
      </c>
    </row>
    <row r="1532" spans="1:22" x14ac:dyDescent="0.25">
      <c r="A1532" t="s">
        <v>1263</v>
      </c>
      <c r="B1532" t="s">
        <v>1020</v>
      </c>
      <c r="C1532">
        <v>10</v>
      </c>
      <c r="D1532" t="s">
        <v>132</v>
      </c>
      <c r="E1532" t="s">
        <v>79</v>
      </c>
      <c r="F1532" t="s">
        <v>79</v>
      </c>
      <c r="G1532">
        <v>0.2</v>
      </c>
      <c r="H1532" t="s">
        <v>26</v>
      </c>
      <c r="I1532">
        <v>-7</v>
      </c>
      <c r="J1532" s="4" t="str">
        <f>HYPERLINK("https://www.eliteprospects.com/player/713099/cyprus-smith-davis")</f>
        <v>https://www.eliteprospects.com/player/713099/cyprus-smith-davis</v>
      </c>
      <c r="K1532" t="s">
        <v>27</v>
      </c>
      <c r="L1532" t="s">
        <v>918</v>
      </c>
      <c r="M1532" t="s">
        <v>35</v>
      </c>
      <c r="N1532">
        <v>1</v>
      </c>
      <c r="O1532" t="s">
        <v>984</v>
      </c>
      <c r="P1532">
        <v>0.02</v>
      </c>
      <c r="Q1532" t="s">
        <v>245</v>
      </c>
      <c r="R1532">
        <v>13.3</v>
      </c>
      <c r="S1532">
        <v>13.3</v>
      </c>
      <c r="T1532">
        <v>0</v>
      </c>
      <c r="U1532">
        <v>13.3</v>
      </c>
      <c r="V1532">
        <v>60</v>
      </c>
    </row>
    <row r="1533" spans="1:22" x14ac:dyDescent="0.25">
      <c r="A1533" t="s">
        <v>1268</v>
      </c>
      <c r="B1533" t="s">
        <v>1020</v>
      </c>
      <c r="C1533">
        <v>15</v>
      </c>
      <c r="D1533" t="s">
        <v>260</v>
      </c>
      <c r="E1533" t="s">
        <v>132</v>
      </c>
      <c r="F1533" t="s">
        <v>260</v>
      </c>
      <c r="G1533">
        <v>7.0000000000000007E-2</v>
      </c>
      <c r="H1533" t="s">
        <v>66</v>
      </c>
      <c r="I1533">
        <v>-7</v>
      </c>
      <c r="J1533" s="4" t="str">
        <f>HYPERLINK("https://www.eliteprospects.com/player/825380/damian-metastasio")</f>
        <v>https://www.eliteprospects.com/player/825380/damian-metastasio</v>
      </c>
      <c r="K1533" t="s">
        <v>27</v>
      </c>
      <c r="L1533" t="s">
        <v>918</v>
      </c>
      <c r="M1533" t="s">
        <v>35</v>
      </c>
      <c r="N1533">
        <v>1</v>
      </c>
      <c r="O1533" t="s">
        <v>984</v>
      </c>
      <c r="P1533">
        <v>0.01</v>
      </c>
      <c r="Q1533" t="s">
        <v>245</v>
      </c>
      <c r="R1533">
        <v>13.3</v>
      </c>
      <c r="S1533">
        <v>13.3</v>
      </c>
      <c r="T1533">
        <v>0</v>
      </c>
      <c r="U1533">
        <v>13.3</v>
      </c>
      <c r="V1533">
        <v>60</v>
      </c>
    </row>
    <row r="1534" spans="1:22" x14ac:dyDescent="0.25">
      <c r="A1534" t="s">
        <v>1272</v>
      </c>
      <c r="B1534" t="s">
        <v>1020</v>
      </c>
      <c r="C1534">
        <v>13</v>
      </c>
      <c r="D1534" t="s">
        <v>132</v>
      </c>
      <c r="E1534" t="s">
        <v>132</v>
      </c>
      <c r="F1534" t="s">
        <v>132</v>
      </c>
      <c r="G1534">
        <v>0</v>
      </c>
      <c r="H1534" t="s">
        <v>60</v>
      </c>
      <c r="I1534">
        <v>-4</v>
      </c>
      <c r="J1534" s="4" t="str">
        <f>HYPERLINK("https://www.eliteprospects.com/player/521206/nathan-ayotte")</f>
        <v>https://www.eliteprospects.com/player/521206/nathan-ayotte</v>
      </c>
      <c r="K1534" t="s">
        <v>27</v>
      </c>
      <c r="L1534" t="s">
        <v>918</v>
      </c>
      <c r="M1534" t="s">
        <v>35</v>
      </c>
      <c r="N1534">
        <v>1</v>
      </c>
      <c r="O1534" t="s">
        <v>984</v>
      </c>
      <c r="P1534">
        <v>0</v>
      </c>
      <c r="Q1534" t="s">
        <v>245</v>
      </c>
      <c r="R1534">
        <v>9.1</v>
      </c>
      <c r="S1534">
        <v>18.2</v>
      </c>
      <c r="T1534">
        <v>9.1</v>
      </c>
      <c r="U1534">
        <v>13.6</v>
      </c>
      <c r="V1534">
        <v>50</v>
      </c>
    </row>
    <row r="1535" spans="1:22" x14ac:dyDescent="0.25">
      <c r="A1535" t="s">
        <v>1274</v>
      </c>
      <c r="B1535" t="s">
        <v>1020</v>
      </c>
      <c r="C1535">
        <v>18</v>
      </c>
      <c r="D1535" t="s">
        <v>132</v>
      </c>
      <c r="E1535" t="s">
        <v>132</v>
      </c>
      <c r="F1535" t="s">
        <v>132</v>
      </c>
      <c r="G1535">
        <v>0</v>
      </c>
      <c r="H1535" t="s">
        <v>23</v>
      </c>
      <c r="I1535">
        <v>-6</v>
      </c>
      <c r="J1535" s="4" t="str">
        <f>HYPERLINK("https://www.eliteprospects.com/player/561321/lleyton-shearon")</f>
        <v>https://www.eliteprospects.com/player/561321/lleyton-shearon</v>
      </c>
      <c r="K1535" t="s">
        <v>27</v>
      </c>
      <c r="L1535" t="s">
        <v>918</v>
      </c>
      <c r="M1535" t="s">
        <v>35</v>
      </c>
      <c r="N1535">
        <v>1</v>
      </c>
      <c r="O1535" t="s">
        <v>984</v>
      </c>
      <c r="P1535">
        <v>0</v>
      </c>
      <c r="Q1535" t="s">
        <v>245</v>
      </c>
      <c r="R1535">
        <v>13.3</v>
      </c>
      <c r="S1535">
        <v>13.3</v>
      </c>
      <c r="T1535">
        <v>0</v>
      </c>
      <c r="U1535">
        <v>13.3</v>
      </c>
      <c r="V1535">
        <v>60</v>
      </c>
    </row>
    <row r="1536" spans="1:22" x14ac:dyDescent="0.25">
      <c r="A1536" t="s">
        <v>1275</v>
      </c>
      <c r="B1536" t="s">
        <v>1020</v>
      </c>
      <c r="C1536">
        <v>18</v>
      </c>
      <c r="D1536" t="s">
        <v>132</v>
      </c>
      <c r="E1536" t="s">
        <v>132</v>
      </c>
      <c r="F1536" t="s">
        <v>132</v>
      </c>
      <c r="G1536">
        <v>0</v>
      </c>
      <c r="H1536" t="s">
        <v>24</v>
      </c>
      <c r="I1536">
        <v>-20</v>
      </c>
      <c r="J1536" s="4" t="str">
        <f>HYPERLINK("https://www.eliteprospects.com/player/477387/sammy-may")</f>
        <v>https://www.eliteprospects.com/player/477387/sammy-may</v>
      </c>
      <c r="K1536" t="s">
        <v>27</v>
      </c>
      <c r="L1536" t="s">
        <v>918</v>
      </c>
      <c r="M1536" t="s">
        <v>35</v>
      </c>
      <c r="N1536">
        <v>4</v>
      </c>
      <c r="O1536" t="s">
        <v>978</v>
      </c>
      <c r="P1536">
        <v>0</v>
      </c>
      <c r="Q1536" t="s">
        <v>245</v>
      </c>
      <c r="R1536">
        <v>13.3</v>
      </c>
      <c r="S1536">
        <v>13.3</v>
      </c>
      <c r="T1536">
        <v>0</v>
      </c>
      <c r="U1536">
        <v>13.3</v>
      </c>
      <c r="V1536">
        <v>60</v>
      </c>
    </row>
    <row r="1537" spans="1:22" x14ac:dyDescent="0.25">
      <c r="A1537" t="s">
        <v>102</v>
      </c>
      <c r="B1537" t="s">
        <v>103</v>
      </c>
      <c r="C1537">
        <v>18</v>
      </c>
      <c r="D1537" t="s">
        <v>26</v>
      </c>
      <c r="E1537" t="s">
        <v>65</v>
      </c>
      <c r="F1537" t="s">
        <v>33</v>
      </c>
      <c r="G1537">
        <v>1.17</v>
      </c>
      <c r="H1537" t="s">
        <v>57</v>
      </c>
      <c r="I1537">
        <v>2</v>
      </c>
      <c r="J1537" s="4" t="str">
        <f>HYPERLINK("https://www.eliteprospects.com/player/586522/jack-musa")</f>
        <v>https://www.eliteprospects.com/player/586522/jack-musa</v>
      </c>
      <c r="K1537" t="s">
        <v>27</v>
      </c>
      <c r="L1537" t="s">
        <v>28</v>
      </c>
      <c r="M1537" t="s">
        <v>35</v>
      </c>
      <c r="N1537">
        <v>3</v>
      </c>
      <c r="O1537" t="s">
        <v>74</v>
      </c>
      <c r="P1537">
        <v>0.23</v>
      </c>
      <c r="Q1537" t="s">
        <v>135</v>
      </c>
      <c r="R1537">
        <v>25</v>
      </c>
      <c r="S1537">
        <v>50</v>
      </c>
      <c r="T1537">
        <v>0</v>
      </c>
      <c r="U1537">
        <v>0</v>
      </c>
      <c r="V1537">
        <v>25</v>
      </c>
    </row>
    <row r="1538" spans="1:22" x14ac:dyDescent="0.25">
      <c r="A1538" t="s">
        <v>112</v>
      </c>
      <c r="B1538" t="s">
        <v>103</v>
      </c>
      <c r="C1538">
        <v>18</v>
      </c>
      <c r="D1538" t="s">
        <v>32</v>
      </c>
      <c r="E1538" t="s">
        <v>32</v>
      </c>
      <c r="F1538" t="s">
        <v>24</v>
      </c>
      <c r="G1538">
        <v>1.1100000000000001</v>
      </c>
      <c r="H1538" t="s">
        <v>57</v>
      </c>
      <c r="I1538">
        <v>-3</v>
      </c>
      <c r="J1538" s="4" t="str">
        <f>HYPERLINK("https://www.eliteprospects.com/player/690444/vaclav-nestrasil")</f>
        <v>https://www.eliteprospects.com/player/690444/vaclav-nestrasil</v>
      </c>
      <c r="K1538" t="s">
        <v>27</v>
      </c>
      <c r="L1538" t="s">
        <v>28</v>
      </c>
      <c r="M1538" t="s">
        <v>29</v>
      </c>
      <c r="N1538">
        <v>1</v>
      </c>
      <c r="O1538" t="s">
        <v>71</v>
      </c>
      <c r="P1538">
        <v>0.22</v>
      </c>
      <c r="Q1538" t="s">
        <v>1276</v>
      </c>
      <c r="R1538">
        <v>0</v>
      </c>
      <c r="S1538">
        <v>0</v>
      </c>
      <c r="T1538">
        <v>0</v>
      </c>
      <c r="U1538">
        <v>100</v>
      </c>
      <c r="V1538">
        <v>0</v>
      </c>
    </row>
    <row r="1539" spans="1:22" x14ac:dyDescent="0.25">
      <c r="A1539" t="s">
        <v>214</v>
      </c>
      <c r="B1539" t="s">
        <v>103</v>
      </c>
      <c r="C1539">
        <v>18</v>
      </c>
      <c r="D1539" t="s">
        <v>79</v>
      </c>
      <c r="E1539" t="s">
        <v>69</v>
      </c>
      <c r="F1539" t="s">
        <v>65</v>
      </c>
      <c r="G1539">
        <v>0.72</v>
      </c>
      <c r="H1539" t="s">
        <v>38</v>
      </c>
      <c r="I1539">
        <v>-4</v>
      </c>
      <c r="J1539" s="4" t="str">
        <f>HYPERLINK("https://www.eliteprospects.com/player/597643/jack-galanek")</f>
        <v>https://www.eliteprospects.com/player/597643/jack-galanek</v>
      </c>
      <c r="K1539" t="s">
        <v>27</v>
      </c>
      <c r="L1539" t="s">
        <v>28</v>
      </c>
      <c r="M1539" t="s">
        <v>42</v>
      </c>
      <c r="N1539">
        <v>1</v>
      </c>
      <c r="O1539" t="s">
        <v>71</v>
      </c>
      <c r="P1539">
        <v>0.14000000000000001</v>
      </c>
      <c r="Q1539" t="s">
        <v>245</v>
      </c>
      <c r="R1539">
        <v>0</v>
      </c>
      <c r="S1539">
        <v>25</v>
      </c>
      <c r="T1539">
        <v>25</v>
      </c>
      <c r="U1539">
        <v>0</v>
      </c>
      <c r="V1539">
        <v>50</v>
      </c>
    </row>
    <row r="1540" spans="1:22" x14ac:dyDescent="0.25">
      <c r="A1540" t="s">
        <v>272</v>
      </c>
      <c r="B1540" t="s">
        <v>103</v>
      </c>
      <c r="C1540">
        <v>17</v>
      </c>
      <c r="D1540" t="s">
        <v>66</v>
      </c>
      <c r="E1540" t="s">
        <v>57</v>
      </c>
      <c r="F1540" t="s">
        <v>32</v>
      </c>
      <c r="G1540">
        <v>0.59</v>
      </c>
      <c r="H1540" t="s">
        <v>66</v>
      </c>
      <c r="I1540">
        <v>-7</v>
      </c>
      <c r="J1540" s="4" t="str">
        <f>HYPERLINK("https://www.eliteprospects.com/player/653163/daniel-alexander-jencko")</f>
        <v>https://www.eliteprospects.com/player/653163/daniel-alexander-jencko</v>
      </c>
      <c r="K1540" t="s">
        <v>27</v>
      </c>
      <c r="L1540" t="s">
        <v>28</v>
      </c>
      <c r="M1540" t="s">
        <v>76</v>
      </c>
      <c r="N1540">
        <v>2</v>
      </c>
      <c r="O1540" t="s">
        <v>43</v>
      </c>
      <c r="P1540">
        <v>0.11</v>
      </c>
      <c r="Q1540" t="s">
        <v>135</v>
      </c>
      <c r="R1540">
        <v>0</v>
      </c>
      <c r="S1540">
        <v>35.700000000000003</v>
      </c>
      <c r="T1540">
        <v>0</v>
      </c>
      <c r="U1540">
        <v>28.6</v>
      </c>
      <c r="V1540">
        <v>35.700000000000003</v>
      </c>
    </row>
    <row r="1541" spans="1:22" x14ac:dyDescent="0.25">
      <c r="A1541" t="s">
        <v>283</v>
      </c>
      <c r="B1541" t="s">
        <v>103</v>
      </c>
      <c r="C1541">
        <v>18</v>
      </c>
      <c r="D1541" t="s">
        <v>79</v>
      </c>
      <c r="E1541" t="s">
        <v>26</v>
      </c>
      <c r="F1541" t="s">
        <v>32</v>
      </c>
      <c r="G1541">
        <v>0.56000000000000005</v>
      </c>
      <c r="H1541" t="s">
        <v>32</v>
      </c>
      <c r="I1541">
        <v>-6</v>
      </c>
      <c r="J1541" s="4" t="str">
        <f>HYPERLINK("https://www.eliteprospects.com/player/659260/nicholas-van-tassell")</f>
        <v>https://www.eliteprospects.com/player/659260/nicholas-van-tassell</v>
      </c>
      <c r="K1541" t="s">
        <v>27</v>
      </c>
      <c r="L1541" t="s">
        <v>28</v>
      </c>
      <c r="M1541" t="s">
        <v>42</v>
      </c>
      <c r="N1541">
        <v>3</v>
      </c>
      <c r="O1541" t="s">
        <v>74</v>
      </c>
      <c r="P1541">
        <v>0.11</v>
      </c>
      <c r="Q1541" t="s">
        <v>135</v>
      </c>
      <c r="R1541">
        <v>0</v>
      </c>
      <c r="S1541">
        <v>35.700000000000003</v>
      </c>
      <c r="T1541">
        <v>0</v>
      </c>
      <c r="U1541">
        <v>28.6</v>
      </c>
      <c r="V1541">
        <v>35.700000000000003</v>
      </c>
    </row>
    <row r="1542" spans="1:22" x14ac:dyDescent="0.25">
      <c r="A1542" t="s">
        <v>291</v>
      </c>
      <c r="B1542" t="s">
        <v>103</v>
      </c>
      <c r="C1542">
        <v>18</v>
      </c>
      <c r="D1542" t="s">
        <v>57</v>
      </c>
      <c r="E1542" t="s">
        <v>140</v>
      </c>
      <c r="F1542" t="s">
        <v>45</v>
      </c>
      <c r="G1542">
        <v>0.5</v>
      </c>
      <c r="H1542" t="s">
        <v>66</v>
      </c>
      <c r="I1542">
        <v>-3</v>
      </c>
      <c r="J1542" s="4" t="str">
        <f>HYPERLINK("https://www.eliteprospects.com/player/526484/michael-deangelo")</f>
        <v>https://www.eliteprospects.com/player/526484/michael-deangelo</v>
      </c>
      <c r="K1542" t="s">
        <v>27</v>
      </c>
      <c r="L1542" t="s">
        <v>28</v>
      </c>
      <c r="M1542" t="s">
        <v>42</v>
      </c>
      <c r="N1542">
        <v>2</v>
      </c>
      <c r="O1542" t="s">
        <v>43</v>
      </c>
      <c r="P1542">
        <v>0.1</v>
      </c>
      <c r="Q1542" t="s">
        <v>245</v>
      </c>
      <c r="R1542">
        <v>0</v>
      </c>
      <c r="S1542">
        <v>33.299999999999997</v>
      </c>
      <c r="T1542">
        <v>0</v>
      </c>
      <c r="U1542">
        <v>0</v>
      </c>
      <c r="V1542">
        <v>66.7</v>
      </c>
    </row>
    <row r="1543" spans="1:22" x14ac:dyDescent="0.25">
      <c r="A1543" t="s">
        <v>351</v>
      </c>
      <c r="B1543" t="s">
        <v>103</v>
      </c>
      <c r="C1543">
        <v>18</v>
      </c>
      <c r="D1543" t="s">
        <v>66</v>
      </c>
      <c r="E1543" t="s">
        <v>79</v>
      </c>
      <c r="F1543" t="s">
        <v>57</v>
      </c>
      <c r="G1543">
        <v>0.33</v>
      </c>
      <c r="H1543" t="s">
        <v>26</v>
      </c>
      <c r="I1543">
        <v>-7</v>
      </c>
      <c r="J1543" s="4" t="str">
        <f>HYPERLINK("https://www.eliteprospects.com/player/657453/lukas-klecka")</f>
        <v>https://www.eliteprospects.com/player/657453/lukas-klecka</v>
      </c>
      <c r="K1543" t="s">
        <v>27</v>
      </c>
      <c r="L1543" t="s">
        <v>28</v>
      </c>
      <c r="M1543" t="s">
        <v>29</v>
      </c>
      <c r="N1543">
        <v>1</v>
      </c>
      <c r="O1543" t="s">
        <v>71</v>
      </c>
      <c r="P1543">
        <v>0.06</v>
      </c>
      <c r="Q1543" t="s">
        <v>245</v>
      </c>
      <c r="R1543">
        <v>0</v>
      </c>
      <c r="S1543">
        <v>15.4</v>
      </c>
      <c r="T1543">
        <v>7.7</v>
      </c>
      <c r="U1543">
        <v>30.8</v>
      </c>
      <c r="V1543">
        <v>46.2</v>
      </c>
    </row>
    <row r="1544" spans="1:22" x14ac:dyDescent="0.25">
      <c r="A1544" t="s">
        <v>421</v>
      </c>
      <c r="B1544" t="s">
        <v>103</v>
      </c>
      <c r="C1544">
        <v>12</v>
      </c>
      <c r="D1544" t="s">
        <v>79</v>
      </c>
      <c r="E1544" t="s">
        <v>260</v>
      </c>
      <c r="F1544" t="s">
        <v>140</v>
      </c>
      <c r="G1544">
        <v>0.25</v>
      </c>
      <c r="H1544" t="s">
        <v>26</v>
      </c>
      <c r="I1544">
        <v>0</v>
      </c>
      <c r="J1544" s="4" t="str">
        <f>HYPERLINK("https://www.eliteprospects.com/player/552004/bo-cosman")</f>
        <v>https://www.eliteprospects.com/player/552004/bo-cosman</v>
      </c>
      <c r="K1544" t="s">
        <v>27</v>
      </c>
      <c r="L1544" t="s">
        <v>28</v>
      </c>
      <c r="M1544" t="s">
        <v>35</v>
      </c>
      <c r="N1544">
        <v>3</v>
      </c>
      <c r="O1544" t="s">
        <v>74</v>
      </c>
      <c r="P1544">
        <v>0.05</v>
      </c>
      <c r="Q1544" t="s">
        <v>245</v>
      </c>
      <c r="R1544">
        <v>9.1</v>
      </c>
      <c r="S1544">
        <v>18.2</v>
      </c>
      <c r="T1544">
        <v>9.1</v>
      </c>
      <c r="U1544">
        <v>13.6</v>
      </c>
      <c r="V1544">
        <v>50</v>
      </c>
    </row>
    <row r="1545" spans="1:22" x14ac:dyDescent="0.25">
      <c r="A1545" t="s">
        <v>429</v>
      </c>
      <c r="B1545" t="s">
        <v>103</v>
      </c>
      <c r="C1545">
        <v>13</v>
      </c>
      <c r="D1545" t="s">
        <v>260</v>
      </c>
      <c r="E1545" t="s">
        <v>79</v>
      </c>
      <c r="F1545" t="s">
        <v>140</v>
      </c>
      <c r="G1545">
        <v>0.23</v>
      </c>
      <c r="H1545" t="s">
        <v>79</v>
      </c>
      <c r="I1545">
        <v>-3</v>
      </c>
      <c r="J1545" s="4" t="str">
        <f>HYPERLINK("https://www.eliteprospects.com/player/574844/james-duerr")</f>
        <v>https://www.eliteprospects.com/player/574844/james-duerr</v>
      </c>
      <c r="K1545" t="s">
        <v>27</v>
      </c>
      <c r="L1545" t="s">
        <v>28</v>
      </c>
      <c r="M1545" t="s">
        <v>35</v>
      </c>
      <c r="N1545">
        <v>2</v>
      </c>
      <c r="O1545" t="s">
        <v>43</v>
      </c>
      <c r="P1545">
        <v>0.04</v>
      </c>
      <c r="Q1545" t="s">
        <v>245</v>
      </c>
      <c r="R1545">
        <v>9.1</v>
      </c>
      <c r="S1545">
        <v>18.2</v>
      </c>
      <c r="T1545">
        <v>9.1</v>
      </c>
      <c r="U1545">
        <v>13.6</v>
      </c>
      <c r="V1545">
        <v>50</v>
      </c>
    </row>
    <row r="1546" spans="1:22" x14ac:dyDescent="0.25">
      <c r="A1546" t="s">
        <v>431</v>
      </c>
      <c r="B1546" t="s">
        <v>103</v>
      </c>
      <c r="C1546">
        <v>14</v>
      </c>
      <c r="D1546" t="s">
        <v>260</v>
      </c>
      <c r="E1546" t="s">
        <v>79</v>
      </c>
      <c r="F1546" t="s">
        <v>140</v>
      </c>
      <c r="G1546">
        <v>0.21</v>
      </c>
      <c r="H1546" t="s">
        <v>26</v>
      </c>
      <c r="I1546">
        <v>-3</v>
      </c>
      <c r="J1546" s="4" t="str">
        <f>HYPERLINK("https://www.eliteprospects.com/player/609494/cameron-o-neill")</f>
        <v>https://www.eliteprospects.com/player/609494/cameron-o-neill</v>
      </c>
      <c r="K1546" t="s">
        <v>27</v>
      </c>
      <c r="L1546" t="s">
        <v>28</v>
      </c>
      <c r="M1546" t="s">
        <v>29</v>
      </c>
      <c r="N1546">
        <v>3</v>
      </c>
      <c r="O1546" t="s">
        <v>74</v>
      </c>
      <c r="P1546">
        <v>0.04</v>
      </c>
      <c r="Q1546" t="s">
        <v>245</v>
      </c>
      <c r="R1546">
        <v>9.1</v>
      </c>
      <c r="S1546">
        <v>18.2</v>
      </c>
      <c r="T1546">
        <v>9.1</v>
      </c>
      <c r="U1546">
        <v>13.6</v>
      </c>
      <c r="V1546">
        <v>50</v>
      </c>
    </row>
    <row r="1547" spans="1:22" x14ac:dyDescent="0.25">
      <c r="A1547" t="s">
        <v>440</v>
      </c>
      <c r="B1547" t="s">
        <v>103</v>
      </c>
      <c r="C1547">
        <v>10</v>
      </c>
      <c r="D1547" t="s">
        <v>132</v>
      </c>
      <c r="E1547" t="s">
        <v>140</v>
      </c>
      <c r="F1547" t="s">
        <v>140</v>
      </c>
      <c r="G1547">
        <v>0.3</v>
      </c>
      <c r="H1547" t="s">
        <v>132</v>
      </c>
      <c r="I1547">
        <v>0</v>
      </c>
      <c r="J1547" s="4" t="str">
        <f>HYPERLINK("https://www.eliteprospects.com/player/504301/matthew-wilde")</f>
        <v>https://www.eliteprospects.com/player/504301/matthew-wilde</v>
      </c>
      <c r="K1547" t="s">
        <v>27</v>
      </c>
      <c r="L1547" t="s">
        <v>28</v>
      </c>
      <c r="M1547" t="s">
        <v>91</v>
      </c>
      <c r="N1547">
        <v>3</v>
      </c>
      <c r="O1547" t="s">
        <v>74</v>
      </c>
      <c r="P1547">
        <v>0.06</v>
      </c>
      <c r="Q1547" t="s">
        <v>135</v>
      </c>
      <c r="R1547">
        <v>0</v>
      </c>
      <c r="S1547">
        <v>33.299999999999997</v>
      </c>
      <c r="T1547">
        <v>23.8</v>
      </c>
      <c r="U1547">
        <v>9.5</v>
      </c>
      <c r="V1547">
        <v>33.299999999999997</v>
      </c>
    </row>
    <row r="1548" spans="1:22" x14ac:dyDescent="0.25">
      <c r="A1548" t="s">
        <v>452</v>
      </c>
      <c r="B1548" t="s">
        <v>103</v>
      </c>
      <c r="C1548">
        <v>14</v>
      </c>
      <c r="D1548" t="s">
        <v>260</v>
      </c>
      <c r="E1548" t="s">
        <v>260</v>
      </c>
      <c r="F1548" t="s">
        <v>79</v>
      </c>
      <c r="G1548">
        <v>0.14000000000000001</v>
      </c>
      <c r="H1548" t="s">
        <v>132</v>
      </c>
      <c r="I1548">
        <v>-1</v>
      </c>
      <c r="J1548" s="4" t="str">
        <f>HYPERLINK("https://www.eliteprospects.com/player/626544/owen-mehlenbacher")</f>
        <v>https://www.eliteprospects.com/player/626544/owen-mehlenbacher</v>
      </c>
      <c r="K1548" t="s">
        <v>27</v>
      </c>
      <c r="L1548" t="s">
        <v>28</v>
      </c>
      <c r="M1548" t="s">
        <v>42</v>
      </c>
      <c r="N1548">
        <v>3</v>
      </c>
      <c r="O1548" t="s">
        <v>74</v>
      </c>
      <c r="P1548">
        <v>0.03</v>
      </c>
      <c r="Q1548" t="s">
        <v>245</v>
      </c>
      <c r="R1548">
        <v>9.1</v>
      </c>
      <c r="S1548">
        <v>18.2</v>
      </c>
      <c r="T1548">
        <v>9.1</v>
      </c>
      <c r="U1548">
        <v>13.6</v>
      </c>
      <c r="V1548">
        <v>50</v>
      </c>
    </row>
    <row r="1549" spans="1:22" x14ac:dyDescent="0.25">
      <c r="A1549" t="s">
        <v>457</v>
      </c>
      <c r="B1549" t="s">
        <v>103</v>
      </c>
      <c r="C1549">
        <v>11</v>
      </c>
      <c r="D1549" t="s">
        <v>132</v>
      </c>
      <c r="E1549" t="s">
        <v>79</v>
      </c>
      <c r="F1549" t="s">
        <v>79</v>
      </c>
      <c r="G1549">
        <v>0.18</v>
      </c>
      <c r="H1549" t="s">
        <v>32</v>
      </c>
      <c r="I1549">
        <v>-4</v>
      </c>
      <c r="J1549" s="4" t="str">
        <f>HYPERLINK("https://www.eliteprospects.com/player/655551/justin-kerr")</f>
        <v>https://www.eliteprospects.com/player/655551/justin-kerr</v>
      </c>
      <c r="K1549" t="s">
        <v>27</v>
      </c>
      <c r="L1549" t="s">
        <v>28</v>
      </c>
      <c r="M1549" t="s">
        <v>129</v>
      </c>
      <c r="N1549">
        <v>1</v>
      </c>
      <c r="O1549" t="s">
        <v>71</v>
      </c>
      <c r="P1549">
        <v>0.03</v>
      </c>
      <c r="Q1549" t="s">
        <v>245</v>
      </c>
      <c r="R1549">
        <v>9.1</v>
      </c>
      <c r="S1549">
        <v>18.2</v>
      </c>
      <c r="T1549">
        <v>9.1</v>
      </c>
      <c r="U1549">
        <v>13.6</v>
      </c>
      <c r="V1549">
        <v>50</v>
      </c>
    </row>
    <row r="1550" spans="1:22" x14ac:dyDescent="0.25">
      <c r="A1550" t="s">
        <v>170</v>
      </c>
      <c r="B1550" t="s">
        <v>171</v>
      </c>
      <c r="C1550">
        <v>17</v>
      </c>
      <c r="D1550" t="s">
        <v>32</v>
      </c>
      <c r="E1550" t="s">
        <v>96</v>
      </c>
      <c r="F1550" t="s">
        <v>41</v>
      </c>
      <c r="G1550">
        <v>0.88</v>
      </c>
      <c r="H1550" t="s">
        <v>132</v>
      </c>
      <c r="I1550">
        <v>1</v>
      </c>
      <c r="J1550" s="4" t="str">
        <f>HYPERLINK("https://www.eliteprospects.com/player/476700/dillan-bentley")</f>
        <v>https://www.eliteprospects.com/player/476700/dillan-bentley</v>
      </c>
      <c r="K1550" t="s">
        <v>27</v>
      </c>
      <c r="L1550" t="s">
        <v>28</v>
      </c>
      <c r="M1550" t="s">
        <v>35</v>
      </c>
      <c r="N1550">
        <v>4</v>
      </c>
      <c r="O1550" t="s">
        <v>30</v>
      </c>
      <c r="P1550">
        <v>0.17</v>
      </c>
      <c r="Q1550" t="s">
        <v>31</v>
      </c>
      <c r="R1550">
        <v>33.299999999999997</v>
      </c>
      <c r="S1550">
        <v>0</v>
      </c>
      <c r="T1550">
        <v>33.299999999999997</v>
      </c>
      <c r="U1550">
        <v>0</v>
      </c>
      <c r="V1550">
        <v>33.299999999999997</v>
      </c>
    </row>
    <row r="1551" spans="1:22" x14ac:dyDescent="0.25">
      <c r="A1551" t="s">
        <v>229</v>
      </c>
      <c r="B1551" t="s">
        <v>171</v>
      </c>
      <c r="C1551">
        <v>19</v>
      </c>
      <c r="D1551" t="s">
        <v>96</v>
      </c>
      <c r="E1551" t="s">
        <v>78</v>
      </c>
      <c r="F1551" t="s">
        <v>23</v>
      </c>
      <c r="G1551">
        <v>0.63</v>
      </c>
      <c r="H1551" t="s">
        <v>55</v>
      </c>
      <c r="I1551">
        <v>-3</v>
      </c>
      <c r="J1551" s="4" t="str">
        <f>HYPERLINK("https://www.eliteprospects.com/player/620347/dalyn-wakely")</f>
        <v>https://www.eliteprospects.com/player/620347/dalyn-wakely</v>
      </c>
      <c r="K1551" t="s">
        <v>27</v>
      </c>
      <c r="L1551" t="s">
        <v>28</v>
      </c>
      <c r="M1551" t="s">
        <v>87</v>
      </c>
      <c r="N1551">
        <v>7</v>
      </c>
      <c r="O1551" t="s">
        <v>159</v>
      </c>
      <c r="P1551">
        <v>0.12</v>
      </c>
      <c r="Q1551" t="s">
        <v>135</v>
      </c>
      <c r="R1551">
        <v>11.1</v>
      </c>
      <c r="S1551">
        <v>44.4</v>
      </c>
      <c r="T1551">
        <v>11.1</v>
      </c>
      <c r="U1551">
        <v>11.1</v>
      </c>
      <c r="V1551">
        <v>22.2</v>
      </c>
    </row>
    <row r="1552" spans="1:22" x14ac:dyDescent="0.25">
      <c r="A1552" t="s">
        <v>241</v>
      </c>
      <c r="B1552" t="s">
        <v>171</v>
      </c>
      <c r="C1552">
        <v>19</v>
      </c>
      <c r="D1552" t="s">
        <v>78</v>
      </c>
      <c r="E1552" t="s">
        <v>66</v>
      </c>
      <c r="F1552" t="s">
        <v>69</v>
      </c>
      <c r="G1552">
        <v>0.57999999999999996</v>
      </c>
      <c r="H1552" t="s">
        <v>79</v>
      </c>
      <c r="I1552">
        <v>-1</v>
      </c>
      <c r="J1552" s="4" t="str">
        <f>HYPERLINK("https://www.eliteprospects.com/player/448378/jason-ahearn")</f>
        <v>https://www.eliteprospects.com/player/448378/jason-ahearn</v>
      </c>
      <c r="K1552" t="s">
        <v>27</v>
      </c>
      <c r="L1552" t="s">
        <v>28</v>
      </c>
      <c r="M1552" t="s">
        <v>35</v>
      </c>
      <c r="N1552">
        <v>4</v>
      </c>
      <c r="O1552" t="s">
        <v>30</v>
      </c>
      <c r="P1552">
        <v>0.11</v>
      </c>
      <c r="Q1552" t="s">
        <v>135</v>
      </c>
      <c r="R1552">
        <v>20</v>
      </c>
      <c r="S1552">
        <v>40</v>
      </c>
      <c r="T1552">
        <v>0</v>
      </c>
      <c r="U1552">
        <v>20</v>
      </c>
      <c r="V1552">
        <v>20</v>
      </c>
    </row>
    <row r="1553" spans="1:22" x14ac:dyDescent="0.25">
      <c r="A1553" t="s">
        <v>273</v>
      </c>
      <c r="B1553" t="s">
        <v>171</v>
      </c>
      <c r="C1553">
        <v>17</v>
      </c>
      <c r="D1553" t="s">
        <v>66</v>
      </c>
      <c r="E1553" t="s">
        <v>57</v>
      </c>
      <c r="F1553" t="s">
        <v>32</v>
      </c>
      <c r="G1553">
        <v>0.59</v>
      </c>
      <c r="H1553" t="s">
        <v>24</v>
      </c>
      <c r="I1553">
        <v>-4</v>
      </c>
      <c r="J1553" s="4" t="str">
        <f>HYPERLINK("https://www.eliteprospects.com/player/529815/mirko-buttazzoni")</f>
        <v>https://www.eliteprospects.com/player/529815/mirko-buttazzoni</v>
      </c>
      <c r="K1553" t="s">
        <v>27</v>
      </c>
      <c r="L1553" t="s">
        <v>28</v>
      </c>
      <c r="M1553" t="s">
        <v>35</v>
      </c>
      <c r="N1553">
        <v>2</v>
      </c>
      <c r="O1553" t="s">
        <v>43</v>
      </c>
      <c r="P1553">
        <v>0.11</v>
      </c>
      <c r="Q1553" t="s">
        <v>135</v>
      </c>
      <c r="R1553">
        <v>20</v>
      </c>
      <c r="S1553">
        <v>40</v>
      </c>
      <c r="T1553">
        <v>0</v>
      </c>
      <c r="U1553">
        <v>20</v>
      </c>
      <c r="V1553">
        <v>20</v>
      </c>
    </row>
    <row r="1554" spans="1:22" x14ac:dyDescent="0.25">
      <c r="A1554" t="s">
        <v>302</v>
      </c>
      <c r="B1554" t="s">
        <v>171</v>
      </c>
      <c r="C1554">
        <v>19</v>
      </c>
      <c r="D1554" t="s">
        <v>140</v>
      </c>
      <c r="E1554" t="s">
        <v>57</v>
      </c>
      <c r="F1554" t="s">
        <v>45</v>
      </c>
      <c r="G1554">
        <v>0.47</v>
      </c>
      <c r="H1554" t="s">
        <v>33</v>
      </c>
      <c r="I1554">
        <v>-1</v>
      </c>
      <c r="J1554" s="4" t="str">
        <f>HYPERLINK("https://www.eliteprospects.com/player/525670/jak-vaarwerk")</f>
        <v>https://www.eliteprospects.com/player/525670/jak-vaarwerk</v>
      </c>
      <c r="K1554" t="s">
        <v>27</v>
      </c>
      <c r="L1554" t="s">
        <v>28</v>
      </c>
      <c r="M1554" t="s">
        <v>42</v>
      </c>
      <c r="N1554">
        <v>3</v>
      </c>
      <c r="O1554" t="s">
        <v>74</v>
      </c>
      <c r="P1554">
        <v>0.09</v>
      </c>
      <c r="Q1554" t="s">
        <v>1277</v>
      </c>
      <c r="R1554">
        <v>16.7</v>
      </c>
      <c r="S1554">
        <v>16.7</v>
      </c>
      <c r="T1554">
        <v>25</v>
      </c>
      <c r="U1554">
        <v>16.7</v>
      </c>
      <c r="V1554">
        <v>25</v>
      </c>
    </row>
    <row r="1555" spans="1:22" x14ac:dyDescent="0.25">
      <c r="A1555" t="s">
        <v>309</v>
      </c>
      <c r="B1555" t="s">
        <v>171</v>
      </c>
      <c r="C1555">
        <v>19</v>
      </c>
      <c r="D1555" t="s">
        <v>79</v>
      </c>
      <c r="E1555" t="s">
        <v>78</v>
      </c>
      <c r="F1555" t="s">
        <v>45</v>
      </c>
      <c r="G1555">
        <v>0.47</v>
      </c>
      <c r="H1555" t="s">
        <v>51</v>
      </c>
      <c r="I1555">
        <v>0</v>
      </c>
      <c r="J1555" s="4" t="str">
        <f>HYPERLINK("https://www.eliteprospects.com/player/542971/libor-nemec")</f>
        <v>https://www.eliteprospects.com/player/542971/libor-nemec</v>
      </c>
      <c r="K1555" t="s">
        <v>27</v>
      </c>
      <c r="L1555" t="s">
        <v>28</v>
      </c>
      <c r="M1555" t="s">
        <v>48</v>
      </c>
      <c r="N1555">
        <v>2</v>
      </c>
      <c r="O1555" t="s">
        <v>43</v>
      </c>
      <c r="P1555">
        <v>0.09</v>
      </c>
      <c r="Q1555" t="s">
        <v>1277</v>
      </c>
      <c r="R1555">
        <v>16.7</v>
      </c>
      <c r="S1555">
        <v>16.7</v>
      </c>
      <c r="T1555">
        <v>25</v>
      </c>
      <c r="U1555">
        <v>16.7</v>
      </c>
      <c r="V1555">
        <v>25</v>
      </c>
    </row>
    <row r="1556" spans="1:22" x14ac:dyDescent="0.25">
      <c r="A1556" t="s">
        <v>344</v>
      </c>
      <c r="B1556" t="s">
        <v>171</v>
      </c>
      <c r="C1556">
        <v>19</v>
      </c>
      <c r="D1556" t="s">
        <v>79</v>
      </c>
      <c r="E1556" t="s">
        <v>96</v>
      </c>
      <c r="F1556" t="s">
        <v>78</v>
      </c>
      <c r="G1556">
        <v>0.37</v>
      </c>
      <c r="H1556" t="s">
        <v>66</v>
      </c>
      <c r="I1556">
        <v>1</v>
      </c>
      <c r="J1556" s="4" t="str">
        <f>HYPERLINK("https://www.eliteprospects.com/player/603643/chris-delaney")</f>
        <v>https://www.eliteprospects.com/player/603643/chris-delaney</v>
      </c>
      <c r="K1556" t="s">
        <v>27</v>
      </c>
      <c r="L1556" t="s">
        <v>28</v>
      </c>
      <c r="M1556" t="s">
        <v>42</v>
      </c>
      <c r="N1556">
        <v>2</v>
      </c>
      <c r="O1556" t="s">
        <v>43</v>
      </c>
      <c r="P1556">
        <v>7.0000000000000007E-2</v>
      </c>
      <c r="Q1556" t="s">
        <v>245</v>
      </c>
      <c r="R1556">
        <v>14.3</v>
      </c>
      <c r="S1556">
        <v>28.6</v>
      </c>
      <c r="T1556">
        <v>0</v>
      </c>
      <c r="U1556">
        <v>14.3</v>
      </c>
      <c r="V1556">
        <v>42.9</v>
      </c>
    </row>
    <row r="1557" spans="1:22" x14ac:dyDescent="0.25">
      <c r="A1557" t="s">
        <v>405</v>
      </c>
      <c r="B1557" t="s">
        <v>171</v>
      </c>
      <c r="C1557">
        <v>13</v>
      </c>
      <c r="D1557" t="s">
        <v>79</v>
      </c>
      <c r="E1557" t="s">
        <v>79</v>
      </c>
      <c r="F1557" t="s">
        <v>66</v>
      </c>
      <c r="G1557">
        <v>0.31</v>
      </c>
      <c r="H1557" t="s">
        <v>32</v>
      </c>
      <c r="I1557">
        <v>-2</v>
      </c>
      <c r="J1557" s="4" t="str">
        <f>HYPERLINK("https://www.eliteprospects.com/player/708439/diego-buttazzoni")</f>
        <v>https://www.eliteprospects.com/player/708439/diego-buttazzoni</v>
      </c>
      <c r="K1557" t="s">
        <v>27</v>
      </c>
      <c r="L1557" t="s">
        <v>28</v>
      </c>
      <c r="M1557" t="s">
        <v>122</v>
      </c>
      <c r="N1557">
        <v>4</v>
      </c>
      <c r="O1557" t="s">
        <v>137</v>
      </c>
      <c r="P1557">
        <v>0.06</v>
      </c>
      <c r="Q1557" t="s">
        <v>135</v>
      </c>
      <c r="R1557">
        <v>0</v>
      </c>
      <c r="S1557">
        <v>33.299999999999997</v>
      </c>
      <c r="T1557">
        <v>23.8</v>
      </c>
      <c r="U1557">
        <v>9.5</v>
      </c>
      <c r="V1557">
        <v>33.299999999999997</v>
      </c>
    </row>
    <row r="1558" spans="1:22" x14ac:dyDescent="0.25">
      <c r="A1558" t="s">
        <v>410</v>
      </c>
      <c r="B1558" t="s">
        <v>171</v>
      </c>
      <c r="C1558">
        <v>19</v>
      </c>
      <c r="D1558" t="s">
        <v>79</v>
      </c>
      <c r="E1558" t="s">
        <v>79</v>
      </c>
      <c r="F1558" t="s">
        <v>66</v>
      </c>
      <c r="G1558">
        <v>0.21</v>
      </c>
      <c r="H1558" t="s">
        <v>32</v>
      </c>
      <c r="I1558">
        <v>-4</v>
      </c>
      <c r="J1558" s="4" t="str">
        <f>HYPERLINK("https://www.eliteprospects.com/player/562226/lee-parks")</f>
        <v>https://www.eliteprospects.com/player/562226/lee-parks</v>
      </c>
      <c r="K1558" t="s">
        <v>27</v>
      </c>
      <c r="L1558" t="s">
        <v>28</v>
      </c>
      <c r="M1558" t="s">
        <v>29</v>
      </c>
      <c r="N1558">
        <v>2</v>
      </c>
      <c r="O1558" t="s">
        <v>43</v>
      </c>
      <c r="P1558">
        <v>0.04</v>
      </c>
      <c r="Q1558" t="s">
        <v>245</v>
      </c>
      <c r="R1558">
        <v>9.1</v>
      </c>
      <c r="S1558">
        <v>18.2</v>
      </c>
      <c r="T1558">
        <v>9.1</v>
      </c>
      <c r="U1558">
        <v>13.6</v>
      </c>
      <c r="V1558">
        <v>50</v>
      </c>
    </row>
    <row r="1559" spans="1:22" x14ac:dyDescent="0.25">
      <c r="A1559" t="s">
        <v>414</v>
      </c>
      <c r="B1559" t="s">
        <v>171</v>
      </c>
      <c r="C1559">
        <v>19</v>
      </c>
      <c r="D1559" t="s">
        <v>260</v>
      </c>
      <c r="E1559" t="s">
        <v>140</v>
      </c>
      <c r="F1559" t="s">
        <v>66</v>
      </c>
      <c r="G1559">
        <v>0.21</v>
      </c>
      <c r="H1559" t="s">
        <v>39</v>
      </c>
      <c r="I1559">
        <v>2</v>
      </c>
      <c r="J1559" s="4" t="str">
        <f>HYPERLINK("https://www.eliteprospects.com/player/566720/connor-eddy")</f>
        <v>https://www.eliteprospects.com/player/566720/connor-eddy</v>
      </c>
      <c r="K1559" t="s">
        <v>27</v>
      </c>
      <c r="L1559" t="s">
        <v>28</v>
      </c>
      <c r="M1559" t="s">
        <v>42</v>
      </c>
      <c r="N1559">
        <v>4</v>
      </c>
      <c r="O1559" t="s">
        <v>30</v>
      </c>
      <c r="P1559">
        <v>0.04</v>
      </c>
      <c r="Q1559" t="s">
        <v>245</v>
      </c>
      <c r="R1559">
        <v>0</v>
      </c>
      <c r="S1559">
        <v>0</v>
      </c>
      <c r="T1559">
        <v>0</v>
      </c>
      <c r="U1559">
        <v>0</v>
      </c>
      <c r="V1559">
        <v>100</v>
      </c>
    </row>
    <row r="1560" spans="1:22" x14ac:dyDescent="0.25">
      <c r="A1560" t="s">
        <v>449</v>
      </c>
      <c r="B1560" t="s">
        <v>171</v>
      </c>
      <c r="C1560">
        <v>12</v>
      </c>
      <c r="D1560" t="s">
        <v>260</v>
      </c>
      <c r="E1560" t="s">
        <v>260</v>
      </c>
      <c r="F1560" t="s">
        <v>79</v>
      </c>
      <c r="G1560">
        <v>0.17</v>
      </c>
      <c r="H1560" t="s">
        <v>79</v>
      </c>
      <c r="I1560">
        <v>-4</v>
      </c>
      <c r="J1560" s="4" t="str">
        <f>HYPERLINK("https://www.eliteprospects.com/player/643356/david-adaszynski")</f>
        <v>https://www.eliteprospects.com/player/643356/david-adaszynski</v>
      </c>
      <c r="K1560" t="s">
        <v>27</v>
      </c>
      <c r="L1560" t="s">
        <v>28</v>
      </c>
      <c r="M1560" t="s">
        <v>35</v>
      </c>
      <c r="N1560">
        <v>5</v>
      </c>
      <c r="O1560" t="s">
        <v>152</v>
      </c>
      <c r="P1560">
        <v>0.03</v>
      </c>
      <c r="Q1560" t="s">
        <v>245</v>
      </c>
      <c r="R1560">
        <v>9.1</v>
      </c>
      <c r="S1560">
        <v>18.2</v>
      </c>
      <c r="T1560">
        <v>9.1</v>
      </c>
      <c r="U1560">
        <v>13.6</v>
      </c>
      <c r="V1560">
        <v>50</v>
      </c>
    </row>
    <row r="1561" spans="1:22" x14ac:dyDescent="0.25">
      <c r="A1561" t="s">
        <v>474</v>
      </c>
      <c r="B1561" t="s">
        <v>171</v>
      </c>
      <c r="C1561">
        <v>10</v>
      </c>
      <c r="D1561" t="s">
        <v>132</v>
      </c>
      <c r="E1561" t="s">
        <v>132</v>
      </c>
      <c r="F1561" t="s">
        <v>132</v>
      </c>
      <c r="G1561">
        <v>0</v>
      </c>
      <c r="H1561" t="s">
        <v>79</v>
      </c>
      <c r="I1561">
        <v>-3</v>
      </c>
      <c r="J1561" s="4" t="str">
        <f>HYPERLINK("https://www.eliteprospects.com/player/521324/jack-collins")</f>
        <v>https://www.eliteprospects.com/player/521324/jack-collins</v>
      </c>
      <c r="K1561" t="s">
        <v>27</v>
      </c>
      <c r="L1561" t="s">
        <v>28</v>
      </c>
      <c r="M1561" t="s">
        <v>35</v>
      </c>
      <c r="N1561">
        <v>4</v>
      </c>
      <c r="O1561" t="s">
        <v>30</v>
      </c>
      <c r="P1561">
        <v>0</v>
      </c>
      <c r="Q1561" t="s">
        <v>245</v>
      </c>
      <c r="R1561">
        <v>9.1</v>
      </c>
      <c r="S1561">
        <v>18.2</v>
      </c>
      <c r="T1561">
        <v>9.1</v>
      </c>
      <c r="U1561">
        <v>13.6</v>
      </c>
      <c r="V1561">
        <v>50</v>
      </c>
    </row>
    <row r="1562" spans="1:22" x14ac:dyDescent="0.25">
      <c r="A1562" t="s">
        <v>97</v>
      </c>
      <c r="B1562" t="s">
        <v>98</v>
      </c>
      <c r="C1562">
        <v>19</v>
      </c>
      <c r="D1562" t="s">
        <v>39</v>
      </c>
      <c r="E1562" t="s">
        <v>78</v>
      </c>
      <c r="F1562" t="s">
        <v>33</v>
      </c>
      <c r="G1562">
        <v>1.1100000000000001</v>
      </c>
      <c r="H1562" t="s">
        <v>26</v>
      </c>
      <c r="I1562">
        <v>-1</v>
      </c>
      <c r="J1562" s="4" t="str">
        <f>HYPERLINK("https://www.eliteprospects.com/player/561391/brandon-buhr")</f>
        <v>https://www.eliteprospects.com/player/561391/brandon-buhr</v>
      </c>
      <c r="K1562" t="s">
        <v>27</v>
      </c>
      <c r="L1562" t="s">
        <v>28</v>
      </c>
      <c r="M1562" t="s">
        <v>35</v>
      </c>
      <c r="N1562">
        <v>4</v>
      </c>
      <c r="O1562" t="s">
        <v>30</v>
      </c>
      <c r="P1562">
        <v>0.22</v>
      </c>
      <c r="Q1562" t="s">
        <v>1276</v>
      </c>
      <c r="R1562">
        <v>0</v>
      </c>
      <c r="S1562">
        <v>0</v>
      </c>
      <c r="T1562">
        <v>0</v>
      </c>
      <c r="U1562">
        <v>100</v>
      </c>
      <c r="V1562">
        <v>0</v>
      </c>
    </row>
    <row r="1563" spans="1:22" x14ac:dyDescent="0.25">
      <c r="A1563" t="s">
        <v>117</v>
      </c>
      <c r="B1563" t="s">
        <v>98</v>
      </c>
      <c r="C1563">
        <v>19</v>
      </c>
      <c r="D1563" t="s">
        <v>66</v>
      </c>
      <c r="E1563" t="s">
        <v>38</v>
      </c>
      <c r="F1563" t="s">
        <v>24</v>
      </c>
      <c r="G1563">
        <v>1.05</v>
      </c>
      <c r="H1563" t="s">
        <v>57</v>
      </c>
      <c r="I1563">
        <v>9</v>
      </c>
      <c r="J1563" s="4" t="str">
        <f>HYPERLINK("https://www.eliteprospects.com/player/369961/parker-lindauer")</f>
        <v>https://www.eliteprospects.com/player/369961/parker-lindauer</v>
      </c>
      <c r="K1563" t="s">
        <v>27</v>
      </c>
      <c r="L1563" t="s">
        <v>28</v>
      </c>
      <c r="M1563" t="s">
        <v>35</v>
      </c>
      <c r="N1563">
        <v>4</v>
      </c>
      <c r="O1563" t="s">
        <v>30</v>
      </c>
      <c r="P1563">
        <v>0.2</v>
      </c>
      <c r="Q1563" t="s">
        <v>31</v>
      </c>
      <c r="R1563">
        <v>57.1</v>
      </c>
      <c r="S1563">
        <v>32.1</v>
      </c>
      <c r="T1563">
        <v>0</v>
      </c>
      <c r="U1563">
        <v>0</v>
      </c>
      <c r="V1563">
        <v>10.7</v>
      </c>
    </row>
    <row r="1564" spans="1:22" x14ac:dyDescent="0.25">
      <c r="A1564" t="s">
        <v>126</v>
      </c>
      <c r="B1564" t="s">
        <v>98</v>
      </c>
      <c r="C1564">
        <v>18</v>
      </c>
      <c r="D1564" t="s">
        <v>26</v>
      </c>
      <c r="E1564" t="s">
        <v>69</v>
      </c>
      <c r="F1564" t="s">
        <v>51</v>
      </c>
      <c r="G1564">
        <v>1.06</v>
      </c>
      <c r="H1564" t="s">
        <v>84</v>
      </c>
      <c r="I1564">
        <v>1</v>
      </c>
      <c r="J1564" s="4" t="str">
        <f>HYPERLINK("https://www.eliteprospects.com/player/639682/ben-muthersbaugh")</f>
        <v>https://www.eliteprospects.com/player/639682/ben-muthersbaugh</v>
      </c>
      <c r="K1564" t="s">
        <v>27</v>
      </c>
      <c r="L1564" t="s">
        <v>28</v>
      </c>
      <c r="M1564" t="s">
        <v>91</v>
      </c>
      <c r="N1564">
        <v>2</v>
      </c>
      <c r="O1564" t="s">
        <v>43</v>
      </c>
      <c r="P1564">
        <v>0.21</v>
      </c>
      <c r="Q1564" t="s">
        <v>135</v>
      </c>
      <c r="R1564">
        <v>25</v>
      </c>
      <c r="S1564">
        <v>50</v>
      </c>
      <c r="T1564">
        <v>0</v>
      </c>
      <c r="U1564">
        <v>0</v>
      </c>
      <c r="V1564">
        <v>25</v>
      </c>
    </row>
    <row r="1565" spans="1:22" x14ac:dyDescent="0.25">
      <c r="A1565" t="s">
        <v>226</v>
      </c>
      <c r="B1565" t="s">
        <v>98</v>
      </c>
      <c r="C1565">
        <v>19</v>
      </c>
      <c r="D1565" t="s">
        <v>57</v>
      </c>
      <c r="E1565" t="s">
        <v>57</v>
      </c>
      <c r="F1565" t="s">
        <v>23</v>
      </c>
      <c r="G1565">
        <v>0.63</v>
      </c>
      <c r="H1565" t="s">
        <v>32</v>
      </c>
      <c r="I1565">
        <v>9</v>
      </c>
      <c r="J1565" s="4" t="str">
        <f>HYPERLINK("https://www.eliteprospects.com/player/710468/lucas-buzziol")</f>
        <v>https://www.eliteprospects.com/player/710468/lucas-buzziol</v>
      </c>
      <c r="K1565" t="s">
        <v>27</v>
      </c>
      <c r="L1565" t="s">
        <v>28</v>
      </c>
      <c r="M1565" t="s">
        <v>42</v>
      </c>
      <c r="N1565">
        <v>2</v>
      </c>
      <c r="O1565" t="s">
        <v>43</v>
      </c>
      <c r="P1565">
        <v>0.12</v>
      </c>
      <c r="Q1565" t="s">
        <v>135</v>
      </c>
      <c r="R1565">
        <v>22.7</v>
      </c>
      <c r="S1565">
        <v>36.4</v>
      </c>
      <c r="T1565">
        <v>9.1</v>
      </c>
      <c r="U1565">
        <v>0</v>
      </c>
      <c r="V1565">
        <v>31.8</v>
      </c>
    </row>
    <row r="1566" spans="1:22" x14ac:dyDescent="0.25">
      <c r="A1566" t="s">
        <v>227</v>
      </c>
      <c r="B1566" t="s">
        <v>98</v>
      </c>
      <c r="C1566">
        <v>17</v>
      </c>
      <c r="D1566" t="s">
        <v>96</v>
      </c>
      <c r="E1566" t="s">
        <v>78</v>
      </c>
      <c r="F1566" t="s">
        <v>23</v>
      </c>
      <c r="G1566">
        <v>0.71</v>
      </c>
      <c r="H1566" t="s">
        <v>66</v>
      </c>
      <c r="I1566">
        <v>4</v>
      </c>
      <c r="J1566" s="4" t="str">
        <f>HYPERLINK("https://www.eliteprospects.com/player/320258/colby-macarthur")</f>
        <v>https://www.eliteprospects.com/player/320258/colby-macarthur</v>
      </c>
      <c r="K1566" t="s">
        <v>27</v>
      </c>
      <c r="L1566" t="s">
        <v>28</v>
      </c>
      <c r="M1566" t="s">
        <v>29</v>
      </c>
      <c r="N1566">
        <v>4</v>
      </c>
      <c r="O1566" t="s">
        <v>30</v>
      </c>
      <c r="P1566">
        <v>0.14000000000000001</v>
      </c>
      <c r="Q1566" t="s">
        <v>31</v>
      </c>
      <c r="R1566">
        <v>66.7</v>
      </c>
      <c r="S1566">
        <v>0</v>
      </c>
      <c r="T1566">
        <v>0</v>
      </c>
      <c r="U1566">
        <v>0</v>
      </c>
      <c r="V1566">
        <v>33.299999999999997</v>
      </c>
    </row>
    <row r="1567" spans="1:22" x14ac:dyDescent="0.25">
      <c r="A1567" t="s">
        <v>259</v>
      </c>
      <c r="B1567" t="s">
        <v>98</v>
      </c>
      <c r="C1567">
        <v>15</v>
      </c>
      <c r="D1567" t="s">
        <v>79</v>
      </c>
      <c r="E1567" t="s">
        <v>45</v>
      </c>
      <c r="F1567" t="s">
        <v>69</v>
      </c>
      <c r="G1567">
        <v>0.73</v>
      </c>
      <c r="H1567" t="s">
        <v>66</v>
      </c>
      <c r="I1567">
        <v>-2</v>
      </c>
      <c r="J1567" s="4" t="str">
        <f>HYPERLINK("https://www.eliteprospects.com/player/726404/alex-laurenza")</f>
        <v>https://www.eliteprospects.com/player/726404/alex-laurenza</v>
      </c>
      <c r="K1567" t="s">
        <v>27</v>
      </c>
      <c r="L1567" t="s">
        <v>28</v>
      </c>
      <c r="M1567" t="s">
        <v>35</v>
      </c>
      <c r="N1567">
        <v>1</v>
      </c>
      <c r="O1567" t="s">
        <v>71</v>
      </c>
      <c r="P1567">
        <v>0.14000000000000001</v>
      </c>
      <c r="Q1567" t="s">
        <v>245</v>
      </c>
      <c r="R1567">
        <v>0</v>
      </c>
      <c r="S1567">
        <v>25</v>
      </c>
      <c r="T1567">
        <v>25</v>
      </c>
      <c r="U1567">
        <v>0</v>
      </c>
      <c r="V1567">
        <v>50</v>
      </c>
    </row>
    <row r="1568" spans="1:22" x14ac:dyDescent="0.25">
      <c r="A1568" t="s">
        <v>264</v>
      </c>
      <c r="B1568" t="s">
        <v>98</v>
      </c>
      <c r="C1568">
        <v>19</v>
      </c>
      <c r="D1568" t="s">
        <v>78</v>
      </c>
      <c r="E1568" t="s">
        <v>140</v>
      </c>
      <c r="F1568" t="s">
        <v>32</v>
      </c>
      <c r="G1568">
        <v>0.53</v>
      </c>
      <c r="H1568" t="s">
        <v>132</v>
      </c>
      <c r="I1568">
        <v>6</v>
      </c>
      <c r="J1568" s="4" t="str">
        <f>HYPERLINK("https://www.eliteprospects.com/player/512271/connor-smith")</f>
        <v>https://www.eliteprospects.com/player/512271/connor-smith</v>
      </c>
      <c r="K1568" t="s">
        <v>27</v>
      </c>
      <c r="L1568" t="s">
        <v>28</v>
      </c>
      <c r="M1568" t="s">
        <v>35</v>
      </c>
      <c r="N1568">
        <v>2</v>
      </c>
      <c r="O1568" t="s">
        <v>43</v>
      </c>
      <c r="P1568">
        <v>0.1</v>
      </c>
      <c r="Q1568" t="s">
        <v>31</v>
      </c>
      <c r="R1568">
        <v>37.5</v>
      </c>
      <c r="S1568">
        <v>12.5</v>
      </c>
      <c r="T1568">
        <v>12.5</v>
      </c>
      <c r="U1568">
        <v>12.5</v>
      </c>
      <c r="V1568">
        <v>25</v>
      </c>
    </row>
    <row r="1569" spans="1:22" x14ac:dyDescent="0.25">
      <c r="A1569" t="s">
        <v>281</v>
      </c>
      <c r="B1569" t="s">
        <v>98</v>
      </c>
      <c r="C1569">
        <v>18</v>
      </c>
      <c r="D1569" t="s">
        <v>79</v>
      </c>
      <c r="E1569" t="s">
        <v>26</v>
      </c>
      <c r="F1569" t="s">
        <v>32</v>
      </c>
      <c r="G1569">
        <v>0.56000000000000005</v>
      </c>
      <c r="H1569" t="s">
        <v>79</v>
      </c>
      <c r="I1569">
        <v>1</v>
      </c>
      <c r="J1569" s="4" t="str">
        <f>HYPERLINK("https://www.eliteprospects.com/player/491515/nate-hanley")</f>
        <v>https://www.eliteprospects.com/player/491515/nate-hanley</v>
      </c>
      <c r="K1569" t="s">
        <v>27</v>
      </c>
      <c r="L1569" t="s">
        <v>28</v>
      </c>
      <c r="M1569" t="s">
        <v>42</v>
      </c>
      <c r="N1569">
        <v>4</v>
      </c>
      <c r="O1569" t="s">
        <v>30</v>
      </c>
      <c r="P1569">
        <v>0.11</v>
      </c>
      <c r="Q1569" t="s">
        <v>135</v>
      </c>
      <c r="R1569">
        <v>20</v>
      </c>
      <c r="S1569">
        <v>40</v>
      </c>
      <c r="T1569">
        <v>20</v>
      </c>
      <c r="U1569">
        <v>0</v>
      </c>
      <c r="V1569">
        <v>20</v>
      </c>
    </row>
    <row r="1570" spans="1:22" x14ac:dyDescent="0.25">
      <c r="A1570" t="s">
        <v>298</v>
      </c>
      <c r="B1570" t="s">
        <v>98</v>
      </c>
      <c r="C1570">
        <v>18</v>
      </c>
      <c r="D1570" t="s">
        <v>96</v>
      </c>
      <c r="E1570" t="s">
        <v>66</v>
      </c>
      <c r="F1570" t="s">
        <v>45</v>
      </c>
      <c r="G1570">
        <v>0.5</v>
      </c>
      <c r="H1570" t="s">
        <v>66</v>
      </c>
      <c r="I1570">
        <v>8</v>
      </c>
      <c r="J1570" s="4" t="str">
        <f>HYPERLINK("https://www.eliteprospects.com/player/511973/riley-brueck")</f>
        <v>https://www.eliteprospects.com/player/511973/riley-brueck</v>
      </c>
      <c r="K1570" t="s">
        <v>27</v>
      </c>
      <c r="L1570" t="s">
        <v>28</v>
      </c>
      <c r="M1570" t="s">
        <v>35</v>
      </c>
      <c r="N1570">
        <v>2</v>
      </c>
      <c r="O1570" t="s">
        <v>43</v>
      </c>
      <c r="P1570">
        <v>0.1</v>
      </c>
      <c r="Q1570" t="s">
        <v>31</v>
      </c>
      <c r="R1570">
        <v>37.5</v>
      </c>
      <c r="S1570">
        <v>12.5</v>
      </c>
      <c r="T1570">
        <v>12.5</v>
      </c>
      <c r="U1570">
        <v>12.5</v>
      </c>
      <c r="V1570">
        <v>25</v>
      </c>
    </row>
    <row r="1571" spans="1:22" x14ac:dyDescent="0.25">
      <c r="A1571" t="s">
        <v>342</v>
      </c>
      <c r="B1571" t="s">
        <v>98</v>
      </c>
      <c r="C1571">
        <v>18</v>
      </c>
      <c r="D1571" t="s">
        <v>79</v>
      </c>
      <c r="E1571" t="s">
        <v>96</v>
      </c>
      <c r="F1571" t="s">
        <v>78</v>
      </c>
      <c r="G1571">
        <v>0.39</v>
      </c>
      <c r="H1571" t="s">
        <v>132</v>
      </c>
      <c r="I1571">
        <v>5</v>
      </c>
      <c r="J1571" s="4" t="str">
        <f>HYPERLINK("https://www.eliteprospects.com/player/512338/drew-sutton")</f>
        <v>https://www.eliteprospects.com/player/512338/drew-sutton</v>
      </c>
      <c r="K1571" t="s">
        <v>27</v>
      </c>
      <c r="L1571" t="s">
        <v>28</v>
      </c>
      <c r="M1571" t="s">
        <v>35</v>
      </c>
      <c r="N1571">
        <v>2</v>
      </c>
      <c r="O1571" t="s">
        <v>43</v>
      </c>
      <c r="P1571">
        <v>0.08</v>
      </c>
      <c r="Q1571" t="s">
        <v>31</v>
      </c>
      <c r="R1571">
        <v>33.299999999999997</v>
      </c>
      <c r="S1571">
        <v>8.3000000000000007</v>
      </c>
      <c r="T1571">
        <v>33.299999999999997</v>
      </c>
      <c r="U1571">
        <v>8.3000000000000007</v>
      </c>
      <c r="V1571">
        <v>16.7</v>
      </c>
    </row>
    <row r="1572" spans="1:22" x14ac:dyDescent="0.25">
      <c r="A1572" t="s">
        <v>446</v>
      </c>
      <c r="B1572" t="s">
        <v>98</v>
      </c>
      <c r="C1572">
        <v>12</v>
      </c>
      <c r="D1572" t="s">
        <v>79</v>
      </c>
      <c r="E1572" t="s">
        <v>132</v>
      </c>
      <c r="F1572" t="s">
        <v>79</v>
      </c>
      <c r="G1572">
        <v>0.17</v>
      </c>
      <c r="H1572" t="s">
        <v>26</v>
      </c>
      <c r="I1572">
        <v>0</v>
      </c>
      <c r="J1572" s="4" t="str">
        <f>HYPERLINK("https://www.eliteprospects.com/player/316197/carter-korpi")</f>
        <v>https://www.eliteprospects.com/player/316197/carter-korpi</v>
      </c>
      <c r="K1572" t="s">
        <v>27</v>
      </c>
      <c r="L1572" t="s">
        <v>28</v>
      </c>
      <c r="M1572" t="s">
        <v>35</v>
      </c>
      <c r="N1572">
        <v>4</v>
      </c>
      <c r="O1572" t="s">
        <v>30</v>
      </c>
      <c r="P1572">
        <v>0.03</v>
      </c>
      <c r="Q1572" t="s">
        <v>245</v>
      </c>
      <c r="R1572">
        <v>9.1</v>
      </c>
      <c r="S1572">
        <v>18.2</v>
      </c>
      <c r="T1572">
        <v>9.1</v>
      </c>
      <c r="U1572">
        <v>13.6</v>
      </c>
      <c r="V1572">
        <v>50</v>
      </c>
    </row>
    <row r="1573" spans="1:22" x14ac:dyDescent="0.25">
      <c r="A1573" t="s">
        <v>461</v>
      </c>
      <c r="B1573" t="s">
        <v>98</v>
      </c>
      <c r="C1573">
        <v>10</v>
      </c>
      <c r="D1573" t="s">
        <v>260</v>
      </c>
      <c r="E1573" t="s">
        <v>132</v>
      </c>
      <c r="F1573" t="s">
        <v>260</v>
      </c>
      <c r="G1573">
        <v>0.1</v>
      </c>
      <c r="H1573" t="s">
        <v>66</v>
      </c>
      <c r="I1573">
        <v>3</v>
      </c>
      <c r="J1573" s="4" t="str">
        <f>HYPERLINK("https://www.eliteprospects.com/player/556718/luke-buss")</f>
        <v>https://www.eliteprospects.com/player/556718/luke-buss</v>
      </c>
      <c r="K1573" t="s">
        <v>27</v>
      </c>
      <c r="L1573" t="s">
        <v>28</v>
      </c>
      <c r="M1573" t="s">
        <v>35</v>
      </c>
      <c r="N1573">
        <v>2</v>
      </c>
      <c r="O1573" t="s">
        <v>43</v>
      </c>
      <c r="P1573">
        <v>0.02</v>
      </c>
      <c r="Q1573" t="s">
        <v>245</v>
      </c>
      <c r="R1573">
        <v>0</v>
      </c>
      <c r="S1573">
        <v>0</v>
      </c>
      <c r="T1573">
        <v>0</v>
      </c>
      <c r="U1573">
        <v>0</v>
      </c>
      <c r="V1573">
        <v>100</v>
      </c>
    </row>
    <row r="1574" spans="1:22" x14ac:dyDescent="0.25">
      <c r="A1574" t="s">
        <v>467</v>
      </c>
      <c r="B1574" t="s">
        <v>98</v>
      </c>
      <c r="C1574">
        <v>11</v>
      </c>
      <c r="D1574" t="s">
        <v>132</v>
      </c>
      <c r="E1574" t="s">
        <v>260</v>
      </c>
      <c r="F1574" t="s">
        <v>260</v>
      </c>
      <c r="G1574">
        <v>0.09</v>
      </c>
      <c r="H1574" t="s">
        <v>79</v>
      </c>
      <c r="I1574">
        <v>0</v>
      </c>
      <c r="J1574" s="4" t="str">
        <f>HYPERLINK("https://www.eliteprospects.com/player/675193/troy-pelton")</f>
        <v>https://www.eliteprospects.com/player/675193/troy-pelton</v>
      </c>
      <c r="K1574" t="s">
        <v>27</v>
      </c>
      <c r="L1574" t="s">
        <v>28</v>
      </c>
      <c r="M1574" t="s">
        <v>42</v>
      </c>
      <c r="N1574">
        <v>1</v>
      </c>
      <c r="O1574" t="s">
        <v>71</v>
      </c>
      <c r="P1574">
        <v>0.02</v>
      </c>
      <c r="Q1574" t="s">
        <v>245</v>
      </c>
      <c r="R1574">
        <v>9.1</v>
      </c>
      <c r="S1574">
        <v>18.2</v>
      </c>
      <c r="T1574">
        <v>9.1</v>
      </c>
      <c r="U1574">
        <v>13.6</v>
      </c>
      <c r="V1574">
        <v>50</v>
      </c>
    </row>
    <row r="1575" spans="1:22" x14ac:dyDescent="0.25">
      <c r="A1575" t="s">
        <v>311</v>
      </c>
      <c r="B1575" t="s">
        <v>312</v>
      </c>
      <c r="C1575">
        <v>16</v>
      </c>
      <c r="D1575" t="s">
        <v>260</v>
      </c>
      <c r="E1575" t="s">
        <v>26</v>
      </c>
      <c r="F1575" t="s">
        <v>45</v>
      </c>
      <c r="G1575">
        <v>0.56000000000000005</v>
      </c>
      <c r="H1575" t="s">
        <v>66</v>
      </c>
      <c r="I1575">
        <v>-3</v>
      </c>
      <c r="J1575" s="4" t="str">
        <f>HYPERLINK("https://www.eliteprospects.com/player/486540/karter-mcnarland")</f>
        <v>https://www.eliteprospects.com/player/486540/karter-mcnarland</v>
      </c>
      <c r="K1575" t="s">
        <v>27</v>
      </c>
      <c r="L1575" t="s">
        <v>28</v>
      </c>
      <c r="M1575" t="s">
        <v>35</v>
      </c>
      <c r="N1575">
        <v>3</v>
      </c>
      <c r="O1575" t="s">
        <v>74</v>
      </c>
      <c r="P1575">
        <v>0.11</v>
      </c>
      <c r="Q1575" t="s">
        <v>135</v>
      </c>
      <c r="R1575">
        <v>20</v>
      </c>
      <c r="S1575">
        <v>40</v>
      </c>
      <c r="T1575">
        <v>0</v>
      </c>
      <c r="U1575">
        <v>20</v>
      </c>
      <c r="V1575">
        <v>20</v>
      </c>
    </row>
    <row r="1576" spans="1:22" x14ac:dyDescent="0.25">
      <c r="A1576" t="s">
        <v>328</v>
      </c>
      <c r="B1576" t="s">
        <v>312</v>
      </c>
      <c r="C1576">
        <v>16</v>
      </c>
      <c r="D1576" t="s">
        <v>260</v>
      </c>
      <c r="E1576" t="s">
        <v>78</v>
      </c>
      <c r="F1576" t="s">
        <v>26</v>
      </c>
      <c r="G1576">
        <v>0.5</v>
      </c>
      <c r="H1576" t="s">
        <v>38</v>
      </c>
      <c r="I1576">
        <v>-12</v>
      </c>
      <c r="J1576" s="4" t="str">
        <f>HYPERLINK("https://www.eliteprospects.com/player/671918/ryan-johnson")</f>
        <v>https://www.eliteprospects.com/player/671918/ryan-johnson</v>
      </c>
      <c r="K1576" t="s">
        <v>27</v>
      </c>
      <c r="L1576" t="s">
        <v>28</v>
      </c>
      <c r="M1576" t="s">
        <v>42</v>
      </c>
      <c r="N1576">
        <v>2</v>
      </c>
      <c r="O1576" t="s">
        <v>43</v>
      </c>
      <c r="P1576">
        <v>0.1</v>
      </c>
      <c r="Q1576" t="s">
        <v>245</v>
      </c>
      <c r="R1576">
        <v>9.1</v>
      </c>
      <c r="S1576">
        <v>27.3</v>
      </c>
      <c r="T1576">
        <v>18.2</v>
      </c>
      <c r="U1576">
        <v>0</v>
      </c>
      <c r="V1576">
        <v>45.5</v>
      </c>
    </row>
    <row r="1577" spans="1:22" x14ac:dyDescent="0.25">
      <c r="A1577" t="s">
        <v>334</v>
      </c>
      <c r="B1577" t="s">
        <v>312</v>
      </c>
      <c r="C1577">
        <v>14</v>
      </c>
      <c r="D1577" t="s">
        <v>140</v>
      </c>
      <c r="E1577" t="s">
        <v>66</v>
      </c>
      <c r="F1577" t="s">
        <v>78</v>
      </c>
      <c r="G1577">
        <v>0.5</v>
      </c>
      <c r="H1577" t="s">
        <v>26</v>
      </c>
      <c r="I1577">
        <v>-7</v>
      </c>
      <c r="J1577" s="4" t="str">
        <f>HYPERLINK("https://www.eliteprospects.com/player/475476/conor-cole")</f>
        <v>https://www.eliteprospects.com/player/475476/conor-cole</v>
      </c>
      <c r="K1577" t="s">
        <v>27</v>
      </c>
      <c r="L1577" t="s">
        <v>28</v>
      </c>
      <c r="M1577" t="s">
        <v>42</v>
      </c>
      <c r="N1577">
        <v>4</v>
      </c>
      <c r="O1577" t="s">
        <v>30</v>
      </c>
      <c r="P1577">
        <v>0.1</v>
      </c>
      <c r="Q1577" t="s">
        <v>245</v>
      </c>
      <c r="R1577">
        <v>9.1</v>
      </c>
      <c r="S1577">
        <v>27.3</v>
      </c>
      <c r="T1577">
        <v>18.2</v>
      </c>
      <c r="U1577">
        <v>0</v>
      </c>
      <c r="V1577">
        <v>45.5</v>
      </c>
    </row>
    <row r="1578" spans="1:22" x14ac:dyDescent="0.25">
      <c r="A1578" t="s">
        <v>373</v>
      </c>
      <c r="B1578" t="s">
        <v>312</v>
      </c>
      <c r="C1578">
        <v>15</v>
      </c>
      <c r="D1578" t="s">
        <v>96</v>
      </c>
      <c r="E1578" t="s">
        <v>132</v>
      </c>
      <c r="F1578" t="s">
        <v>96</v>
      </c>
      <c r="G1578">
        <v>0.33</v>
      </c>
      <c r="H1578" t="s">
        <v>132</v>
      </c>
      <c r="I1578">
        <v>-11</v>
      </c>
      <c r="J1578" s="4" t="str">
        <f>HYPERLINK("https://www.eliteprospects.com/player/569188/tye-spencer")</f>
        <v>https://www.eliteprospects.com/player/569188/tye-spencer</v>
      </c>
      <c r="K1578" t="s">
        <v>27</v>
      </c>
      <c r="L1578" t="s">
        <v>28</v>
      </c>
      <c r="M1578" t="s">
        <v>35</v>
      </c>
      <c r="N1578">
        <v>7</v>
      </c>
      <c r="O1578" t="s">
        <v>250</v>
      </c>
      <c r="P1578">
        <v>0.06</v>
      </c>
      <c r="Q1578" t="s">
        <v>245</v>
      </c>
      <c r="R1578">
        <v>0</v>
      </c>
      <c r="S1578">
        <v>15.4</v>
      </c>
      <c r="T1578">
        <v>7.7</v>
      </c>
      <c r="U1578">
        <v>30.8</v>
      </c>
      <c r="V1578">
        <v>46.2</v>
      </c>
    </row>
    <row r="1579" spans="1:22" x14ac:dyDescent="0.25">
      <c r="A1579" t="s">
        <v>396</v>
      </c>
      <c r="B1579" t="s">
        <v>312</v>
      </c>
      <c r="C1579">
        <v>16</v>
      </c>
      <c r="D1579" t="s">
        <v>140</v>
      </c>
      <c r="E1579" t="s">
        <v>260</v>
      </c>
      <c r="F1579" t="s">
        <v>66</v>
      </c>
      <c r="G1579">
        <v>0.25</v>
      </c>
      <c r="H1579" t="s">
        <v>57</v>
      </c>
      <c r="I1579">
        <v>-6</v>
      </c>
      <c r="J1579" s="4" t="str">
        <f>HYPERLINK("https://www.eliteprospects.com/player/540782/aiden-westin")</f>
        <v>https://www.eliteprospects.com/player/540782/aiden-westin</v>
      </c>
      <c r="K1579" t="s">
        <v>27</v>
      </c>
      <c r="L1579" t="s">
        <v>28</v>
      </c>
      <c r="M1579" t="s">
        <v>35</v>
      </c>
      <c r="N1579">
        <v>3</v>
      </c>
      <c r="O1579" t="s">
        <v>74</v>
      </c>
      <c r="P1579">
        <v>0.05</v>
      </c>
      <c r="Q1579" t="s">
        <v>245</v>
      </c>
      <c r="R1579">
        <v>13.3</v>
      </c>
      <c r="S1579">
        <v>13.3</v>
      </c>
      <c r="T1579">
        <v>0</v>
      </c>
      <c r="U1579">
        <v>13.3</v>
      </c>
      <c r="V1579">
        <v>60</v>
      </c>
    </row>
    <row r="1580" spans="1:22" x14ac:dyDescent="0.25">
      <c r="A1580" t="s">
        <v>397</v>
      </c>
      <c r="B1580" t="s">
        <v>312</v>
      </c>
      <c r="C1580">
        <v>16</v>
      </c>
      <c r="D1580" t="s">
        <v>140</v>
      </c>
      <c r="E1580" t="s">
        <v>260</v>
      </c>
      <c r="F1580" t="s">
        <v>66</v>
      </c>
      <c r="G1580">
        <v>0.25</v>
      </c>
      <c r="H1580" t="s">
        <v>61</v>
      </c>
      <c r="I1580">
        <v>-8</v>
      </c>
      <c r="J1580" s="4" t="str">
        <f>HYPERLINK("https://www.eliteprospects.com/player/713095/judah-makway")</f>
        <v>https://www.eliteprospects.com/player/713095/judah-makway</v>
      </c>
      <c r="K1580" t="s">
        <v>27</v>
      </c>
      <c r="L1580" t="s">
        <v>28</v>
      </c>
      <c r="M1580" t="s">
        <v>42</v>
      </c>
      <c r="N1580">
        <v>1</v>
      </c>
      <c r="O1580" t="s">
        <v>71</v>
      </c>
      <c r="P1580">
        <v>0.05</v>
      </c>
      <c r="Q1580" t="s">
        <v>245</v>
      </c>
      <c r="R1580">
        <v>13.3</v>
      </c>
      <c r="S1580">
        <v>13.3</v>
      </c>
      <c r="T1580">
        <v>0</v>
      </c>
      <c r="U1580">
        <v>13.3</v>
      </c>
      <c r="V1580">
        <v>60</v>
      </c>
    </row>
    <row r="1581" spans="1:22" x14ac:dyDescent="0.25">
      <c r="A1581" t="s">
        <v>411</v>
      </c>
      <c r="B1581" t="s">
        <v>312</v>
      </c>
      <c r="C1581">
        <v>10</v>
      </c>
      <c r="D1581" t="s">
        <v>260</v>
      </c>
      <c r="E1581" t="s">
        <v>140</v>
      </c>
      <c r="F1581" t="s">
        <v>66</v>
      </c>
      <c r="G1581">
        <v>0.4</v>
      </c>
      <c r="H1581" t="s">
        <v>132</v>
      </c>
      <c r="I1581">
        <v>-3</v>
      </c>
      <c r="J1581" s="4" t="str">
        <f>HYPERLINK("https://www.eliteprospects.com/player/553214/dimitry-kebreau")</f>
        <v>https://www.eliteprospects.com/player/553214/dimitry-kebreau</v>
      </c>
      <c r="K1581" t="s">
        <v>27</v>
      </c>
      <c r="L1581" t="s">
        <v>28</v>
      </c>
      <c r="M1581" t="s">
        <v>35</v>
      </c>
      <c r="N1581">
        <v>2</v>
      </c>
      <c r="O1581" t="s">
        <v>43</v>
      </c>
      <c r="P1581">
        <v>0.08</v>
      </c>
      <c r="Q1581" t="s">
        <v>1277</v>
      </c>
      <c r="R1581">
        <v>16.7</v>
      </c>
      <c r="S1581">
        <v>16.7</v>
      </c>
      <c r="T1581">
        <v>25</v>
      </c>
      <c r="U1581">
        <v>16.7</v>
      </c>
      <c r="V1581">
        <v>25</v>
      </c>
    </row>
    <row r="1582" spans="1:22" x14ac:dyDescent="0.25">
      <c r="A1582" t="s">
        <v>420</v>
      </c>
      <c r="B1582" t="s">
        <v>312</v>
      </c>
      <c r="C1582">
        <v>12</v>
      </c>
      <c r="D1582" t="s">
        <v>79</v>
      </c>
      <c r="E1582" t="s">
        <v>260</v>
      </c>
      <c r="F1582" t="s">
        <v>140</v>
      </c>
      <c r="G1582">
        <v>0.25</v>
      </c>
      <c r="H1582" t="s">
        <v>132</v>
      </c>
      <c r="I1582">
        <v>-6</v>
      </c>
      <c r="J1582" s="4" t="str">
        <f>HYPERLINK("https://www.eliteprospects.com/player/648391/dylan-contreras")</f>
        <v>https://www.eliteprospects.com/player/648391/dylan-contreras</v>
      </c>
      <c r="K1582" t="s">
        <v>27</v>
      </c>
      <c r="L1582" t="s">
        <v>28</v>
      </c>
      <c r="M1582" t="s">
        <v>35</v>
      </c>
      <c r="N1582">
        <v>2</v>
      </c>
      <c r="O1582" t="s">
        <v>43</v>
      </c>
      <c r="P1582">
        <v>0.05</v>
      </c>
      <c r="Q1582" t="s">
        <v>245</v>
      </c>
      <c r="R1582">
        <v>13.3</v>
      </c>
      <c r="S1582">
        <v>13.3</v>
      </c>
      <c r="T1582">
        <v>0</v>
      </c>
      <c r="U1582">
        <v>13.3</v>
      </c>
      <c r="V1582">
        <v>60</v>
      </c>
    </row>
    <row r="1583" spans="1:22" x14ac:dyDescent="0.25">
      <c r="A1583" t="s">
        <v>433</v>
      </c>
      <c r="B1583" t="s">
        <v>312</v>
      </c>
      <c r="C1583">
        <v>15</v>
      </c>
      <c r="D1583" t="s">
        <v>260</v>
      </c>
      <c r="E1583" t="s">
        <v>79</v>
      </c>
      <c r="F1583" t="s">
        <v>140</v>
      </c>
      <c r="G1583">
        <v>0.2</v>
      </c>
      <c r="H1583" t="s">
        <v>26</v>
      </c>
      <c r="I1583">
        <v>-15</v>
      </c>
      <c r="J1583" s="4" t="str">
        <f>HYPERLINK("https://www.eliteprospects.com/player/636193/oren-shtrom")</f>
        <v>https://www.eliteprospects.com/player/636193/oren-shtrom</v>
      </c>
      <c r="K1583" t="s">
        <v>27</v>
      </c>
      <c r="L1583" t="s">
        <v>28</v>
      </c>
      <c r="M1583" t="s">
        <v>35</v>
      </c>
      <c r="N1583">
        <v>6</v>
      </c>
      <c r="O1583" t="s">
        <v>193</v>
      </c>
      <c r="P1583">
        <v>0.04</v>
      </c>
      <c r="Q1583" t="s">
        <v>245</v>
      </c>
      <c r="R1583">
        <v>13.3</v>
      </c>
      <c r="S1583">
        <v>13.3</v>
      </c>
      <c r="T1583">
        <v>0</v>
      </c>
      <c r="U1583">
        <v>13.3</v>
      </c>
      <c r="V1583">
        <v>60</v>
      </c>
    </row>
    <row r="1584" spans="1:22" x14ac:dyDescent="0.25">
      <c r="A1584" t="s">
        <v>459</v>
      </c>
      <c r="B1584" t="s">
        <v>312</v>
      </c>
      <c r="C1584">
        <v>14</v>
      </c>
      <c r="D1584" t="s">
        <v>132</v>
      </c>
      <c r="E1584" t="s">
        <v>79</v>
      </c>
      <c r="F1584" t="s">
        <v>79</v>
      </c>
      <c r="G1584">
        <v>0.14000000000000001</v>
      </c>
      <c r="H1584" t="s">
        <v>132</v>
      </c>
      <c r="I1584">
        <v>-5</v>
      </c>
      <c r="J1584" s="4" t="str">
        <f>HYPERLINK("https://www.eliteprospects.com/player/481463/tanyon-bajzer")</f>
        <v>https://www.eliteprospects.com/player/481463/tanyon-bajzer</v>
      </c>
      <c r="K1584" t="s">
        <v>27</v>
      </c>
      <c r="L1584" t="s">
        <v>28</v>
      </c>
      <c r="M1584" t="s">
        <v>29</v>
      </c>
      <c r="N1584">
        <v>3</v>
      </c>
      <c r="O1584" t="s">
        <v>74</v>
      </c>
      <c r="P1584">
        <v>0.03</v>
      </c>
      <c r="Q1584" t="s">
        <v>245</v>
      </c>
      <c r="R1584">
        <v>9.1</v>
      </c>
      <c r="S1584">
        <v>18.2</v>
      </c>
      <c r="T1584">
        <v>9.1</v>
      </c>
      <c r="U1584">
        <v>13.6</v>
      </c>
      <c r="V1584">
        <v>50</v>
      </c>
    </row>
    <row r="1585" spans="1:22" x14ac:dyDescent="0.25">
      <c r="A1585" t="s">
        <v>463</v>
      </c>
      <c r="B1585" t="s">
        <v>312</v>
      </c>
      <c r="C1585">
        <v>12</v>
      </c>
      <c r="D1585" t="s">
        <v>260</v>
      </c>
      <c r="E1585" t="s">
        <v>132</v>
      </c>
      <c r="F1585" t="s">
        <v>260</v>
      </c>
      <c r="G1585">
        <v>0.08</v>
      </c>
      <c r="H1585" t="s">
        <v>84</v>
      </c>
      <c r="I1585">
        <v>-2</v>
      </c>
      <c r="J1585" s="4" t="str">
        <f>HYPERLINK("https://www.eliteprospects.com/player/588246/ben-anderson")</f>
        <v>https://www.eliteprospects.com/player/588246/ben-anderson</v>
      </c>
      <c r="K1585" t="s">
        <v>27</v>
      </c>
      <c r="L1585" t="s">
        <v>28</v>
      </c>
      <c r="M1585" t="s">
        <v>35</v>
      </c>
      <c r="N1585">
        <v>3</v>
      </c>
      <c r="O1585" t="s">
        <v>74</v>
      </c>
      <c r="P1585">
        <v>0.02</v>
      </c>
      <c r="Q1585" t="s">
        <v>245</v>
      </c>
      <c r="R1585">
        <v>9.1</v>
      </c>
      <c r="S1585">
        <v>18.2</v>
      </c>
      <c r="T1585">
        <v>9.1</v>
      </c>
      <c r="U1585">
        <v>13.6</v>
      </c>
      <c r="V1585">
        <v>50</v>
      </c>
    </row>
    <row r="1586" spans="1:22" x14ac:dyDescent="0.25">
      <c r="A1586" t="s">
        <v>157</v>
      </c>
      <c r="B1586" t="s">
        <v>158</v>
      </c>
      <c r="C1586">
        <v>17</v>
      </c>
      <c r="D1586" t="s">
        <v>78</v>
      </c>
      <c r="E1586" t="s">
        <v>45</v>
      </c>
      <c r="F1586" t="s">
        <v>38</v>
      </c>
      <c r="G1586">
        <v>0.94</v>
      </c>
      <c r="H1586" t="s">
        <v>39</v>
      </c>
      <c r="I1586">
        <v>1</v>
      </c>
      <c r="J1586" s="4" t="str">
        <f>HYPERLINK("https://www.eliteprospects.com/player/505404/michael-citara")</f>
        <v>https://www.eliteprospects.com/player/505404/michael-citara</v>
      </c>
      <c r="K1586" t="s">
        <v>27</v>
      </c>
      <c r="L1586" t="s">
        <v>28</v>
      </c>
      <c r="M1586" t="s">
        <v>29</v>
      </c>
      <c r="N1586">
        <v>5</v>
      </c>
      <c r="O1586" t="s">
        <v>67</v>
      </c>
      <c r="P1586">
        <v>0.18</v>
      </c>
      <c r="Q1586" t="s">
        <v>31</v>
      </c>
      <c r="R1586">
        <v>33.299999999999997</v>
      </c>
      <c r="S1586">
        <v>0</v>
      </c>
      <c r="T1586">
        <v>33.299999999999997</v>
      </c>
      <c r="U1586">
        <v>0</v>
      </c>
      <c r="V1586">
        <v>33.299999999999997</v>
      </c>
    </row>
    <row r="1587" spans="1:22" x14ac:dyDescent="0.25">
      <c r="A1587" t="s">
        <v>247</v>
      </c>
      <c r="B1587" t="s">
        <v>158</v>
      </c>
      <c r="C1587">
        <v>17</v>
      </c>
      <c r="D1587" t="s">
        <v>66</v>
      </c>
      <c r="E1587" t="s">
        <v>78</v>
      </c>
      <c r="F1587" t="s">
        <v>69</v>
      </c>
      <c r="G1587">
        <v>0.65</v>
      </c>
      <c r="H1587" t="s">
        <v>23</v>
      </c>
      <c r="I1587">
        <v>-4</v>
      </c>
      <c r="J1587" s="4" t="str">
        <f>HYPERLINK("https://www.eliteprospects.com/player/685633/peyton-platter")</f>
        <v>https://www.eliteprospects.com/player/685633/peyton-platter</v>
      </c>
      <c r="K1587" t="s">
        <v>27</v>
      </c>
      <c r="L1587" t="s">
        <v>28</v>
      </c>
      <c r="M1587" t="s">
        <v>248</v>
      </c>
      <c r="N1587">
        <v>2</v>
      </c>
      <c r="O1587" t="s">
        <v>43</v>
      </c>
      <c r="P1587">
        <v>0.13</v>
      </c>
      <c r="Q1587" t="s">
        <v>135</v>
      </c>
      <c r="R1587">
        <v>11.1</v>
      </c>
      <c r="S1587">
        <v>44.4</v>
      </c>
      <c r="T1587">
        <v>11.1</v>
      </c>
      <c r="U1587">
        <v>11.1</v>
      </c>
      <c r="V1587">
        <v>22.2</v>
      </c>
    </row>
    <row r="1588" spans="1:22" x14ac:dyDescent="0.25">
      <c r="A1588" t="s">
        <v>295</v>
      </c>
      <c r="B1588" t="s">
        <v>158</v>
      </c>
      <c r="C1588">
        <v>15</v>
      </c>
      <c r="D1588" t="s">
        <v>96</v>
      </c>
      <c r="E1588" t="s">
        <v>66</v>
      </c>
      <c r="F1588" t="s">
        <v>45</v>
      </c>
      <c r="G1588">
        <v>0.6</v>
      </c>
      <c r="H1588" t="s">
        <v>26</v>
      </c>
      <c r="I1588">
        <v>-3</v>
      </c>
      <c r="J1588" s="4" t="str">
        <f>HYPERLINK("https://www.eliteprospects.com/player/523476/rylen-roersma")</f>
        <v>https://www.eliteprospects.com/player/523476/rylen-roersma</v>
      </c>
      <c r="K1588" t="s">
        <v>27</v>
      </c>
      <c r="L1588" t="s">
        <v>28</v>
      </c>
      <c r="M1588" t="s">
        <v>42</v>
      </c>
      <c r="N1588">
        <v>6</v>
      </c>
      <c r="O1588" t="s">
        <v>193</v>
      </c>
      <c r="P1588">
        <v>0.12</v>
      </c>
      <c r="Q1588" t="s">
        <v>135</v>
      </c>
      <c r="R1588">
        <v>11.1</v>
      </c>
      <c r="S1588">
        <v>44.4</v>
      </c>
      <c r="T1588">
        <v>11.1</v>
      </c>
      <c r="U1588">
        <v>11.1</v>
      </c>
      <c r="V1588">
        <v>22.2</v>
      </c>
    </row>
    <row r="1589" spans="1:22" x14ac:dyDescent="0.25">
      <c r="A1589" t="s">
        <v>314</v>
      </c>
      <c r="B1589" t="s">
        <v>158</v>
      </c>
      <c r="C1589">
        <v>17</v>
      </c>
      <c r="D1589" t="s">
        <v>96</v>
      </c>
      <c r="E1589" t="s">
        <v>140</v>
      </c>
      <c r="F1589" t="s">
        <v>26</v>
      </c>
      <c r="G1589">
        <v>0.47</v>
      </c>
      <c r="H1589" t="s">
        <v>38</v>
      </c>
      <c r="I1589">
        <v>-9</v>
      </c>
      <c r="J1589" s="4" t="str">
        <f>HYPERLINK("https://www.eliteprospects.com/player/476665/chase-dafoe")</f>
        <v>https://www.eliteprospects.com/player/476665/chase-dafoe</v>
      </c>
      <c r="K1589" t="s">
        <v>27</v>
      </c>
      <c r="L1589" t="s">
        <v>28</v>
      </c>
      <c r="M1589" t="s">
        <v>35</v>
      </c>
      <c r="N1589">
        <v>4</v>
      </c>
      <c r="O1589" t="s">
        <v>30</v>
      </c>
      <c r="P1589">
        <v>0.09</v>
      </c>
      <c r="Q1589" t="s">
        <v>31</v>
      </c>
      <c r="R1589">
        <v>36.4</v>
      </c>
      <c r="S1589">
        <v>9.1</v>
      </c>
      <c r="T1589">
        <v>18.2</v>
      </c>
      <c r="U1589">
        <v>9.1</v>
      </c>
      <c r="V1589">
        <v>27.3</v>
      </c>
    </row>
    <row r="1590" spans="1:22" x14ac:dyDescent="0.25">
      <c r="A1590" t="s">
        <v>366</v>
      </c>
      <c r="B1590" t="s">
        <v>158</v>
      </c>
      <c r="C1590">
        <v>17</v>
      </c>
      <c r="D1590" t="s">
        <v>79</v>
      </c>
      <c r="E1590" t="s">
        <v>66</v>
      </c>
      <c r="F1590" t="s">
        <v>57</v>
      </c>
      <c r="G1590">
        <v>0.35</v>
      </c>
      <c r="H1590" t="s">
        <v>66</v>
      </c>
      <c r="I1590">
        <v>-5</v>
      </c>
      <c r="J1590" s="4" t="str">
        <f>HYPERLINK("https://www.eliteprospects.com/player/352021/braden-birnie")</f>
        <v>https://www.eliteprospects.com/player/352021/braden-birnie</v>
      </c>
      <c r="K1590" t="s">
        <v>27</v>
      </c>
      <c r="L1590" t="s">
        <v>28</v>
      </c>
      <c r="M1590" t="s">
        <v>35</v>
      </c>
      <c r="N1590">
        <v>4</v>
      </c>
      <c r="O1590" t="s">
        <v>30</v>
      </c>
      <c r="P1590">
        <v>7.0000000000000007E-2</v>
      </c>
      <c r="Q1590" t="s">
        <v>135</v>
      </c>
      <c r="R1590">
        <v>0</v>
      </c>
      <c r="S1590">
        <v>33.299999999999997</v>
      </c>
      <c r="T1590">
        <v>23.8</v>
      </c>
      <c r="U1590">
        <v>9.5</v>
      </c>
      <c r="V1590">
        <v>33.299999999999997</v>
      </c>
    </row>
    <row r="1591" spans="1:22" x14ac:dyDescent="0.25">
      <c r="A1591" t="s">
        <v>376</v>
      </c>
      <c r="B1591" t="s">
        <v>158</v>
      </c>
      <c r="C1591">
        <v>14</v>
      </c>
      <c r="D1591" t="s">
        <v>140</v>
      </c>
      <c r="E1591" t="s">
        <v>79</v>
      </c>
      <c r="F1591" t="s">
        <v>96</v>
      </c>
      <c r="G1591">
        <v>0.36</v>
      </c>
      <c r="H1591" t="s">
        <v>66</v>
      </c>
      <c r="I1591">
        <v>-3</v>
      </c>
      <c r="J1591" s="4" t="str">
        <f>HYPERLINK("https://www.eliteprospects.com/player/387560/alexander-malinowski")</f>
        <v>https://www.eliteprospects.com/player/387560/alexander-malinowski</v>
      </c>
      <c r="K1591" t="s">
        <v>27</v>
      </c>
      <c r="L1591" t="s">
        <v>28</v>
      </c>
      <c r="M1591" t="s">
        <v>70</v>
      </c>
      <c r="N1591">
        <v>4</v>
      </c>
      <c r="O1591" t="s">
        <v>30</v>
      </c>
      <c r="P1591">
        <v>7.0000000000000007E-2</v>
      </c>
      <c r="Q1591" t="s">
        <v>135</v>
      </c>
      <c r="R1591">
        <v>0</v>
      </c>
      <c r="S1591">
        <v>33.299999999999997</v>
      </c>
      <c r="T1591">
        <v>23.8</v>
      </c>
      <c r="U1591">
        <v>9.5</v>
      </c>
      <c r="V1591">
        <v>33.299999999999997</v>
      </c>
    </row>
    <row r="1592" spans="1:22" x14ac:dyDescent="0.25">
      <c r="A1592" t="s">
        <v>403</v>
      </c>
      <c r="B1592" t="s">
        <v>158</v>
      </c>
      <c r="C1592">
        <v>12</v>
      </c>
      <c r="D1592" t="s">
        <v>79</v>
      </c>
      <c r="E1592" t="s">
        <v>79</v>
      </c>
      <c r="F1592" t="s">
        <v>66</v>
      </c>
      <c r="G1592">
        <v>0.33</v>
      </c>
      <c r="H1592" t="s">
        <v>79</v>
      </c>
      <c r="I1592">
        <v>-1</v>
      </c>
      <c r="J1592" s="4" t="str">
        <f>HYPERLINK("https://www.eliteprospects.com/player/636192/mykhailo-danylov")</f>
        <v>https://www.eliteprospects.com/player/636192/mykhailo-danylov</v>
      </c>
      <c r="K1592" t="s">
        <v>27</v>
      </c>
      <c r="L1592" t="s">
        <v>28</v>
      </c>
      <c r="M1592" t="s">
        <v>35</v>
      </c>
      <c r="N1592">
        <v>1</v>
      </c>
      <c r="O1592" t="s">
        <v>71</v>
      </c>
      <c r="P1592">
        <v>0.06</v>
      </c>
      <c r="Q1592" t="s">
        <v>135</v>
      </c>
      <c r="R1592">
        <v>0</v>
      </c>
      <c r="S1592">
        <v>33.299999999999997</v>
      </c>
      <c r="T1592">
        <v>23.8</v>
      </c>
      <c r="U1592">
        <v>9.5</v>
      </c>
      <c r="V1592">
        <v>33.299999999999997</v>
      </c>
    </row>
    <row r="1593" spans="1:22" x14ac:dyDescent="0.25">
      <c r="A1593" t="s">
        <v>425</v>
      </c>
      <c r="B1593" t="s">
        <v>158</v>
      </c>
      <c r="C1593">
        <v>16</v>
      </c>
      <c r="D1593" t="s">
        <v>79</v>
      </c>
      <c r="E1593" t="s">
        <v>260</v>
      </c>
      <c r="F1593" t="s">
        <v>140</v>
      </c>
      <c r="G1593">
        <v>0.19</v>
      </c>
      <c r="H1593" t="s">
        <v>32</v>
      </c>
      <c r="I1593">
        <v>-3</v>
      </c>
      <c r="J1593" s="4" t="str">
        <f>HYPERLINK("https://www.eliteprospects.com/player/565752/jhett-larson")</f>
        <v>https://www.eliteprospects.com/player/565752/jhett-larson</v>
      </c>
      <c r="K1593" t="s">
        <v>27</v>
      </c>
      <c r="L1593" t="s">
        <v>28</v>
      </c>
      <c r="M1593" t="s">
        <v>35</v>
      </c>
      <c r="N1593">
        <v>6</v>
      </c>
      <c r="O1593" t="s">
        <v>193</v>
      </c>
      <c r="P1593">
        <v>0.04</v>
      </c>
      <c r="Q1593" t="s">
        <v>245</v>
      </c>
      <c r="R1593">
        <v>9.1</v>
      </c>
      <c r="S1593">
        <v>18.2</v>
      </c>
      <c r="T1593">
        <v>9.1</v>
      </c>
      <c r="U1593">
        <v>13.6</v>
      </c>
      <c r="V1593">
        <v>50</v>
      </c>
    </row>
    <row r="1594" spans="1:22" x14ac:dyDescent="0.25">
      <c r="A1594" t="s">
        <v>435</v>
      </c>
      <c r="B1594" t="s">
        <v>158</v>
      </c>
      <c r="C1594">
        <v>16</v>
      </c>
      <c r="D1594" t="s">
        <v>260</v>
      </c>
      <c r="E1594" t="s">
        <v>79</v>
      </c>
      <c r="F1594" t="s">
        <v>140</v>
      </c>
      <c r="G1594">
        <v>0.19</v>
      </c>
      <c r="H1594" t="s">
        <v>32</v>
      </c>
      <c r="I1594">
        <v>-4</v>
      </c>
      <c r="J1594" s="4" t="str">
        <f>HYPERLINK("https://www.eliteprospects.com/player/557709/davis-borozinskis")</f>
        <v>https://www.eliteprospects.com/player/557709/davis-borozinskis</v>
      </c>
      <c r="K1594" t="s">
        <v>27</v>
      </c>
      <c r="L1594" t="s">
        <v>28</v>
      </c>
      <c r="M1594" t="s">
        <v>91</v>
      </c>
      <c r="N1594">
        <v>1</v>
      </c>
      <c r="O1594" t="s">
        <v>71</v>
      </c>
      <c r="P1594">
        <v>0.04</v>
      </c>
      <c r="Q1594" t="s">
        <v>245</v>
      </c>
      <c r="R1594">
        <v>9.1</v>
      </c>
      <c r="S1594">
        <v>18.2</v>
      </c>
      <c r="T1594">
        <v>9.1</v>
      </c>
      <c r="U1594">
        <v>13.6</v>
      </c>
      <c r="V1594">
        <v>50</v>
      </c>
    </row>
    <row r="1595" spans="1:22" x14ac:dyDescent="0.25">
      <c r="A1595" t="s">
        <v>462</v>
      </c>
      <c r="B1595" t="s">
        <v>158</v>
      </c>
      <c r="C1595">
        <v>10</v>
      </c>
      <c r="D1595" t="s">
        <v>260</v>
      </c>
      <c r="E1595" t="s">
        <v>132</v>
      </c>
      <c r="F1595" t="s">
        <v>260</v>
      </c>
      <c r="G1595">
        <v>0.1</v>
      </c>
      <c r="H1595" t="s">
        <v>66</v>
      </c>
      <c r="I1595">
        <v>-4</v>
      </c>
      <c r="J1595" s="4" t="str">
        <f>HYPERLINK("https://www.eliteprospects.com/player/633741/haden-kruse")</f>
        <v>https://www.eliteprospects.com/player/633741/haden-kruse</v>
      </c>
      <c r="K1595" t="s">
        <v>27</v>
      </c>
      <c r="L1595" t="s">
        <v>28</v>
      </c>
      <c r="M1595" t="s">
        <v>35</v>
      </c>
      <c r="N1595">
        <v>2</v>
      </c>
      <c r="O1595" t="s">
        <v>43</v>
      </c>
      <c r="P1595">
        <v>0.02</v>
      </c>
      <c r="Q1595" t="s">
        <v>245</v>
      </c>
      <c r="R1595">
        <v>9.1</v>
      </c>
      <c r="S1595">
        <v>18.2</v>
      </c>
      <c r="T1595">
        <v>9.1</v>
      </c>
      <c r="U1595">
        <v>13.6</v>
      </c>
      <c r="V1595">
        <v>50</v>
      </c>
    </row>
    <row r="1596" spans="1:22" x14ac:dyDescent="0.25">
      <c r="A1596" t="s">
        <v>478</v>
      </c>
      <c r="B1596" t="s">
        <v>158</v>
      </c>
      <c r="C1596">
        <v>13</v>
      </c>
      <c r="D1596" t="s">
        <v>132</v>
      </c>
      <c r="E1596" t="s">
        <v>132</v>
      </c>
      <c r="F1596" t="s">
        <v>132</v>
      </c>
      <c r="G1596">
        <v>0</v>
      </c>
      <c r="H1596" t="s">
        <v>132</v>
      </c>
      <c r="I1596">
        <v>-3</v>
      </c>
      <c r="J1596" s="4" t="str">
        <f>HYPERLINK("https://www.eliteprospects.com/player/538511/william-lawson-body")</f>
        <v>https://www.eliteprospects.com/player/538511/william-lawson-body</v>
      </c>
      <c r="K1596" t="s">
        <v>27</v>
      </c>
      <c r="L1596" t="s">
        <v>28</v>
      </c>
      <c r="M1596" t="s">
        <v>35</v>
      </c>
      <c r="N1596">
        <v>3</v>
      </c>
      <c r="O1596" t="s">
        <v>74</v>
      </c>
      <c r="P1596">
        <v>0</v>
      </c>
      <c r="Q1596" t="s">
        <v>245</v>
      </c>
      <c r="R1596">
        <v>9.1</v>
      </c>
      <c r="S1596">
        <v>18.2</v>
      </c>
      <c r="T1596">
        <v>9.1</v>
      </c>
      <c r="U1596">
        <v>13.6</v>
      </c>
      <c r="V1596">
        <v>50</v>
      </c>
    </row>
    <row r="1597" spans="1:22" x14ac:dyDescent="0.25">
      <c r="A1597" t="s">
        <v>1014</v>
      </c>
      <c r="B1597" t="s">
        <v>1015</v>
      </c>
      <c r="C1597">
        <v>18</v>
      </c>
      <c r="D1597" t="s">
        <v>78</v>
      </c>
      <c r="E1597" t="s">
        <v>45</v>
      </c>
      <c r="F1597" t="s">
        <v>38</v>
      </c>
      <c r="G1597">
        <v>0.89</v>
      </c>
      <c r="H1597" t="s">
        <v>23</v>
      </c>
      <c r="I1597">
        <v>2</v>
      </c>
      <c r="J1597" s="4" t="str">
        <f>HYPERLINK("https://www.eliteprospects.com/player/351117/adam-hall")</f>
        <v>https://www.eliteprospects.com/player/351117/adam-hall</v>
      </c>
      <c r="K1597" t="s">
        <v>27</v>
      </c>
      <c r="L1597" t="s">
        <v>918</v>
      </c>
      <c r="M1597" t="s">
        <v>143</v>
      </c>
      <c r="N1597">
        <v>6</v>
      </c>
      <c r="O1597" t="s">
        <v>927</v>
      </c>
      <c r="P1597">
        <v>0.11</v>
      </c>
      <c r="Q1597" t="s">
        <v>135</v>
      </c>
      <c r="R1597">
        <v>20</v>
      </c>
      <c r="S1597">
        <v>40</v>
      </c>
      <c r="T1597">
        <v>20</v>
      </c>
      <c r="U1597">
        <v>0</v>
      </c>
      <c r="V1597">
        <v>20</v>
      </c>
    </row>
    <row r="1598" spans="1:22" x14ac:dyDescent="0.25">
      <c r="A1598" t="s">
        <v>1028</v>
      </c>
      <c r="B1598" t="s">
        <v>1015</v>
      </c>
      <c r="C1598">
        <v>12</v>
      </c>
      <c r="D1598" t="s">
        <v>78</v>
      </c>
      <c r="E1598" t="s">
        <v>26</v>
      </c>
      <c r="F1598" t="s">
        <v>41</v>
      </c>
      <c r="G1598">
        <v>1.25</v>
      </c>
      <c r="H1598" t="s">
        <v>32</v>
      </c>
      <c r="I1598">
        <v>8</v>
      </c>
      <c r="J1598" s="4" t="str">
        <f>HYPERLINK("https://www.eliteprospects.com/player/390927/justin-hall")</f>
        <v>https://www.eliteprospects.com/player/390927/justin-hall</v>
      </c>
      <c r="K1598" t="s">
        <v>27</v>
      </c>
      <c r="L1598" t="s">
        <v>918</v>
      </c>
      <c r="M1598" t="s">
        <v>143</v>
      </c>
      <c r="N1598">
        <v>6</v>
      </c>
      <c r="O1598" t="s">
        <v>927</v>
      </c>
      <c r="P1598">
        <v>0.16</v>
      </c>
      <c r="Q1598" t="s">
        <v>31</v>
      </c>
      <c r="R1598">
        <v>36.700000000000003</v>
      </c>
      <c r="S1598">
        <v>36.700000000000003</v>
      </c>
      <c r="T1598">
        <v>0</v>
      </c>
      <c r="U1598">
        <v>0</v>
      </c>
      <c r="V1598">
        <v>26.7</v>
      </c>
    </row>
    <row r="1599" spans="1:22" x14ac:dyDescent="0.25">
      <c r="A1599" t="s">
        <v>1043</v>
      </c>
      <c r="B1599" t="s">
        <v>1015</v>
      </c>
      <c r="C1599">
        <v>18</v>
      </c>
      <c r="D1599" t="s">
        <v>26</v>
      </c>
      <c r="E1599" t="s">
        <v>57</v>
      </c>
      <c r="F1599" t="s">
        <v>39</v>
      </c>
      <c r="G1599">
        <v>0.78</v>
      </c>
      <c r="H1599" t="s">
        <v>39</v>
      </c>
      <c r="I1599">
        <v>8</v>
      </c>
      <c r="J1599" s="4" t="str">
        <f>HYPERLINK("https://www.eliteprospects.com/player/477546/tyson-laventure")</f>
        <v>https://www.eliteprospects.com/player/477546/tyson-laventure</v>
      </c>
      <c r="K1599" t="s">
        <v>27</v>
      </c>
      <c r="L1599" t="s">
        <v>918</v>
      </c>
      <c r="M1599" t="s">
        <v>29</v>
      </c>
      <c r="N1599">
        <v>6</v>
      </c>
      <c r="O1599" t="s">
        <v>950</v>
      </c>
      <c r="P1599">
        <v>0.1</v>
      </c>
      <c r="Q1599" t="s">
        <v>31</v>
      </c>
      <c r="R1599">
        <v>37.5</v>
      </c>
      <c r="S1599">
        <v>12.5</v>
      </c>
      <c r="T1599">
        <v>12.5</v>
      </c>
      <c r="U1599">
        <v>12.5</v>
      </c>
      <c r="V1599">
        <v>25</v>
      </c>
    </row>
    <row r="1600" spans="1:22" x14ac:dyDescent="0.25">
      <c r="A1600" t="s">
        <v>1060</v>
      </c>
      <c r="B1600" t="s">
        <v>1015</v>
      </c>
      <c r="C1600">
        <v>15</v>
      </c>
      <c r="D1600" t="s">
        <v>96</v>
      </c>
      <c r="E1600" t="s">
        <v>26</v>
      </c>
      <c r="F1600" t="s">
        <v>65</v>
      </c>
      <c r="G1600">
        <v>0.87</v>
      </c>
      <c r="H1600" t="s">
        <v>79</v>
      </c>
      <c r="I1600">
        <v>3</v>
      </c>
      <c r="J1600" s="4" t="str">
        <f>HYPERLINK("https://www.eliteprospects.com/player/413137/alex-thacker")</f>
        <v>https://www.eliteprospects.com/player/413137/alex-thacker</v>
      </c>
      <c r="K1600" t="s">
        <v>27</v>
      </c>
      <c r="L1600" t="s">
        <v>918</v>
      </c>
      <c r="M1600" t="s">
        <v>91</v>
      </c>
      <c r="N1600">
        <v>6</v>
      </c>
      <c r="O1600" t="s">
        <v>924</v>
      </c>
      <c r="P1600">
        <v>0.11</v>
      </c>
      <c r="Q1600" t="s">
        <v>135</v>
      </c>
      <c r="R1600">
        <v>20</v>
      </c>
      <c r="S1600">
        <v>40</v>
      </c>
      <c r="T1600">
        <v>20</v>
      </c>
      <c r="U1600">
        <v>0</v>
      </c>
      <c r="V1600">
        <v>20</v>
      </c>
    </row>
    <row r="1601" spans="1:22" x14ac:dyDescent="0.25">
      <c r="A1601" t="s">
        <v>1095</v>
      </c>
      <c r="B1601" t="s">
        <v>1015</v>
      </c>
      <c r="C1601">
        <v>18</v>
      </c>
      <c r="D1601" t="s">
        <v>96</v>
      </c>
      <c r="E1601" t="s">
        <v>57</v>
      </c>
      <c r="F1601" t="s">
        <v>69</v>
      </c>
      <c r="G1601">
        <v>0.61</v>
      </c>
      <c r="H1601" t="s">
        <v>23</v>
      </c>
      <c r="I1601">
        <v>-5</v>
      </c>
      <c r="J1601" s="4" t="str">
        <f>HYPERLINK("https://www.eliteprospects.com/player/536501/hlib-tkach")</f>
        <v>https://www.eliteprospects.com/player/536501/hlib-tkach</v>
      </c>
      <c r="K1601" t="s">
        <v>27</v>
      </c>
      <c r="L1601" t="s">
        <v>918</v>
      </c>
      <c r="M1601" t="s">
        <v>35</v>
      </c>
      <c r="N1601">
        <v>1</v>
      </c>
      <c r="O1601" t="s">
        <v>984</v>
      </c>
      <c r="P1601">
        <v>0.08</v>
      </c>
      <c r="Q1601" t="s">
        <v>1277</v>
      </c>
      <c r="R1601">
        <v>16.7</v>
      </c>
      <c r="S1601">
        <v>16.7</v>
      </c>
      <c r="T1601">
        <v>25</v>
      </c>
      <c r="U1601">
        <v>16.7</v>
      </c>
      <c r="V1601">
        <v>25</v>
      </c>
    </row>
    <row r="1602" spans="1:22" x14ac:dyDescent="0.25">
      <c r="A1602" t="s">
        <v>1097</v>
      </c>
      <c r="B1602" t="s">
        <v>1015</v>
      </c>
      <c r="C1602">
        <v>16</v>
      </c>
      <c r="D1602" t="s">
        <v>66</v>
      </c>
      <c r="E1602" t="s">
        <v>78</v>
      </c>
      <c r="F1602" t="s">
        <v>69</v>
      </c>
      <c r="G1602">
        <v>0.69</v>
      </c>
      <c r="H1602" t="s">
        <v>132</v>
      </c>
      <c r="I1602">
        <v>3</v>
      </c>
      <c r="J1602" s="4" t="str">
        <f>HYPERLINK("https://www.eliteprospects.com/player/413212/owen-pederson")</f>
        <v>https://www.eliteprospects.com/player/413212/owen-pederson</v>
      </c>
      <c r="K1602" t="s">
        <v>27</v>
      </c>
      <c r="L1602" t="s">
        <v>918</v>
      </c>
      <c r="M1602" t="s">
        <v>155</v>
      </c>
      <c r="N1602">
        <v>5</v>
      </c>
      <c r="O1602" t="s">
        <v>979</v>
      </c>
      <c r="P1602">
        <v>0.09</v>
      </c>
      <c r="Q1602" t="s">
        <v>31</v>
      </c>
      <c r="R1602">
        <v>33.299999999999997</v>
      </c>
      <c r="S1602">
        <v>8.3000000000000007</v>
      </c>
      <c r="T1602">
        <v>33.299999999999997</v>
      </c>
      <c r="U1602">
        <v>8.3000000000000007</v>
      </c>
      <c r="V1602">
        <v>16.7</v>
      </c>
    </row>
    <row r="1603" spans="1:22" x14ac:dyDescent="0.25">
      <c r="A1603" t="s">
        <v>1123</v>
      </c>
      <c r="B1603" t="s">
        <v>1015</v>
      </c>
      <c r="C1603">
        <v>16</v>
      </c>
      <c r="D1603" t="s">
        <v>140</v>
      </c>
      <c r="E1603" t="s">
        <v>57</v>
      </c>
      <c r="F1603" t="s">
        <v>45</v>
      </c>
      <c r="G1603">
        <v>0.56000000000000005</v>
      </c>
      <c r="H1603" t="s">
        <v>66</v>
      </c>
      <c r="I1603">
        <v>-2</v>
      </c>
      <c r="J1603" s="4" t="str">
        <f>HYPERLINK("https://www.eliteprospects.com/player/481762/sam-popowich")</f>
        <v>https://www.eliteprospects.com/player/481762/sam-popowich</v>
      </c>
      <c r="K1603" t="s">
        <v>27</v>
      </c>
      <c r="L1603" t="s">
        <v>918</v>
      </c>
      <c r="M1603" t="s">
        <v>35</v>
      </c>
      <c r="N1603">
        <v>6</v>
      </c>
      <c r="O1603" t="s">
        <v>950</v>
      </c>
      <c r="P1603">
        <v>7.0000000000000007E-2</v>
      </c>
      <c r="Q1603" t="s">
        <v>135</v>
      </c>
      <c r="R1603">
        <v>0</v>
      </c>
      <c r="S1603">
        <v>33.299999999999997</v>
      </c>
      <c r="T1603">
        <v>23.8</v>
      </c>
      <c r="U1603">
        <v>9.5</v>
      </c>
      <c r="V1603">
        <v>33.299999999999997</v>
      </c>
    </row>
    <row r="1604" spans="1:22" x14ac:dyDescent="0.25">
      <c r="A1604" t="s">
        <v>1131</v>
      </c>
      <c r="B1604" t="s">
        <v>1015</v>
      </c>
      <c r="C1604">
        <v>18</v>
      </c>
      <c r="D1604" t="s">
        <v>66</v>
      </c>
      <c r="E1604" t="s">
        <v>66</v>
      </c>
      <c r="F1604" t="s">
        <v>26</v>
      </c>
      <c r="G1604">
        <v>0.44</v>
      </c>
      <c r="H1604" t="s">
        <v>132</v>
      </c>
      <c r="I1604">
        <v>-12</v>
      </c>
      <c r="J1604" s="4" t="str">
        <f>HYPERLINK("https://www.eliteprospects.com/player/588611/marcus-pacheco")</f>
        <v>https://www.eliteprospects.com/player/588611/marcus-pacheco</v>
      </c>
      <c r="K1604" t="s">
        <v>27</v>
      </c>
      <c r="L1604" t="s">
        <v>918</v>
      </c>
      <c r="M1604" t="s">
        <v>35</v>
      </c>
      <c r="N1604">
        <v>5</v>
      </c>
      <c r="O1604" t="s">
        <v>979</v>
      </c>
      <c r="P1604">
        <v>0.06</v>
      </c>
      <c r="Q1604" t="s">
        <v>245</v>
      </c>
      <c r="R1604">
        <v>0</v>
      </c>
      <c r="S1604">
        <v>15.4</v>
      </c>
      <c r="T1604">
        <v>7.7</v>
      </c>
      <c r="U1604">
        <v>30.8</v>
      </c>
      <c r="V1604">
        <v>46.2</v>
      </c>
    </row>
    <row r="1605" spans="1:22" x14ac:dyDescent="0.25">
      <c r="A1605" t="s">
        <v>1198</v>
      </c>
      <c r="B1605" t="s">
        <v>1015</v>
      </c>
      <c r="C1605">
        <v>17</v>
      </c>
      <c r="D1605" t="s">
        <v>140</v>
      </c>
      <c r="E1605" t="s">
        <v>260</v>
      </c>
      <c r="F1605" t="s">
        <v>66</v>
      </c>
      <c r="G1605">
        <v>0.24</v>
      </c>
      <c r="H1605" t="s">
        <v>23</v>
      </c>
      <c r="I1605">
        <v>-3</v>
      </c>
      <c r="J1605" s="4" t="str">
        <f>HYPERLINK("https://www.eliteprospects.com/player/583507/dylan-ruptash")</f>
        <v>https://www.eliteprospects.com/player/583507/dylan-ruptash</v>
      </c>
      <c r="K1605" t="s">
        <v>27</v>
      </c>
      <c r="L1605" t="s">
        <v>918</v>
      </c>
      <c r="M1605" t="s">
        <v>35</v>
      </c>
      <c r="N1605">
        <v>1</v>
      </c>
      <c r="O1605" t="s">
        <v>984</v>
      </c>
      <c r="P1605">
        <v>0.03</v>
      </c>
      <c r="Q1605" t="s">
        <v>245</v>
      </c>
      <c r="R1605">
        <v>9.1</v>
      </c>
      <c r="S1605">
        <v>18.2</v>
      </c>
      <c r="T1605">
        <v>9.1</v>
      </c>
      <c r="U1605">
        <v>13.6</v>
      </c>
      <c r="V1605">
        <v>50</v>
      </c>
    </row>
    <row r="1606" spans="1:22" x14ac:dyDescent="0.25">
      <c r="A1606" t="s">
        <v>1215</v>
      </c>
      <c r="B1606" t="s">
        <v>1015</v>
      </c>
      <c r="C1606">
        <v>17</v>
      </c>
      <c r="D1606" t="s">
        <v>260</v>
      </c>
      <c r="E1606" t="s">
        <v>140</v>
      </c>
      <c r="F1606" t="s">
        <v>66</v>
      </c>
      <c r="G1606">
        <v>0.24</v>
      </c>
      <c r="H1606" t="s">
        <v>57</v>
      </c>
      <c r="I1606">
        <v>-6</v>
      </c>
      <c r="J1606" s="4" t="str">
        <f>HYPERLINK("https://www.eliteprospects.com/player/521667/jayden-joly")</f>
        <v>https://www.eliteprospects.com/player/521667/jayden-joly</v>
      </c>
      <c r="K1606" t="s">
        <v>27</v>
      </c>
      <c r="L1606" t="s">
        <v>918</v>
      </c>
      <c r="M1606" t="s">
        <v>35</v>
      </c>
      <c r="N1606">
        <v>1</v>
      </c>
      <c r="O1606" t="s">
        <v>984</v>
      </c>
      <c r="P1606">
        <v>0.03</v>
      </c>
      <c r="Q1606" t="s">
        <v>245</v>
      </c>
      <c r="R1606">
        <v>13.3</v>
      </c>
      <c r="S1606">
        <v>13.3</v>
      </c>
      <c r="T1606">
        <v>0</v>
      </c>
      <c r="U1606">
        <v>13.3</v>
      </c>
      <c r="V1606">
        <v>60</v>
      </c>
    </row>
    <row r="1607" spans="1:22" x14ac:dyDescent="0.25">
      <c r="A1607" t="s">
        <v>1235</v>
      </c>
      <c r="B1607" t="s">
        <v>1015</v>
      </c>
      <c r="C1607">
        <v>14</v>
      </c>
      <c r="D1607" t="s">
        <v>260</v>
      </c>
      <c r="E1607" t="s">
        <v>79</v>
      </c>
      <c r="F1607" t="s">
        <v>140</v>
      </c>
      <c r="G1607">
        <v>0.21</v>
      </c>
      <c r="H1607" t="s">
        <v>26</v>
      </c>
      <c r="I1607">
        <v>-5</v>
      </c>
      <c r="J1607" s="4" t="str">
        <f>HYPERLINK("https://www.eliteprospects.com/player/506116/ryan-duguay")</f>
        <v>https://www.eliteprospects.com/player/506116/ryan-duguay</v>
      </c>
      <c r="K1607" t="s">
        <v>27</v>
      </c>
      <c r="L1607" t="s">
        <v>918</v>
      </c>
      <c r="M1607" t="s">
        <v>129</v>
      </c>
      <c r="N1607">
        <v>2</v>
      </c>
      <c r="O1607" t="s">
        <v>1076</v>
      </c>
      <c r="P1607">
        <v>0.03</v>
      </c>
      <c r="Q1607" t="s">
        <v>245</v>
      </c>
      <c r="R1607">
        <v>9.1</v>
      </c>
      <c r="S1607">
        <v>18.2</v>
      </c>
      <c r="T1607">
        <v>9.1</v>
      </c>
      <c r="U1607">
        <v>13.6</v>
      </c>
      <c r="V1607">
        <v>50</v>
      </c>
    </row>
    <row r="1608" spans="1:22" x14ac:dyDescent="0.25">
      <c r="A1608" t="s">
        <v>1242</v>
      </c>
      <c r="B1608" t="s">
        <v>1015</v>
      </c>
      <c r="C1608">
        <v>18</v>
      </c>
      <c r="D1608" t="s">
        <v>260</v>
      </c>
      <c r="E1608" t="s">
        <v>79</v>
      </c>
      <c r="F1608" t="s">
        <v>140</v>
      </c>
      <c r="G1608">
        <v>0.17</v>
      </c>
      <c r="H1608" t="s">
        <v>32</v>
      </c>
      <c r="I1608">
        <v>-8</v>
      </c>
      <c r="J1608" s="4" t="str">
        <f>HYPERLINK("https://www.eliteprospects.com/player/413366/bruce-macgregor")</f>
        <v>https://www.eliteprospects.com/player/413366/bruce-macgregor</v>
      </c>
      <c r="K1608" t="s">
        <v>27</v>
      </c>
      <c r="L1608" t="s">
        <v>918</v>
      </c>
      <c r="M1608" t="s">
        <v>35</v>
      </c>
      <c r="N1608">
        <v>3</v>
      </c>
      <c r="O1608" t="s">
        <v>962</v>
      </c>
      <c r="P1608">
        <v>0.02</v>
      </c>
      <c r="Q1608" t="s">
        <v>245</v>
      </c>
      <c r="R1608">
        <v>13.3</v>
      </c>
      <c r="S1608">
        <v>13.3</v>
      </c>
      <c r="T1608">
        <v>0</v>
      </c>
      <c r="U1608">
        <v>13.3</v>
      </c>
      <c r="V1608">
        <v>60</v>
      </c>
    </row>
    <row r="1609" spans="1:22" x14ac:dyDescent="0.25">
      <c r="A1609" t="s">
        <v>925</v>
      </c>
      <c r="B1609" t="s">
        <v>926</v>
      </c>
      <c r="C1609">
        <v>18</v>
      </c>
      <c r="D1609" t="s">
        <v>45</v>
      </c>
      <c r="E1609" t="s">
        <v>33</v>
      </c>
      <c r="F1609" t="s">
        <v>40</v>
      </c>
      <c r="G1609">
        <v>1.67</v>
      </c>
      <c r="H1609" t="s">
        <v>66</v>
      </c>
      <c r="I1609">
        <v>14</v>
      </c>
      <c r="J1609" s="4" t="str">
        <f>HYPERLINK("https://www.eliteprospects.com/player/290349/sasha-mutala")</f>
        <v>https://www.eliteprospects.com/player/290349/sasha-mutala</v>
      </c>
      <c r="K1609" t="s">
        <v>27</v>
      </c>
      <c r="L1609" t="s">
        <v>918</v>
      </c>
      <c r="M1609" t="s">
        <v>29</v>
      </c>
      <c r="N1609">
        <v>6</v>
      </c>
      <c r="O1609" t="s">
        <v>927</v>
      </c>
      <c r="P1609">
        <v>0.21</v>
      </c>
      <c r="Q1609" t="s">
        <v>31</v>
      </c>
      <c r="R1609">
        <v>57.1</v>
      </c>
      <c r="S1609">
        <v>32.1</v>
      </c>
      <c r="T1609">
        <v>0</v>
      </c>
      <c r="U1609">
        <v>0</v>
      </c>
      <c r="V1609">
        <v>10.7</v>
      </c>
    </row>
    <row r="1610" spans="1:22" x14ac:dyDescent="0.25">
      <c r="A1610" t="s">
        <v>951</v>
      </c>
      <c r="B1610" t="s">
        <v>926</v>
      </c>
      <c r="C1610">
        <v>18</v>
      </c>
      <c r="D1610" t="s">
        <v>26</v>
      </c>
      <c r="E1610" t="s">
        <v>41</v>
      </c>
      <c r="F1610" t="s">
        <v>84</v>
      </c>
      <c r="G1610">
        <v>1.28</v>
      </c>
      <c r="H1610" t="s">
        <v>23</v>
      </c>
      <c r="I1610">
        <v>19</v>
      </c>
      <c r="J1610" s="4" t="str">
        <f>HYPERLINK("https://www.eliteprospects.com/player/350219/scott-atkinson")</f>
        <v>https://www.eliteprospects.com/player/350219/scott-atkinson</v>
      </c>
      <c r="K1610" t="s">
        <v>27</v>
      </c>
      <c r="L1610" t="s">
        <v>918</v>
      </c>
      <c r="M1610" t="s">
        <v>42</v>
      </c>
      <c r="N1610">
        <v>6</v>
      </c>
      <c r="O1610" t="s">
        <v>932</v>
      </c>
      <c r="P1610">
        <v>0.16</v>
      </c>
      <c r="Q1610" t="s">
        <v>31</v>
      </c>
      <c r="R1610">
        <v>36.700000000000003</v>
      </c>
      <c r="S1610">
        <v>36.700000000000003</v>
      </c>
      <c r="T1610">
        <v>0</v>
      </c>
      <c r="U1610">
        <v>0</v>
      </c>
      <c r="V1610">
        <v>26.7</v>
      </c>
    </row>
    <row r="1611" spans="1:22" x14ac:dyDescent="0.25">
      <c r="A1611" t="s">
        <v>952</v>
      </c>
      <c r="B1611" t="s">
        <v>926</v>
      </c>
      <c r="C1611">
        <v>18</v>
      </c>
      <c r="D1611" t="s">
        <v>69</v>
      </c>
      <c r="E1611" t="s">
        <v>69</v>
      </c>
      <c r="F1611" t="s">
        <v>47</v>
      </c>
      <c r="G1611">
        <v>1.22</v>
      </c>
      <c r="H1611" t="s">
        <v>39</v>
      </c>
      <c r="I1611">
        <v>22</v>
      </c>
      <c r="J1611" s="4" t="str">
        <f>HYPERLINK("https://www.eliteprospects.com/player/350210/chris-douglas")</f>
        <v>https://www.eliteprospects.com/player/350210/chris-douglas</v>
      </c>
      <c r="K1611" t="s">
        <v>27</v>
      </c>
      <c r="L1611" t="s">
        <v>918</v>
      </c>
      <c r="M1611" t="s">
        <v>29</v>
      </c>
      <c r="N1611">
        <v>6</v>
      </c>
      <c r="O1611" t="s">
        <v>932</v>
      </c>
      <c r="P1611">
        <v>0.15</v>
      </c>
      <c r="Q1611" t="s">
        <v>31</v>
      </c>
      <c r="R1611">
        <v>36.700000000000003</v>
      </c>
      <c r="S1611">
        <v>36.700000000000003</v>
      </c>
      <c r="T1611">
        <v>0</v>
      </c>
      <c r="U1611">
        <v>0</v>
      </c>
      <c r="V1611">
        <v>26.7</v>
      </c>
    </row>
    <row r="1612" spans="1:22" x14ac:dyDescent="0.25">
      <c r="A1612" t="s">
        <v>963</v>
      </c>
      <c r="B1612" t="s">
        <v>926</v>
      </c>
      <c r="C1612">
        <v>18</v>
      </c>
      <c r="D1612" t="s">
        <v>78</v>
      </c>
      <c r="E1612" t="s">
        <v>39</v>
      </c>
      <c r="F1612" t="s">
        <v>33</v>
      </c>
      <c r="G1612">
        <v>1.17</v>
      </c>
      <c r="H1612" t="s">
        <v>39</v>
      </c>
      <c r="I1612">
        <v>12</v>
      </c>
      <c r="J1612" s="4" t="str">
        <f>HYPERLINK("https://www.eliteprospects.com/player/201960/ty-thorpe")</f>
        <v>https://www.eliteprospects.com/player/201960/ty-thorpe</v>
      </c>
      <c r="K1612" t="s">
        <v>27</v>
      </c>
      <c r="L1612" t="s">
        <v>918</v>
      </c>
      <c r="M1612" t="s">
        <v>35</v>
      </c>
      <c r="N1612">
        <v>6</v>
      </c>
      <c r="O1612" t="s">
        <v>924</v>
      </c>
      <c r="P1612">
        <v>0.15</v>
      </c>
      <c r="Q1612" t="s">
        <v>31</v>
      </c>
      <c r="R1612">
        <v>36.700000000000003</v>
      </c>
      <c r="S1612">
        <v>36.700000000000003</v>
      </c>
      <c r="T1612">
        <v>0</v>
      </c>
      <c r="U1612">
        <v>0</v>
      </c>
      <c r="V1612">
        <v>26.7</v>
      </c>
    </row>
    <row r="1613" spans="1:22" x14ac:dyDescent="0.25">
      <c r="A1613" t="s">
        <v>971</v>
      </c>
      <c r="B1613" t="s">
        <v>926</v>
      </c>
      <c r="C1613">
        <v>18</v>
      </c>
      <c r="D1613" t="s">
        <v>57</v>
      </c>
      <c r="E1613" t="s">
        <v>39</v>
      </c>
      <c r="F1613" t="s">
        <v>24</v>
      </c>
      <c r="G1613">
        <v>1.1100000000000001</v>
      </c>
      <c r="H1613" t="s">
        <v>23</v>
      </c>
      <c r="I1613">
        <v>12</v>
      </c>
      <c r="J1613" s="4" t="str">
        <f>HYPERLINK("https://www.eliteprospects.com/player/337743/joshua-williams")</f>
        <v>https://www.eliteprospects.com/player/337743/joshua-williams</v>
      </c>
      <c r="K1613" t="s">
        <v>27</v>
      </c>
      <c r="L1613" t="s">
        <v>918</v>
      </c>
      <c r="M1613" t="s">
        <v>29</v>
      </c>
      <c r="N1613">
        <v>6</v>
      </c>
      <c r="O1613" t="s">
        <v>927</v>
      </c>
      <c r="P1613">
        <v>0.14000000000000001</v>
      </c>
      <c r="Q1613" t="s">
        <v>31</v>
      </c>
      <c r="R1613">
        <v>50</v>
      </c>
      <c r="S1613">
        <v>35.700000000000003</v>
      </c>
      <c r="T1613">
        <v>0</v>
      </c>
      <c r="U1613">
        <v>0</v>
      </c>
      <c r="V1613">
        <v>14.3</v>
      </c>
    </row>
    <row r="1614" spans="1:22" x14ac:dyDescent="0.25">
      <c r="A1614" t="s">
        <v>987</v>
      </c>
      <c r="B1614" t="s">
        <v>926</v>
      </c>
      <c r="C1614">
        <v>15</v>
      </c>
      <c r="D1614" t="s">
        <v>96</v>
      </c>
      <c r="E1614" t="s">
        <v>65</v>
      </c>
      <c r="F1614" t="s">
        <v>55</v>
      </c>
      <c r="G1614">
        <v>1.2</v>
      </c>
      <c r="H1614" t="s">
        <v>57</v>
      </c>
      <c r="I1614">
        <v>15</v>
      </c>
      <c r="J1614" s="4" t="str">
        <f>HYPERLINK("https://www.eliteprospects.com/player/296043/cyle-mcnabb")</f>
        <v>https://www.eliteprospects.com/player/296043/cyle-mcnabb</v>
      </c>
      <c r="K1614" t="s">
        <v>27</v>
      </c>
      <c r="L1614" t="s">
        <v>918</v>
      </c>
      <c r="M1614" t="s">
        <v>29</v>
      </c>
      <c r="N1614">
        <v>5</v>
      </c>
      <c r="O1614" t="s">
        <v>988</v>
      </c>
      <c r="P1614">
        <v>0.15</v>
      </c>
      <c r="Q1614" t="s">
        <v>31</v>
      </c>
      <c r="R1614">
        <v>36.700000000000003</v>
      </c>
      <c r="S1614">
        <v>36.700000000000003</v>
      </c>
      <c r="T1614">
        <v>0</v>
      </c>
      <c r="U1614">
        <v>0</v>
      </c>
      <c r="V1614">
        <v>26.7</v>
      </c>
    </row>
    <row r="1615" spans="1:22" x14ac:dyDescent="0.25">
      <c r="A1615" t="s">
        <v>1009</v>
      </c>
      <c r="B1615" t="s">
        <v>926</v>
      </c>
      <c r="C1615">
        <v>16</v>
      </c>
      <c r="D1615" t="s">
        <v>45</v>
      </c>
      <c r="E1615" t="s">
        <v>78</v>
      </c>
      <c r="F1615" t="s">
        <v>38</v>
      </c>
      <c r="G1615">
        <v>1</v>
      </c>
      <c r="H1615" t="s">
        <v>66</v>
      </c>
      <c r="I1615">
        <v>9</v>
      </c>
      <c r="J1615" s="4" t="str">
        <f>HYPERLINK("https://www.eliteprospects.com/player/566731/jacob-wright")</f>
        <v>https://www.eliteprospects.com/player/566731/jacob-wright</v>
      </c>
      <c r="K1615" t="s">
        <v>27</v>
      </c>
      <c r="L1615" t="s">
        <v>918</v>
      </c>
      <c r="M1615" t="s">
        <v>42</v>
      </c>
      <c r="N1615">
        <v>6</v>
      </c>
      <c r="O1615" t="s">
        <v>924</v>
      </c>
      <c r="P1615">
        <v>0.12</v>
      </c>
      <c r="Q1615" t="s">
        <v>135</v>
      </c>
      <c r="R1615">
        <v>22.7</v>
      </c>
      <c r="S1615">
        <v>36.4</v>
      </c>
      <c r="T1615">
        <v>9.1</v>
      </c>
      <c r="U1615">
        <v>0</v>
      </c>
      <c r="V1615">
        <v>31.8</v>
      </c>
    </row>
    <row r="1616" spans="1:22" x14ac:dyDescent="0.25">
      <c r="A1616" t="s">
        <v>1013</v>
      </c>
      <c r="B1616" t="s">
        <v>926</v>
      </c>
      <c r="C1616">
        <v>14</v>
      </c>
      <c r="D1616" t="s">
        <v>78</v>
      </c>
      <c r="E1616" t="s">
        <v>45</v>
      </c>
      <c r="F1616" t="s">
        <v>38</v>
      </c>
      <c r="G1616">
        <v>1.1399999999999999</v>
      </c>
      <c r="H1616" t="s">
        <v>23</v>
      </c>
      <c r="I1616">
        <v>10</v>
      </c>
      <c r="J1616" s="4" t="str">
        <f>HYPERLINK("https://www.eliteprospects.com/player/647533/reilley-kotai")</f>
        <v>https://www.eliteprospects.com/player/647533/reilley-kotai</v>
      </c>
      <c r="K1616" t="s">
        <v>27</v>
      </c>
      <c r="L1616" t="s">
        <v>918</v>
      </c>
      <c r="M1616" t="s">
        <v>35</v>
      </c>
      <c r="N1616">
        <v>1</v>
      </c>
      <c r="O1616" t="s">
        <v>984</v>
      </c>
      <c r="P1616">
        <v>0.14000000000000001</v>
      </c>
      <c r="Q1616" t="s">
        <v>31</v>
      </c>
      <c r="R1616">
        <v>50</v>
      </c>
      <c r="S1616">
        <v>35.700000000000003</v>
      </c>
      <c r="T1616">
        <v>0</v>
      </c>
      <c r="U1616">
        <v>0</v>
      </c>
      <c r="V1616">
        <v>14.3</v>
      </c>
    </row>
    <row r="1617" spans="1:22" x14ac:dyDescent="0.25">
      <c r="A1617" t="s">
        <v>1068</v>
      </c>
      <c r="B1617" t="s">
        <v>926</v>
      </c>
      <c r="C1617">
        <v>18</v>
      </c>
      <c r="D1617" t="s">
        <v>78</v>
      </c>
      <c r="E1617" t="s">
        <v>96</v>
      </c>
      <c r="F1617" t="s">
        <v>23</v>
      </c>
      <c r="G1617">
        <v>0.67</v>
      </c>
      <c r="H1617" t="s">
        <v>23</v>
      </c>
      <c r="I1617">
        <v>8</v>
      </c>
      <c r="J1617" s="4" t="str">
        <f>HYPERLINK("https://www.eliteprospects.com/player/575063/nathan-sullivan")</f>
        <v>https://www.eliteprospects.com/player/575063/nathan-sullivan</v>
      </c>
      <c r="K1617" t="s">
        <v>27</v>
      </c>
      <c r="L1617" t="s">
        <v>918</v>
      </c>
      <c r="M1617" t="s">
        <v>35</v>
      </c>
      <c r="N1617">
        <v>3</v>
      </c>
      <c r="O1617" t="s">
        <v>1039</v>
      </c>
      <c r="P1617">
        <v>0.08</v>
      </c>
      <c r="Q1617" t="s">
        <v>135</v>
      </c>
      <c r="R1617">
        <v>11.1</v>
      </c>
      <c r="S1617">
        <v>55.6</v>
      </c>
      <c r="T1617">
        <v>11.1</v>
      </c>
      <c r="U1617">
        <v>11.1</v>
      </c>
      <c r="V1617">
        <v>11.1</v>
      </c>
    </row>
    <row r="1618" spans="1:22" x14ac:dyDescent="0.25">
      <c r="A1618" t="s">
        <v>1157</v>
      </c>
      <c r="B1618" t="s">
        <v>926</v>
      </c>
      <c r="C1618">
        <v>12</v>
      </c>
      <c r="D1618" t="s">
        <v>140</v>
      </c>
      <c r="E1618" t="s">
        <v>140</v>
      </c>
      <c r="F1618" t="s">
        <v>57</v>
      </c>
      <c r="G1618">
        <v>0.5</v>
      </c>
      <c r="H1618" t="s">
        <v>79</v>
      </c>
      <c r="I1618">
        <v>3</v>
      </c>
      <c r="J1618" s="4" t="str">
        <f>HYPERLINK("https://www.eliteprospects.com/player/350238/liam-kindree")</f>
        <v>https://www.eliteprospects.com/player/350238/liam-kindree</v>
      </c>
      <c r="K1618" t="s">
        <v>27</v>
      </c>
      <c r="L1618" t="s">
        <v>918</v>
      </c>
      <c r="M1618" t="s">
        <v>155</v>
      </c>
      <c r="N1618">
        <v>6</v>
      </c>
      <c r="O1618" t="s">
        <v>932</v>
      </c>
      <c r="P1618">
        <v>0.06</v>
      </c>
      <c r="Q1618" t="s">
        <v>245</v>
      </c>
      <c r="R1618">
        <v>14.3</v>
      </c>
      <c r="S1618">
        <v>28.6</v>
      </c>
      <c r="T1618">
        <v>0</v>
      </c>
      <c r="U1618">
        <v>14.3</v>
      </c>
      <c r="V1618">
        <v>42.9</v>
      </c>
    </row>
    <row r="1619" spans="1:22" x14ac:dyDescent="0.25">
      <c r="A1619" t="s">
        <v>1190</v>
      </c>
      <c r="B1619" t="s">
        <v>926</v>
      </c>
      <c r="C1619">
        <v>16</v>
      </c>
      <c r="D1619" t="s">
        <v>79</v>
      </c>
      <c r="E1619" t="s">
        <v>140</v>
      </c>
      <c r="F1619" t="s">
        <v>96</v>
      </c>
      <c r="G1619">
        <v>0.31</v>
      </c>
      <c r="H1619" t="s">
        <v>57</v>
      </c>
      <c r="I1619">
        <v>6</v>
      </c>
      <c r="J1619" s="4" t="str">
        <f>HYPERLINK("https://www.eliteprospects.com/player/201834/james-form")</f>
        <v>https://www.eliteprospects.com/player/201834/james-form</v>
      </c>
      <c r="K1619" t="s">
        <v>27</v>
      </c>
      <c r="L1619" t="s">
        <v>918</v>
      </c>
      <c r="M1619" t="s">
        <v>42</v>
      </c>
      <c r="N1619">
        <v>6</v>
      </c>
      <c r="O1619" t="s">
        <v>927</v>
      </c>
      <c r="P1619">
        <v>0.04</v>
      </c>
      <c r="Q1619" t="s">
        <v>245</v>
      </c>
      <c r="R1619">
        <v>0</v>
      </c>
      <c r="S1619">
        <v>25</v>
      </c>
      <c r="T1619">
        <v>0</v>
      </c>
      <c r="U1619">
        <v>25</v>
      </c>
      <c r="V1619">
        <v>50</v>
      </c>
    </row>
    <row r="1620" spans="1:22" x14ac:dyDescent="0.25">
      <c r="A1620" t="s">
        <v>1239</v>
      </c>
      <c r="B1620" t="s">
        <v>926</v>
      </c>
      <c r="C1620">
        <v>16</v>
      </c>
      <c r="D1620" t="s">
        <v>260</v>
      </c>
      <c r="E1620" t="s">
        <v>79</v>
      </c>
      <c r="F1620" t="s">
        <v>140</v>
      </c>
      <c r="G1620">
        <v>0.19</v>
      </c>
      <c r="H1620" t="s">
        <v>132</v>
      </c>
      <c r="I1620">
        <v>4</v>
      </c>
      <c r="J1620" s="4" t="str">
        <f>HYPERLINK("https://www.eliteprospects.com/player/561396/ben-kotylak")</f>
        <v>https://www.eliteprospects.com/player/561396/ben-kotylak</v>
      </c>
      <c r="K1620" t="s">
        <v>27</v>
      </c>
      <c r="L1620" t="s">
        <v>918</v>
      </c>
      <c r="M1620" t="s">
        <v>35</v>
      </c>
      <c r="N1620">
        <v>2</v>
      </c>
      <c r="O1620" t="s">
        <v>1021</v>
      </c>
      <c r="P1620">
        <v>0.02</v>
      </c>
      <c r="Q1620" t="s">
        <v>245</v>
      </c>
      <c r="R1620">
        <v>0</v>
      </c>
      <c r="S1620">
        <v>0</v>
      </c>
      <c r="T1620">
        <v>0</v>
      </c>
      <c r="U1620">
        <v>0</v>
      </c>
      <c r="V1620">
        <v>100</v>
      </c>
    </row>
    <row r="1621" spans="1:22" x14ac:dyDescent="0.25">
      <c r="A1621" t="s">
        <v>922</v>
      </c>
      <c r="B1621" t="s">
        <v>923</v>
      </c>
      <c r="C1621">
        <v>18</v>
      </c>
      <c r="D1621" t="s">
        <v>57</v>
      </c>
      <c r="E1621" t="s">
        <v>61</v>
      </c>
      <c r="F1621" t="s">
        <v>269</v>
      </c>
      <c r="G1621">
        <v>1.83</v>
      </c>
      <c r="H1621" t="s">
        <v>26</v>
      </c>
      <c r="I1621">
        <v>13</v>
      </c>
      <c r="J1621" s="4" t="str">
        <f>HYPERLINK("https://www.eliteprospects.com/player/403772/adam-kydd")</f>
        <v>https://www.eliteprospects.com/player/403772/adam-kydd</v>
      </c>
      <c r="K1621" t="s">
        <v>27</v>
      </c>
      <c r="L1621" t="s">
        <v>918</v>
      </c>
      <c r="M1621" t="s">
        <v>91</v>
      </c>
      <c r="N1621">
        <v>6</v>
      </c>
      <c r="O1621" t="s">
        <v>924</v>
      </c>
      <c r="P1621">
        <v>0.23</v>
      </c>
      <c r="Q1621" t="s">
        <v>31</v>
      </c>
      <c r="R1621">
        <v>57.1</v>
      </c>
      <c r="S1621">
        <v>32.1</v>
      </c>
      <c r="T1621">
        <v>0</v>
      </c>
      <c r="U1621">
        <v>0</v>
      </c>
      <c r="V1621">
        <v>10.7</v>
      </c>
    </row>
    <row r="1622" spans="1:22" x14ac:dyDescent="0.25">
      <c r="A1622" t="s">
        <v>969</v>
      </c>
      <c r="B1622" t="s">
        <v>923</v>
      </c>
      <c r="C1622">
        <v>16</v>
      </c>
      <c r="D1622" t="s">
        <v>45</v>
      </c>
      <c r="E1622" t="s">
        <v>69</v>
      </c>
      <c r="F1622" t="s">
        <v>24</v>
      </c>
      <c r="G1622">
        <v>1.25</v>
      </c>
      <c r="H1622" t="s">
        <v>38</v>
      </c>
      <c r="I1622">
        <v>9</v>
      </c>
      <c r="J1622" s="4" t="str">
        <f>HYPERLINK("https://www.eliteprospects.com/player/408602/jake-poole")</f>
        <v>https://www.eliteprospects.com/player/408602/jake-poole</v>
      </c>
      <c r="K1622" t="s">
        <v>27</v>
      </c>
      <c r="L1622" t="s">
        <v>918</v>
      </c>
      <c r="M1622" t="s">
        <v>29</v>
      </c>
      <c r="N1622">
        <v>6</v>
      </c>
      <c r="O1622" t="s">
        <v>924</v>
      </c>
      <c r="P1622">
        <v>0.16</v>
      </c>
      <c r="Q1622" t="s">
        <v>31</v>
      </c>
      <c r="R1622">
        <v>36.700000000000003</v>
      </c>
      <c r="S1622">
        <v>36.700000000000003</v>
      </c>
      <c r="T1622">
        <v>0</v>
      </c>
      <c r="U1622">
        <v>0</v>
      </c>
      <c r="V1622">
        <v>26.7</v>
      </c>
    </row>
    <row r="1623" spans="1:22" x14ac:dyDescent="0.25">
      <c r="A1623" t="s">
        <v>983</v>
      </c>
      <c r="B1623" t="s">
        <v>923</v>
      </c>
      <c r="C1623">
        <v>18</v>
      </c>
      <c r="D1623" t="s">
        <v>32</v>
      </c>
      <c r="E1623" t="s">
        <v>26</v>
      </c>
      <c r="F1623" t="s">
        <v>55</v>
      </c>
      <c r="G1623">
        <v>1</v>
      </c>
      <c r="H1623" t="s">
        <v>125</v>
      </c>
      <c r="I1623">
        <v>9</v>
      </c>
      <c r="J1623" s="4" t="str">
        <f>HYPERLINK("https://www.eliteprospects.com/player/505626/hayden-pakkala")</f>
        <v>https://www.eliteprospects.com/player/505626/hayden-pakkala</v>
      </c>
      <c r="K1623" t="s">
        <v>27</v>
      </c>
      <c r="L1623" t="s">
        <v>918</v>
      </c>
      <c r="M1623" t="s">
        <v>35</v>
      </c>
      <c r="N1623">
        <v>5</v>
      </c>
      <c r="O1623" t="s">
        <v>979</v>
      </c>
      <c r="P1623">
        <v>0.12</v>
      </c>
      <c r="Q1623" t="s">
        <v>135</v>
      </c>
      <c r="R1623">
        <v>22.7</v>
      </c>
      <c r="S1623">
        <v>36.4</v>
      </c>
      <c r="T1623">
        <v>9.1</v>
      </c>
      <c r="U1623">
        <v>0</v>
      </c>
      <c r="V1623">
        <v>31.8</v>
      </c>
    </row>
    <row r="1624" spans="1:22" x14ac:dyDescent="0.25">
      <c r="A1624" t="s">
        <v>999</v>
      </c>
      <c r="B1624" t="s">
        <v>923</v>
      </c>
      <c r="C1624">
        <v>18</v>
      </c>
      <c r="D1624" t="s">
        <v>78</v>
      </c>
      <c r="E1624" t="s">
        <v>32</v>
      </c>
      <c r="F1624" t="s">
        <v>60</v>
      </c>
      <c r="G1624">
        <v>0.94</v>
      </c>
      <c r="H1624" t="s">
        <v>57</v>
      </c>
      <c r="I1624">
        <v>15</v>
      </c>
      <c r="J1624" s="4" t="str">
        <f>HYPERLINK("https://www.eliteprospects.com/player/507052/stephen-kirkpatrick")</f>
        <v>https://www.eliteprospects.com/player/507052/stephen-kirkpatrick</v>
      </c>
      <c r="K1624" t="s">
        <v>27</v>
      </c>
      <c r="L1624" t="s">
        <v>918</v>
      </c>
      <c r="M1624" t="s">
        <v>35</v>
      </c>
      <c r="N1624">
        <v>1</v>
      </c>
      <c r="O1624" t="s">
        <v>984</v>
      </c>
      <c r="P1624">
        <v>0.12</v>
      </c>
      <c r="Q1624" t="s">
        <v>135</v>
      </c>
      <c r="R1624">
        <v>22.7</v>
      </c>
      <c r="S1624">
        <v>36.4</v>
      </c>
      <c r="T1624">
        <v>9.1</v>
      </c>
      <c r="U1624">
        <v>0</v>
      </c>
      <c r="V1624">
        <v>31.8</v>
      </c>
    </row>
    <row r="1625" spans="1:22" x14ac:dyDescent="0.25">
      <c r="A1625" t="s">
        <v>1022</v>
      </c>
      <c r="B1625" t="s">
        <v>923</v>
      </c>
      <c r="C1625">
        <v>18</v>
      </c>
      <c r="D1625" t="s">
        <v>96</v>
      </c>
      <c r="E1625" t="s">
        <v>69</v>
      </c>
      <c r="F1625" t="s">
        <v>38</v>
      </c>
      <c r="G1625">
        <v>0.89</v>
      </c>
      <c r="H1625" t="s">
        <v>57</v>
      </c>
      <c r="I1625">
        <v>8</v>
      </c>
      <c r="J1625" s="4" t="str">
        <f>HYPERLINK("https://www.eliteprospects.com/player/584777/gavin-schmidt")</f>
        <v>https://www.eliteprospects.com/player/584777/gavin-schmidt</v>
      </c>
      <c r="K1625" t="s">
        <v>27</v>
      </c>
      <c r="L1625" t="s">
        <v>918</v>
      </c>
      <c r="M1625" t="s">
        <v>35</v>
      </c>
      <c r="N1625">
        <v>4</v>
      </c>
      <c r="O1625" t="s">
        <v>978</v>
      </c>
      <c r="P1625">
        <v>0.11</v>
      </c>
      <c r="Q1625" t="s">
        <v>245</v>
      </c>
      <c r="R1625">
        <v>25</v>
      </c>
      <c r="S1625">
        <v>25</v>
      </c>
      <c r="T1625">
        <v>0</v>
      </c>
      <c r="U1625">
        <v>0</v>
      </c>
      <c r="V1625">
        <v>50</v>
      </c>
    </row>
    <row r="1626" spans="1:22" x14ac:dyDescent="0.25">
      <c r="A1626" t="s">
        <v>1046</v>
      </c>
      <c r="B1626" t="s">
        <v>923</v>
      </c>
      <c r="C1626">
        <v>18</v>
      </c>
      <c r="D1626" t="s">
        <v>57</v>
      </c>
      <c r="E1626" t="s">
        <v>26</v>
      </c>
      <c r="F1626" t="s">
        <v>39</v>
      </c>
      <c r="G1626">
        <v>0.78</v>
      </c>
      <c r="H1626" t="s">
        <v>57</v>
      </c>
      <c r="I1626">
        <v>10</v>
      </c>
      <c r="J1626" s="4" t="str">
        <f>HYPERLINK("https://www.eliteprospects.com/player/339909/mack-stewart")</f>
        <v>https://www.eliteprospects.com/player/339909/mack-stewart</v>
      </c>
      <c r="K1626" t="s">
        <v>27</v>
      </c>
      <c r="L1626" t="s">
        <v>918</v>
      </c>
      <c r="M1626" t="s">
        <v>122</v>
      </c>
      <c r="N1626">
        <v>3</v>
      </c>
      <c r="O1626" t="s">
        <v>962</v>
      </c>
      <c r="P1626">
        <v>0.1</v>
      </c>
      <c r="Q1626" t="s">
        <v>31</v>
      </c>
      <c r="R1626">
        <v>37.5</v>
      </c>
      <c r="S1626">
        <v>12.5</v>
      </c>
      <c r="T1626">
        <v>12.5</v>
      </c>
      <c r="U1626">
        <v>12.5</v>
      </c>
      <c r="V1626">
        <v>25</v>
      </c>
    </row>
    <row r="1627" spans="1:22" x14ac:dyDescent="0.25">
      <c r="A1627" t="s">
        <v>1077</v>
      </c>
      <c r="B1627" t="s">
        <v>923</v>
      </c>
      <c r="C1627">
        <v>18</v>
      </c>
      <c r="D1627" t="s">
        <v>96</v>
      </c>
      <c r="E1627" t="s">
        <v>78</v>
      </c>
      <c r="F1627" t="s">
        <v>23</v>
      </c>
      <c r="G1627">
        <v>0.67</v>
      </c>
      <c r="H1627" t="s">
        <v>26</v>
      </c>
      <c r="I1627">
        <v>5</v>
      </c>
      <c r="J1627" s="4" t="str">
        <f>HYPERLINK("https://www.eliteprospects.com/player/413145/carter-massier")</f>
        <v>https://www.eliteprospects.com/player/413145/carter-massier</v>
      </c>
      <c r="K1627" t="s">
        <v>27</v>
      </c>
      <c r="L1627" t="s">
        <v>918</v>
      </c>
      <c r="M1627" t="s">
        <v>91</v>
      </c>
      <c r="N1627">
        <v>6</v>
      </c>
      <c r="O1627" t="s">
        <v>927</v>
      </c>
      <c r="P1627">
        <v>0.08</v>
      </c>
      <c r="Q1627" t="s">
        <v>31</v>
      </c>
      <c r="R1627">
        <v>33.299999999999997</v>
      </c>
      <c r="S1627">
        <v>8.3000000000000007</v>
      </c>
      <c r="T1627">
        <v>33.299999999999997</v>
      </c>
      <c r="U1627">
        <v>8.3000000000000007</v>
      </c>
      <c r="V1627">
        <v>16.7</v>
      </c>
    </row>
    <row r="1628" spans="1:22" x14ac:dyDescent="0.25">
      <c r="A1628" t="s">
        <v>1090</v>
      </c>
      <c r="B1628" t="s">
        <v>923</v>
      </c>
      <c r="C1628">
        <v>18</v>
      </c>
      <c r="D1628" t="s">
        <v>57</v>
      </c>
      <c r="E1628" t="s">
        <v>96</v>
      </c>
      <c r="F1628" t="s">
        <v>69</v>
      </c>
      <c r="G1628">
        <v>0.61</v>
      </c>
      <c r="H1628" t="s">
        <v>32</v>
      </c>
      <c r="I1628">
        <v>3</v>
      </c>
      <c r="J1628" s="4" t="str">
        <f>HYPERLINK("https://www.eliteprospects.com/player/476671/brendan-lee")</f>
        <v>https://www.eliteprospects.com/player/476671/brendan-lee</v>
      </c>
      <c r="K1628" t="s">
        <v>27</v>
      </c>
      <c r="L1628" t="s">
        <v>918</v>
      </c>
      <c r="M1628" t="s">
        <v>35</v>
      </c>
      <c r="N1628">
        <v>6</v>
      </c>
      <c r="O1628" t="s">
        <v>924</v>
      </c>
      <c r="P1628">
        <v>0.08</v>
      </c>
      <c r="Q1628" t="s">
        <v>31</v>
      </c>
      <c r="R1628">
        <v>33.299999999999997</v>
      </c>
      <c r="S1628">
        <v>8.3000000000000007</v>
      </c>
      <c r="T1628">
        <v>33.299999999999997</v>
      </c>
      <c r="U1628">
        <v>8.3000000000000007</v>
      </c>
      <c r="V1628">
        <v>16.7</v>
      </c>
    </row>
    <row r="1629" spans="1:22" x14ac:dyDescent="0.25">
      <c r="A1629" t="s">
        <v>1176</v>
      </c>
      <c r="B1629" t="s">
        <v>923</v>
      </c>
      <c r="C1629">
        <v>17</v>
      </c>
      <c r="D1629" t="s">
        <v>260</v>
      </c>
      <c r="E1629" t="s">
        <v>96</v>
      </c>
      <c r="F1629" t="s">
        <v>57</v>
      </c>
      <c r="G1629">
        <v>0.35</v>
      </c>
      <c r="H1629" t="s">
        <v>23</v>
      </c>
      <c r="I1629">
        <v>-1</v>
      </c>
      <c r="J1629" s="4" t="str">
        <f>HYPERLINK("https://www.eliteprospects.com/player/575127/matt-corbet")</f>
        <v>https://www.eliteprospects.com/player/575127/matt-corbet</v>
      </c>
      <c r="K1629" t="s">
        <v>27</v>
      </c>
      <c r="L1629" t="s">
        <v>918</v>
      </c>
      <c r="M1629" t="s">
        <v>35</v>
      </c>
      <c r="N1629">
        <v>2</v>
      </c>
      <c r="O1629" t="s">
        <v>1076</v>
      </c>
      <c r="P1629">
        <v>0.04</v>
      </c>
      <c r="Q1629" t="s">
        <v>245</v>
      </c>
      <c r="R1629">
        <v>9.1</v>
      </c>
      <c r="S1629">
        <v>18.2</v>
      </c>
      <c r="T1629">
        <v>9.1</v>
      </c>
      <c r="U1629">
        <v>13.6</v>
      </c>
      <c r="V1629">
        <v>50</v>
      </c>
    </row>
    <row r="1630" spans="1:22" x14ac:dyDescent="0.25">
      <c r="A1630" t="s">
        <v>1202</v>
      </c>
      <c r="B1630" t="s">
        <v>923</v>
      </c>
      <c r="C1630">
        <v>15</v>
      </c>
      <c r="D1630" t="s">
        <v>79</v>
      </c>
      <c r="E1630" t="s">
        <v>79</v>
      </c>
      <c r="F1630" t="s">
        <v>66</v>
      </c>
      <c r="G1630">
        <v>0.27</v>
      </c>
      <c r="H1630" t="s">
        <v>57</v>
      </c>
      <c r="I1630">
        <v>0</v>
      </c>
      <c r="J1630" s="4" t="str">
        <f>HYPERLINK("https://www.eliteprospects.com/player/481995/davis-fry")</f>
        <v>https://www.eliteprospects.com/player/481995/davis-fry</v>
      </c>
      <c r="K1630" t="s">
        <v>27</v>
      </c>
      <c r="L1630" t="s">
        <v>918</v>
      </c>
      <c r="M1630" t="s">
        <v>35</v>
      </c>
      <c r="N1630">
        <v>3</v>
      </c>
      <c r="O1630" t="s">
        <v>1039</v>
      </c>
      <c r="P1630">
        <v>0.03</v>
      </c>
      <c r="Q1630" t="s">
        <v>245</v>
      </c>
      <c r="R1630">
        <v>9.1</v>
      </c>
      <c r="S1630">
        <v>18.2</v>
      </c>
      <c r="T1630">
        <v>9.1</v>
      </c>
      <c r="U1630">
        <v>13.6</v>
      </c>
      <c r="V1630">
        <v>50</v>
      </c>
    </row>
    <row r="1631" spans="1:22" x14ac:dyDescent="0.25">
      <c r="A1631" t="s">
        <v>183</v>
      </c>
      <c r="B1631" t="s">
        <v>184</v>
      </c>
      <c r="C1631">
        <v>19</v>
      </c>
      <c r="D1631" t="s">
        <v>96</v>
      </c>
      <c r="E1631" t="s">
        <v>32</v>
      </c>
      <c r="F1631" t="s">
        <v>41</v>
      </c>
      <c r="G1631">
        <v>0.79</v>
      </c>
      <c r="H1631" t="s">
        <v>132</v>
      </c>
      <c r="I1631">
        <v>7</v>
      </c>
      <c r="J1631" s="4" t="str">
        <f>HYPERLINK("https://www.eliteprospects.com/player/603584/kaden-shahan")</f>
        <v>https://www.eliteprospects.com/player/603584/kaden-shahan</v>
      </c>
      <c r="K1631" t="s">
        <v>27</v>
      </c>
      <c r="L1631" t="s">
        <v>28</v>
      </c>
      <c r="M1631" t="s">
        <v>29</v>
      </c>
      <c r="N1631">
        <v>2</v>
      </c>
      <c r="O1631" t="s">
        <v>43</v>
      </c>
      <c r="P1631">
        <v>0.15</v>
      </c>
      <c r="Q1631" t="s">
        <v>31</v>
      </c>
      <c r="R1631">
        <v>36.700000000000003</v>
      </c>
      <c r="S1631">
        <v>36.700000000000003</v>
      </c>
      <c r="T1631">
        <v>0</v>
      </c>
      <c r="U1631">
        <v>0</v>
      </c>
      <c r="V1631">
        <v>26.7</v>
      </c>
    </row>
    <row r="1632" spans="1:22" x14ac:dyDescent="0.25">
      <c r="A1632" t="s">
        <v>203</v>
      </c>
      <c r="B1632" t="s">
        <v>184</v>
      </c>
      <c r="C1632">
        <v>19</v>
      </c>
      <c r="D1632" t="s">
        <v>78</v>
      </c>
      <c r="E1632" t="s">
        <v>57</v>
      </c>
      <c r="F1632" t="s">
        <v>65</v>
      </c>
      <c r="G1632">
        <v>0.68</v>
      </c>
      <c r="H1632" t="s">
        <v>24</v>
      </c>
      <c r="I1632">
        <v>7</v>
      </c>
      <c r="J1632" s="4" t="str">
        <f>HYPERLINK("https://www.eliteprospects.com/player/595103/ryan-tattle")</f>
        <v>https://www.eliteprospects.com/player/595103/ryan-tattle</v>
      </c>
      <c r="K1632" t="s">
        <v>27</v>
      </c>
      <c r="L1632" t="s">
        <v>28</v>
      </c>
      <c r="M1632" t="s">
        <v>35</v>
      </c>
      <c r="N1632">
        <v>4</v>
      </c>
      <c r="O1632" t="s">
        <v>30</v>
      </c>
      <c r="P1632">
        <v>0.13</v>
      </c>
      <c r="Q1632" t="s">
        <v>135</v>
      </c>
      <c r="R1632">
        <v>22.7</v>
      </c>
      <c r="S1632">
        <v>36.4</v>
      </c>
      <c r="T1632">
        <v>9.1</v>
      </c>
      <c r="U1632">
        <v>0</v>
      </c>
      <c r="V1632">
        <v>31.8</v>
      </c>
    </row>
    <row r="1633" spans="1:22" x14ac:dyDescent="0.25">
      <c r="A1633" t="s">
        <v>206</v>
      </c>
      <c r="B1633" t="s">
        <v>184</v>
      </c>
      <c r="C1633">
        <v>19</v>
      </c>
      <c r="D1633" t="s">
        <v>96</v>
      </c>
      <c r="E1633" t="s">
        <v>26</v>
      </c>
      <c r="F1633" t="s">
        <v>65</v>
      </c>
      <c r="G1633">
        <v>0.68</v>
      </c>
      <c r="H1633" t="s">
        <v>38</v>
      </c>
      <c r="I1633">
        <v>7</v>
      </c>
      <c r="J1633" s="4" t="str">
        <f>HYPERLINK("https://www.eliteprospects.com/player/593697/alexandre-blais")</f>
        <v>https://www.eliteprospects.com/player/593697/alexandre-blais</v>
      </c>
      <c r="K1633" t="s">
        <v>27</v>
      </c>
      <c r="L1633" t="s">
        <v>28</v>
      </c>
      <c r="M1633" t="s">
        <v>143</v>
      </c>
      <c r="N1633">
        <v>5</v>
      </c>
      <c r="O1633" t="s">
        <v>207</v>
      </c>
      <c r="P1633">
        <v>0.13</v>
      </c>
      <c r="Q1633" t="s">
        <v>135</v>
      </c>
      <c r="R1633">
        <v>22.7</v>
      </c>
      <c r="S1633">
        <v>36.4</v>
      </c>
      <c r="T1633">
        <v>9.1</v>
      </c>
      <c r="U1633">
        <v>0</v>
      </c>
      <c r="V1633">
        <v>31.8</v>
      </c>
    </row>
    <row r="1634" spans="1:22" x14ac:dyDescent="0.25">
      <c r="A1634" t="s">
        <v>219</v>
      </c>
      <c r="B1634" t="s">
        <v>184</v>
      </c>
      <c r="C1634">
        <v>18</v>
      </c>
      <c r="D1634" t="s">
        <v>78</v>
      </c>
      <c r="E1634" t="s">
        <v>96</v>
      </c>
      <c r="F1634" t="s">
        <v>23</v>
      </c>
      <c r="G1634">
        <v>0.67</v>
      </c>
      <c r="H1634" t="s">
        <v>39</v>
      </c>
      <c r="I1634">
        <v>9</v>
      </c>
      <c r="J1634" s="4" t="str">
        <f>HYPERLINK("https://www.eliteprospects.com/player/575098/carlin-dezainde")</f>
        <v>https://www.eliteprospects.com/player/575098/carlin-dezainde</v>
      </c>
      <c r="K1634" t="s">
        <v>27</v>
      </c>
      <c r="L1634" t="s">
        <v>28</v>
      </c>
      <c r="M1634" t="s">
        <v>35</v>
      </c>
      <c r="N1634">
        <v>6</v>
      </c>
      <c r="O1634" t="s">
        <v>193</v>
      </c>
      <c r="P1634">
        <v>0.13</v>
      </c>
      <c r="Q1634" t="s">
        <v>135</v>
      </c>
      <c r="R1634">
        <v>22.7</v>
      </c>
      <c r="S1634">
        <v>36.4</v>
      </c>
      <c r="T1634">
        <v>9.1</v>
      </c>
      <c r="U1634">
        <v>0</v>
      </c>
      <c r="V1634">
        <v>31.8</v>
      </c>
    </row>
    <row r="1635" spans="1:22" x14ac:dyDescent="0.25">
      <c r="A1635" t="s">
        <v>223</v>
      </c>
      <c r="B1635" t="s">
        <v>184</v>
      </c>
      <c r="C1635">
        <v>15</v>
      </c>
      <c r="D1635" t="s">
        <v>57</v>
      </c>
      <c r="E1635" t="s">
        <v>57</v>
      </c>
      <c r="F1635" t="s">
        <v>23</v>
      </c>
      <c r="G1635">
        <v>0.8</v>
      </c>
      <c r="H1635" t="s">
        <v>26</v>
      </c>
      <c r="I1635">
        <v>6</v>
      </c>
      <c r="J1635" s="4" t="str">
        <f>HYPERLINK("https://www.eliteprospects.com/player/674032/joey-muldowney")</f>
        <v>https://www.eliteprospects.com/player/674032/joey-muldowney</v>
      </c>
      <c r="K1635" t="s">
        <v>27</v>
      </c>
      <c r="L1635" t="s">
        <v>28</v>
      </c>
      <c r="M1635" t="s">
        <v>29</v>
      </c>
      <c r="N1635">
        <v>3</v>
      </c>
      <c r="O1635" t="s">
        <v>74</v>
      </c>
      <c r="P1635">
        <v>0.16</v>
      </c>
      <c r="Q1635" t="s">
        <v>31</v>
      </c>
      <c r="R1635">
        <v>36.700000000000003</v>
      </c>
      <c r="S1635">
        <v>36.700000000000003</v>
      </c>
      <c r="T1635">
        <v>0</v>
      </c>
      <c r="U1635">
        <v>0</v>
      </c>
      <c r="V1635">
        <v>26.7</v>
      </c>
    </row>
    <row r="1636" spans="1:22" x14ac:dyDescent="0.25">
      <c r="A1636" t="s">
        <v>228</v>
      </c>
      <c r="B1636" t="s">
        <v>184</v>
      </c>
      <c r="C1636">
        <v>19</v>
      </c>
      <c r="D1636" t="s">
        <v>96</v>
      </c>
      <c r="E1636" t="s">
        <v>78</v>
      </c>
      <c r="F1636" t="s">
        <v>23</v>
      </c>
      <c r="G1636">
        <v>0.63</v>
      </c>
      <c r="H1636" t="s">
        <v>57</v>
      </c>
      <c r="I1636">
        <v>8</v>
      </c>
      <c r="J1636" s="4" t="str">
        <f>HYPERLINK("https://www.eliteprospects.com/player/415338/tabor-heaslip")</f>
        <v>https://www.eliteprospects.com/player/415338/tabor-heaslip</v>
      </c>
      <c r="K1636" t="s">
        <v>27</v>
      </c>
      <c r="L1636" t="s">
        <v>28</v>
      </c>
      <c r="M1636" t="s">
        <v>35</v>
      </c>
      <c r="N1636">
        <v>4</v>
      </c>
      <c r="O1636" t="s">
        <v>30</v>
      </c>
      <c r="P1636">
        <v>0.12</v>
      </c>
      <c r="Q1636" t="s">
        <v>135</v>
      </c>
      <c r="R1636">
        <v>22.7</v>
      </c>
      <c r="S1636">
        <v>36.4</v>
      </c>
      <c r="T1636">
        <v>9.1</v>
      </c>
      <c r="U1636">
        <v>0</v>
      </c>
      <c r="V1636">
        <v>31.8</v>
      </c>
    </row>
    <row r="1637" spans="1:22" x14ac:dyDescent="0.25">
      <c r="A1637" t="s">
        <v>233</v>
      </c>
      <c r="B1637" t="s">
        <v>184</v>
      </c>
      <c r="C1637">
        <v>19</v>
      </c>
      <c r="D1637" t="s">
        <v>66</v>
      </c>
      <c r="E1637" t="s">
        <v>26</v>
      </c>
      <c r="F1637" t="s">
        <v>23</v>
      </c>
      <c r="G1637">
        <v>0.63</v>
      </c>
      <c r="H1637" t="s">
        <v>55</v>
      </c>
      <c r="I1637">
        <v>1</v>
      </c>
      <c r="J1637" s="4" t="str">
        <f>HYPERLINK("https://www.eliteprospects.com/player/670882/jake-richard")</f>
        <v>https://www.eliteprospects.com/player/670882/jake-richard</v>
      </c>
      <c r="K1637" t="s">
        <v>27</v>
      </c>
      <c r="L1637" t="s">
        <v>28</v>
      </c>
      <c r="M1637" t="s">
        <v>48</v>
      </c>
      <c r="N1637">
        <v>3</v>
      </c>
      <c r="O1637" t="s">
        <v>74</v>
      </c>
      <c r="P1637">
        <v>0.12</v>
      </c>
      <c r="Q1637" t="s">
        <v>31</v>
      </c>
      <c r="R1637">
        <v>100</v>
      </c>
      <c r="S1637">
        <v>0</v>
      </c>
      <c r="T1637">
        <v>0</v>
      </c>
      <c r="U1637">
        <v>0</v>
      </c>
      <c r="V1637">
        <v>0</v>
      </c>
    </row>
    <row r="1638" spans="1:22" x14ac:dyDescent="0.25">
      <c r="A1638" t="s">
        <v>243</v>
      </c>
      <c r="B1638" t="s">
        <v>184</v>
      </c>
      <c r="C1638">
        <v>19</v>
      </c>
      <c r="D1638" t="s">
        <v>57</v>
      </c>
      <c r="E1638" t="s">
        <v>96</v>
      </c>
      <c r="F1638" t="s">
        <v>69</v>
      </c>
      <c r="G1638">
        <v>0.57999999999999996</v>
      </c>
      <c r="H1638" t="s">
        <v>132</v>
      </c>
      <c r="I1638">
        <v>4</v>
      </c>
      <c r="J1638" s="4" t="str">
        <f>HYPERLINK("https://www.eliteprospects.com/player/603025/ethan-gardula")</f>
        <v>https://www.eliteprospects.com/player/603025/ethan-gardula</v>
      </c>
      <c r="K1638" t="s">
        <v>27</v>
      </c>
      <c r="L1638" t="s">
        <v>28</v>
      </c>
      <c r="M1638" t="s">
        <v>91</v>
      </c>
      <c r="N1638">
        <v>2</v>
      </c>
      <c r="O1638" t="s">
        <v>43</v>
      </c>
      <c r="P1638">
        <v>0.11</v>
      </c>
      <c r="Q1638" t="s">
        <v>135</v>
      </c>
      <c r="R1638">
        <v>20</v>
      </c>
      <c r="S1638">
        <v>40</v>
      </c>
      <c r="T1638">
        <v>20</v>
      </c>
      <c r="U1638">
        <v>0</v>
      </c>
      <c r="V1638">
        <v>20</v>
      </c>
    </row>
    <row r="1639" spans="1:22" x14ac:dyDescent="0.25">
      <c r="A1639" t="s">
        <v>249</v>
      </c>
      <c r="B1639" t="s">
        <v>184</v>
      </c>
      <c r="C1639">
        <v>19</v>
      </c>
      <c r="D1639" t="s">
        <v>66</v>
      </c>
      <c r="E1639" t="s">
        <v>78</v>
      </c>
      <c r="F1639" t="s">
        <v>69</v>
      </c>
      <c r="G1639">
        <v>0.57999999999999996</v>
      </c>
      <c r="H1639" t="s">
        <v>57</v>
      </c>
      <c r="I1639">
        <v>2</v>
      </c>
      <c r="J1639" s="4" t="str">
        <f>HYPERLINK("https://www.eliteprospects.com/player/654163/mike-murtagh")</f>
        <v>https://www.eliteprospects.com/player/654163/mike-murtagh</v>
      </c>
      <c r="K1639" t="s">
        <v>27</v>
      </c>
      <c r="L1639" t="s">
        <v>28</v>
      </c>
      <c r="M1639" t="s">
        <v>35</v>
      </c>
      <c r="N1639">
        <v>2</v>
      </c>
      <c r="O1639" t="s">
        <v>43</v>
      </c>
      <c r="P1639">
        <v>0.11</v>
      </c>
      <c r="Q1639" t="s">
        <v>135</v>
      </c>
      <c r="R1639">
        <v>20</v>
      </c>
      <c r="S1639">
        <v>40</v>
      </c>
      <c r="T1639">
        <v>20</v>
      </c>
      <c r="U1639">
        <v>0</v>
      </c>
      <c r="V1639">
        <v>20</v>
      </c>
    </row>
    <row r="1640" spans="1:22" x14ac:dyDescent="0.25">
      <c r="A1640" t="s">
        <v>308</v>
      </c>
      <c r="B1640" t="s">
        <v>184</v>
      </c>
      <c r="C1640">
        <v>19</v>
      </c>
      <c r="D1640" t="s">
        <v>79</v>
      </c>
      <c r="E1640" t="s">
        <v>78</v>
      </c>
      <c r="F1640" t="s">
        <v>45</v>
      </c>
      <c r="G1640">
        <v>0.47</v>
      </c>
      <c r="H1640" t="s">
        <v>32</v>
      </c>
      <c r="I1640">
        <v>1</v>
      </c>
      <c r="J1640" s="4" t="str">
        <f>HYPERLINK("https://www.eliteprospects.com/player/674013/ethan-whitcomb")</f>
        <v>https://www.eliteprospects.com/player/674013/ethan-whitcomb</v>
      </c>
      <c r="K1640" t="s">
        <v>27</v>
      </c>
      <c r="L1640" t="s">
        <v>28</v>
      </c>
      <c r="M1640" t="s">
        <v>48</v>
      </c>
      <c r="N1640">
        <v>2</v>
      </c>
      <c r="O1640" t="s">
        <v>43</v>
      </c>
      <c r="P1640">
        <v>0.09</v>
      </c>
      <c r="Q1640" t="s">
        <v>31</v>
      </c>
      <c r="R1640">
        <v>33.299999999999997</v>
      </c>
      <c r="S1640">
        <v>8.3000000000000007</v>
      </c>
      <c r="T1640">
        <v>33.299999999999997</v>
      </c>
      <c r="U1640">
        <v>8.3000000000000007</v>
      </c>
      <c r="V1640">
        <v>16.7</v>
      </c>
    </row>
    <row r="1641" spans="1:22" x14ac:dyDescent="0.25">
      <c r="A1641" t="s">
        <v>315</v>
      </c>
      <c r="B1641" t="s">
        <v>184</v>
      </c>
      <c r="C1641">
        <v>19</v>
      </c>
      <c r="D1641" t="s">
        <v>96</v>
      </c>
      <c r="E1641" t="s">
        <v>140</v>
      </c>
      <c r="F1641" t="s">
        <v>26</v>
      </c>
      <c r="G1641">
        <v>0.42</v>
      </c>
      <c r="H1641" t="s">
        <v>66</v>
      </c>
      <c r="I1641">
        <v>4</v>
      </c>
      <c r="J1641" s="4" t="str">
        <f>HYPERLINK("https://www.eliteprospects.com/player/417310/jake-percival")</f>
        <v>https://www.eliteprospects.com/player/417310/jake-percival</v>
      </c>
      <c r="K1641" t="s">
        <v>27</v>
      </c>
      <c r="L1641" t="s">
        <v>28</v>
      </c>
      <c r="M1641" t="s">
        <v>35</v>
      </c>
      <c r="N1641">
        <v>4</v>
      </c>
      <c r="O1641" t="s">
        <v>30</v>
      </c>
      <c r="P1641">
        <v>0.08</v>
      </c>
      <c r="Q1641" t="s">
        <v>31</v>
      </c>
      <c r="R1641">
        <v>33.299999999999997</v>
      </c>
      <c r="S1641">
        <v>8.3000000000000007</v>
      </c>
      <c r="T1641">
        <v>33.299999999999997</v>
      </c>
      <c r="U1641">
        <v>8.3000000000000007</v>
      </c>
      <c r="V1641">
        <v>16.7</v>
      </c>
    </row>
    <row r="1642" spans="1:22" x14ac:dyDescent="0.25">
      <c r="A1642" t="s">
        <v>369</v>
      </c>
      <c r="B1642" t="s">
        <v>184</v>
      </c>
      <c r="C1642">
        <v>19</v>
      </c>
      <c r="D1642" t="s">
        <v>79</v>
      </c>
      <c r="E1642" t="s">
        <v>66</v>
      </c>
      <c r="F1642" t="s">
        <v>57</v>
      </c>
      <c r="G1642">
        <v>0.32</v>
      </c>
      <c r="H1642" t="s">
        <v>26</v>
      </c>
      <c r="I1642">
        <v>3</v>
      </c>
      <c r="J1642" s="4" t="str">
        <f>HYPERLINK("https://www.eliteprospects.com/player/351532/tristan-fraser")</f>
        <v>https://www.eliteprospects.com/player/351532/tristan-fraser</v>
      </c>
      <c r="K1642" t="s">
        <v>27</v>
      </c>
      <c r="L1642" t="s">
        <v>28</v>
      </c>
      <c r="M1642" t="s">
        <v>35</v>
      </c>
      <c r="N1642">
        <v>4</v>
      </c>
      <c r="O1642" t="s">
        <v>30</v>
      </c>
      <c r="P1642">
        <v>0.06</v>
      </c>
      <c r="Q1642" t="s">
        <v>245</v>
      </c>
      <c r="R1642">
        <v>14.3</v>
      </c>
      <c r="S1642">
        <v>28.6</v>
      </c>
      <c r="T1642">
        <v>0</v>
      </c>
      <c r="U1642">
        <v>14.3</v>
      </c>
      <c r="V1642">
        <v>42.9</v>
      </c>
    </row>
    <row r="1643" spans="1:22" x14ac:dyDescent="0.25">
      <c r="A1643" t="s">
        <v>477</v>
      </c>
      <c r="B1643" t="s">
        <v>184</v>
      </c>
      <c r="C1643">
        <v>12</v>
      </c>
      <c r="D1643" t="s">
        <v>132</v>
      </c>
      <c r="E1643" t="s">
        <v>132</v>
      </c>
      <c r="F1643" t="s">
        <v>132</v>
      </c>
      <c r="G1643">
        <v>0</v>
      </c>
      <c r="H1643" t="s">
        <v>32</v>
      </c>
      <c r="I1643">
        <v>-2</v>
      </c>
      <c r="J1643" s="4" t="str">
        <f>HYPERLINK("https://www.eliteprospects.com/player/369933/huston-karpman")</f>
        <v>https://www.eliteprospects.com/player/369933/huston-karpman</v>
      </c>
      <c r="K1643" t="s">
        <v>27</v>
      </c>
      <c r="L1643" t="s">
        <v>28</v>
      </c>
      <c r="M1643" t="s">
        <v>35</v>
      </c>
      <c r="N1643">
        <v>4</v>
      </c>
      <c r="O1643" t="s">
        <v>30</v>
      </c>
      <c r="P1643">
        <v>0</v>
      </c>
      <c r="Q1643" t="s">
        <v>245</v>
      </c>
      <c r="R1643">
        <v>9.1</v>
      </c>
      <c r="S1643">
        <v>18.2</v>
      </c>
      <c r="T1643">
        <v>9.1</v>
      </c>
      <c r="U1643">
        <v>13.6</v>
      </c>
      <c r="V1643">
        <v>50</v>
      </c>
    </row>
    <row r="1644" spans="1:22" x14ac:dyDescent="0.25">
      <c r="A1644" t="s">
        <v>144</v>
      </c>
      <c r="B1644" t="s">
        <v>145</v>
      </c>
      <c r="C1644">
        <v>21</v>
      </c>
      <c r="D1644" t="s">
        <v>45</v>
      </c>
      <c r="E1644" t="s">
        <v>26</v>
      </c>
      <c r="F1644" t="s">
        <v>60</v>
      </c>
      <c r="G1644">
        <v>0.81</v>
      </c>
      <c r="H1644" t="s">
        <v>24</v>
      </c>
      <c r="I1644">
        <v>11</v>
      </c>
      <c r="J1644" s="4" t="str">
        <f>HYPERLINK("https://www.eliteprospects.com/player/529920/sam-harris")</f>
        <v>https://www.eliteprospects.com/player/529920/sam-harris</v>
      </c>
      <c r="K1644" t="s">
        <v>27</v>
      </c>
      <c r="L1644" t="s">
        <v>28</v>
      </c>
      <c r="M1644" t="s">
        <v>91</v>
      </c>
      <c r="N1644">
        <v>3</v>
      </c>
      <c r="O1644" t="s">
        <v>74</v>
      </c>
      <c r="P1644">
        <v>0.16</v>
      </c>
      <c r="Q1644" t="s">
        <v>31</v>
      </c>
      <c r="R1644">
        <v>36.700000000000003</v>
      </c>
      <c r="S1644">
        <v>36.700000000000003</v>
      </c>
      <c r="T1644">
        <v>0</v>
      </c>
      <c r="U1644">
        <v>0</v>
      </c>
      <c r="V1644">
        <v>26.7</v>
      </c>
    </row>
    <row r="1645" spans="1:22" x14ac:dyDescent="0.25">
      <c r="A1645" t="s">
        <v>151</v>
      </c>
      <c r="B1645" t="s">
        <v>145</v>
      </c>
      <c r="C1645">
        <v>21</v>
      </c>
      <c r="D1645" t="s">
        <v>140</v>
      </c>
      <c r="E1645" t="s">
        <v>39</v>
      </c>
      <c r="F1645" t="s">
        <v>60</v>
      </c>
      <c r="G1645">
        <v>0.81</v>
      </c>
      <c r="H1645" t="s">
        <v>66</v>
      </c>
      <c r="I1645">
        <v>4</v>
      </c>
      <c r="J1645" s="4" t="str">
        <f>HYPERLINK("https://www.eliteprospects.com/player/597712/clarke-caswell")</f>
        <v>https://www.eliteprospects.com/player/597712/clarke-caswell</v>
      </c>
      <c r="K1645" t="s">
        <v>27</v>
      </c>
      <c r="L1645" t="s">
        <v>28</v>
      </c>
      <c r="M1645" t="s">
        <v>91</v>
      </c>
      <c r="N1645">
        <v>5</v>
      </c>
      <c r="O1645" t="s">
        <v>152</v>
      </c>
      <c r="P1645">
        <v>0.16</v>
      </c>
      <c r="Q1645" t="s">
        <v>1277</v>
      </c>
      <c r="R1645">
        <v>0</v>
      </c>
      <c r="S1645">
        <v>33.299999999999997</v>
      </c>
      <c r="T1645">
        <v>50</v>
      </c>
      <c r="U1645">
        <v>16.7</v>
      </c>
      <c r="V1645">
        <v>0</v>
      </c>
    </row>
    <row r="1646" spans="1:22" x14ac:dyDescent="0.25">
      <c r="A1646" t="s">
        <v>166</v>
      </c>
      <c r="B1646" t="s">
        <v>145</v>
      </c>
      <c r="C1646">
        <v>21</v>
      </c>
      <c r="D1646" t="s">
        <v>57</v>
      </c>
      <c r="E1646" t="s">
        <v>32</v>
      </c>
      <c r="F1646" t="s">
        <v>38</v>
      </c>
      <c r="G1646">
        <v>0.76</v>
      </c>
      <c r="H1646" t="s">
        <v>47</v>
      </c>
      <c r="I1646">
        <v>11</v>
      </c>
      <c r="J1646" s="4" t="str">
        <f>HYPERLINK("https://www.eliteprospects.com/player/535718/rieger-lorenz")</f>
        <v>https://www.eliteprospects.com/player/535718/rieger-lorenz</v>
      </c>
      <c r="K1646" t="s">
        <v>27</v>
      </c>
      <c r="L1646" t="s">
        <v>28</v>
      </c>
      <c r="M1646" t="s">
        <v>143</v>
      </c>
      <c r="N1646">
        <v>4</v>
      </c>
      <c r="O1646" t="s">
        <v>30</v>
      </c>
      <c r="P1646">
        <v>0.15</v>
      </c>
      <c r="Q1646" t="s">
        <v>31</v>
      </c>
      <c r="R1646">
        <v>36.700000000000003</v>
      </c>
      <c r="S1646">
        <v>36.700000000000003</v>
      </c>
      <c r="T1646">
        <v>0</v>
      </c>
      <c r="U1646">
        <v>0</v>
      </c>
      <c r="V1646">
        <v>26.7</v>
      </c>
    </row>
    <row r="1647" spans="1:22" x14ac:dyDescent="0.25">
      <c r="A1647" t="s">
        <v>192</v>
      </c>
      <c r="B1647" t="s">
        <v>145</v>
      </c>
      <c r="C1647">
        <v>21</v>
      </c>
      <c r="D1647" t="s">
        <v>96</v>
      </c>
      <c r="E1647" t="s">
        <v>45</v>
      </c>
      <c r="F1647" t="s">
        <v>39</v>
      </c>
      <c r="G1647">
        <v>0.67</v>
      </c>
      <c r="H1647" t="s">
        <v>45</v>
      </c>
      <c r="I1647">
        <v>-2</v>
      </c>
      <c r="J1647" s="4" t="str">
        <f>HYPERLINK("https://www.eliteprospects.com/player/561331/kyle-chyzowski")</f>
        <v>https://www.eliteprospects.com/player/561331/kyle-chyzowski</v>
      </c>
      <c r="K1647" t="s">
        <v>27</v>
      </c>
      <c r="L1647" t="s">
        <v>28</v>
      </c>
      <c r="M1647" t="s">
        <v>35</v>
      </c>
      <c r="N1647">
        <v>6</v>
      </c>
      <c r="O1647" t="s">
        <v>193</v>
      </c>
      <c r="P1647">
        <v>0.13</v>
      </c>
      <c r="Q1647" t="s">
        <v>135</v>
      </c>
      <c r="R1647">
        <v>11.1</v>
      </c>
      <c r="S1647">
        <v>44.4</v>
      </c>
      <c r="T1647">
        <v>11.1</v>
      </c>
      <c r="U1647">
        <v>11.1</v>
      </c>
      <c r="V1647">
        <v>22.2</v>
      </c>
    </row>
    <row r="1648" spans="1:22" x14ac:dyDescent="0.25">
      <c r="A1648" t="s">
        <v>194</v>
      </c>
      <c r="B1648" t="s">
        <v>145</v>
      </c>
      <c r="C1648">
        <v>21</v>
      </c>
      <c r="D1648" t="s">
        <v>96</v>
      </c>
      <c r="E1648" t="s">
        <v>45</v>
      </c>
      <c r="F1648" t="s">
        <v>39</v>
      </c>
      <c r="G1648">
        <v>0.67</v>
      </c>
      <c r="H1648" t="s">
        <v>32</v>
      </c>
      <c r="I1648">
        <v>9</v>
      </c>
      <c r="J1648" s="4" t="str">
        <f>HYPERLINK("https://www.eliteprospects.com/player/554239/samu-salminen")</f>
        <v>https://www.eliteprospects.com/player/554239/samu-salminen</v>
      </c>
      <c r="K1648" t="s">
        <v>27</v>
      </c>
      <c r="L1648" t="s">
        <v>28</v>
      </c>
      <c r="M1648" t="s">
        <v>76</v>
      </c>
      <c r="N1648">
        <v>4</v>
      </c>
      <c r="O1648" t="s">
        <v>30</v>
      </c>
      <c r="P1648">
        <v>0.13</v>
      </c>
      <c r="Q1648" t="s">
        <v>135</v>
      </c>
      <c r="R1648">
        <v>22.7</v>
      </c>
      <c r="S1648">
        <v>36.4</v>
      </c>
      <c r="T1648">
        <v>9.1</v>
      </c>
      <c r="U1648">
        <v>0</v>
      </c>
      <c r="V1648">
        <v>31.8</v>
      </c>
    </row>
    <row r="1649" spans="1:22" x14ac:dyDescent="0.25">
      <c r="A1649" t="s">
        <v>199</v>
      </c>
      <c r="B1649" t="s">
        <v>145</v>
      </c>
      <c r="C1649">
        <v>21</v>
      </c>
      <c r="D1649" t="s">
        <v>66</v>
      </c>
      <c r="E1649" t="s">
        <v>32</v>
      </c>
      <c r="F1649" t="s">
        <v>39</v>
      </c>
      <c r="G1649">
        <v>0.67</v>
      </c>
      <c r="H1649" t="s">
        <v>79</v>
      </c>
      <c r="I1649">
        <v>8</v>
      </c>
      <c r="J1649" s="4" t="str">
        <f>HYPERLINK("https://www.eliteprospects.com/player/634955/james-reeder")</f>
        <v>https://www.eliteprospects.com/player/634955/james-reeder</v>
      </c>
      <c r="K1649" t="s">
        <v>27</v>
      </c>
      <c r="L1649" t="s">
        <v>28</v>
      </c>
      <c r="M1649" t="s">
        <v>29</v>
      </c>
      <c r="N1649">
        <v>2</v>
      </c>
      <c r="O1649" t="s">
        <v>43</v>
      </c>
      <c r="P1649">
        <v>0.13</v>
      </c>
      <c r="Q1649" t="s">
        <v>135</v>
      </c>
      <c r="R1649">
        <v>22.7</v>
      </c>
      <c r="S1649">
        <v>36.4</v>
      </c>
      <c r="T1649">
        <v>9.1</v>
      </c>
      <c r="U1649">
        <v>0</v>
      </c>
      <c r="V1649">
        <v>31.8</v>
      </c>
    </row>
    <row r="1650" spans="1:22" x14ac:dyDescent="0.25">
      <c r="A1650" t="s">
        <v>251</v>
      </c>
      <c r="B1650" t="s">
        <v>145</v>
      </c>
      <c r="C1650">
        <v>21</v>
      </c>
      <c r="D1650" t="s">
        <v>66</v>
      </c>
      <c r="E1650" t="s">
        <v>78</v>
      </c>
      <c r="F1650" t="s">
        <v>69</v>
      </c>
      <c r="G1650">
        <v>0.52</v>
      </c>
      <c r="H1650" t="s">
        <v>132</v>
      </c>
      <c r="I1650">
        <v>5</v>
      </c>
      <c r="J1650" s="4" t="str">
        <f>HYPERLINK("https://www.eliteprospects.com/player/664607/jake-fisher")</f>
        <v>https://www.eliteprospects.com/player/664607/jake-fisher</v>
      </c>
      <c r="K1650" t="s">
        <v>27</v>
      </c>
      <c r="L1650" t="s">
        <v>28</v>
      </c>
      <c r="M1650" t="s">
        <v>76</v>
      </c>
      <c r="N1650">
        <v>2</v>
      </c>
      <c r="O1650" t="s">
        <v>43</v>
      </c>
      <c r="P1650">
        <v>0.1</v>
      </c>
      <c r="Q1650" t="s">
        <v>245</v>
      </c>
      <c r="R1650">
        <v>20</v>
      </c>
      <c r="S1650">
        <v>20</v>
      </c>
      <c r="T1650">
        <v>20</v>
      </c>
      <c r="U1650">
        <v>0</v>
      </c>
      <c r="V1650">
        <v>40</v>
      </c>
    </row>
    <row r="1651" spans="1:22" x14ac:dyDescent="0.25">
      <c r="A1651" t="s">
        <v>253</v>
      </c>
      <c r="B1651" t="s">
        <v>145</v>
      </c>
      <c r="C1651">
        <v>21</v>
      </c>
      <c r="D1651" t="s">
        <v>66</v>
      </c>
      <c r="E1651" t="s">
        <v>78</v>
      </c>
      <c r="F1651" t="s">
        <v>69</v>
      </c>
      <c r="G1651">
        <v>0.52</v>
      </c>
      <c r="H1651" t="s">
        <v>38</v>
      </c>
      <c r="I1651">
        <v>8</v>
      </c>
      <c r="J1651" s="4" t="str">
        <f>HYPERLINK("https://www.eliteprospects.com/player/693919/hagen-burrows")</f>
        <v>https://www.eliteprospects.com/player/693919/hagen-burrows</v>
      </c>
      <c r="K1651" t="s">
        <v>27</v>
      </c>
      <c r="L1651" t="s">
        <v>28</v>
      </c>
      <c r="M1651" t="s">
        <v>122</v>
      </c>
      <c r="N1651">
        <v>2</v>
      </c>
      <c r="O1651" t="s">
        <v>43</v>
      </c>
      <c r="P1651">
        <v>0.1</v>
      </c>
      <c r="Q1651" t="s">
        <v>31</v>
      </c>
      <c r="R1651">
        <v>37.5</v>
      </c>
      <c r="S1651">
        <v>12.5</v>
      </c>
      <c r="T1651">
        <v>12.5</v>
      </c>
      <c r="U1651">
        <v>12.5</v>
      </c>
      <c r="V1651">
        <v>25</v>
      </c>
    </row>
    <row r="1652" spans="1:22" x14ac:dyDescent="0.25">
      <c r="A1652" t="s">
        <v>293</v>
      </c>
      <c r="B1652" t="s">
        <v>145</v>
      </c>
      <c r="C1652">
        <v>21</v>
      </c>
      <c r="D1652" t="s">
        <v>57</v>
      </c>
      <c r="E1652" t="s">
        <v>140</v>
      </c>
      <c r="F1652" t="s">
        <v>45</v>
      </c>
      <c r="G1652">
        <v>0.43</v>
      </c>
      <c r="H1652" t="s">
        <v>23</v>
      </c>
      <c r="I1652">
        <v>1</v>
      </c>
      <c r="J1652" s="4" t="str">
        <f>HYPERLINK("https://www.eliteprospects.com/player/694561/kristian-epperson")</f>
        <v>https://www.eliteprospects.com/player/694561/kristian-epperson</v>
      </c>
      <c r="K1652" t="s">
        <v>27</v>
      </c>
      <c r="L1652" t="s">
        <v>28</v>
      </c>
      <c r="M1652" t="s">
        <v>91</v>
      </c>
      <c r="N1652">
        <v>2</v>
      </c>
      <c r="O1652" t="s">
        <v>217</v>
      </c>
      <c r="P1652">
        <v>0.08</v>
      </c>
      <c r="Q1652" t="s">
        <v>31</v>
      </c>
      <c r="R1652">
        <v>33.299999999999997</v>
      </c>
      <c r="S1652">
        <v>8.3000000000000007</v>
      </c>
      <c r="T1652">
        <v>33.299999999999997</v>
      </c>
      <c r="U1652">
        <v>8.3000000000000007</v>
      </c>
      <c r="V1652">
        <v>16.7</v>
      </c>
    </row>
    <row r="1653" spans="1:22" x14ac:dyDescent="0.25">
      <c r="A1653" t="s">
        <v>304</v>
      </c>
      <c r="B1653" t="s">
        <v>145</v>
      </c>
      <c r="C1653">
        <v>21</v>
      </c>
      <c r="D1653" t="s">
        <v>140</v>
      </c>
      <c r="E1653" t="s">
        <v>57</v>
      </c>
      <c r="F1653" t="s">
        <v>45</v>
      </c>
      <c r="G1653">
        <v>0.43</v>
      </c>
      <c r="H1653" t="s">
        <v>81</v>
      </c>
      <c r="I1653">
        <v>15</v>
      </c>
      <c r="J1653" s="4" t="str">
        <f>HYPERLINK("https://www.eliteprospects.com/player/481259/kieran-cebrian")</f>
        <v>https://www.eliteprospects.com/player/481259/kieran-cebrian</v>
      </c>
      <c r="K1653" t="s">
        <v>27</v>
      </c>
      <c r="L1653" t="s">
        <v>28</v>
      </c>
      <c r="M1653" t="s">
        <v>35</v>
      </c>
      <c r="N1653">
        <v>3</v>
      </c>
      <c r="O1653" t="s">
        <v>74</v>
      </c>
      <c r="P1653">
        <v>0.08</v>
      </c>
      <c r="Q1653" t="s">
        <v>135</v>
      </c>
      <c r="R1653">
        <v>11.1</v>
      </c>
      <c r="S1653">
        <v>55.6</v>
      </c>
      <c r="T1653">
        <v>11.1</v>
      </c>
      <c r="U1653">
        <v>11.1</v>
      </c>
      <c r="V1653">
        <v>11.1</v>
      </c>
    </row>
    <row r="1654" spans="1:22" x14ac:dyDescent="0.25">
      <c r="A1654" t="s">
        <v>341</v>
      </c>
      <c r="B1654" t="s">
        <v>145</v>
      </c>
      <c r="C1654">
        <v>17</v>
      </c>
      <c r="D1654" t="s">
        <v>79</v>
      </c>
      <c r="E1654" t="s">
        <v>96</v>
      </c>
      <c r="F1654" t="s">
        <v>78</v>
      </c>
      <c r="G1654">
        <v>0.41</v>
      </c>
      <c r="H1654" t="s">
        <v>66</v>
      </c>
      <c r="I1654">
        <v>6</v>
      </c>
      <c r="J1654" s="4" t="str">
        <f>HYPERLINK("https://www.eliteprospects.com/player/597568/brendan-mcmorrow")</f>
        <v>https://www.eliteprospects.com/player/597568/brendan-mcmorrow</v>
      </c>
      <c r="K1654" t="s">
        <v>27</v>
      </c>
      <c r="L1654" t="s">
        <v>28</v>
      </c>
      <c r="M1654" t="s">
        <v>91</v>
      </c>
      <c r="N1654">
        <v>1</v>
      </c>
      <c r="O1654" t="s">
        <v>71</v>
      </c>
      <c r="P1654">
        <v>0.08</v>
      </c>
      <c r="Q1654" t="s">
        <v>135</v>
      </c>
      <c r="R1654">
        <v>11.1</v>
      </c>
      <c r="S1654">
        <v>55.6</v>
      </c>
      <c r="T1654">
        <v>11.1</v>
      </c>
      <c r="U1654">
        <v>11.1</v>
      </c>
      <c r="V1654">
        <v>11.1</v>
      </c>
    </row>
    <row r="1655" spans="1:22" x14ac:dyDescent="0.25">
      <c r="A1655" t="s">
        <v>390</v>
      </c>
      <c r="B1655" t="s">
        <v>145</v>
      </c>
      <c r="C1655">
        <v>21</v>
      </c>
      <c r="D1655" t="s">
        <v>260</v>
      </c>
      <c r="E1655" t="s">
        <v>66</v>
      </c>
      <c r="F1655" t="s">
        <v>96</v>
      </c>
      <c r="G1655">
        <v>0.24</v>
      </c>
      <c r="H1655" t="s">
        <v>79</v>
      </c>
      <c r="I1655">
        <v>6</v>
      </c>
      <c r="J1655" s="4" t="str">
        <f>HYPERLINK("https://www.eliteprospects.com/player/597838/reid-varkonyi")</f>
        <v>https://www.eliteprospects.com/player/597838/reid-varkonyi</v>
      </c>
      <c r="K1655" t="s">
        <v>27</v>
      </c>
      <c r="L1655" t="s">
        <v>28</v>
      </c>
      <c r="M1655" t="s">
        <v>42</v>
      </c>
      <c r="N1655">
        <v>1</v>
      </c>
      <c r="O1655" t="s">
        <v>71</v>
      </c>
      <c r="P1655">
        <v>0.05</v>
      </c>
      <c r="Q1655" t="s">
        <v>245</v>
      </c>
      <c r="R1655">
        <v>0</v>
      </c>
      <c r="S1655">
        <v>25</v>
      </c>
      <c r="T1655">
        <v>0</v>
      </c>
      <c r="U1655">
        <v>25</v>
      </c>
      <c r="V1655">
        <v>50</v>
      </c>
    </row>
    <row r="1656" spans="1:22" x14ac:dyDescent="0.25">
      <c r="A1656" t="s">
        <v>416</v>
      </c>
      <c r="B1656" t="s">
        <v>145</v>
      </c>
      <c r="C1656">
        <v>21</v>
      </c>
      <c r="D1656" t="s">
        <v>260</v>
      </c>
      <c r="E1656" t="s">
        <v>140</v>
      </c>
      <c r="F1656" t="s">
        <v>66</v>
      </c>
      <c r="G1656">
        <v>0.19</v>
      </c>
      <c r="H1656" t="s">
        <v>57</v>
      </c>
      <c r="I1656">
        <v>0</v>
      </c>
      <c r="J1656" s="4" t="str">
        <f>HYPERLINK("https://www.eliteprospects.com/player/603589/brady-milburn")</f>
        <v>https://www.eliteprospects.com/player/603589/brady-milburn</v>
      </c>
      <c r="K1656" t="s">
        <v>27</v>
      </c>
      <c r="L1656" t="s">
        <v>28</v>
      </c>
      <c r="M1656" t="s">
        <v>42</v>
      </c>
      <c r="N1656">
        <v>1</v>
      </c>
      <c r="O1656" t="s">
        <v>71</v>
      </c>
      <c r="P1656">
        <v>0.04</v>
      </c>
      <c r="Q1656" t="s">
        <v>245</v>
      </c>
      <c r="R1656">
        <v>9.1</v>
      </c>
      <c r="S1656">
        <v>18.2</v>
      </c>
      <c r="T1656">
        <v>9.1</v>
      </c>
      <c r="U1656">
        <v>13.6</v>
      </c>
      <c r="V1656">
        <v>50</v>
      </c>
    </row>
    <row r="1657" spans="1:22" x14ac:dyDescent="0.25">
      <c r="A1657" t="s">
        <v>946</v>
      </c>
      <c r="B1657" t="s">
        <v>947</v>
      </c>
      <c r="C1657">
        <v>14</v>
      </c>
      <c r="D1657" t="s">
        <v>32</v>
      </c>
      <c r="E1657" t="s">
        <v>65</v>
      </c>
      <c r="F1657" t="s">
        <v>84</v>
      </c>
      <c r="G1657">
        <v>1.64</v>
      </c>
      <c r="H1657" t="s">
        <v>79</v>
      </c>
      <c r="I1657">
        <v>0</v>
      </c>
      <c r="J1657" s="4" t="str">
        <f>HYPERLINK("https://www.eliteprospects.com/player/525639/nolan-dann")</f>
        <v>https://www.eliteprospects.com/player/525639/nolan-dann</v>
      </c>
      <c r="K1657" t="s">
        <v>27</v>
      </c>
      <c r="L1657" t="s">
        <v>918</v>
      </c>
      <c r="M1657" t="s">
        <v>70</v>
      </c>
      <c r="N1657">
        <v>7</v>
      </c>
      <c r="O1657" t="s">
        <v>948</v>
      </c>
      <c r="P1657">
        <v>0.2</v>
      </c>
      <c r="Q1657" t="s">
        <v>1276</v>
      </c>
      <c r="R1657">
        <v>0</v>
      </c>
      <c r="S1657">
        <v>0</v>
      </c>
      <c r="T1657">
        <v>0</v>
      </c>
      <c r="U1657">
        <v>100</v>
      </c>
      <c r="V1657">
        <v>0</v>
      </c>
    </row>
    <row r="1658" spans="1:22" x14ac:dyDescent="0.25">
      <c r="A1658" t="s">
        <v>1018</v>
      </c>
      <c r="B1658" t="s">
        <v>947</v>
      </c>
      <c r="C1658">
        <v>16</v>
      </c>
      <c r="D1658" t="s">
        <v>57</v>
      </c>
      <c r="E1658" t="s">
        <v>32</v>
      </c>
      <c r="F1658" t="s">
        <v>38</v>
      </c>
      <c r="G1658">
        <v>1</v>
      </c>
      <c r="H1658" t="s">
        <v>32</v>
      </c>
      <c r="I1658">
        <v>0</v>
      </c>
      <c r="J1658" s="4" t="str">
        <f>HYPERLINK("https://www.eliteprospects.com/player/582550/dylan-hudon")</f>
        <v>https://www.eliteprospects.com/player/582550/dylan-hudon</v>
      </c>
      <c r="K1658" t="s">
        <v>27</v>
      </c>
      <c r="L1658" t="s">
        <v>918</v>
      </c>
      <c r="M1658" t="s">
        <v>42</v>
      </c>
      <c r="N1658">
        <v>1</v>
      </c>
      <c r="O1658" t="s">
        <v>984</v>
      </c>
      <c r="P1658">
        <v>0.12</v>
      </c>
      <c r="Q1658" t="s">
        <v>135</v>
      </c>
      <c r="R1658">
        <v>11.1</v>
      </c>
      <c r="S1658">
        <v>44.4</v>
      </c>
      <c r="T1658">
        <v>11.1</v>
      </c>
      <c r="U1658">
        <v>11.1</v>
      </c>
      <c r="V1658">
        <v>22.2</v>
      </c>
    </row>
    <row r="1659" spans="1:22" x14ac:dyDescent="0.25">
      <c r="A1659" t="s">
        <v>1030</v>
      </c>
      <c r="B1659" t="s">
        <v>947</v>
      </c>
      <c r="C1659">
        <v>16</v>
      </c>
      <c r="D1659" t="s">
        <v>78</v>
      </c>
      <c r="E1659" t="s">
        <v>26</v>
      </c>
      <c r="F1659" t="s">
        <v>41</v>
      </c>
      <c r="G1659">
        <v>0.94</v>
      </c>
      <c r="H1659" t="s">
        <v>26</v>
      </c>
      <c r="I1659">
        <v>0</v>
      </c>
      <c r="J1659" s="4" t="str">
        <f>HYPERLINK("https://www.eliteprospects.com/player/413511/jack-wismer")</f>
        <v>https://www.eliteprospects.com/player/413511/jack-wismer</v>
      </c>
      <c r="K1659" t="s">
        <v>27</v>
      </c>
      <c r="L1659" t="s">
        <v>918</v>
      </c>
      <c r="M1659" t="s">
        <v>29</v>
      </c>
      <c r="N1659">
        <v>5</v>
      </c>
      <c r="O1659" t="s">
        <v>955</v>
      </c>
      <c r="P1659">
        <v>0.12</v>
      </c>
      <c r="Q1659" t="s">
        <v>135</v>
      </c>
      <c r="R1659">
        <v>11.1</v>
      </c>
      <c r="S1659">
        <v>44.4</v>
      </c>
      <c r="T1659">
        <v>11.1</v>
      </c>
      <c r="U1659">
        <v>11.1</v>
      </c>
      <c r="V1659">
        <v>22.2</v>
      </c>
    </row>
    <row r="1660" spans="1:22" x14ac:dyDescent="0.25">
      <c r="A1660" t="s">
        <v>1075</v>
      </c>
      <c r="B1660" t="s">
        <v>947</v>
      </c>
      <c r="C1660">
        <v>14</v>
      </c>
      <c r="D1660" t="s">
        <v>96</v>
      </c>
      <c r="E1660" t="s">
        <v>78</v>
      </c>
      <c r="F1660" t="s">
        <v>23</v>
      </c>
      <c r="G1660">
        <v>0.86</v>
      </c>
      <c r="H1660" t="s">
        <v>75</v>
      </c>
      <c r="I1660">
        <v>0</v>
      </c>
      <c r="J1660" s="4" t="str">
        <f>HYPERLINK("https://www.eliteprospects.com/player/438091/anthony-tabak")</f>
        <v>https://www.eliteprospects.com/player/438091/anthony-tabak</v>
      </c>
      <c r="K1660" t="s">
        <v>27</v>
      </c>
      <c r="L1660" t="s">
        <v>918</v>
      </c>
      <c r="M1660" t="s">
        <v>91</v>
      </c>
      <c r="N1660">
        <v>5</v>
      </c>
      <c r="O1660" t="s">
        <v>935</v>
      </c>
      <c r="P1660">
        <v>0.11</v>
      </c>
      <c r="Q1660" t="s">
        <v>135</v>
      </c>
      <c r="R1660">
        <v>20</v>
      </c>
      <c r="S1660">
        <v>40</v>
      </c>
      <c r="T1660">
        <v>0</v>
      </c>
      <c r="U1660">
        <v>20</v>
      </c>
      <c r="V1660">
        <v>20</v>
      </c>
    </row>
    <row r="1661" spans="1:22" x14ac:dyDescent="0.25">
      <c r="A1661" t="s">
        <v>1111</v>
      </c>
      <c r="B1661" t="s">
        <v>947</v>
      </c>
      <c r="C1661">
        <v>14</v>
      </c>
      <c r="D1661" t="s">
        <v>140</v>
      </c>
      <c r="E1661" t="s">
        <v>78</v>
      </c>
      <c r="F1661" t="s">
        <v>32</v>
      </c>
      <c r="G1661">
        <v>0.71</v>
      </c>
      <c r="H1661" t="s">
        <v>66</v>
      </c>
      <c r="I1661">
        <v>0</v>
      </c>
      <c r="J1661" s="4" t="str">
        <f>HYPERLINK("https://www.eliteprospects.com/player/582735/julien-gervais")</f>
        <v>https://www.eliteprospects.com/player/582735/julien-gervais</v>
      </c>
      <c r="K1661" t="s">
        <v>27</v>
      </c>
      <c r="L1661" t="s">
        <v>918</v>
      </c>
      <c r="M1661" t="s">
        <v>35</v>
      </c>
      <c r="N1661">
        <v>1</v>
      </c>
      <c r="O1661" t="s">
        <v>984</v>
      </c>
      <c r="P1661">
        <v>0.09</v>
      </c>
      <c r="Q1661" t="s">
        <v>1277</v>
      </c>
      <c r="R1661">
        <v>16.7</v>
      </c>
      <c r="S1661">
        <v>16.7</v>
      </c>
      <c r="T1661">
        <v>25</v>
      </c>
      <c r="U1661">
        <v>16.7</v>
      </c>
      <c r="V1661">
        <v>25</v>
      </c>
    </row>
    <row r="1662" spans="1:22" x14ac:dyDescent="0.25">
      <c r="A1662" t="s">
        <v>1142</v>
      </c>
      <c r="B1662" t="s">
        <v>947</v>
      </c>
      <c r="C1662">
        <v>11</v>
      </c>
      <c r="D1662" t="s">
        <v>66</v>
      </c>
      <c r="E1662" t="s">
        <v>140</v>
      </c>
      <c r="F1662" t="s">
        <v>78</v>
      </c>
      <c r="G1662">
        <v>0.64</v>
      </c>
      <c r="H1662" t="s">
        <v>132</v>
      </c>
      <c r="I1662">
        <v>0</v>
      </c>
      <c r="J1662" s="4" t="str">
        <f>HYPERLINK("https://www.eliteprospects.com/player/372072/chase-lammi")</f>
        <v>https://www.eliteprospects.com/player/372072/chase-lammi</v>
      </c>
      <c r="K1662" t="s">
        <v>27</v>
      </c>
      <c r="L1662" t="s">
        <v>918</v>
      </c>
      <c r="M1662" t="s">
        <v>91</v>
      </c>
      <c r="N1662">
        <v>2</v>
      </c>
      <c r="O1662" t="s">
        <v>1021</v>
      </c>
      <c r="P1662">
        <v>0.08</v>
      </c>
      <c r="Q1662" t="s">
        <v>1277</v>
      </c>
      <c r="R1662">
        <v>16.7</v>
      </c>
      <c r="S1662">
        <v>16.7</v>
      </c>
      <c r="T1662">
        <v>25</v>
      </c>
      <c r="U1662">
        <v>16.7</v>
      </c>
      <c r="V1662">
        <v>25</v>
      </c>
    </row>
    <row r="1663" spans="1:22" x14ac:dyDescent="0.25">
      <c r="A1663" t="s">
        <v>1201</v>
      </c>
      <c r="B1663" t="s">
        <v>947</v>
      </c>
      <c r="C1663">
        <v>15</v>
      </c>
      <c r="D1663" t="s">
        <v>79</v>
      </c>
      <c r="E1663" t="s">
        <v>79</v>
      </c>
      <c r="F1663" t="s">
        <v>66</v>
      </c>
      <c r="G1663">
        <v>0.27</v>
      </c>
      <c r="H1663" t="s">
        <v>66</v>
      </c>
      <c r="I1663">
        <v>0</v>
      </c>
      <c r="J1663" s="4" t="str">
        <f>HYPERLINK("https://www.eliteprospects.com/player/739341/kaeden-johnston")</f>
        <v>https://www.eliteprospects.com/player/739341/kaeden-johnston</v>
      </c>
      <c r="K1663" t="s">
        <v>27</v>
      </c>
      <c r="L1663" t="s">
        <v>918</v>
      </c>
      <c r="M1663" t="s">
        <v>35</v>
      </c>
      <c r="N1663">
        <v>5</v>
      </c>
      <c r="O1663" t="s">
        <v>1008</v>
      </c>
      <c r="P1663">
        <v>0.03</v>
      </c>
      <c r="Q1663" t="s">
        <v>245</v>
      </c>
      <c r="R1663">
        <v>9.1</v>
      </c>
      <c r="S1663">
        <v>18.2</v>
      </c>
      <c r="T1663">
        <v>9.1</v>
      </c>
      <c r="U1663">
        <v>13.6</v>
      </c>
      <c r="V1663">
        <v>50</v>
      </c>
    </row>
    <row r="1664" spans="1:22" x14ac:dyDescent="0.25">
      <c r="A1664" t="s">
        <v>1208</v>
      </c>
      <c r="B1664" t="s">
        <v>947</v>
      </c>
      <c r="C1664">
        <v>10</v>
      </c>
      <c r="D1664" t="s">
        <v>260</v>
      </c>
      <c r="E1664" t="s">
        <v>140</v>
      </c>
      <c r="F1664" t="s">
        <v>66</v>
      </c>
      <c r="G1664">
        <v>0.4</v>
      </c>
      <c r="H1664" t="s">
        <v>55</v>
      </c>
      <c r="I1664">
        <v>0</v>
      </c>
      <c r="J1664" s="4" t="str">
        <f>HYPERLINK("https://www.eliteprospects.com/player/582577/nolan-forster")</f>
        <v>https://www.eliteprospects.com/player/582577/nolan-forster</v>
      </c>
      <c r="K1664" t="s">
        <v>27</v>
      </c>
      <c r="L1664" t="s">
        <v>918</v>
      </c>
      <c r="M1664" t="s">
        <v>29</v>
      </c>
      <c r="N1664">
        <v>6</v>
      </c>
      <c r="O1664" t="s">
        <v>1209</v>
      </c>
      <c r="P1664">
        <v>0.05</v>
      </c>
      <c r="Q1664" t="s">
        <v>245</v>
      </c>
      <c r="R1664">
        <v>9.1</v>
      </c>
      <c r="S1664">
        <v>18.2</v>
      </c>
      <c r="T1664">
        <v>9.1</v>
      </c>
      <c r="U1664">
        <v>13.6</v>
      </c>
      <c r="V1664">
        <v>50</v>
      </c>
    </row>
    <row r="1665" spans="1:22" x14ac:dyDescent="0.25">
      <c r="A1665" t="s">
        <v>1221</v>
      </c>
      <c r="B1665" t="s">
        <v>947</v>
      </c>
      <c r="C1665">
        <v>15</v>
      </c>
      <c r="D1665" t="s">
        <v>79</v>
      </c>
      <c r="E1665" t="s">
        <v>260</v>
      </c>
      <c r="F1665" t="s">
        <v>140</v>
      </c>
      <c r="G1665">
        <v>0.2</v>
      </c>
      <c r="H1665" t="s">
        <v>66</v>
      </c>
      <c r="I1665">
        <v>0</v>
      </c>
      <c r="J1665" s="4" t="str">
        <f>HYPERLINK("https://www.eliteprospects.com/player/417991/giordano-biondi")</f>
        <v>https://www.eliteprospects.com/player/417991/giordano-biondi</v>
      </c>
      <c r="K1665" t="s">
        <v>27</v>
      </c>
      <c r="L1665" t="s">
        <v>918</v>
      </c>
      <c r="M1665" t="s">
        <v>91</v>
      </c>
      <c r="N1665">
        <v>5</v>
      </c>
      <c r="O1665" t="s">
        <v>935</v>
      </c>
      <c r="P1665">
        <v>0.02</v>
      </c>
      <c r="Q1665" t="s">
        <v>245</v>
      </c>
      <c r="R1665">
        <v>9.1</v>
      </c>
      <c r="S1665">
        <v>18.2</v>
      </c>
      <c r="T1665">
        <v>9.1</v>
      </c>
      <c r="U1665">
        <v>13.6</v>
      </c>
      <c r="V1665">
        <v>50</v>
      </c>
    </row>
    <row r="1666" spans="1:22" x14ac:dyDescent="0.25">
      <c r="A1666" t="s">
        <v>1229</v>
      </c>
      <c r="B1666" t="s">
        <v>947</v>
      </c>
      <c r="C1666">
        <v>10</v>
      </c>
      <c r="D1666" t="s">
        <v>260</v>
      </c>
      <c r="E1666" t="s">
        <v>79</v>
      </c>
      <c r="F1666" t="s">
        <v>140</v>
      </c>
      <c r="G1666">
        <v>0.3</v>
      </c>
      <c r="H1666" t="s">
        <v>66</v>
      </c>
      <c r="I1666">
        <v>0</v>
      </c>
      <c r="J1666" s="4" t="str">
        <f>HYPERLINK("https://www.eliteprospects.com/player/506252/justin-barker")</f>
        <v>https://www.eliteprospects.com/player/506252/justin-barker</v>
      </c>
      <c r="K1666" t="s">
        <v>27</v>
      </c>
      <c r="L1666" t="s">
        <v>918</v>
      </c>
      <c r="M1666" t="s">
        <v>29</v>
      </c>
      <c r="N1666">
        <v>3</v>
      </c>
      <c r="O1666" t="s">
        <v>1039</v>
      </c>
      <c r="P1666">
        <v>0.04</v>
      </c>
      <c r="Q1666" t="s">
        <v>245</v>
      </c>
      <c r="R1666">
        <v>9.1</v>
      </c>
      <c r="S1666">
        <v>18.2</v>
      </c>
      <c r="T1666">
        <v>9.1</v>
      </c>
      <c r="U1666">
        <v>13.6</v>
      </c>
      <c r="V1666">
        <v>50</v>
      </c>
    </row>
    <row r="1667" spans="1:22" x14ac:dyDescent="0.25">
      <c r="A1667" t="s">
        <v>1258</v>
      </c>
      <c r="B1667" t="s">
        <v>947</v>
      </c>
      <c r="C1667">
        <v>13</v>
      </c>
      <c r="D1667" t="s">
        <v>260</v>
      </c>
      <c r="E1667" t="s">
        <v>260</v>
      </c>
      <c r="F1667" t="s">
        <v>79</v>
      </c>
      <c r="G1667">
        <v>0.15</v>
      </c>
      <c r="H1667" t="s">
        <v>38</v>
      </c>
      <c r="I1667">
        <v>0</v>
      </c>
      <c r="J1667" s="4" t="str">
        <f>HYPERLINK("https://www.eliteprospects.com/player/360056/cole-craft")</f>
        <v>https://www.eliteprospects.com/player/360056/cole-craft</v>
      </c>
      <c r="K1667" t="s">
        <v>27</v>
      </c>
      <c r="L1667" t="s">
        <v>918</v>
      </c>
      <c r="M1667" t="s">
        <v>29</v>
      </c>
      <c r="N1667">
        <v>5</v>
      </c>
      <c r="O1667" t="s">
        <v>1259</v>
      </c>
      <c r="P1667">
        <v>0.02</v>
      </c>
      <c r="Q1667" t="s">
        <v>245</v>
      </c>
      <c r="R1667">
        <v>9.1</v>
      </c>
      <c r="S1667">
        <v>18.2</v>
      </c>
      <c r="T1667">
        <v>9.1</v>
      </c>
      <c r="U1667">
        <v>13.6</v>
      </c>
      <c r="V1667">
        <v>50</v>
      </c>
    </row>
    <row r="1668" spans="1:22" x14ac:dyDescent="0.25">
      <c r="A1668" t="s">
        <v>58</v>
      </c>
      <c r="B1668" t="s">
        <v>59</v>
      </c>
      <c r="C1668">
        <v>21</v>
      </c>
      <c r="D1668" t="s">
        <v>60</v>
      </c>
      <c r="E1668" t="s">
        <v>32</v>
      </c>
      <c r="F1668" t="s">
        <v>61</v>
      </c>
      <c r="G1668">
        <v>1.29</v>
      </c>
      <c r="H1668" t="s">
        <v>23</v>
      </c>
      <c r="I1668">
        <v>4</v>
      </c>
      <c r="J1668" s="4" t="str">
        <f>HYPERLINK("https://www.eliteprospects.com/player/597533/justin-poirier")</f>
        <v>https://www.eliteprospects.com/player/597533/justin-poirier</v>
      </c>
      <c r="K1668" t="s">
        <v>27</v>
      </c>
      <c r="L1668" t="s">
        <v>28</v>
      </c>
      <c r="M1668" t="s">
        <v>29</v>
      </c>
      <c r="N1668">
        <v>4</v>
      </c>
      <c r="O1668" t="s">
        <v>62</v>
      </c>
      <c r="P1668">
        <v>0.25</v>
      </c>
      <c r="Q1668" t="s">
        <v>135</v>
      </c>
      <c r="R1668">
        <v>25</v>
      </c>
      <c r="S1668">
        <v>50</v>
      </c>
      <c r="T1668">
        <v>0</v>
      </c>
      <c r="U1668">
        <v>0</v>
      </c>
      <c r="V1668">
        <v>25</v>
      </c>
    </row>
    <row r="1669" spans="1:22" x14ac:dyDescent="0.25">
      <c r="A1669" t="s">
        <v>153</v>
      </c>
      <c r="B1669" t="s">
        <v>59</v>
      </c>
      <c r="C1669">
        <v>19</v>
      </c>
      <c r="D1669" t="s">
        <v>32</v>
      </c>
      <c r="E1669" t="s">
        <v>57</v>
      </c>
      <c r="F1669" t="s">
        <v>38</v>
      </c>
      <c r="G1669">
        <v>0.84</v>
      </c>
      <c r="H1669" t="s">
        <v>57</v>
      </c>
      <c r="I1669">
        <v>2</v>
      </c>
      <c r="J1669" s="4" t="str">
        <f>HYPERLINK("https://www.eliteprospects.com/player/573985/josh-nadeau")</f>
        <v>https://www.eliteprospects.com/player/573985/josh-nadeau</v>
      </c>
      <c r="K1669" t="s">
        <v>27</v>
      </c>
      <c r="L1669" t="s">
        <v>28</v>
      </c>
      <c r="M1669" t="s">
        <v>48</v>
      </c>
      <c r="N1669">
        <v>3</v>
      </c>
      <c r="O1669" t="s">
        <v>74</v>
      </c>
      <c r="P1669">
        <v>0.16</v>
      </c>
      <c r="Q1669" t="s">
        <v>1277</v>
      </c>
      <c r="R1669">
        <v>0</v>
      </c>
      <c r="S1669">
        <v>33.299999999999997</v>
      </c>
      <c r="T1669">
        <v>50</v>
      </c>
      <c r="U1669">
        <v>16.7</v>
      </c>
      <c r="V1669">
        <v>0</v>
      </c>
    </row>
    <row r="1670" spans="1:22" x14ac:dyDescent="0.25">
      <c r="A1670" t="s">
        <v>164</v>
      </c>
      <c r="B1670" t="s">
        <v>59</v>
      </c>
      <c r="C1670">
        <v>20</v>
      </c>
      <c r="D1670" t="s">
        <v>57</v>
      </c>
      <c r="E1670" t="s">
        <v>32</v>
      </c>
      <c r="F1670" t="s">
        <v>38</v>
      </c>
      <c r="G1670">
        <v>0.8</v>
      </c>
      <c r="H1670" t="s">
        <v>26</v>
      </c>
      <c r="I1670">
        <v>17</v>
      </c>
      <c r="J1670" s="4" t="str">
        <f>HYPERLINK("https://www.eliteprospects.com/player/692787/miguel-marques")</f>
        <v>https://www.eliteprospects.com/player/692787/miguel-marques</v>
      </c>
      <c r="K1670" t="s">
        <v>27</v>
      </c>
      <c r="L1670" t="s">
        <v>28</v>
      </c>
      <c r="M1670" t="s">
        <v>29</v>
      </c>
      <c r="N1670">
        <v>5</v>
      </c>
      <c r="O1670" t="s">
        <v>152</v>
      </c>
      <c r="P1670">
        <v>0.16</v>
      </c>
      <c r="Q1670" t="s">
        <v>31</v>
      </c>
      <c r="R1670">
        <v>36.700000000000003</v>
      </c>
      <c r="S1670">
        <v>36.700000000000003</v>
      </c>
      <c r="T1670">
        <v>0</v>
      </c>
      <c r="U1670">
        <v>0</v>
      </c>
      <c r="V1670">
        <v>26.7</v>
      </c>
    </row>
    <row r="1671" spans="1:22" x14ac:dyDescent="0.25">
      <c r="A1671" t="s">
        <v>204</v>
      </c>
      <c r="B1671" t="s">
        <v>59</v>
      </c>
      <c r="C1671">
        <v>21</v>
      </c>
      <c r="D1671" t="s">
        <v>78</v>
      </c>
      <c r="E1671" t="s">
        <v>57</v>
      </c>
      <c r="F1671" t="s">
        <v>65</v>
      </c>
      <c r="G1671">
        <v>0.62</v>
      </c>
      <c r="H1671" t="s">
        <v>24</v>
      </c>
      <c r="I1671">
        <v>11</v>
      </c>
      <c r="J1671" s="4" t="str">
        <f>HYPERLINK("https://www.eliteprospects.com/player/585378/owen-fowler")</f>
        <v>https://www.eliteprospects.com/player/585378/owen-fowler</v>
      </c>
      <c r="K1671" t="s">
        <v>27</v>
      </c>
      <c r="L1671" t="s">
        <v>28</v>
      </c>
      <c r="M1671" t="s">
        <v>91</v>
      </c>
      <c r="N1671">
        <v>4</v>
      </c>
      <c r="O1671" t="s">
        <v>30</v>
      </c>
      <c r="P1671">
        <v>0.12</v>
      </c>
      <c r="Q1671" t="s">
        <v>135</v>
      </c>
      <c r="R1671">
        <v>22.7</v>
      </c>
      <c r="S1671">
        <v>36.4</v>
      </c>
      <c r="T1671">
        <v>9.1</v>
      </c>
      <c r="U1671">
        <v>0</v>
      </c>
      <c r="V1671">
        <v>31.8</v>
      </c>
    </row>
    <row r="1672" spans="1:22" x14ac:dyDescent="0.25">
      <c r="A1672" t="s">
        <v>212</v>
      </c>
      <c r="B1672" t="s">
        <v>59</v>
      </c>
      <c r="C1672">
        <v>20</v>
      </c>
      <c r="D1672" t="s">
        <v>140</v>
      </c>
      <c r="E1672" t="s">
        <v>32</v>
      </c>
      <c r="F1672" t="s">
        <v>65</v>
      </c>
      <c r="G1672">
        <v>0.65</v>
      </c>
      <c r="H1672" t="s">
        <v>23</v>
      </c>
      <c r="I1672">
        <v>6</v>
      </c>
      <c r="J1672" s="4" t="str">
        <f>HYPERLINK("https://www.eliteprospects.com/player/417322/max-scott")</f>
        <v>https://www.eliteprospects.com/player/417322/max-scott</v>
      </c>
      <c r="K1672" t="s">
        <v>27</v>
      </c>
      <c r="L1672" t="s">
        <v>28</v>
      </c>
      <c r="M1672" t="s">
        <v>35</v>
      </c>
      <c r="N1672">
        <v>3</v>
      </c>
      <c r="O1672" t="s">
        <v>74</v>
      </c>
      <c r="P1672">
        <v>0.13</v>
      </c>
      <c r="Q1672" t="s">
        <v>135</v>
      </c>
      <c r="R1672">
        <v>22.7</v>
      </c>
      <c r="S1672">
        <v>36.4</v>
      </c>
      <c r="T1672">
        <v>9.1</v>
      </c>
      <c r="U1672">
        <v>0</v>
      </c>
      <c r="V1672">
        <v>31.8</v>
      </c>
    </row>
    <row r="1673" spans="1:22" x14ac:dyDescent="0.25">
      <c r="A1673" t="s">
        <v>230</v>
      </c>
      <c r="B1673" t="s">
        <v>59</v>
      </c>
      <c r="C1673">
        <v>21</v>
      </c>
      <c r="D1673" t="s">
        <v>96</v>
      </c>
      <c r="E1673" t="s">
        <v>78</v>
      </c>
      <c r="F1673" t="s">
        <v>23</v>
      </c>
      <c r="G1673">
        <v>0.56999999999999995</v>
      </c>
      <c r="H1673" t="s">
        <v>24</v>
      </c>
      <c r="I1673">
        <v>4</v>
      </c>
      <c r="J1673" s="4" t="str">
        <f>HYPERLINK("https://www.eliteprospects.com/player/500521/charlie-russell")</f>
        <v>https://www.eliteprospects.com/player/500521/charlie-russell</v>
      </c>
      <c r="K1673" t="s">
        <v>27</v>
      </c>
      <c r="L1673" t="s">
        <v>28</v>
      </c>
      <c r="M1673" t="s">
        <v>35</v>
      </c>
      <c r="N1673">
        <v>3</v>
      </c>
      <c r="O1673" t="s">
        <v>74</v>
      </c>
      <c r="P1673">
        <v>0.11</v>
      </c>
      <c r="Q1673" t="s">
        <v>135</v>
      </c>
      <c r="R1673">
        <v>20</v>
      </c>
      <c r="S1673">
        <v>40</v>
      </c>
      <c r="T1673">
        <v>20</v>
      </c>
      <c r="U1673">
        <v>0</v>
      </c>
      <c r="V1673">
        <v>20</v>
      </c>
    </row>
    <row r="1674" spans="1:22" x14ac:dyDescent="0.25">
      <c r="A1674" t="s">
        <v>252</v>
      </c>
      <c r="B1674" t="s">
        <v>59</v>
      </c>
      <c r="C1674">
        <v>21</v>
      </c>
      <c r="D1674" t="s">
        <v>66</v>
      </c>
      <c r="E1674" t="s">
        <v>78</v>
      </c>
      <c r="F1674" t="s">
        <v>69</v>
      </c>
      <c r="G1674">
        <v>0.52</v>
      </c>
      <c r="H1674" t="s">
        <v>38</v>
      </c>
      <c r="I1674">
        <v>10</v>
      </c>
      <c r="J1674" s="4" t="str">
        <f>HYPERLINK("https://www.eliteprospects.com/player/654925/sully-scholle")</f>
        <v>https://www.eliteprospects.com/player/654925/sully-scholle</v>
      </c>
      <c r="K1674" t="s">
        <v>27</v>
      </c>
      <c r="L1674" t="s">
        <v>28</v>
      </c>
      <c r="M1674" t="s">
        <v>35</v>
      </c>
      <c r="N1674">
        <v>3</v>
      </c>
      <c r="O1674" t="s">
        <v>74</v>
      </c>
      <c r="P1674">
        <v>0.1</v>
      </c>
      <c r="Q1674" t="s">
        <v>31</v>
      </c>
      <c r="R1674">
        <v>37.5</v>
      </c>
      <c r="S1674">
        <v>12.5</v>
      </c>
      <c r="T1674">
        <v>12.5</v>
      </c>
      <c r="U1674">
        <v>12.5</v>
      </c>
      <c r="V1674">
        <v>25</v>
      </c>
    </row>
    <row r="1675" spans="1:22" x14ac:dyDescent="0.25">
      <c r="A1675" t="s">
        <v>274</v>
      </c>
      <c r="B1675" t="s">
        <v>59</v>
      </c>
      <c r="C1675">
        <v>19</v>
      </c>
      <c r="D1675" t="s">
        <v>66</v>
      </c>
      <c r="E1675" t="s">
        <v>57</v>
      </c>
      <c r="F1675" t="s">
        <v>32</v>
      </c>
      <c r="G1675">
        <v>0.53</v>
      </c>
      <c r="H1675" t="s">
        <v>79</v>
      </c>
      <c r="I1675">
        <v>6</v>
      </c>
      <c r="J1675" s="4" t="str">
        <f>HYPERLINK("https://www.eliteprospects.com/player/622813/thomas-pichette")</f>
        <v>https://www.eliteprospects.com/player/622813/thomas-pichette</v>
      </c>
      <c r="K1675" t="s">
        <v>27</v>
      </c>
      <c r="L1675" t="s">
        <v>28</v>
      </c>
      <c r="M1675" t="s">
        <v>42</v>
      </c>
      <c r="N1675">
        <v>2</v>
      </c>
      <c r="O1675" t="s">
        <v>43</v>
      </c>
      <c r="P1675">
        <v>0.1</v>
      </c>
      <c r="Q1675" t="s">
        <v>31</v>
      </c>
      <c r="R1675">
        <v>37.5</v>
      </c>
      <c r="S1675">
        <v>12.5</v>
      </c>
      <c r="T1675">
        <v>12.5</v>
      </c>
      <c r="U1675">
        <v>12.5</v>
      </c>
      <c r="V1675">
        <v>25</v>
      </c>
    </row>
    <row r="1676" spans="1:22" x14ac:dyDescent="0.25">
      <c r="A1676" t="s">
        <v>275</v>
      </c>
      <c r="B1676" t="s">
        <v>59</v>
      </c>
      <c r="C1676">
        <v>20</v>
      </c>
      <c r="D1676" t="s">
        <v>66</v>
      </c>
      <c r="E1676" t="s">
        <v>57</v>
      </c>
      <c r="F1676" t="s">
        <v>32</v>
      </c>
      <c r="G1676">
        <v>0.5</v>
      </c>
      <c r="H1676" t="s">
        <v>57</v>
      </c>
      <c r="I1676">
        <v>3</v>
      </c>
      <c r="J1676" s="4" t="str">
        <f>HYPERLINK("https://www.eliteprospects.com/player/336752/thomas-freel")</f>
        <v>https://www.eliteprospects.com/player/336752/thomas-freel</v>
      </c>
      <c r="K1676" t="s">
        <v>27</v>
      </c>
      <c r="L1676" t="s">
        <v>28</v>
      </c>
      <c r="M1676" t="s">
        <v>42</v>
      </c>
      <c r="N1676">
        <v>4</v>
      </c>
      <c r="O1676" t="s">
        <v>30</v>
      </c>
      <c r="P1676">
        <v>0.1</v>
      </c>
      <c r="Q1676" t="s">
        <v>245</v>
      </c>
      <c r="R1676">
        <v>20</v>
      </c>
      <c r="S1676">
        <v>20</v>
      </c>
      <c r="T1676">
        <v>20</v>
      </c>
      <c r="U1676">
        <v>0</v>
      </c>
      <c r="V1676">
        <v>40</v>
      </c>
    </row>
    <row r="1677" spans="1:22" x14ac:dyDescent="0.25">
      <c r="A1677" t="s">
        <v>325</v>
      </c>
      <c r="B1677" t="s">
        <v>59</v>
      </c>
      <c r="C1677">
        <v>19</v>
      </c>
      <c r="D1677" t="s">
        <v>140</v>
      </c>
      <c r="E1677" t="s">
        <v>96</v>
      </c>
      <c r="F1677" t="s">
        <v>26</v>
      </c>
      <c r="G1677">
        <v>0.42</v>
      </c>
      <c r="H1677" t="s">
        <v>46</v>
      </c>
      <c r="I1677">
        <v>5</v>
      </c>
      <c r="J1677" s="4" t="str">
        <f>HYPERLINK("https://www.eliteprospects.com/player/585619/jaden-lipinski")</f>
        <v>https://www.eliteprospects.com/player/585619/jaden-lipinski</v>
      </c>
      <c r="K1677" t="s">
        <v>27</v>
      </c>
      <c r="L1677" t="s">
        <v>28</v>
      </c>
      <c r="M1677" t="s">
        <v>87</v>
      </c>
      <c r="N1677">
        <v>5</v>
      </c>
      <c r="O1677" t="s">
        <v>152</v>
      </c>
      <c r="P1677">
        <v>0.08</v>
      </c>
      <c r="Q1677" t="s">
        <v>31</v>
      </c>
      <c r="R1677">
        <v>33.299999999999997</v>
      </c>
      <c r="S1677">
        <v>8.3000000000000007</v>
      </c>
      <c r="T1677">
        <v>33.299999999999997</v>
      </c>
      <c r="U1677">
        <v>8.3000000000000007</v>
      </c>
      <c r="V1677">
        <v>16.7</v>
      </c>
    </row>
    <row r="1678" spans="1:22" x14ac:dyDescent="0.25">
      <c r="A1678" t="s">
        <v>364</v>
      </c>
      <c r="B1678" t="s">
        <v>59</v>
      </c>
      <c r="C1678">
        <v>21</v>
      </c>
      <c r="D1678" t="s">
        <v>140</v>
      </c>
      <c r="E1678" t="s">
        <v>140</v>
      </c>
      <c r="F1678" t="s">
        <v>57</v>
      </c>
      <c r="G1678">
        <v>0.28999999999999998</v>
      </c>
      <c r="H1678" t="s">
        <v>79</v>
      </c>
      <c r="I1678">
        <v>3</v>
      </c>
      <c r="J1678" s="4" t="str">
        <f>HYPERLINK("https://www.eliteprospects.com/player/562249/will-gerrior")</f>
        <v>https://www.eliteprospects.com/player/562249/will-gerrior</v>
      </c>
      <c r="K1678" t="s">
        <v>27</v>
      </c>
      <c r="L1678" t="s">
        <v>28</v>
      </c>
      <c r="M1678" t="s">
        <v>91</v>
      </c>
      <c r="N1678">
        <v>5</v>
      </c>
      <c r="O1678" t="s">
        <v>147</v>
      </c>
      <c r="P1678">
        <v>0.06</v>
      </c>
      <c r="Q1678" t="s">
        <v>245</v>
      </c>
      <c r="R1678">
        <v>14.3</v>
      </c>
      <c r="S1678">
        <v>28.6</v>
      </c>
      <c r="T1678">
        <v>0</v>
      </c>
      <c r="U1678">
        <v>14.3</v>
      </c>
      <c r="V1678">
        <v>42.9</v>
      </c>
    </row>
    <row r="1679" spans="1:22" x14ac:dyDescent="0.25">
      <c r="A1679" t="s">
        <v>378</v>
      </c>
      <c r="B1679" t="s">
        <v>59</v>
      </c>
      <c r="C1679">
        <v>18</v>
      </c>
      <c r="D1679" t="s">
        <v>140</v>
      </c>
      <c r="E1679" t="s">
        <v>79</v>
      </c>
      <c r="F1679" t="s">
        <v>96</v>
      </c>
      <c r="G1679">
        <v>0.28000000000000003</v>
      </c>
      <c r="H1679" t="s">
        <v>65</v>
      </c>
      <c r="I1679">
        <v>3</v>
      </c>
      <c r="J1679" s="4" t="str">
        <f>HYPERLINK("https://www.eliteprospects.com/player/487974/oskar-komarov")</f>
        <v>https://www.eliteprospects.com/player/487974/oskar-komarov</v>
      </c>
      <c r="K1679" t="s">
        <v>27</v>
      </c>
      <c r="L1679" t="s">
        <v>28</v>
      </c>
      <c r="M1679" t="s">
        <v>29</v>
      </c>
      <c r="N1679">
        <v>2</v>
      </c>
      <c r="O1679" t="s">
        <v>43</v>
      </c>
      <c r="P1679">
        <v>0.05</v>
      </c>
      <c r="Q1679" t="s">
        <v>245</v>
      </c>
      <c r="R1679">
        <v>0</v>
      </c>
      <c r="S1679">
        <v>0</v>
      </c>
      <c r="T1679">
        <v>0</v>
      </c>
      <c r="U1679">
        <v>0</v>
      </c>
      <c r="V1679">
        <v>100</v>
      </c>
    </row>
    <row r="1680" spans="1:22" x14ac:dyDescent="0.25">
      <c r="A1680" t="s">
        <v>1048</v>
      </c>
      <c r="B1680" t="s">
        <v>1049</v>
      </c>
      <c r="C1680">
        <v>15</v>
      </c>
      <c r="D1680" t="s">
        <v>66</v>
      </c>
      <c r="E1680" t="s">
        <v>32</v>
      </c>
      <c r="F1680" t="s">
        <v>39</v>
      </c>
      <c r="G1680">
        <v>0.93</v>
      </c>
      <c r="H1680" t="s">
        <v>39</v>
      </c>
      <c r="I1680">
        <v>-2</v>
      </c>
      <c r="J1680" s="4" t="str">
        <f>HYPERLINK("https://www.eliteprospects.com/player/483412/skyler-bruce")</f>
        <v>https://www.eliteprospects.com/player/483412/skyler-bruce</v>
      </c>
      <c r="K1680" t="s">
        <v>27</v>
      </c>
      <c r="L1680" t="s">
        <v>918</v>
      </c>
      <c r="M1680" t="s">
        <v>29</v>
      </c>
      <c r="N1680">
        <v>6</v>
      </c>
      <c r="O1680" t="s">
        <v>950</v>
      </c>
      <c r="P1680">
        <v>0.12</v>
      </c>
      <c r="Q1680" t="s">
        <v>135</v>
      </c>
      <c r="R1680">
        <v>11.1</v>
      </c>
      <c r="S1680">
        <v>44.4</v>
      </c>
      <c r="T1680">
        <v>11.1</v>
      </c>
      <c r="U1680">
        <v>11.1</v>
      </c>
      <c r="V1680">
        <v>22.2</v>
      </c>
    </row>
    <row r="1681" spans="1:22" x14ac:dyDescent="0.25">
      <c r="A1681" t="s">
        <v>1080</v>
      </c>
      <c r="B1681" t="s">
        <v>1049</v>
      </c>
      <c r="C1681">
        <v>15</v>
      </c>
      <c r="D1681" t="s">
        <v>140</v>
      </c>
      <c r="E1681" t="s">
        <v>45</v>
      </c>
      <c r="F1681" t="s">
        <v>23</v>
      </c>
      <c r="G1681">
        <v>0.8</v>
      </c>
      <c r="H1681" t="s">
        <v>79</v>
      </c>
      <c r="I1681">
        <v>-5</v>
      </c>
      <c r="J1681" s="4" t="str">
        <f>HYPERLINK("https://www.eliteprospects.com/player/483379/dawson-pasternak")</f>
        <v>https://www.eliteprospects.com/player/483379/dawson-pasternak</v>
      </c>
      <c r="K1681" t="s">
        <v>27</v>
      </c>
      <c r="L1681" t="s">
        <v>918</v>
      </c>
      <c r="M1681" t="s">
        <v>35</v>
      </c>
      <c r="N1681">
        <v>4</v>
      </c>
      <c r="O1681" t="s">
        <v>978</v>
      </c>
      <c r="P1681">
        <v>0.1</v>
      </c>
      <c r="Q1681" t="s">
        <v>245</v>
      </c>
      <c r="R1681">
        <v>0</v>
      </c>
      <c r="S1681">
        <v>33.299999999999997</v>
      </c>
      <c r="T1681">
        <v>0</v>
      </c>
      <c r="U1681">
        <v>0</v>
      </c>
      <c r="V1681">
        <v>66.7</v>
      </c>
    </row>
    <row r="1682" spans="1:22" x14ac:dyDescent="0.25">
      <c r="A1682" t="s">
        <v>1091</v>
      </c>
      <c r="B1682" t="s">
        <v>1049</v>
      </c>
      <c r="C1682">
        <v>16</v>
      </c>
      <c r="D1682" t="s">
        <v>96</v>
      </c>
      <c r="E1682" t="s">
        <v>57</v>
      </c>
      <c r="F1682" t="s">
        <v>69</v>
      </c>
      <c r="G1682">
        <v>0.69</v>
      </c>
      <c r="H1682" t="s">
        <v>132</v>
      </c>
      <c r="I1682">
        <v>-11</v>
      </c>
      <c r="J1682" s="4" t="str">
        <f>HYPERLINK("https://www.eliteprospects.com/player/481992/blake-swetlikoff")</f>
        <v>https://www.eliteprospects.com/player/481992/blake-swetlikoff</v>
      </c>
      <c r="K1682" t="s">
        <v>27</v>
      </c>
      <c r="L1682" t="s">
        <v>918</v>
      </c>
      <c r="M1682" t="s">
        <v>35</v>
      </c>
      <c r="N1682">
        <v>6</v>
      </c>
      <c r="O1682" t="s">
        <v>950</v>
      </c>
      <c r="P1682">
        <v>0.09</v>
      </c>
      <c r="Q1682" t="s">
        <v>31</v>
      </c>
      <c r="R1682">
        <v>36.4</v>
      </c>
      <c r="S1682">
        <v>9.1</v>
      </c>
      <c r="T1682">
        <v>18.2</v>
      </c>
      <c r="U1682">
        <v>9.1</v>
      </c>
      <c r="V1682">
        <v>27.3</v>
      </c>
    </row>
    <row r="1683" spans="1:22" x14ac:dyDescent="0.25">
      <c r="A1683" t="s">
        <v>1104</v>
      </c>
      <c r="B1683" t="s">
        <v>1049</v>
      </c>
      <c r="C1683">
        <v>15</v>
      </c>
      <c r="D1683" t="s">
        <v>57</v>
      </c>
      <c r="E1683" t="s">
        <v>66</v>
      </c>
      <c r="F1683" t="s">
        <v>32</v>
      </c>
      <c r="G1683">
        <v>0.67</v>
      </c>
      <c r="H1683" t="s">
        <v>57</v>
      </c>
      <c r="I1683">
        <v>-7</v>
      </c>
      <c r="J1683" s="4" t="str">
        <f>HYPERLINK("https://www.eliteprospects.com/player/483415/eric-alarie")</f>
        <v>https://www.eliteprospects.com/player/483415/eric-alarie</v>
      </c>
      <c r="K1683" t="s">
        <v>27</v>
      </c>
      <c r="L1683" t="s">
        <v>918</v>
      </c>
      <c r="M1683" t="s">
        <v>143</v>
      </c>
      <c r="N1683">
        <v>6</v>
      </c>
      <c r="O1683" t="s">
        <v>950</v>
      </c>
      <c r="P1683">
        <v>0.08</v>
      </c>
      <c r="Q1683" t="s">
        <v>31</v>
      </c>
      <c r="R1683">
        <v>36.4</v>
      </c>
      <c r="S1683">
        <v>9.1</v>
      </c>
      <c r="T1683">
        <v>18.2</v>
      </c>
      <c r="U1683">
        <v>9.1</v>
      </c>
      <c r="V1683">
        <v>27.3</v>
      </c>
    </row>
    <row r="1684" spans="1:22" x14ac:dyDescent="0.25">
      <c r="A1684" t="s">
        <v>1106</v>
      </c>
      <c r="B1684" t="s">
        <v>1049</v>
      </c>
      <c r="C1684">
        <v>16</v>
      </c>
      <c r="D1684" t="s">
        <v>96</v>
      </c>
      <c r="E1684" t="s">
        <v>96</v>
      </c>
      <c r="F1684" t="s">
        <v>32</v>
      </c>
      <c r="G1684">
        <v>0.63</v>
      </c>
      <c r="H1684" t="s">
        <v>66</v>
      </c>
      <c r="I1684">
        <v>-10</v>
      </c>
      <c r="J1684" s="4" t="str">
        <f>HYPERLINK("https://www.eliteprospects.com/player/351089/jonny-hooker")</f>
        <v>https://www.eliteprospects.com/player/351089/jonny-hooker</v>
      </c>
      <c r="K1684" t="s">
        <v>27</v>
      </c>
      <c r="L1684" t="s">
        <v>918</v>
      </c>
      <c r="M1684" t="s">
        <v>42</v>
      </c>
      <c r="N1684">
        <v>6</v>
      </c>
      <c r="O1684" t="s">
        <v>927</v>
      </c>
      <c r="P1684">
        <v>0.08</v>
      </c>
      <c r="Q1684" t="s">
        <v>31</v>
      </c>
      <c r="R1684">
        <v>36.4</v>
      </c>
      <c r="S1684">
        <v>9.1</v>
      </c>
      <c r="T1684">
        <v>18.2</v>
      </c>
      <c r="U1684">
        <v>9.1</v>
      </c>
      <c r="V1684">
        <v>27.3</v>
      </c>
    </row>
    <row r="1685" spans="1:22" x14ac:dyDescent="0.25">
      <c r="A1685" t="s">
        <v>1110</v>
      </c>
      <c r="B1685" t="s">
        <v>1049</v>
      </c>
      <c r="C1685">
        <v>16</v>
      </c>
      <c r="D1685" t="s">
        <v>66</v>
      </c>
      <c r="E1685" t="s">
        <v>57</v>
      </c>
      <c r="F1685" t="s">
        <v>32</v>
      </c>
      <c r="G1685">
        <v>0.63</v>
      </c>
      <c r="H1685" t="s">
        <v>23</v>
      </c>
      <c r="I1685">
        <v>-8</v>
      </c>
      <c r="J1685" s="4" t="str">
        <f>HYPERLINK("https://www.eliteprospects.com/player/572856/lucas-brennan")</f>
        <v>https://www.eliteprospects.com/player/572856/lucas-brennan</v>
      </c>
      <c r="K1685" t="s">
        <v>27</v>
      </c>
      <c r="L1685" t="s">
        <v>918</v>
      </c>
      <c r="M1685" t="s">
        <v>35</v>
      </c>
      <c r="N1685">
        <v>1</v>
      </c>
      <c r="O1685" t="s">
        <v>984</v>
      </c>
      <c r="P1685">
        <v>0.08</v>
      </c>
      <c r="Q1685" t="s">
        <v>31</v>
      </c>
      <c r="R1685">
        <v>36.4</v>
      </c>
      <c r="S1685">
        <v>9.1</v>
      </c>
      <c r="T1685">
        <v>18.2</v>
      </c>
      <c r="U1685">
        <v>9.1</v>
      </c>
      <c r="V1685">
        <v>27.3</v>
      </c>
    </row>
    <row r="1686" spans="1:22" x14ac:dyDescent="0.25">
      <c r="A1686" t="s">
        <v>1124</v>
      </c>
      <c r="B1686" t="s">
        <v>1049</v>
      </c>
      <c r="C1686">
        <v>16</v>
      </c>
      <c r="D1686" t="s">
        <v>140</v>
      </c>
      <c r="E1686" t="s">
        <v>57</v>
      </c>
      <c r="F1686" t="s">
        <v>45</v>
      </c>
      <c r="G1686">
        <v>0.56000000000000005</v>
      </c>
      <c r="H1686" t="s">
        <v>24</v>
      </c>
      <c r="I1686">
        <v>-8</v>
      </c>
      <c r="J1686" s="4" t="str">
        <f>HYPERLINK("https://www.eliteprospects.com/player/573364/cade-zaplitny")</f>
        <v>https://www.eliteprospects.com/player/573364/cade-zaplitny</v>
      </c>
      <c r="K1686" t="s">
        <v>27</v>
      </c>
      <c r="L1686" t="s">
        <v>918</v>
      </c>
      <c r="M1686" t="s">
        <v>35</v>
      </c>
      <c r="N1686">
        <v>4</v>
      </c>
      <c r="O1686" t="s">
        <v>978</v>
      </c>
      <c r="P1686">
        <v>7.0000000000000007E-2</v>
      </c>
      <c r="Q1686" t="s">
        <v>245</v>
      </c>
      <c r="R1686">
        <v>0</v>
      </c>
      <c r="S1686">
        <v>15.4</v>
      </c>
      <c r="T1686">
        <v>7.7</v>
      </c>
      <c r="U1686">
        <v>30.8</v>
      </c>
      <c r="V1686">
        <v>46.2</v>
      </c>
    </row>
    <row r="1687" spans="1:22" x14ac:dyDescent="0.25">
      <c r="A1687" t="s">
        <v>1191</v>
      </c>
      <c r="B1687" t="s">
        <v>1049</v>
      </c>
      <c r="C1687">
        <v>16</v>
      </c>
      <c r="D1687" t="s">
        <v>79</v>
      </c>
      <c r="E1687" t="s">
        <v>140</v>
      </c>
      <c r="F1687" t="s">
        <v>96</v>
      </c>
      <c r="G1687">
        <v>0.31</v>
      </c>
      <c r="H1687" t="s">
        <v>52</v>
      </c>
      <c r="I1687">
        <v>-4</v>
      </c>
      <c r="J1687" s="4" t="str">
        <f>HYPERLINK("https://www.eliteprospects.com/player/483502/grady-lane")</f>
        <v>https://www.eliteprospects.com/player/483502/grady-lane</v>
      </c>
      <c r="K1687" t="s">
        <v>27</v>
      </c>
      <c r="L1687" t="s">
        <v>918</v>
      </c>
      <c r="M1687" t="s">
        <v>35</v>
      </c>
      <c r="N1687">
        <v>6</v>
      </c>
      <c r="O1687" t="s">
        <v>950</v>
      </c>
      <c r="P1687">
        <v>0.04</v>
      </c>
      <c r="Q1687" t="s">
        <v>245</v>
      </c>
      <c r="R1687">
        <v>9.1</v>
      </c>
      <c r="S1687">
        <v>18.2</v>
      </c>
      <c r="T1687">
        <v>9.1</v>
      </c>
      <c r="U1687">
        <v>13.6</v>
      </c>
      <c r="V1687">
        <v>50</v>
      </c>
    </row>
    <row r="1688" spans="1:22" x14ac:dyDescent="0.25">
      <c r="A1688" t="s">
        <v>1217</v>
      </c>
      <c r="B1688" t="s">
        <v>1049</v>
      </c>
      <c r="C1688">
        <v>10</v>
      </c>
      <c r="D1688" t="s">
        <v>132</v>
      </c>
      <c r="E1688" t="s">
        <v>66</v>
      </c>
      <c r="F1688" t="s">
        <v>66</v>
      </c>
      <c r="G1688">
        <v>0.4</v>
      </c>
      <c r="H1688" t="s">
        <v>26</v>
      </c>
      <c r="I1688">
        <v>3</v>
      </c>
      <c r="J1688" s="4" t="str">
        <f>HYPERLINK("https://www.eliteprospects.com/player/481918/andrew-boucher")</f>
        <v>https://www.eliteprospects.com/player/481918/andrew-boucher</v>
      </c>
      <c r="K1688" t="s">
        <v>27</v>
      </c>
      <c r="L1688" t="s">
        <v>918</v>
      </c>
      <c r="M1688" t="s">
        <v>35</v>
      </c>
      <c r="N1688">
        <v>2</v>
      </c>
      <c r="O1688" t="s">
        <v>1021</v>
      </c>
      <c r="P1688">
        <v>0.05</v>
      </c>
      <c r="Q1688" t="s">
        <v>245</v>
      </c>
      <c r="R1688">
        <v>0</v>
      </c>
      <c r="S1688">
        <v>0</v>
      </c>
      <c r="T1688">
        <v>0</v>
      </c>
      <c r="U1688">
        <v>0</v>
      </c>
      <c r="V1688">
        <v>100</v>
      </c>
    </row>
    <row r="1689" spans="1:22" x14ac:dyDescent="0.25">
      <c r="A1689" t="s">
        <v>1253</v>
      </c>
      <c r="B1689" t="s">
        <v>1049</v>
      </c>
      <c r="C1689">
        <v>12</v>
      </c>
      <c r="D1689" t="s">
        <v>260</v>
      </c>
      <c r="E1689" t="s">
        <v>260</v>
      </c>
      <c r="F1689" t="s">
        <v>79</v>
      </c>
      <c r="G1689">
        <v>0.17</v>
      </c>
      <c r="H1689" t="s">
        <v>132</v>
      </c>
      <c r="I1689">
        <v>-4</v>
      </c>
      <c r="J1689" s="4" t="str">
        <f>HYPERLINK("https://www.eliteprospects.com/player/296086/codey-behun")</f>
        <v>https://www.eliteprospects.com/player/296086/codey-behun</v>
      </c>
      <c r="K1689" t="s">
        <v>27</v>
      </c>
      <c r="L1689" t="s">
        <v>918</v>
      </c>
      <c r="M1689" t="s">
        <v>35</v>
      </c>
      <c r="N1689">
        <v>4</v>
      </c>
      <c r="O1689" t="s">
        <v>940</v>
      </c>
      <c r="P1689">
        <v>0.02</v>
      </c>
      <c r="Q1689" t="s">
        <v>245</v>
      </c>
      <c r="R1689">
        <v>9.1</v>
      </c>
      <c r="S1689">
        <v>18.2</v>
      </c>
      <c r="T1689">
        <v>9.1</v>
      </c>
      <c r="U1689">
        <v>13.6</v>
      </c>
      <c r="V1689">
        <v>50</v>
      </c>
    </row>
    <row r="1690" spans="1:22" x14ac:dyDescent="0.25">
      <c r="A1690" t="s">
        <v>1267</v>
      </c>
      <c r="B1690" t="s">
        <v>1049</v>
      </c>
      <c r="C1690">
        <v>14</v>
      </c>
      <c r="D1690" t="s">
        <v>260</v>
      </c>
      <c r="E1690" t="s">
        <v>132</v>
      </c>
      <c r="F1690" t="s">
        <v>260</v>
      </c>
      <c r="G1690">
        <v>7.0000000000000007E-2</v>
      </c>
      <c r="H1690" t="s">
        <v>66</v>
      </c>
      <c r="I1690">
        <v>-3</v>
      </c>
      <c r="J1690" s="4" t="str">
        <f>HYPERLINK("https://www.eliteprospects.com/player/598665/jackson-arpin")</f>
        <v>https://www.eliteprospects.com/player/598665/jackson-arpin</v>
      </c>
      <c r="K1690" t="s">
        <v>27</v>
      </c>
      <c r="L1690" t="s">
        <v>918</v>
      </c>
      <c r="M1690" t="s">
        <v>35</v>
      </c>
      <c r="N1690">
        <v>3</v>
      </c>
      <c r="O1690" t="s">
        <v>962</v>
      </c>
      <c r="P1690">
        <v>0.01</v>
      </c>
      <c r="Q1690" t="s">
        <v>245</v>
      </c>
      <c r="R1690">
        <v>9.1</v>
      </c>
      <c r="S1690">
        <v>18.2</v>
      </c>
      <c r="T1690">
        <v>9.1</v>
      </c>
      <c r="U1690">
        <v>13.6</v>
      </c>
      <c r="V1690">
        <v>50</v>
      </c>
    </row>
    <row r="1691" spans="1:22" x14ac:dyDescent="0.25">
      <c r="A1691" t="s">
        <v>1269</v>
      </c>
      <c r="B1691" t="s">
        <v>1049</v>
      </c>
      <c r="C1691">
        <v>16</v>
      </c>
      <c r="D1691" t="s">
        <v>132</v>
      </c>
      <c r="E1691" t="s">
        <v>260</v>
      </c>
      <c r="F1691" t="s">
        <v>260</v>
      </c>
      <c r="G1691">
        <v>0.06</v>
      </c>
      <c r="H1691" t="s">
        <v>79</v>
      </c>
      <c r="I1691">
        <v>-7</v>
      </c>
      <c r="J1691" s="4" t="str">
        <f>HYPERLINK("https://www.eliteprospects.com/player/296087/michael-king")</f>
        <v>https://www.eliteprospects.com/player/296087/michael-king</v>
      </c>
      <c r="K1691" t="s">
        <v>27</v>
      </c>
      <c r="L1691" t="s">
        <v>918</v>
      </c>
      <c r="M1691" t="s">
        <v>42</v>
      </c>
      <c r="N1691">
        <v>5</v>
      </c>
      <c r="O1691" t="s">
        <v>988</v>
      </c>
      <c r="P1691">
        <v>0.01</v>
      </c>
      <c r="Q1691" t="s">
        <v>245</v>
      </c>
      <c r="R1691">
        <v>13.3</v>
      </c>
      <c r="S1691">
        <v>13.3</v>
      </c>
      <c r="T1691">
        <v>0</v>
      </c>
      <c r="U1691">
        <v>13.3</v>
      </c>
      <c r="V1691">
        <v>60</v>
      </c>
    </row>
    <row r="1692" spans="1:22" x14ac:dyDescent="0.25">
      <c r="A1692" t="s">
        <v>49</v>
      </c>
      <c r="B1692" t="s">
        <v>50</v>
      </c>
      <c r="C1692">
        <v>20</v>
      </c>
      <c r="D1692" t="s">
        <v>51</v>
      </c>
      <c r="E1692" t="s">
        <v>45</v>
      </c>
      <c r="F1692" t="s">
        <v>52</v>
      </c>
      <c r="G1692">
        <v>1.4</v>
      </c>
      <c r="H1692" t="s">
        <v>53</v>
      </c>
      <c r="I1692">
        <v>8</v>
      </c>
      <c r="J1692" s="4" t="str">
        <f>HYPERLINK("https://www.eliteprospects.com/player/576967/william-horcoff")</f>
        <v>https://www.eliteprospects.com/player/576967/william-horcoff</v>
      </c>
      <c r="K1692" t="s">
        <v>27</v>
      </c>
      <c r="L1692" t="s">
        <v>28</v>
      </c>
      <c r="M1692" t="s">
        <v>42</v>
      </c>
      <c r="N1692">
        <v>2</v>
      </c>
      <c r="O1692" t="s">
        <v>43</v>
      </c>
      <c r="P1692">
        <v>0.27</v>
      </c>
      <c r="Q1692" t="s">
        <v>31</v>
      </c>
      <c r="R1692">
        <v>57.1</v>
      </c>
      <c r="S1692">
        <v>32.1</v>
      </c>
      <c r="T1692">
        <v>0</v>
      </c>
      <c r="U1692">
        <v>0</v>
      </c>
      <c r="V1692">
        <v>10.7</v>
      </c>
    </row>
    <row r="1693" spans="1:22" x14ac:dyDescent="0.25">
      <c r="A1693" t="s">
        <v>54</v>
      </c>
      <c r="B1693" t="s">
        <v>50</v>
      </c>
      <c r="C1693">
        <v>20</v>
      </c>
      <c r="D1693" t="s">
        <v>32</v>
      </c>
      <c r="E1693" t="s">
        <v>55</v>
      </c>
      <c r="F1693" t="s">
        <v>52</v>
      </c>
      <c r="G1693">
        <v>1.4</v>
      </c>
      <c r="H1693" t="s">
        <v>26</v>
      </c>
      <c r="I1693">
        <v>11</v>
      </c>
      <c r="J1693" s="4" t="str">
        <f>HYPERLINK("https://www.eliteprospects.com/player/597678/michael-hage")</f>
        <v>https://www.eliteprospects.com/player/597678/michael-hage</v>
      </c>
      <c r="K1693" t="s">
        <v>27</v>
      </c>
      <c r="L1693" t="s">
        <v>28</v>
      </c>
      <c r="M1693" t="s">
        <v>42</v>
      </c>
      <c r="N1693">
        <v>2</v>
      </c>
      <c r="O1693" t="s">
        <v>43</v>
      </c>
      <c r="P1693">
        <v>0.27</v>
      </c>
      <c r="Q1693" t="s">
        <v>31</v>
      </c>
      <c r="R1693">
        <v>57.1</v>
      </c>
      <c r="S1693">
        <v>32.1</v>
      </c>
      <c r="T1693">
        <v>0</v>
      </c>
      <c r="U1693">
        <v>0</v>
      </c>
      <c r="V1693">
        <v>10.7</v>
      </c>
    </row>
    <row r="1694" spans="1:22" x14ac:dyDescent="0.25">
      <c r="A1694" t="s">
        <v>56</v>
      </c>
      <c r="B1694" t="s">
        <v>50</v>
      </c>
      <c r="C1694">
        <v>20</v>
      </c>
      <c r="D1694" t="s">
        <v>45</v>
      </c>
      <c r="E1694" t="s">
        <v>51</v>
      </c>
      <c r="F1694" t="s">
        <v>52</v>
      </c>
      <c r="G1694">
        <v>1.4</v>
      </c>
      <c r="H1694" t="s">
        <v>57</v>
      </c>
      <c r="I1694">
        <v>6</v>
      </c>
      <c r="J1694" s="4" t="str">
        <f>HYPERLINK("https://www.eliteprospects.com/player/479673/t.j.-hughes")</f>
        <v>https://www.eliteprospects.com/player/479673/t.j.-hughes</v>
      </c>
      <c r="K1694" t="s">
        <v>27</v>
      </c>
      <c r="L1694" t="s">
        <v>28</v>
      </c>
      <c r="M1694" t="s">
        <v>35</v>
      </c>
      <c r="N1694">
        <v>4</v>
      </c>
      <c r="O1694" t="s">
        <v>30</v>
      </c>
      <c r="P1694">
        <v>0.27</v>
      </c>
      <c r="Q1694" t="s">
        <v>31</v>
      </c>
      <c r="R1694">
        <v>57.1</v>
      </c>
      <c r="S1694">
        <v>32.1</v>
      </c>
      <c r="T1694">
        <v>0</v>
      </c>
      <c r="U1694">
        <v>0</v>
      </c>
      <c r="V1694">
        <v>10.7</v>
      </c>
    </row>
    <row r="1695" spans="1:22" x14ac:dyDescent="0.25">
      <c r="A1695" t="s">
        <v>133</v>
      </c>
      <c r="B1695" t="s">
        <v>50</v>
      </c>
      <c r="C1695">
        <v>20</v>
      </c>
      <c r="D1695" t="s">
        <v>57</v>
      </c>
      <c r="E1695" t="s">
        <v>23</v>
      </c>
      <c r="F1695" t="s">
        <v>55</v>
      </c>
      <c r="G1695">
        <v>0.9</v>
      </c>
      <c r="H1695" t="s">
        <v>79</v>
      </c>
      <c r="I1695">
        <v>9</v>
      </c>
      <c r="J1695" s="4" t="str">
        <f>HYPERLINK("https://www.eliteprospects.com/player/648248/jayden-perron")</f>
        <v>https://www.eliteprospects.com/player/648248/jayden-perron</v>
      </c>
      <c r="K1695" t="s">
        <v>27</v>
      </c>
      <c r="L1695" t="s">
        <v>28</v>
      </c>
      <c r="M1695" t="s">
        <v>29</v>
      </c>
      <c r="N1695">
        <v>3</v>
      </c>
      <c r="O1695" t="s">
        <v>74</v>
      </c>
      <c r="P1695">
        <v>0.17</v>
      </c>
      <c r="Q1695" t="s">
        <v>31</v>
      </c>
      <c r="R1695">
        <v>78.599999999999994</v>
      </c>
      <c r="S1695">
        <v>0</v>
      </c>
      <c r="T1695">
        <v>0</v>
      </c>
      <c r="U1695">
        <v>0</v>
      </c>
      <c r="V1695">
        <v>21.4</v>
      </c>
    </row>
    <row r="1696" spans="1:22" x14ac:dyDescent="0.25">
      <c r="A1696" t="s">
        <v>149</v>
      </c>
      <c r="B1696" t="s">
        <v>50</v>
      </c>
      <c r="C1696">
        <v>20</v>
      </c>
      <c r="D1696" t="s">
        <v>96</v>
      </c>
      <c r="E1696" t="s">
        <v>23</v>
      </c>
      <c r="F1696" t="s">
        <v>60</v>
      </c>
      <c r="G1696">
        <v>0.85</v>
      </c>
      <c r="H1696" t="s">
        <v>52</v>
      </c>
      <c r="I1696">
        <v>6</v>
      </c>
      <c r="J1696" s="4" t="str">
        <f>HYPERLINK("https://www.eliteprospects.com/player/628138/adam-valentini")</f>
        <v>https://www.eliteprospects.com/player/628138/adam-valentini</v>
      </c>
      <c r="K1696" t="s">
        <v>27</v>
      </c>
      <c r="L1696" t="s">
        <v>28</v>
      </c>
      <c r="M1696" t="s">
        <v>35</v>
      </c>
      <c r="N1696">
        <v>1</v>
      </c>
      <c r="O1696" t="s">
        <v>71</v>
      </c>
      <c r="P1696">
        <v>0.16</v>
      </c>
      <c r="Q1696" t="s">
        <v>31</v>
      </c>
      <c r="R1696">
        <v>36.700000000000003</v>
      </c>
      <c r="S1696">
        <v>36.700000000000003</v>
      </c>
      <c r="T1696">
        <v>0</v>
      </c>
      <c r="U1696">
        <v>0</v>
      </c>
      <c r="V1696">
        <v>26.7</v>
      </c>
    </row>
    <row r="1697" spans="1:22" x14ac:dyDescent="0.25">
      <c r="A1697" t="s">
        <v>176</v>
      </c>
      <c r="B1697" t="s">
        <v>50</v>
      </c>
      <c r="C1697">
        <v>20</v>
      </c>
      <c r="D1697" t="s">
        <v>45</v>
      </c>
      <c r="E1697" t="s">
        <v>57</v>
      </c>
      <c r="F1697" t="s">
        <v>41</v>
      </c>
      <c r="G1697">
        <v>0.75</v>
      </c>
      <c r="H1697" t="s">
        <v>23</v>
      </c>
      <c r="I1697">
        <v>15</v>
      </c>
      <c r="J1697" s="4" t="str">
        <f>HYPERLINK("https://www.eliteprospects.com/player/587769/joshua-eernisse")</f>
        <v>https://www.eliteprospects.com/player/587769/joshua-eernisse</v>
      </c>
      <c r="K1697" t="s">
        <v>27</v>
      </c>
      <c r="L1697" t="s">
        <v>28</v>
      </c>
      <c r="M1697" t="s">
        <v>35</v>
      </c>
      <c r="N1697">
        <v>4</v>
      </c>
      <c r="O1697" t="s">
        <v>30</v>
      </c>
      <c r="P1697">
        <v>0.15</v>
      </c>
      <c r="Q1697" t="s">
        <v>31</v>
      </c>
      <c r="R1697">
        <v>36.700000000000003</v>
      </c>
      <c r="S1697">
        <v>36.700000000000003</v>
      </c>
      <c r="T1697">
        <v>0</v>
      </c>
      <c r="U1697">
        <v>0</v>
      </c>
      <c r="V1697">
        <v>26.7</v>
      </c>
    </row>
    <row r="1698" spans="1:22" x14ac:dyDescent="0.25">
      <c r="A1698" t="s">
        <v>211</v>
      </c>
      <c r="B1698" t="s">
        <v>50</v>
      </c>
      <c r="C1698">
        <v>20</v>
      </c>
      <c r="D1698" t="s">
        <v>140</v>
      </c>
      <c r="E1698" t="s">
        <v>32</v>
      </c>
      <c r="F1698" t="s">
        <v>65</v>
      </c>
      <c r="G1698">
        <v>0.65</v>
      </c>
      <c r="H1698" t="s">
        <v>23</v>
      </c>
      <c r="I1698">
        <v>13</v>
      </c>
      <c r="J1698" s="4" t="str">
        <f>HYPERLINK("https://www.eliteprospects.com/player/535872/nicholas-moldenhauer")</f>
        <v>https://www.eliteprospects.com/player/535872/nicholas-moldenhauer</v>
      </c>
      <c r="K1698" t="s">
        <v>27</v>
      </c>
      <c r="L1698" t="s">
        <v>28</v>
      </c>
      <c r="M1698" t="s">
        <v>87</v>
      </c>
      <c r="N1698">
        <v>3</v>
      </c>
      <c r="O1698" t="s">
        <v>74</v>
      </c>
      <c r="P1698">
        <v>0.13</v>
      </c>
      <c r="Q1698" t="s">
        <v>135</v>
      </c>
      <c r="R1698">
        <v>22.7</v>
      </c>
      <c r="S1698">
        <v>36.4</v>
      </c>
      <c r="T1698">
        <v>9.1</v>
      </c>
      <c r="U1698">
        <v>0</v>
      </c>
      <c r="V1698">
        <v>31.8</v>
      </c>
    </row>
    <row r="1699" spans="1:22" x14ac:dyDescent="0.25">
      <c r="A1699" t="s">
        <v>220</v>
      </c>
      <c r="B1699" t="s">
        <v>50</v>
      </c>
      <c r="C1699">
        <v>20</v>
      </c>
      <c r="D1699" t="s">
        <v>78</v>
      </c>
      <c r="E1699" t="s">
        <v>96</v>
      </c>
      <c r="F1699" t="s">
        <v>23</v>
      </c>
      <c r="G1699">
        <v>0.6</v>
      </c>
      <c r="H1699" t="s">
        <v>40</v>
      </c>
      <c r="I1699">
        <v>12</v>
      </c>
      <c r="J1699" s="4" t="str">
        <f>HYPERLINK("https://www.eliteprospects.com/player/617224/malcolm-spence")</f>
        <v>https://www.eliteprospects.com/player/617224/malcolm-spence</v>
      </c>
      <c r="K1699" t="s">
        <v>27</v>
      </c>
      <c r="L1699" t="s">
        <v>28</v>
      </c>
      <c r="M1699" t="s">
        <v>91</v>
      </c>
      <c r="N1699">
        <v>4</v>
      </c>
      <c r="O1699" t="s">
        <v>100</v>
      </c>
      <c r="P1699">
        <v>0.12</v>
      </c>
      <c r="Q1699" t="s">
        <v>135</v>
      </c>
      <c r="R1699">
        <v>22.7</v>
      </c>
      <c r="S1699">
        <v>36.4</v>
      </c>
      <c r="T1699">
        <v>9.1</v>
      </c>
      <c r="U1699">
        <v>0</v>
      </c>
      <c r="V1699">
        <v>31.8</v>
      </c>
    </row>
    <row r="1700" spans="1:22" x14ac:dyDescent="0.25">
      <c r="A1700" t="s">
        <v>246</v>
      </c>
      <c r="B1700" t="s">
        <v>50</v>
      </c>
      <c r="C1700">
        <v>20</v>
      </c>
      <c r="D1700" t="s">
        <v>96</v>
      </c>
      <c r="E1700" t="s">
        <v>57</v>
      </c>
      <c r="F1700" t="s">
        <v>69</v>
      </c>
      <c r="G1700">
        <v>0.55000000000000004</v>
      </c>
      <c r="H1700" t="s">
        <v>26</v>
      </c>
      <c r="I1700">
        <v>3</v>
      </c>
      <c r="J1700" s="4" t="str">
        <f>HYPERLINK("https://www.eliteprospects.com/player/577022/cole-mckinney")</f>
        <v>https://www.eliteprospects.com/player/577022/cole-mckinney</v>
      </c>
      <c r="K1700" t="s">
        <v>27</v>
      </c>
      <c r="L1700" t="s">
        <v>28</v>
      </c>
      <c r="M1700" t="s">
        <v>42</v>
      </c>
      <c r="N1700">
        <v>1</v>
      </c>
      <c r="O1700" t="s">
        <v>71</v>
      </c>
      <c r="P1700">
        <v>0.11</v>
      </c>
      <c r="Q1700" t="s">
        <v>135</v>
      </c>
      <c r="R1700">
        <v>20</v>
      </c>
      <c r="S1700">
        <v>40</v>
      </c>
      <c r="T1700">
        <v>20</v>
      </c>
      <c r="U1700">
        <v>0</v>
      </c>
      <c r="V1700">
        <v>20</v>
      </c>
    </row>
    <row r="1701" spans="1:22" x14ac:dyDescent="0.25">
      <c r="A1701" t="s">
        <v>266</v>
      </c>
      <c r="B1701" t="s">
        <v>50</v>
      </c>
      <c r="C1701">
        <v>20</v>
      </c>
      <c r="D1701" t="s">
        <v>57</v>
      </c>
      <c r="E1701" t="s">
        <v>66</v>
      </c>
      <c r="F1701" t="s">
        <v>32</v>
      </c>
      <c r="G1701">
        <v>0.5</v>
      </c>
      <c r="H1701" t="s">
        <v>55</v>
      </c>
      <c r="I1701">
        <v>10</v>
      </c>
      <c r="J1701" s="4" t="str">
        <f>HYPERLINK("https://www.eliteprospects.com/player/671534/aidan-park")</f>
        <v>https://www.eliteprospects.com/player/671534/aidan-park</v>
      </c>
      <c r="K1701" t="s">
        <v>27</v>
      </c>
      <c r="L1701" t="s">
        <v>28</v>
      </c>
      <c r="M1701" t="s">
        <v>122</v>
      </c>
      <c r="N1701">
        <v>2</v>
      </c>
      <c r="O1701" t="s">
        <v>267</v>
      </c>
      <c r="P1701">
        <v>0.1</v>
      </c>
      <c r="Q1701" t="s">
        <v>31</v>
      </c>
      <c r="R1701">
        <v>37.5</v>
      </c>
      <c r="S1701">
        <v>12.5</v>
      </c>
      <c r="T1701">
        <v>12.5</v>
      </c>
      <c r="U1701">
        <v>12.5</v>
      </c>
      <c r="V1701">
        <v>25</v>
      </c>
    </row>
    <row r="1702" spans="1:22" x14ac:dyDescent="0.25">
      <c r="A1702" t="s">
        <v>268</v>
      </c>
      <c r="B1702" t="s">
        <v>50</v>
      </c>
      <c r="C1702">
        <v>20</v>
      </c>
      <c r="D1702" t="s">
        <v>57</v>
      </c>
      <c r="E1702" t="s">
        <v>66</v>
      </c>
      <c r="F1702" t="s">
        <v>32</v>
      </c>
      <c r="G1702">
        <v>0.5</v>
      </c>
      <c r="H1702" t="s">
        <v>34</v>
      </c>
      <c r="I1702">
        <v>8</v>
      </c>
      <c r="J1702" s="4" t="str">
        <f>HYPERLINK("https://www.eliteprospects.com/player/655511/garrett-schifsky")</f>
        <v>https://www.eliteprospects.com/player/655511/garrett-schifsky</v>
      </c>
      <c r="K1702" t="s">
        <v>27</v>
      </c>
      <c r="L1702" t="s">
        <v>28</v>
      </c>
      <c r="M1702" t="s">
        <v>42</v>
      </c>
      <c r="N1702">
        <v>3</v>
      </c>
      <c r="O1702" t="s">
        <v>74</v>
      </c>
      <c r="P1702">
        <v>0.1</v>
      </c>
      <c r="Q1702" t="s">
        <v>31</v>
      </c>
      <c r="R1702">
        <v>37.5</v>
      </c>
      <c r="S1702">
        <v>12.5</v>
      </c>
      <c r="T1702">
        <v>12.5</v>
      </c>
      <c r="U1702">
        <v>12.5</v>
      </c>
      <c r="V1702">
        <v>25</v>
      </c>
    </row>
    <row r="1703" spans="1:22" x14ac:dyDescent="0.25">
      <c r="A1703" t="s">
        <v>326</v>
      </c>
      <c r="B1703" t="s">
        <v>50</v>
      </c>
      <c r="C1703">
        <v>20</v>
      </c>
      <c r="D1703" t="s">
        <v>79</v>
      </c>
      <c r="E1703" t="s">
        <v>57</v>
      </c>
      <c r="F1703" t="s">
        <v>26</v>
      </c>
      <c r="G1703">
        <v>0.4</v>
      </c>
      <c r="H1703" t="s">
        <v>178</v>
      </c>
      <c r="I1703">
        <v>15</v>
      </c>
      <c r="J1703" s="4" t="str">
        <f>HYPERLINK("https://www.eliteprospects.com/player/201763/kienan-draper")</f>
        <v>https://www.eliteprospects.com/player/201763/kienan-draper</v>
      </c>
      <c r="K1703" t="s">
        <v>27</v>
      </c>
      <c r="L1703" t="s">
        <v>28</v>
      </c>
      <c r="M1703" t="s">
        <v>29</v>
      </c>
      <c r="N1703">
        <v>4</v>
      </c>
      <c r="O1703" t="s">
        <v>30</v>
      </c>
      <c r="P1703">
        <v>0.08</v>
      </c>
      <c r="Q1703" t="s">
        <v>135</v>
      </c>
      <c r="R1703">
        <v>11.1</v>
      </c>
      <c r="S1703">
        <v>55.6</v>
      </c>
      <c r="T1703">
        <v>11.1</v>
      </c>
      <c r="U1703">
        <v>11.1</v>
      </c>
      <c r="V1703">
        <v>11.1</v>
      </c>
    </row>
    <row r="1704" spans="1:22" x14ac:dyDescent="0.25">
      <c r="A1704" t="s">
        <v>118</v>
      </c>
      <c r="B1704" t="s">
        <v>119</v>
      </c>
      <c r="C1704">
        <v>19</v>
      </c>
      <c r="D1704" t="s">
        <v>23</v>
      </c>
      <c r="E1704" t="s">
        <v>78</v>
      </c>
      <c r="F1704" t="s">
        <v>51</v>
      </c>
      <c r="G1704">
        <v>1</v>
      </c>
      <c r="H1704" t="s">
        <v>55</v>
      </c>
      <c r="I1704">
        <v>-3</v>
      </c>
      <c r="J1704" s="4" t="str">
        <f>HYPERLINK("https://www.eliteprospects.com/player/705668/brodie-ziemer")</f>
        <v>https://www.eliteprospects.com/player/705668/brodie-ziemer</v>
      </c>
      <c r="K1704" t="s">
        <v>27</v>
      </c>
      <c r="L1704" t="s">
        <v>28</v>
      </c>
      <c r="M1704" t="s">
        <v>48</v>
      </c>
      <c r="N1704">
        <v>2</v>
      </c>
      <c r="O1704" t="s">
        <v>43</v>
      </c>
      <c r="P1704">
        <v>0.19</v>
      </c>
      <c r="Q1704" t="s">
        <v>1276</v>
      </c>
      <c r="R1704">
        <v>0</v>
      </c>
      <c r="S1704">
        <v>0</v>
      </c>
      <c r="T1704">
        <v>0</v>
      </c>
      <c r="U1704">
        <v>100</v>
      </c>
      <c r="V1704">
        <v>0</v>
      </c>
    </row>
    <row r="1705" spans="1:22" x14ac:dyDescent="0.25">
      <c r="A1705" t="s">
        <v>123</v>
      </c>
      <c r="B1705" t="s">
        <v>119</v>
      </c>
      <c r="C1705">
        <v>19</v>
      </c>
      <c r="D1705" t="s">
        <v>45</v>
      </c>
      <c r="E1705" t="s">
        <v>32</v>
      </c>
      <c r="F1705" t="s">
        <v>51</v>
      </c>
      <c r="G1705">
        <v>1</v>
      </c>
      <c r="H1705" t="s">
        <v>26</v>
      </c>
      <c r="I1705">
        <v>4</v>
      </c>
      <c r="J1705" s="4" t="str">
        <f>HYPERLINK("https://www.eliteprospects.com/player/623805/brody-lamb")</f>
        <v>https://www.eliteprospects.com/player/623805/brody-lamb</v>
      </c>
      <c r="K1705" t="s">
        <v>27</v>
      </c>
      <c r="L1705" t="s">
        <v>28</v>
      </c>
      <c r="M1705" t="s">
        <v>29</v>
      </c>
      <c r="N1705">
        <v>4</v>
      </c>
      <c r="O1705" t="s">
        <v>30</v>
      </c>
      <c r="P1705">
        <v>0.19</v>
      </c>
      <c r="Q1705" t="s">
        <v>135</v>
      </c>
      <c r="R1705">
        <v>25</v>
      </c>
      <c r="S1705">
        <v>50</v>
      </c>
      <c r="T1705">
        <v>0</v>
      </c>
      <c r="U1705">
        <v>0</v>
      </c>
      <c r="V1705">
        <v>25</v>
      </c>
    </row>
    <row r="1706" spans="1:22" x14ac:dyDescent="0.25">
      <c r="A1706" t="s">
        <v>186</v>
      </c>
      <c r="B1706" t="s">
        <v>119</v>
      </c>
      <c r="C1706">
        <v>19</v>
      </c>
      <c r="D1706" t="s">
        <v>66</v>
      </c>
      <c r="E1706" t="s">
        <v>69</v>
      </c>
      <c r="F1706" t="s">
        <v>41</v>
      </c>
      <c r="G1706">
        <v>0.79</v>
      </c>
      <c r="H1706" t="s">
        <v>46</v>
      </c>
      <c r="I1706">
        <v>-4</v>
      </c>
      <c r="J1706" s="4" t="str">
        <f>HYPERLINK("https://www.eliteprospects.com/player/577166/l.j.-mooney")</f>
        <v>https://www.eliteprospects.com/player/577166/l.j.-mooney</v>
      </c>
      <c r="K1706" t="s">
        <v>27</v>
      </c>
      <c r="L1706" t="s">
        <v>28</v>
      </c>
      <c r="M1706" t="s">
        <v>129</v>
      </c>
      <c r="N1706">
        <v>1</v>
      </c>
      <c r="O1706" t="s">
        <v>71</v>
      </c>
      <c r="P1706">
        <v>0.15</v>
      </c>
      <c r="Q1706" t="s">
        <v>135</v>
      </c>
      <c r="R1706">
        <v>20</v>
      </c>
      <c r="S1706">
        <v>40</v>
      </c>
      <c r="T1706">
        <v>0</v>
      </c>
      <c r="U1706">
        <v>20</v>
      </c>
      <c r="V1706">
        <v>20</v>
      </c>
    </row>
    <row r="1707" spans="1:22" x14ac:dyDescent="0.25">
      <c r="A1707" t="s">
        <v>197</v>
      </c>
      <c r="B1707" t="s">
        <v>119</v>
      </c>
      <c r="C1707">
        <v>19</v>
      </c>
      <c r="D1707" t="s">
        <v>66</v>
      </c>
      <c r="E1707" t="s">
        <v>32</v>
      </c>
      <c r="F1707" t="s">
        <v>39</v>
      </c>
      <c r="G1707">
        <v>0.74</v>
      </c>
      <c r="H1707" t="s">
        <v>26</v>
      </c>
      <c r="I1707">
        <v>14</v>
      </c>
      <c r="J1707" s="4" t="str">
        <f>HYPERLINK("https://www.eliteprospects.com/player/664613/beckett-hendrickson")</f>
        <v>https://www.eliteprospects.com/player/664613/beckett-hendrickson</v>
      </c>
      <c r="K1707" t="s">
        <v>27</v>
      </c>
      <c r="L1707" t="s">
        <v>28</v>
      </c>
      <c r="M1707" t="s">
        <v>76</v>
      </c>
      <c r="N1707">
        <v>2</v>
      </c>
      <c r="O1707" t="s">
        <v>43</v>
      </c>
      <c r="P1707">
        <v>0.14000000000000001</v>
      </c>
      <c r="Q1707" t="s">
        <v>31</v>
      </c>
      <c r="R1707">
        <v>50</v>
      </c>
      <c r="S1707">
        <v>35.700000000000003</v>
      </c>
      <c r="T1707">
        <v>0</v>
      </c>
      <c r="U1707">
        <v>0</v>
      </c>
      <c r="V1707">
        <v>14.3</v>
      </c>
    </row>
    <row r="1708" spans="1:22" x14ac:dyDescent="0.25">
      <c r="A1708" t="s">
        <v>231</v>
      </c>
      <c r="B1708" t="s">
        <v>119</v>
      </c>
      <c r="C1708">
        <v>19</v>
      </c>
      <c r="D1708" t="s">
        <v>66</v>
      </c>
      <c r="E1708" t="s">
        <v>26</v>
      </c>
      <c r="F1708" t="s">
        <v>23</v>
      </c>
      <c r="G1708">
        <v>0.63</v>
      </c>
      <c r="H1708" t="s">
        <v>79</v>
      </c>
      <c r="I1708">
        <v>-2</v>
      </c>
      <c r="J1708" s="4" t="str">
        <f>HYPERLINK("https://www.eliteprospects.com/player/693985/javon-moore")</f>
        <v>https://www.eliteprospects.com/player/693985/javon-moore</v>
      </c>
      <c r="K1708" t="s">
        <v>27</v>
      </c>
      <c r="L1708" t="s">
        <v>28</v>
      </c>
      <c r="M1708" t="s">
        <v>91</v>
      </c>
      <c r="N1708">
        <v>1</v>
      </c>
      <c r="O1708" t="s">
        <v>71</v>
      </c>
      <c r="P1708">
        <v>0.12</v>
      </c>
      <c r="Q1708" t="s">
        <v>135</v>
      </c>
      <c r="R1708">
        <v>11.1</v>
      </c>
      <c r="S1708">
        <v>44.4</v>
      </c>
      <c r="T1708">
        <v>11.1</v>
      </c>
      <c r="U1708">
        <v>11.1</v>
      </c>
      <c r="V1708">
        <v>22.2</v>
      </c>
    </row>
    <row r="1709" spans="1:22" x14ac:dyDescent="0.25">
      <c r="A1709" t="s">
        <v>232</v>
      </c>
      <c r="B1709" t="s">
        <v>119</v>
      </c>
      <c r="C1709">
        <v>19</v>
      </c>
      <c r="D1709" t="s">
        <v>66</v>
      </c>
      <c r="E1709" t="s">
        <v>26</v>
      </c>
      <c r="F1709" t="s">
        <v>23</v>
      </c>
      <c r="G1709">
        <v>0.63</v>
      </c>
      <c r="H1709" t="s">
        <v>79</v>
      </c>
      <c r="I1709">
        <v>4</v>
      </c>
      <c r="J1709" s="4" t="str">
        <f>HYPERLINK("https://www.eliteprospects.com/player/603664/jimmy-clark")</f>
        <v>https://www.eliteprospects.com/player/603664/jimmy-clark</v>
      </c>
      <c r="K1709" t="s">
        <v>27</v>
      </c>
      <c r="L1709" t="s">
        <v>28</v>
      </c>
      <c r="M1709" t="s">
        <v>143</v>
      </c>
      <c r="N1709">
        <v>3</v>
      </c>
      <c r="O1709" t="s">
        <v>74</v>
      </c>
      <c r="P1709">
        <v>0.12</v>
      </c>
      <c r="Q1709" t="s">
        <v>31</v>
      </c>
      <c r="R1709">
        <v>100</v>
      </c>
      <c r="S1709">
        <v>0</v>
      </c>
      <c r="T1709">
        <v>0</v>
      </c>
      <c r="U1709">
        <v>0</v>
      </c>
      <c r="V1709">
        <v>0</v>
      </c>
    </row>
    <row r="1710" spans="1:22" x14ac:dyDescent="0.25">
      <c r="A1710" t="s">
        <v>313</v>
      </c>
      <c r="B1710" t="s">
        <v>119</v>
      </c>
      <c r="C1710">
        <v>17</v>
      </c>
      <c r="D1710" t="s">
        <v>96</v>
      </c>
      <c r="E1710" t="s">
        <v>140</v>
      </c>
      <c r="F1710" t="s">
        <v>26</v>
      </c>
      <c r="G1710">
        <v>0.47</v>
      </c>
      <c r="H1710" t="s">
        <v>66</v>
      </c>
      <c r="I1710">
        <v>6</v>
      </c>
      <c r="J1710" s="4" t="str">
        <f>HYPERLINK("https://www.eliteprospects.com/player/791631/mason-moe")</f>
        <v>https://www.eliteprospects.com/player/791631/mason-moe</v>
      </c>
      <c r="K1710" t="s">
        <v>27</v>
      </c>
      <c r="L1710" t="s">
        <v>28</v>
      </c>
      <c r="M1710" t="s">
        <v>42</v>
      </c>
      <c r="N1710">
        <v>1</v>
      </c>
      <c r="O1710" t="s">
        <v>71</v>
      </c>
      <c r="P1710">
        <v>0.09</v>
      </c>
      <c r="Q1710" t="s">
        <v>135</v>
      </c>
      <c r="R1710">
        <v>11.1</v>
      </c>
      <c r="S1710">
        <v>55.6</v>
      </c>
      <c r="T1710">
        <v>11.1</v>
      </c>
      <c r="U1710">
        <v>11.1</v>
      </c>
      <c r="V1710">
        <v>11.1</v>
      </c>
    </row>
    <row r="1711" spans="1:22" x14ac:dyDescent="0.25">
      <c r="A1711" t="s">
        <v>322</v>
      </c>
      <c r="B1711" t="s">
        <v>119</v>
      </c>
      <c r="C1711">
        <v>14</v>
      </c>
      <c r="D1711" t="s">
        <v>140</v>
      </c>
      <c r="E1711" t="s">
        <v>96</v>
      </c>
      <c r="F1711" t="s">
        <v>26</v>
      </c>
      <c r="G1711">
        <v>0.56999999999999995</v>
      </c>
      <c r="H1711" t="s">
        <v>32</v>
      </c>
      <c r="I1711">
        <v>-3</v>
      </c>
      <c r="J1711" s="4" t="str">
        <f>HYPERLINK("https://www.eliteprospects.com/player/645465/tanner-ludtke")</f>
        <v>https://www.eliteprospects.com/player/645465/tanner-ludtke</v>
      </c>
      <c r="K1711" t="s">
        <v>27</v>
      </c>
      <c r="L1711" t="s">
        <v>28</v>
      </c>
      <c r="M1711" t="s">
        <v>42</v>
      </c>
      <c r="N1711">
        <v>3</v>
      </c>
      <c r="O1711" t="s">
        <v>74</v>
      </c>
      <c r="P1711">
        <v>0.11</v>
      </c>
      <c r="Q1711" t="s">
        <v>135</v>
      </c>
      <c r="R1711">
        <v>20</v>
      </c>
      <c r="S1711">
        <v>40</v>
      </c>
      <c r="T1711">
        <v>0</v>
      </c>
      <c r="U1711">
        <v>20</v>
      </c>
      <c r="V1711">
        <v>20</v>
      </c>
    </row>
    <row r="1712" spans="1:22" x14ac:dyDescent="0.25">
      <c r="A1712" t="s">
        <v>354</v>
      </c>
      <c r="B1712" t="s">
        <v>119</v>
      </c>
      <c r="C1712">
        <v>19</v>
      </c>
      <c r="D1712" t="s">
        <v>66</v>
      </c>
      <c r="E1712" t="s">
        <v>79</v>
      </c>
      <c r="F1712" t="s">
        <v>57</v>
      </c>
      <c r="G1712">
        <v>0.32</v>
      </c>
      <c r="H1712" t="s">
        <v>38</v>
      </c>
      <c r="I1712">
        <v>-5</v>
      </c>
      <c r="J1712" s="4" t="str">
        <f>HYPERLINK("https://www.eliteprospects.com/player/664643/tate-pritchard")</f>
        <v>https://www.eliteprospects.com/player/664643/tate-pritchard</v>
      </c>
      <c r="K1712" t="s">
        <v>27</v>
      </c>
      <c r="L1712" t="s">
        <v>28</v>
      </c>
      <c r="M1712" t="s">
        <v>35</v>
      </c>
      <c r="N1712">
        <v>1</v>
      </c>
      <c r="O1712" t="s">
        <v>71</v>
      </c>
      <c r="P1712">
        <v>0.06</v>
      </c>
      <c r="Q1712" t="s">
        <v>135</v>
      </c>
      <c r="R1712">
        <v>0</v>
      </c>
      <c r="S1712">
        <v>33.299999999999997</v>
      </c>
      <c r="T1712">
        <v>23.8</v>
      </c>
      <c r="U1712">
        <v>9.5</v>
      </c>
      <c r="V1712">
        <v>33.299999999999997</v>
      </c>
    </row>
    <row r="1713" spans="1:22" x14ac:dyDescent="0.25">
      <c r="A1713" t="s">
        <v>367</v>
      </c>
      <c r="B1713" t="s">
        <v>119</v>
      </c>
      <c r="C1713">
        <v>19</v>
      </c>
      <c r="D1713" t="s">
        <v>79</v>
      </c>
      <c r="E1713" t="s">
        <v>66</v>
      </c>
      <c r="F1713" t="s">
        <v>57</v>
      </c>
      <c r="G1713">
        <v>0.32</v>
      </c>
      <c r="H1713" t="s">
        <v>66</v>
      </c>
      <c r="I1713">
        <v>-4</v>
      </c>
      <c r="J1713" s="4" t="str">
        <f>HYPERLINK("https://www.eliteprospects.com/player/637872/erik-pahlsson")</f>
        <v>https://www.eliteprospects.com/player/637872/erik-pahlsson</v>
      </c>
      <c r="K1713" t="s">
        <v>27</v>
      </c>
      <c r="L1713" t="s">
        <v>28</v>
      </c>
      <c r="M1713" t="s">
        <v>122</v>
      </c>
      <c r="N1713">
        <v>2</v>
      </c>
      <c r="O1713" t="s">
        <v>43</v>
      </c>
      <c r="P1713">
        <v>0.06</v>
      </c>
      <c r="Q1713" t="s">
        <v>135</v>
      </c>
      <c r="R1713">
        <v>0</v>
      </c>
      <c r="S1713">
        <v>33.299999999999997</v>
      </c>
      <c r="T1713">
        <v>23.8</v>
      </c>
      <c r="U1713">
        <v>9.5</v>
      </c>
      <c r="V1713">
        <v>33.299999999999997</v>
      </c>
    </row>
    <row r="1714" spans="1:22" x14ac:dyDescent="0.25">
      <c r="A1714" t="s">
        <v>445</v>
      </c>
      <c r="B1714" t="s">
        <v>119</v>
      </c>
      <c r="C1714">
        <v>19</v>
      </c>
      <c r="D1714" t="s">
        <v>132</v>
      </c>
      <c r="E1714" t="s">
        <v>140</v>
      </c>
      <c r="F1714" t="s">
        <v>140</v>
      </c>
      <c r="G1714">
        <v>0.16</v>
      </c>
      <c r="H1714" t="s">
        <v>132</v>
      </c>
      <c r="I1714">
        <v>-3</v>
      </c>
      <c r="J1714" s="4" t="str">
        <f>HYPERLINK("https://www.eliteprospects.com/player/536077/john-mittelstadt")</f>
        <v>https://www.eliteprospects.com/player/536077/john-mittelstadt</v>
      </c>
      <c r="K1714" t="s">
        <v>27</v>
      </c>
      <c r="L1714" t="s">
        <v>28</v>
      </c>
      <c r="M1714" t="s">
        <v>35</v>
      </c>
      <c r="N1714">
        <v>4</v>
      </c>
      <c r="O1714" t="s">
        <v>30</v>
      </c>
      <c r="P1714">
        <v>0.03</v>
      </c>
      <c r="Q1714" t="s">
        <v>245</v>
      </c>
      <c r="R1714">
        <v>9.1</v>
      </c>
      <c r="S1714">
        <v>18.2</v>
      </c>
      <c r="T1714">
        <v>9.1</v>
      </c>
      <c r="U1714">
        <v>13.6</v>
      </c>
      <c r="V1714">
        <v>50</v>
      </c>
    </row>
    <row r="1715" spans="1:22" x14ac:dyDescent="0.25">
      <c r="A1715" t="s">
        <v>36</v>
      </c>
      <c r="B1715" t="s">
        <v>37</v>
      </c>
      <c r="C1715">
        <v>20</v>
      </c>
      <c r="D1715" t="s">
        <v>38</v>
      </c>
      <c r="E1715" t="s">
        <v>39</v>
      </c>
      <c r="F1715" t="s">
        <v>40</v>
      </c>
      <c r="G1715">
        <v>1.5</v>
      </c>
      <c r="H1715" t="s">
        <v>41</v>
      </c>
      <c r="I1715">
        <v>16</v>
      </c>
      <c r="J1715" s="4" t="str">
        <f>HYPERLINK("https://www.eliteprospects.com/player/597566/max-plante")</f>
        <v>https://www.eliteprospects.com/player/597566/max-plante</v>
      </c>
      <c r="K1715" t="s">
        <v>27</v>
      </c>
      <c r="L1715" t="s">
        <v>28</v>
      </c>
      <c r="M1715" t="s">
        <v>42</v>
      </c>
      <c r="N1715">
        <v>2</v>
      </c>
      <c r="O1715" t="s">
        <v>43</v>
      </c>
      <c r="P1715">
        <v>0.28999999999999998</v>
      </c>
      <c r="Q1715" t="s">
        <v>31</v>
      </c>
      <c r="R1715">
        <v>57.1</v>
      </c>
      <c r="S1715">
        <v>32.1</v>
      </c>
      <c r="T1715">
        <v>0</v>
      </c>
      <c r="U1715">
        <v>0</v>
      </c>
      <c r="V1715">
        <v>10.7</v>
      </c>
    </row>
    <row r="1716" spans="1:22" x14ac:dyDescent="0.25">
      <c r="A1716" t="s">
        <v>77</v>
      </c>
      <c r="B1716" t="s">
        <v>37</v>
      </c>
      <c r="C1716">
        <v>20</v>
      </c>
      <c r="D1716" t="s">
        <v>78</v>
      </c>
      <c r="E1716" t="s">
        <v>55</v>
      </c>
      <c r="F1716" t="s">
        <v>75</v>
      </c>
      <c r="G1716">
        <v>1.25</v>
      </c>
      <c r="H1716" t="s">
        <v>79</v>
      </c>
      <c r="I1716">
        <v>12</v>
      </c>
      <c r="J1716" s="4" t="str">
        <f>HYPERLINK("https://www.eliteprospects.com/player/637043/zam-plante")</f>
        <v>https://www.eliteprospects.com/player/637043/zam-plante</v>
      </c>
      <c r="K1716" t="s">
        <v>27</v>
      </c>
      <c r="L1716" t="s">
        <v>28</v>
      </c>
      <c r="M1716" t="s">
        <v>42</v>
      </c>
      <c r="N1716">
        <v>2</v>
      </c>
      <c r="O1716" t="s">
        <v>43</v>
      </c>
      <c r="P1716">
        <v>0.24</v>
      </c>
      <c r="Q1716" t="s">
        <v>31</v>
      </c>
      <c r="R1716">
        <v>57.1</v>
      </c>
      <c r="S1716">
        <v>32.1</v>
      </c>
      <c r="T1716">
        <v>0</v>
      </c>
      <c r="U1716">
        <v>0</v>
      </c>
      <c r="V1716">
        <v>10.7</v>
      </c>
    </row>
    <row r="1717" spans="1:22" x14ac:dyDescent="0.25">
      <c r="A1717" t="s">
        <v>107</v>
      </c>
      <c r="B1717" t="s">
        <v>37</v>
      </c>
      <c r="C1717">
        <v>20</v>
      </c>
      <c r="D1717" t="s">
        <v>96</v>
      </c>
      <c r="E1717" t="s">
        <v>38</v>
      </c>
      <c r="F1717" t="s">
        <v>33</v>
      </c>
      <c r="G1717">
        <v>1.05</v>
      </c>
      <c r="H1717" t="s">
        <v>32</v>
      </c>
      <c r="I1717">
        <v>10</v>
      </c>
      <c r="J1717" s="4" t="str">
        <f>HYPERLINK("https://www.eliteprospects.com/player/664653/jayson-shaugabay")</f>
        <v>https://www.eliteprospects.com/player/664653/jayson-shaugabay</v>
      </c>
      <c r="K1717" t="s">
        <v>27</v>
      </c>
      <c r="L1717" t="s">
        <v>28</v>
      </c>
      <c r="M1717" t="s">
        <v>42</v>
      </c>
      <c r="N1717">
        <v>2</v>
      </c>
      <c r="O1717" t="s">
        <v>43</v>
      </c>
      <c r="P1717">
        <v>0.2</v>
      </c>
      <c r="Q1717" t="s">
        <v>31</v>
      </c>
      <c r="R1717">
        <v>57.1</v>
      </c>
      <c r="S1717">
        <v>32.1</v>
      </c>
      <c r="T1717">
        <v>0</v>
      </c>
      <c r="U1717">
        <v>0</v>
      </c>
      <c r="V1717">
        <v>10.7</v>
      </c>
    </row>
    <row r="1718" spans="1:22" x14ac:dyDescent="0.25">
      <c r="A1718" t="s">
        <v>208</v>
      </c>
      <c r="B1718" t="s">
        <v>37</v>
      </c>
      <c r="C1718">
        <v>20</v>
      </c>
      <c r="D1718" t="s">
        <v>96</v>
      </c>
      <c r="E1718" t="s">
        <v>26</v>
      </c>
      <c r="F1718" t="s">
        <v>65</v>
      </c>
      <c r="G1718">
        <v>0.65</v>
      </c>
      <c r="H1718" t="s">
        <v>79</v>
      </c>
      <c r="I1718">
        <v>1</v>
      </c>
      <c r="J1718" s="4" t="str">
        <f>HYPERLINK("https://www.eliteprospects.com/player/603793/callum-arnott")</f>
        <v>https://www.eliteprospects.com/player/603793/callum-arnott</v>
      </c>
      <c r="K1718" t="s">
        <v>27</v>
      </c>
      <c r="L1718" t="s">
        <v>28</v>
      </c>
      <c r="M1718" t="s">
        <v>129</v>
      </c>
      <c r="N1718">
        <v>2</v>
      </c>
      <c r="O1718" t="s">
        <v>43</v>
      </c>
      <c r="P1718">
        <v>0.13</v>
      </c>
      <c r="Q1718" t="s">
        <v>31</v>
      </c>
      <c r="R1718">
        <v>100</v>
      </c>
      <c r="S1718">
        <v>0</v>
      </c>
      <c r="T1718">
        <v>0</v>
      </c>
      <c r="U1718">
        <v>0</v>
      </c>
      <c r="V1718">
        <v>0</v>
      </c>
    </row>
    <row r="1719" spans="1:22" x14ac:dyDescent="0.25">
      <c r="A1719" t="s">
        <v>289</v>
      </c>
      <c r="B1719" t="s">
        <v>37</v>
      </c>
      <c r="C1719">
        <v>20</v>
      </c>
      <c r="D1719" t="s">
        <v>26</v>
      </c>
      <c r="E1719" t="s">
        <v>260</v>
      </c>
      <c r="F1719" t="s">
        <v>45</v>
      </c>
      <c r="G1719">
        <v>0.45</v>
      </c>
      <c r="H1719" t="s">
        <v>79</v>
      </c>
      <c r="I1719">
        <v>2</v>
      </c>
      <c r="J1719" s="4" t="str">
        <f>HYPERLINK("https://www.eliteprospects.com/player/413172/scout-truman")</f>
        <v>https://www.eliteprospects.com/player/413172/scout-truman</v>
      </c>
      <c r="K1719" t="s">
        <v>27</v>
      </c>
      <c r="L1719" t="s">
        <v>28</v>
      </c>
      <c r="M1719" t="s">
        <v>91</v>
      </c>
      <c r="N1719">
        <v>4</v>
      </c>
      <c r="O1719" t="s">
        <v>30</v>
      </c>
      <c r="P1719">
        <v>0.09</v>
      </c>
      <c r="Q1719" t="s">
        <v>31</v>
      </c>
      <c r="R1719">
        <v>33.299999999999997</v>
      </c>
      <c r="S1719">
        <v>8.3000000000000007</v>
      </c>
      <c r="T1719">
        <v>33.299999999999997</v>
      </c>
      <c r="U1719">
        <v>8.3000000000000007</v>
      </c>
      <c r="V1719">
        <v>16.7</v>
      </c>
    </row>
    <row r="1720" spans="1:22" x14ac:dyDescent="0.25">
      <c r="A1720" t="s">
        <v>306</v>
      </c>
      <c r="B1720" t="s">
        <v>37</v>
      </c>
      <c r="C1720">
        <v>16</v>
      </c>
      <c r="D1720" t="s">
        <v>79</v>
      </c>
      <c r="E1720" t="s">
        <v>78</v>
      </c>
      <c r="F1720" t="s">
        <v>45</v>
      </c>
      <c r="G1720">
        <v>0.56000000000000005</v>
      </c>
      <c r="H1720" t="s">
        <v>26</v>
      </c>
      <c r="I1720">
        <v>2</v>
      </c>
      <c r="J1720" s="4" t="str">
        <f>HYPERLINK("https://www.eliteprospects.com/player/698050/hunter-anderson")</f>
        <v>https://www.eliteprospects.com/player/698050/hunter-anderson</v>
      </c>
      <c r="K1720" t="s">
        <v>27</v>
      </c>
      <c r="L1720" t="s">
        <v>28</v>
      </c>
      <c r="M1720" t="s">
        <v>91</v>
      </c>
      <c r="N1720">
        <v>1</v>
      </c>
      <c r="O1720" t="s">
        <v>71</v>
      </c>
      <c r="P1720">
        <v>0.11</v>
      </c>
      <c r="Q1720" t="s">
        <v>135</v>
      </c>
      <c r="R1720">
        <v>20</v>
      </c>
      <c r="S1720">
        <v>40</v>
      </c>
      <c r="T1720">
        <v>20</v>
      </c>
      <c r="U1720">
        <v>0</v>
      </c>
      <c r="V1720">
        <v>20</v>
      </c>
    </row>
    <row r="1721" spans="1:22" x14ac:dyDescent="0.25">
      <c r="A1721" t="s">
        <v>327</v>
      </c>
      <c r="B1721" t="s">
        <v>37</v>
      </c>
      <c r="C1721">
        <v>15</v>
      </c>
      <c r="D1721" t="s">
        <v>260</v>
      </c>
      <c r="E1721" t="s">
        <v>78</v>
      </c>
      <c r="F1721" t="s">
        <v>26</v>
      </c>
      <c r="G1721">
        <v>0.53</v>
      </c>
      <c r="H1721" t="s">
        <v>66</v>
      </c>
      <c r="I1721">
        <v>4</v>
      </c>
      <c r="J1721" s="4" t="str">
        <f>HYPERLINK("https://www.eliteprospects.com/player/719115/ryan-zaremba")</f>
        <v>https://www.eliteprospects.com/player/719115/ryan-zaremba</v>
      </c>
      <c r="K1721" t="s">
        <v>27</v>
      </c>
      <c r="L1721" t="s">
        <v>28</v>
      </c>
      <c r="M1721" t="s">
        <v>35</v>
      </c>
      <c r="N1721">
        <v>1</v>
      </c>
      <c r="O1721" t="s">
        <v>71</v>
      </c>
      <c r="P1721">
        <v>0.1</v>
      </c>
      <c r="Q1721" t="s">
        <v>245</v>
      </c>
      <c r="R1721">
        <v>20</v>
      </c>
      <c r="S1721">
        <v>20</v>
      </c>
      <c r="T1721">
        <v>20</v>
      </c>
      <c r="U1721">
        <v>0</v>
      </c>
      <c r="V1721">
        <v>40</v>
      </c>
    </row>
    <row r="1722" spans="1:22" x14ac:dyDescent="0.25">
      <c r="A1722" t="s">
        <v>356</v>
      </c>
      <c r="B1722" t="s">
        <v>37</v>
      </c>
      <c r="C1722">
        <v>20</v>
      </c>
      <c r="D1722" t="s">
        <v>66</v>
      </c>
      <c r="E1722" t="s">
        <v>79</v>
      </c>
      <c r="F1722" t="s">
        <v>57</v>
      </c>
      <c r="G1722">
        <v>0.3</v>
      </c>
      <c r="H1722" t="s">
        <v>57</v>
      </c>
      <c r="I1722">
        <v>4</v>
      </c>
      <c r="J1722" s="4" t="str">
        <f>HYPERLINK("https://www.eliteprospects.com/player/618481/daniel-shlaine")</f>
        <v>https://www.eliteprospects.com/player/618481/daniel-shlaine</v>
      </c>
      <c r="K1722" t="s">
        <v>27</v>
      </c>
      <c r="L1722" t="s">
        <v>28</v>
      </c>
      <c r="M1722" t="s">
        <v>42</v>
      </c>
      <c r="N1722">
        <v>1</v>
      </c>
      <c r="O1722" t="s">
        <v>71</v>
      </c>
      <c r="P1722">
        <v>0.06</v>
      </c>
      <c r="Q1722" t="s">
        <v>245</v>
      </c>
      <c r="R1722">
        <v>14.3</v>
      </c>
      <c r="S1722">
        <v>28.6</v>
      </c>
      <c r="T1722">
        <v>0</v>
      </c>
      <c r="U1722">
        <v>14.3</v>
      </c>
      <c r="V1722">
        <v>42.9</v>
      </c>
    </row>
    <row r="1723" spans="1:22" x14ac:dyDescent="0.25">
      <c r="A1723" t="s">
        <v>372</v>
      </c>
      <c r="B1723" t="s">
        <v>37</v>
      </c>
      <c r="C1723">
        <v>20</v>
      </c>
      <c r="D1723" t="s">
        <v>260</v>
      </c>
      <c r="E1723" t="s">
        <v>96</v>
      </c>
      <c r="F1723" t="s">
        <v>57</v>
      </c>
      <c r="G1723">
        <v>0.3</v>
      </c>
      <c r="H1723" t="s">
        <v>39</v>
      </c>
      <c r="I1723">
        <v>1</v>
      </c>
      <c r="J1723" s="4" t="str">
        <f>HYPERLINK("https://www.eliteprospects.com/player/321144/kyle-gaffney")</f>
        <v>https://www.eliteprospects.com/player/321144/kyle-gaffney</v>
      </c>
      <c r="K1723" t="s">
        <v>27</v>
      </c>
      <c r="L1723" t="s">
        <v>28</v>
      </c>
      <c r="M1723" t="s">
        <v>35</v>
      </c>
      <c r="N1723">
        <v>4</v>
      </c>
      <c r="O1723" t="s">
        <v>30</v>
      </c>
      <c r="P1723">
        <v>0.06</v>
      </c>
      <c r="Q1723" t="s">
        <v>245</v>
      </c>
      <c r="R1723">
        <v>14.3</v>
      </c>
      <c r="S1723">
        <v>28.6</v>
      </c>
      <c r="T1723">
        <v>0</v>
      </c>
      <c r="U1723">
        <v>14.3</v>
      </c>
      <c r="V1723">
        <v>42.9</v>
      </c>
    </row>
    <row r="1724" spans="1:22" x14ac:dyDescent="0.25">
      <c r="A1724" t="s">
        <v>418</v>
      </c>
      <c r="B1724" t="s">
        <v>37</v>
      </c>
      <c r="C1724">
        <v>16</v>
      </c>
      <c r="D1724" t="s">
        <v>132</v>
      </c>
      <c r="E1724" t="s">
        <v>66</v>
      </c>
      <c r="F1724" t="s">
        <v>66</v>
      </c>
      <c r="G1724">
        <v>0.25</v>
      </c>
      <c r="H1724" t="s">
        <v>55</v>
      </c>
      <c r="I1724">
        <v>-2</v>
      </c>
      <c r="J1724" s="4" t="str">
        <f>HYPERLINK("https://www.eliteprospects.com/player/750251/blake-bechen")</f>
        <v>https://www.eliteprospects.com/player/750251/blake-bechen</v>
      </c>
      <c r="K1724" t="s">
        <v>27</v>
      </c>
      <c r="L1724" t="s">
        <v>28</v>
      </c>
      <c r="M1724" t="s">
        <v>35</v>
      </c>
      <c r="N1724">
        <v>2</v>
      </c>
      <c r="O1724" t="s">
        <v>43</v>
      </c>
      <c r="P1724">
        <v>0.05</v>
      </c>
      <c r="Q1724" t="s">
        <v>245</v>
      </c>
      <c r="R1724">
        <v>9.1</v>
      </c>
      <c r="S1724">
        <v>18.2</v>
      </c>
      <c r="T1724">
        <v>9.1</v>
      </c>
      <c r="U1724">
        <v>13.6</v>
      </c>
      <c r="V1724">
        <v>50</v>
      </c>
    </row>
    <row r="1725" spans="1:22" x14ac:dyDescent="0.25">
      <c r="A1725" t="s">
        <v>465</v>
      </c>
      <c r="B1725" t="s">
        <v>37</v>
      </c>
      <c r="C1725">
        <v>20</v>
      </c>
      <c r="D1725" t="s">
        <v>260</v>
      </c>
      <c r="E1725" t="s">
        <v>132</v>
      </c>
      <c r="F1725" t="s">
        <v>260</v>
      </c>
      <c r="G1725">
        <v>0.05</v>
      </c>
      <c r="H1725" t="s">
        <v>32</v>
      </c>
      <c r="I1725">
        <v>-6</v>
      </c>
      <c r="J1725" s="4" t="str">
        <f>HYPERLINK("https://www.eliteprospects.com/player/422355/kyler-kovich")</f>
        <v>https://www.eliteprospects.com/player/422355/kyler-kovich</v>
      </c>
      <c r="K1725" t="s">
        <v>27</v>
      </c>
      <c r="L1725" t="s">
        <v>28</v>
      </c>
      <c r="M1725" t="s">
        <v>91</v>
      </c>
      <c r="N1725">
        <v>5</v>
      </c>
      <c r="O1725" t="s">
        <v>67</v>
      </c>
      <c r="P1725">
        <v>0.01</v>
      </c>
      <c r="Q1725" t="s">
        <v>245</v>
      </c>
      <c r="R1725">
        <v>13.3</v>
      </c>
      <c r="S1725">
        <v>13.3</v>
      </c>
      <c r="T1725">
        <v>0</v>
      </c>
      <c r="U1725">
        <v>13.3</v>
      </c>
      <c r="V1725">
        <v>60</v>
      </c>
    </row>
    <row r="1726" spans="1:22" x14ac:dyDescent="0.25">
      <c r="A1726" t="s">
        <v>482</v>
      </c>
      <c r="B1726" t="s">
        <v>37</v>
      </c>
      <c r="C1726">
        <v>16</v>
      </c>
      <c r="D1726" t="s">
        <v>132</v>
      </c>
      <c r="E1726" t="s">
        <v>132</v>
      </c>
      <c r="F1726" t="s">
        <v>132</v>
      </c>
      <c r="G1726">
        <v>0</v>
      </c>
      <c r="H1726" t="s">
        <v>57</v>
      </c>
      <c r="I1726">
        <v>-6</v>
      </c>
      <c r="J1726" s="4" t="str">
        <f>HYPERLINK("https://www.eliteprospects.com/player/646121/luke-bibby")</f>
        <v>https://www.eliteprospects.com/player/646121/luke-bibby</v>
      </c>
      <c r="K1726" t="s">
        <v>27</v>
      </c>
      <c r="L1726" t="s">
        <v>28</v>
      </c>
      <c r="M1726" t="s">
        <v>91</v>
      </c>
      <c r="N1726">
        <v>1</v>
      </c>
      <c r="O1726" t="s">
        <v>71</v>
      </c>
      <c r="P1726">
        <v>0</v>
      </c>
      <c r="Q1726" t="s">
        <v>245</v>
      </c>
      <c r="R1726">
        <v>13.3</v>
      </c>
      <c r="S1726">
        <v>13.3</v>
      </c>
      <c r="T1726">
        <v>0</v>
      </c>
      <c r="U1726">
        <v>13.3</v>
      </c>
      <c r="V1726">
        <v>60</v>
      </c>
    </row>
    <row r="1727" spans="1:22" x14ac:dyDescent="0.25">
      <c r="A1727" t="s">
        <v>943</v>
      </c>
      <c r="B1727" t="s">
        <v>944</v>
      </c>
      <c r="C1727">
        <v>19</v>
      </c>
      <c r="D1727" t="s">
        <v>45</v>
      </c>
      <c r="E1727" t="s">
        <v>41</v>
      </c>
      <c r="F1727" t="s">
        <v>81</v>
      </c>
      <c r="G1727">
        <v>1.26</v>
      </c>
      <c r="H1727" t="s">
        <v>66</v>
      </c>
      <c r="I1727">
        <v>15</v>
      </c>
      <c r="J1727" s="4" t="str">
        <f>HYPERLINK("https://www.eliteprospects.com/player/272852/mika-cyr")</f>
        <v>https://www.eliteprospects.com/player/272852/mika-cyr</v>
      </c>
      <c r="K1727" t="s">
        <v>27</v>
      </c>
      <c r="L1727" t="s">
        <v>918</v>
      </c>
      <c r="M1727" t="s">
        <v>143</v>
      </c>
      <c r="N1727">
        <v>5</v>
      </c>
      <c r="O1727" t="s">
        <v>945</v>
      </c>
      <c r="P1727">
        <v>0.16</v>
      </c>
      <c r="Q1727" t="s">
        <v>31</v>
      </c>
      <c r="R1727">
        <v>36.700000000000003</v>
      </c>
      <c r="S1727">
        <v>36.700000000000003</v>
      </c>
      <c r="T1727">
        <v>0</v>
      </c>
      <c r="U1727">
        <v>0</v>
      </c>
      <c r="V1727">
        <v>26.7</v>
      </c>
    </row>
    <row r="1728" spans="1:22" x14ac:dyDescent="0.25">
      <c r="A1728" t="s">
        <v>1016</v>
      </c>
      <c r="B1728" t="s">
        <v>944</v>
      </c>
      <c r="C1728">
        <v>18</v>
      </c>
      <c r="D1728" t="s">
        <v>78</v>
      </c>
      <c r="E1728" t="s">
        <v>45</v>
      </c>
      <c r="F1728" t="s">
        <v>38</v>
      </c>
      <c r="G1728">
        <v>0.89</v>
      </c>
      <c r="H1728" t="s">
        <v>24</v>
      </c>
      <c r="I1728">
        <v>4</v>
      </c>
      <c r="J1728" s="4" t="str">
        <f>HYPERLINK("https://www.eliteprospects.com/player/593550/jeremy-d-astous")</f>
        <v>https://www.eliteprospects.com/player/593550/jeremy-d-astous</v>
      </c>
      <c r="K1728" t="s">
        <v>27</v>
      </c>
      <c r="L1728" t="s">
        <v>918</v>
      </c>
      <c r="M1728" t="s">
        <v>29</v>
      </c>
      <c r="N1728">
        <v>3</v>
      </c>
      <c r="O1728" t="s">
        <v>1002</v>
      </c>
      <c r="P1728">
        <v>0.11</v>
      </c>
      <c r="Q1728" t="s">
        <v>135</v>
      </c>
      <c r="R1728">
        <v>20</v>
      </c>
      <c r="S1728">
        <v>40</v>
      </c>
      <c r="T1728">
        <v>20</v>
      </c>
      <c r="U1728">
        <v>0</v>
      </c>
      <c r="V1728">
        <v>20</v>
      </c>
    </row>
    <row r="1729" spans="1:22" x14ac:dyDescent="0.25">
      <c r="A1729" t="s">
        <v>1017</v>
      </c>
      <c r="B1729" t="s">
        <v>944</v>
      </c>
      <c r="C1729">
        <v>19</v>
      </c>
      <c r="D1729" t="s">
        <v>78</v>
      </c>
      <c r="E1729" t="s">
        <v>45</v>
      </c>
      <c r="F1729" t="s">
        <v>38</v>
      </c>
      <c r="G1729">
        <v>0.84</v>
      </c>
      <c r="H1729" t="s">
        <v>47</v>
      </c>
      <c r="I1729">
        <v>2</v>
      </c>
      <c r="J1729" s="4" t="str">
        <f>HYPERLINK("https://www.eliteprospects.com/player/662503/jules-boilard")</f>
        <v>https://www.eliteprospects.com/player/662503/jules-boilard</v>
      </c>
      <c r="K1729" t="s">
        <v>27</v>
      </c>
      <c r="L1729" t="s">
        <v>918</v>
      </c>
      <c r="M1729" t="s">
        <v>29</v>
      </c>
      <c r="N1729">
        <v>3</v>
      </c>
      <c r="O1729" t="s">
        <v>1002</v>
      </c>
      <c r="P1729">
        <v>0.1</v>
      </c>
      <c r="Q1729" t="s">
        <v>245</v>
      </c>
      <c r="R1729">
        <v>20</v>
      </c>
      <c r="S1729">
        <v>20</v>
      </c>
      <c r="T1729">
        <v>20</v>
      </c>
      <c r="U1729">
        <v>0</v>
      </c>
      <c r="V1729">
        <v>40</v>
      </c>
    </row>
    <row r="1730" spans="1:22" x14ac:dyDescent="0.25">
      <c r="A1730" t="s">
        <v>1056</v>
      </c>
      <c r="B1730" t="s">
        <v>944</v>
      </c>
      <c r="C1730">
        <v>19</v>
      </c>
      <c r="D1730" t="s">
        <v>78</v>
      </c>
      <c r="E1730" t="s">
        <v>57</v>
      </c>
      <c r="F1730" t="s">
        <v>65</v>
      </c>
      <c r="G1730">
        <v>0.68</v>
      </c>
      <c r="H1730" t="s">
        <v>57</v>
      </c>
      <c r="I1730">
        <v>2</v>
      </c>
      <c r="J1730" s="4" t="str">
        <f>HYPERLINK("https://www.eliteprospects.com/player/284884/olivier-luc-hache")</f>
        <v>https://www.eliteprospects.com/player/284884/olivier-luc-hache</v>
      </c>
      <c r="K1730" t="s">
        <v>27</v>
      </c>
      <c r="L1730" t="s">
        <v>918</v>
      </c>
      <c r="M1730" t="s">
        <v>76</v>
      </c>
      <c r="N1730">
        <v>6</v>
      </c>
      <c r="O1730" t="s">
        <v>1057</v>
      </c>
      <c r="P1730">
        <v>0.08</v>
      </c>
      <c r="Q1730" t="s">
        <v>31</v>
      </c>
      <c r="R1730">
        <v>33.299999999999997</v>
      </c>
      <c r="S1730">
        <v>8.3000000000000007</v>
      </c>
      <c r="T1730">
        <v>33.299999999999997</v>
      </c>
      <c r="U1730">
        <v>8.3000000000000007</v>
      </c>
      <c r="V1730">
        <v>16.7</v>
      </c>
    </row>
    <row r="1731" spans="1:22" x14ac:dyDescent="0.25">
      <c r="A1731" t="s">
        <v>1073</v>
      </c>
      <c r="B1731" t="s">
        <v>944</v>
      </c>
      <c r="C1731">
        <v>18</v>
      </c>
      <c r="D1731" t="s">
        <v>57</v>
      </c>
      <c r="E1731" t="s">
        <v>57</v>
      </c>
      <c r="F1731" t="s">
        <v>23</v>
      </c>
      <c r="G1731">
        <v>0.67</v>
      </c>
      <c r="H1731" t="s">
        <v>40</v>
      </c>
      <c r="I1731">
        <v>-1</v>
      </c>
      <c r="J1731" s="4" t="str">
        <f>HYPERLINK("https://www.eliteprospects.com/player/424680/jeremy-lapointe")</f>
        <v>https://www.eliteprospects.com/player/424680/jeremy-lapointe</v>
      </c>
      <c r="K1731" t="s">
        <v>27</v>
      </c>
      <c r="L1731" t="s">
        <v>918</v>
      </c>
      <c r="M1731" t="s">
        <v>76</v>
      </c>
      <c r="N1731">
        <v>6</v>
      </c>
      <c r="O1731" t="s">
        <v>921</v>
      </c>
      <c r="P1731">
        <v>0.08</v>
      </c>
      <c r="Q1731" t="s">
        <v>1277</v>
      </c>
      <c r="R1731">
        <v>16.7</v>
      </c>
      <c r="S1731">
        <v>16.7</v>
      </c>
      <c r="T1731">
        <v>25</v>
      </c>
      <c r="U1731">
        <v>16.7</v>
      </c>
      <c r="V1731">
        <v>25</v>
      </c>
    </row>
    <row r="1732" spans="1:22" x14ac:dyDescent="0.25">
      <c r="A1732" t="s">
        <v>1125</v>
      </c>
      <c r="B1732" t="s">
        <v>944</v>
      </c>
      <c r="C1732">
        <v>19</v>
      </c>
      <c r="D1732" t="s">
        <v>79</v>
      </c>
      <c r="E1732" t="s">
        <v>78</v>
      </c>
      <c r="F1732" t="s">
        <v>45</v>
      </c>
      <c r="G1732">
        <v>0.47</v>
      </c>
      <c r="H1732" t="s">
        <v>79</v>
      </c>
      <c r="I1732">
        <v>3</v>
      </c>
      <c r="J1732" s="4" t="str">
        <f>HYPERLINK("https://www.eliteprospects.com/player/673082/philippe-collette")</f>
        <v>https://www.eliteprospects.com/player/673082/philippe-collette</v>
      </c>
      <c r="K1732" t="s">
        <v>27</v>
      </c>
      <c r="L1732" t="s">
        <v>918</v>
      </c>
      <c r="M1732" t="s">
        <v>91</v>
      </c>
      <c r="N1732">
        <v>4</v>
      </c>
      <c r="O1732" t="s">
        <v>1051</v>
      </c>
      <c r="P1732">
        <v>0.06</v>
      </c>
      <c r="Q1732" t="s">
        <v>245</v>
      </c>
      <c r="R1732">
        <v>14.3</v>
      </c>
      <c r="S1732">
        <v>28.6</v>
      </c>
      <c r="T1732">
        <v>0</v>
      </c>
      <c r="U1732">
        <v>14.3</v>
      </c>
      <c r="V1732">
        <v>42.9</v>
      </c>
    </row>
    <row r="1733" spans="1:22" x14ac:dyDescent="0.25">
      <c r="A1733" t="s">
        <v>1128</v>
      </c>
      <c r="B1733" t="s">
        <v>944</v>
      </c>
      <c r="C1733">
        <v>19</v>
      </c>
      <c r="D1733" t="s">
        <v>57</v>
      </c>
      <c r="E1733" t="s">
        <v>79</v>
      </c>
      <c r="F1733" t="s">
        <v>26</v>
      </c>
      <c r="G1733">
        <v>0.42</v>
      </c>
      <c r="H1733" t="s">
        <v>66</v>
      </c>
      <c r="I1733">
        <v>8</v>
      </c>
      <c r="J1733" s="4" t="str">
        <f>HYPERLINK("https://www.eliteprospects.com/player/283718/jeremie-jacob")</f>
        <v>https://www.eliteprospects.com/player/283718/jeremie-jacob</v>
      </c>
      <c r="K1733" t="s">
        <v>27</v>
      </c>
      <c r="L1733" t="s">
        <v>918</v>
      </c>
      <c r="M1733" t="s">
        <v>42</v>
      </c>
      <c r="N1733">
        <v>4</v>
      </c>
      <c r="O1733" t="s">
        <v>1006</v>
      </c>
      <c r="P1733">
        <v>0.05</v>
      </c>
      <c r="Q1733" t="s">
        <v>245</v>
      </c>
      <c r="R1733">
        <v>0</v>
      </c>
      <c r="S1733">
        <v>25</v>
      </c>
      <c r="T1733">
        <v>0</v>
      </c>
      <c r="U1733">
        <v>25</v>
      </c>
      <c r="V1733">
        <v>50</v>
      </c>
    </row>
    <row r="1734" spans="1:22" x14ac:dyDescent="0.25">
      <c r="A1734" t="s">
        <v>1134</v>
      </c>
      <c r="B1734" t="s">
        <v>944</v>
      </c>
      <c r="C1734">
        <v>19</v>
      </c>
      <c r="D1734" t="s">
        <v>140</v>
      </c>
      <c r="E1734" t="s">
        <v>96</v>
      </c>
      <c r="F1734" t="s">
        <v>26</v>
      </c>
      <c r="G1734">
        <v>0.42</v>
      </c>
      <c r="H1734" t="s">
        <v>55</v>
      </c>
      <c r="I1734">
        <v>6</v>
      </c>
      <c r="J1734" s="4" t="str">
        <f>HYPERLINK("https://www.eliteprospects.com/player/275777/william-basque")</f>
        <v>https://www.eliteprospects.com/player/275777/william-basque</v>
      </c>
      <c r="K1734" t="s">
        <v>27</v>
      </c>
      <c r="L1734" t="s">
        <v>918</v>
      </c>
      <c r="M1734" t="s">
        <v>42</v>
      </c>
      <c r="N1734">
        <v>4</v>
      </c>
      <c r="O1734" t="s">
        <v>940</v>
      </c>
      <c r="P1734">
        <v>0.05</v>
      </c>
      <c r="Q1734" t="s">
        <v>245</v>
      </c>
      <c r="R1734">
        <v>0</v>
      </c>
      <c r="S1734">
        <v>25</v>
      </c>
      <c r="T1734">
        <v>0</v>
      </c>
      <c r="U1734">
        <v>25</v>
      </c>
      <c r="V1734">
        <v>50</v>
      </c>
    </row>
    <row r="1735" spans="1:22" x14ac:dyDescent="0.25">
      <c r="A1735" t="s">
        <v>1154</v>
      </c>
      <c r="B1735" t="s">
        <v>944</v>
      </c>
      <c r="C1735">
        <v>19</v>
      </c>
      <c r="D1735" t="s">
        <v>260</v>
      </c>
      <c r="E1735" t="s">
        <v>57</v>
      </c>
      <c r="F1735" t="s">
        <v>78</v>
      </c>
      <c r="G1735">
        <v>0.37</v>
      </c>
      <c r="H1735" t="s">
        <v>23</v>
      </c>
      <c r="I1735">
        <v>-2</v>
      </c>
      <c r="J1735" s="4" t="str">
        <f>HYPERLINK("https://www.eliteprospects.com/player/632520/carl-anthony-masse")</f>
        <v>https://www.eliteprospects.com/player/632520/carl-anthony-masse</v>
      </c>
      <c r="K1735" t="s">
        <v>27</v>
      </c>
      <c r="L1735" t="s">
        <v>918</v>
      </c>
      <c r="M1735" t="s">
        <v>42</v>
      </c>
      <c r="N1735">
        <v>3</v>
      </c>
      <c r="O1735" t="s">
        <v>1002</v>
      </c>
      <c r="P1735">
        <v>0.05</v>
      </c>
      <c r="Q1735" t="s">
        <v>245</v>
      </c>
      <c r="R1735">
        <v>9.1</v>
      </c>
      <c r="S1735">
        <v>18.2</v>
      </c>
      <c r="T1735">
        <v>9.1</v>
      </c>
      <c r="U1735">
        <v>13.6</v>
      </c>
      <c r="V1735">
        <v>50</v>
      </c>
    </row>
    <row r="1736" spans="1:22" x14ac:dyDescent="0.25">
      <c r="A1736" t="s">
        <v>1193</v>
      </c>
      <c r="B1736" t="s">
        <v>944</v>
      </c>
      <c r="C1736">
        <v>14</v>
      </c>
      <c r="D1736" t="s">
        <v>260</v>
      </c>
      <c r="E1736" t="s">
        <v>66</v>
      </c>
      <c r="F1736" t="s">
        <v>96</v>
      </c>
      <c r="G1736">
        <v>0.36</v>
      </c>
      <c r="H1736" t="s">
        <v>32</v>
      </c>
      <c r="I1736">
        <v>-1</v>
      </c>
      <c r="J1736" s="4" t="str">
        <f>HYPERLINK("https://www.eliteprospects.com/player/295586/charles-edouard-drouin")</f>
        <v>https://www.eliteprospects.com/player/295586/charles-edouard-drouin</v>
      </c>
      <c r="K1736" t="s">
        <v>27</v>
      </c>
      <c r="L1736" t="s">
        <v>918</v>
      </c>
      <c r="M1736" t="s">
        <v>42</v>
      </c>
      <c r="N1736">
        <v>5</v>
      </c>
      <c r="O1736" t="s">
        <v>973</v>
      </c>
      <c r="P1736">
        <v>0.04</v>
      </c>
      <c r="Q1736" t="s">
        <v>245</v>
      </c>
      <c r="R1736">
        <v>9.1</v>
      </c>
      <c r="S1736">
        <v>18.2</v>
      </c>
      <c r="T1736">
        <v>9.1</v>
      </c>
      <c r="U1736">
        <v>13.6</v>
      </c>
      <c r="V1736">
        <v>50</v>
      </c>
    </row>
    <row r="1737" spans="1:22" x14ac:dyDescent="0.25">
      <c r="A1737" t="s">
        <v>201</v>
      </c>
      <c r="B1737" t="s">
        <v>202</v>
      </c>
      <c r="C1737">
        <v>20</v>
      </c>
      <c r="D1737" t="s">
        <v>140</v>
      </c>
      <c r="E1737" t="s">
        <v>69</v>
      </c>
      <c r="F1737" t="s">
        <v>39</v>
      </c>
      <c r="G1737">
        <v>0.7</v>
      </c>
      <c r="H1737" t="s">
        <v>26</v>
      </c>
      <c r="I1737">
        <v>-6</v>
      </c>
      <c r="J1737" s="4" t="str">
        <f>HYPERLINK("https://www.eliteprospects.com/player/563417/luke-woodworth")</f>
        <v>https://www.eliteprospects.com/player/563417/luke-woodworth</v>
      </c>
      <c r="K1737" t="s">
        <v>27</v>
      </c>
      <c r="L1737" t="s">
        <v>28</v>
      </c>
      <c r="M1737" t="s">
        <v>42</v>
      </c>
      <c r="N1737">
        <v>6</v>
      </c>
      <c r="O1737" t="s">
        <v>99</v>
      </c>
      <c r="P1737">
        <v>0.14000000000000001</v>
      </c>
      <c r="Q1737" t="s">
        <v>245</v>
      </c>
      <c r="R1737">
        <v>16.7</v>
      </c>
      <c r="S1737">
        <v>16.7</v>
      </c>
      <c r="T1737">
        <v>0</v>
      </c>
      <c r="U1737">
        <v>0</v>
      </c>
      <c r="V1737">
        <v>66.7</v>
      </c>
    </row>
    <row r="1738" spans="1:22" x14ac:dyDescent="0.25">
      <c r="A1738" t="s">
        <v>225</v>
      </c>
      <c r="B1738" t="s">
        <v>202</v>
      </c>
      <c r="C1738">
        <v>19</v>
      </c>
      <c r="D1738" t="s">
        <v>57</v>
      </c>
      <c r="E1738" t="s">
        <v>57</v>
      </c>
      <c r="F1738" t="s">
        <v>23</v>
      </c>
      <c r="G1738">
        <v>0.63</v>
      </c>
      <c r="H1738" t="s">
        <v>26</v>
      </c>
      <c r="I1738">
        <v>-1</v>
      </c>
      <c r="J1738" s="4" t="str">
        <f>HYPERLINK("https://www.eliteprospects.com/player/529394/maxime-pellerin")</f>
        <v>https://www.eliteprospects.com/player/529394/maxime-pellerin</v>
      </c>
      <c r="K1738" t="s">
        <v>27</v>
      </c>
      <c r="L1738" t="s">
        <v>28</v>
      </c>
      <c r="M1738" t="s">
        <v>42</v>
      </c>
      <c r="N1738">
        <v>6</v>
      </c>
      <c r="O1738" t="s">
        <v>99</v>
      </c>
      <c r="P1738">
        <v>0.12</v>
      </c>
      <c r="Q1738" t="s">
        <v>135</v>
      </c>
      <c r="R1738">
        <v>11.1</v>
      </c>
      <c r="S1738">
        <v>44.4</v>
      </c>
      <c r="T1738">
        <v>11.1</v>
      </c>
      <c r="U1738">
        <v>11.1</v>
      </c>
      <c r="V1738">
        <v>22.2</v>
      </c>
    </row>
    <row r="1739" spans="1:22" x14ac:dyDescent="0.25">
      <c r="A1739" t="s">
        <v>271</v>
      </c>
      <c r="B1739" t="s">
        <v>202</v>
      </c>
      <c r="C1739">
        <v>20</v>
      </c>
      <c r="D1739" t="s">
        <v>96</v>
      </c>
      <c r="E1739" t="s">
        <v>96</v>
      </c>
      <c r="F1739" t="s">
        <v>32</v>
      </c>
      <c r="G1739">
        <v>0.5</v>
      </c>
      <c r="H1739" t="s">
        <v>52</v>
      </c>
      <c r="I1739">
        <v>-2</v>
      </c>
      <c r="J1739" s="4" t="str">
        <f>HYPERLINK("https://www.eliteprospects.com/player/560982/marcus-nguyen")</f>
        <v>https://www.eliteprospects.com/player/560982/marcus-nguyen</v>
      </c>
      <c r="K1739" t="s">
        <v>27</v>
      </c>
      <c r="L1739" t="s">
        <v>28</v>
      </c>
      <c r="M1739" t="s">
        <v>29</v>
      </c>
      <c r="N1739">
        <v>6</v>
      </c>
      <c r="O1739" t="s">
        <v>193</v>
      </c>
      <c r="P1739">
        <v>0.1</v>
      </c>
      <c r="Q1739" t="s">
        <v>245</v>
      </c>
      <c r="R1739">
        <v>0</v>
      </c>
      <c r="S1739">
        <v>33.299999999999997</v>
      </c>
      <c r="T1739">
        <v>0</v>
      </c>
      <c r="U1739">
        <v>0</v>
      </c>
      <c r="V1739">
        <v>66.7</v>
      </c>
    </row>
    <row r="1740" spans="1:22" x14ac:dyDescent="0.25">
      <c r="A1740" t="s">
        <v>279</v>
      </c>
      <c r="B1740" t="s">
        <v>202</v>
      </c>
      <c r="C1740">
        <v>19</v>
      </c>
      <c r="D1740" t="s">
        <v>140</v>
      </c>
      <c r="E1740" t="s">
        <v>78</v>
      </c>
      <c r="F1740" t="s">
        <v>32</v>
      </c>
      <c r="G1740">
        <v>0.53</v>
      </c>
      <c r="H1740" t="s">
        <v>280</v>
      </c>
      <c r="I1740">
        <v>4</v>
      </c>
      <c r="J1740" s="4" t="str">
        <f>HYPERLINK("https://www.eliteprospects.com/player/472873/sean-tschigerl")</f>
        <v>https://www.eliteprospects.com/player/472873/sean-tschigerl</v>
      </c>
      <c r="K1740" t="s">
        <v>27</v>
      </c>
      <c r="L1740" t="s">
        <v>28</v>
      </c>
      <c r="M1740" t="s">
        <v>91</v>
      </c>
      <c r="N1740">
        <v>6</v>
      </c>
      <c r="O1740" t="s">
        <v>193</v>
      </c>
      <c r="P1740">
        <v>0.1</v>
      </c>
      <c r="Q1740" t="s">
        <v>245</v>
      </c>
      <c r="R1740">
        <v>20</v>
      </c>
      <c r="S1740">
        <v>20</v>
      </c>
      <c r="T1740">
        <v>20</v>
      </c>
      <c r="U1740">
        <v>0</v>
      </c>
      <c r="V1740">
        <v>40</v>
      </c>
    </row>
    <row r="1741" spans="1:22" x14ac:dyDescent="0.25">
      <c r="A1741" t="s">
        <v>299</v>
      </c>
      <c r="B1741" t="s">
        <v>202</v>
      </c>
      <c r="C1741">
        <v>16</v>
      </c>
      <c r="D1741" t="s">
        <v>66</v>
      </c>
      <c r="E1741" t="s">
        <v>96</v>
      </c>
      <c r="F1741" t="s">
        <v>45</v>
      </c>
      <c r="G1741">
        <v>0.56000000000000005</v>
      </c>
      <c r="H1741" t="s">
        <v>300</v>
      </c>
      <c r="I1741">
        <v>1</v>
      </c>
      <c r="J1741" s="4" t="str">
        <f>HYPERLINK("https://www.eliteprospects.com/player/476591/brett-hyland")</f>
        <v>https://www.eliteprospects.com/player/476591/brett-hyland</v>
      </c>
      <c r="K1741" t="s">
        <v>27</v>
      </c>
      <c r="L1741" t="s">
        <v>28</v>
      </c>
      <c r="M1741" t="s">
        <v>143</v>
      </c>
      <c r="N1741">
        <v>6</v>
      </c>
      <c r="O1741" t="s">
        <v>193</v>
      </c>
      <c r="P1741">
        <v>0.11</v>
      </c>
      <c r="Q1741" t="s">
        <v>135</v>
      </c>
      <c r="R1741">
        <v>20</v>
      </c>
      <c r="S1741">
        <v>40</v>
      </c>
      <c r="T1741">
        <v>20</v>
      </c>
      <c r="U1741">
        <v>0</v>
      </c>
      <c r="V1741">
        <v>20</v>
      </c>
    </row>
    <row r="1742" spans="1:22" x14ac:dyDescent="0.25">
      <c r="A1742" t="s">
        <v>307</v>
      </c>
      <c r="B1742" t="s">
        <v>202</v>
      </c>
      <c r="C1742">
        <v>18</v>
      </c>
      <c r="D1742" t="s">
        <v>79</v>
      </c>
      <c r="E1742" t="s">
        <v>78</v>
      </c>
      <c r="F1742" t="s">
        <v>45</v>
      </c>
      <c r="G1742">
        <v>0.5</v>
      </c>
      <c r="H1742" t="s">
        <v>66</v>
      </c>
      <c r="I1742">
        <v>-6</v>
      </c>
      <c r="J1742" s="4" t="str">
        <f>HYPERLINK("https://www.eliteprospects.com/player/560051/trevor-wong")</f>
        <v>https://www.eliteprospects.com/player/560051/trevor-wong</v>
      </c>
      <c r="K1742" t="s">
        <v>27</v>
      </c>
      <c r="L1742" t="s">
        <v>28</v>
      </c>
      <c r="M1742" t="s">
        <v>76</v>
      </c>
      <c r="N1742">
        <v>6</v>
      </c>
      <c r="O1742" t="s">
        <v>193</v>
      </c>
      <c r="P1742">
        <v>0.1</v>
      </c>
      <c r="Q1742" t="s">
        <v>245</v>
      </c>
      <c r="R1742">
        <v>9.1</v>
      </c>
      <c r="S1742">
        <v>27.3</v>
      </c>
      <c r="T1742">
        <v>18.2</v>
      </c>
      <c r="U1742">
        <v>0</v>
      </c>
      <c r="V1742">
        <v>45.5</v>
      </c>
    </row>
    <row r="1743" spans="1:22" x14ac:dyDescent="0.25">
      <c r="A1743" t="s">
        <v>317</v>
      </c>
      <c r="B1743" t="s">
        <v>202</v>
      </c>
      <c r="C1743">
        <v>12</v>
      </c>
      <c r="D1743" t="s">
        <v>66</v>
      </c>
      <c r="E1743" t="s">
        <v>66</v>
      </c>
      <c r="F1743" t="s">
        <v>26</v>
      </c>
      <c r="G1743">
        <v>0.67</v>
      </c>
      <c r="H1743" t="s">
        <v>79</v>
      </c>
      <c r="I1743">
        <v>-2</v>
      </c>
      <c r="J1743" s="4" t="str">
        <f>HYPERLINK("https://www.eliteprospects.com/player/733443/jeremy-loranger")</f>
        <v>https://www.eliteprospects.com/player/733443/jeremy-loranger</v>
      </c>
      <c r="K1743" t="s">
        <v>27</v>
      </c>
      <c r="L1743" t="s">
        <v>28</v>
      </c>
      <c r="M1743" t="s">
        <v>87</v>
      </c>
      <c r="N1743">
        <v>1</v>
      </c>
      <c r="O1743" t="s">
        <v>71</v>
      </c>
      <c r="P1743">
        <v>0.13</v>
      </c>
      <c r="Q1743" t="s">
        <v>135</v>
      </c>
      <c r="R1743">
        <v>11.1</v>
      </c>
      <c r="S1743">
        <v>44.4</v>
      </c>
      <c r="T1743">
        <v>11.1</v>
      </c>
      <c r="U1743">
        <v>11.1</v>
      </c>
      <c r="V1743">
        <v>22.2</v>
      </c>
    </row>
    <row r="1744" spans="1:22" x14ac:dyDescent="0.25">
      <c r="A1744" t="s">
        <v>333</v>
      </c>
      <c r="B1744" t="s">
        <v>202</v>
      </c>
      <c r="C1744">
        <v>20</v>
      </c>
      <c r="D1744" t="s">
        <v>66</v>
      </c>
      <c r="E1744" t="s">
        <v>140</v>
      </c>
      <c r="F1744" t="s">
        <v>78</v>
      </c>
      <c r="G1744">
        <v>0.35</v>
      </c>
      <c r="H1744" t="s">
        <v>66</v>
      </c>
      <c r="I1744">
        <v>-8</v>
      </c>
      <c r="J1744" s="4" t="str">
        <f>HYPERLINK("https://www.eliteprospects.com/player/385683/tyler-rollwagen")</f>
        <v>https://www.eliteprospects.com/player/385683/tyler-rollwagen</v>
      </c>
      <c r="K1744" t="s">
        <v>27</v>
      </c>
      <c r="L1744" t="s">
        <v>28</v>
      </c>
      <c r="M1744" t="s">
        <v>35</v>
      </c>
      <c r="N1744">
        <v>4</v>
      </c>
      <c r="O1744" t="s">
        <v>30</v>
      </c>
      <c r="P1744">
        <v>7.0000000000000007E-2</v>
      </c>
      <c r="Q1744" t="s">
        <v>245</v>
      </c>
      <c r="R1744">
        <v>0</v>
      </c>
      <c r="S1744">
        <v>15.4</v>
      </c>
      <c r="T1744">
        <v>7.7</v>
      </c>
      <c r="U1744">
        <v>30.8</v>
      </c>
      <c r="V1744">
        <v>46.2</v>
      </c>
    </row>
    <row r="1745" spans="1:22" x14ac:dyDescent="0.25">
      <c r="A1745" t="s">
        <v>358</v>
      </c>
      <c r="B1745" t="s">
        <v>202</v>
      </c>
      <c r="C1745">
        <v>14</v>
      </c>
      <c r="D1745" t="s">
        <v>140</v>
      </c>
      <c r="E1745" t="s">
        <v>140</v>
      </c>
      <c r="F1745" t="s">
        <v>57</v>
      </c>
      <c r="G1745">
        <v>0.43</v>
      </c>
      <c r="H1745" t="s">
        <v>51</v>
      </c>
      <c r="I1745">
        <v>-2</v>
      </c>
      <c r="J1745" s="4" t="str">
        <f>HYPERLINK("https://www.eliteprospects.com/player/351572/samuel-huo")</f>
        <v>https://www.eliteprospects.com/player/351572/samuel-huo</v>
      </c>
      <c r="K1745" t="s">
        <v>27</v>
      </c>
      <c r="L1745" t="s">
        <v>28</v>
      </c>
      <c r="M1745" t="s">
        <v>42</v>
      </c>
      <c r="N1745">
        <v>6</v>
      </c>
      <c r="O1745" t="s">
        <v>359</v>
      </c>
      <c r="P1745">
        <v>0.08</v>
      </c>
      <c r="Q1745" t="s">
        <v>1277</v>
      </c>
      <c r="R1745">
        <v>16.7</v>
      </c>
      <c r="S1745">
        <v>16.7</v>
      </c>
      <c r="T1745">
        <v>25</v>
      </c>
      <c r="U1745">
        <v>16.7</v>
      </c>
      <c r="V1745">
        <v>25</v>
      </c>
    </row>
    <row r="1746" spans="1:22" x14ac:dyDescent="0.25">
      <c r="A1746" t="s">
        <v>379</v>
      </c>
      <c r="B1746" t="s">
        <v>202</v>
      </c>
      <c r="C1746">
        <v>20</v>
      </c>
      <c r="D1746" t="s">
        <v>140</v>
      </c>
      <c r="E1746" t="s">
        <v>79</v>
      </c>
      <c r="F1746" t="s">
        <v>96</v>
      </c>
      <c r="G1746">
        <v>0.25</v>
      </c>
      <c r="H1746" t="s">
        <v>57</v>
      </c>
      <c r="I1746">
        <v>-2</v>
      </c>
      <c r="J1746" s="4" t="str">
        <f>HYPERLINK("https://www.eliteprospects.com/player/339228/jacob-slipec")</f>
        <v>https://www.eliteprospects.com/player/339228/jacob-slipec</v>
      </c>
      <c r="K1746" t="s">
        <v>27</v>
      </c>
      <c r="L1746" t="s">
        <v>28</v>
      </c>
      <c r="M1746" t="s">
        <v>35</v>
      </c>
      <c r="N1746">
        <v>4</v>
      </c>
      <c r="O1746" t="s">
        <v>30</v>
      </c>
      <c r="P1746">
        <v>0.05</v>
      </c>
      <c r="Q1746" t="s">
        <v>245</v>
      </c>
      <c r="R1746">
        <v>9.1</v>
      </c>
      <c r="S1746">
        <v>18.2</v>
      </c>
      <c r="T1746">
        <v>9.1</v>
      </c>
      <c r="U1746">
        <v>13.6</v>
      </c>
      <c r="V1746">
        <v>50</v>
      </c>
    </row>
    <row r="1747" spans="1:22" x14ac:dyDescent="0.25">
      <c r="A1747" t="s">
        <v>380</v>
      </c>
      <c r="B1747" t="s">
        <v>202</v>
      </c>
      <c r="C1747">
        <v>20</v>
      </c>
      <c r="D1747" t="s">
        <v>140</v>
      </c>
      <c r="E1747" t="s">
        <v>79</v>
      </c>
      <c r="F1747" t="s">
        <v>96</v>
      </c>
      <c r="G1747">
        <v>0.25</v>
      </c>
      <c r="H1747" t="s">
        <v>57</v>
      </c>
      <c r="I1747">
        <v>-2</v>
      </c>
      <c r="J1747" s="4" t="str">
        <f>HYPERLINK("https://www.eliteprospects.com/player/505588/myles-hilman")</f>
        <v>https://www.eliteprospects.com/player/505588/myles-hilman</v>
      </c>
      <c r="K1747" t="s">
        <v>27</v>
      </c>
      <c r="L1747" t="s">
        <v>28</v>
      </c>
      <c r="M1747" t="s">
        <v>35</v>
      </c>
      <c r="N1747">
        <v>2</v>
      </c>
      <c r="O1747" t="s">
        <v>43</v>
      </c>
      <c r="P1747">
        <v>0.05</v>
      </c>
      <c r="Q1747" t="s">
        <v>245</v>
      </c>
      <c r="R1747">
        <v>9.1</v>
      </c>
      <c r="S1747">
        <v>18.2</v>
      </c>
      <c r="T1747">
        <v>9.1</v>
      </c>
      <c r="U1747">
        <v>13.6</v>
      </c>
      <c r="V1747">
        <v>50</v>
      </c>
    </row>
    <row r="1748" spans="1:22" x14ac:dyDescent="0.25">
      <c r="A1748" t="s">
        <v>402</v>
      </c>
      <c r="B1748" t="s">
        <v>202</v>
      </c>
      <c r="C1748">
        <v>12</v>
      </c>
      <c r="D1748" t="s">
        <v>79</v>
      </c>
      <c r="E1748" t="s">
        <v>79</v>
      </c>
      <c r="F1748" t="s">
        <v>66</v>
      </c>
      <c r="G1748">
        <v>0.33</v>
      </c>
      <c r="H1748" t="s">
        <v>79</v>
      </c>
      <c r="I1748">
        <v>-1</v>
      </c>
      <c r="J1748" s="4" t="str">
        <f>HYPERLINK("https://www.eliteprospects.com/player/739354/cameron-briere")</f>
        <v>https://www.eliteprospects.com/player/739354/cameron-briere</v>
      </c>
      <c r="K1748" t="s">
        <v>27</v>
      </c>
      <c r="L1748" t="s">
        <v>28</v>
      </c>
      <c r="M1748" t="s">
        <v>42</v>
      </c>
      <c r="N1748">
        <v>1</v>
      </c>
      <c r="O1748" t="s">
        <v>71</v>
      </c>
      <c r="P1748">
        <v>0.06</v>
      </c>
      <c r="Q1748" t="s">
        <v>135</v>
      </c>
      <c r="R1748">
        <v>0</v>
      </c>
      <c r="S1748">
        <v>33.299999999999997</v>
      </c>
      <c r="T1748">
        <v>23.8</v>
      </c>
      <c r="U1748">
        <v>9.5</v>
      </c>
      <c r="V1748">
        <v>33.299999999999997</v>
      </c>
    </row>
    <row r="1749" spans="1:22" x14ac:dyDescent="0.25">
      <c r="A1749" t="s">
        <v>438</v>
      </c>
      <c r="B1749" t="s">
        <v>202</v>
      </c>
      <c r="C1749">
        <v>18</v>
      </c>
      <c r="D1749" t="s">
        <v>260</v>
      </c>
      <c r="E1749" t="s">
        <v>79</v>
      </c>
      <c r="F1749" t="s">
        <v>140</v>
      </c>
      <c r="G1749">
        <v>0.17</v>
      </c>
      <c r="H1749" t="s">
        <v>55</v>
      </c>
      <c r="I1749">
        <v>-14</v>
      </c>
      <c r="J1749" s="4" t="str">
        <f>HYPERLINK("https://www.eliteprospects.com/player/351302/cam-mitchell")</f>
        <v>https://www.eliteprospects.com/player/351302/cam-mitchell</v>
      </c>
      <c r="K1749" t="s">
        <v>27</v>
      </c>
      <c r="L1749" t="s">
        <v>28</v>
      </c>
      <c r="M1749" t="s">
        <v>91</v>
      </c>
      <c r="N1749">
        <v>4</v>
      </c>
      <c r="O1749" t="s">
        <v>30</v>
      </c>
      <c r="P1749">
        <v>0.03</v>
      </c>
      <c r="Q1749" t="s">
        <v>245</v>
      </c>
      <c r="R1749">
        <v>13.3</v>
      </c>
      <c r="S1749">
        <v>13.3</v>
      </c>
      <c r="T1749">
        <v>0</v>
      </c>
      <c r="U1749">
        <v>13.3</v>
      </c>
      <c r="V1749">
        <v>60</v>
      </c>
    </row>
    <row r="1750" spans="1:22" x14ac:dyDescent="0.25">
      <c r="A1750" t="s">
        <v>455</v>
      </c>
      <c r="B1750" t="s">
        <v>202</v>
      </c>
      <c r="C1750">
        <v>19</v>
      </c>
      <c r="D1750" t="s">
        <v>260</v>
      </c>
      <c r="E1750" t="s">
        <v>260</v>
      </c>
      <c r="F1750" t="s">
        <v>79</v>
      </c>
      <c r="G1750">
        <v>0.11</v>
      </c>
      <c r="H1750" t="s">
        <v>51</v>
      </c>
      <c r="I1750">
        <v>-5</v>
      </c>
      <c r="J1750" s="4" t="str">
        <f>HYPERLINK("https://www.eliteprospects.com/player/647537/joel-plante")</f>
        <v>https://www.eliteprospects.com/player/647537/joel-plante</v>
      </c>
      <c r="K1750" t="s">
        <v>27</v>
      </c>
      <c r="L1750" t="s">
        <v>28</v>
      </c>
      <c r="M1750" t="s">
        <v>35</v>
      </c>
      <c r="N1750">
        <v>2</v>
      </c>
      <c r="O1750" t="s">
        <v>267</v>
      </c>
      <c r="P1750">
        <v>0.02</v>
      </c>
      <c r="Q1750" t="s">
        <v>245</v>
      </c>
      <c r="R1750">
        <v>9.1</v>
      </c>
      <c r="S1750">
        <v>18.2</v>
      </c>
      <c r="T1750">
        <v>9.1</v>
      </c>
      <c r="U1750">
        <v>13.6</v>
      </c>
      <c r="V1750">
        <v>50</v>
      </c>
    </row>
    <row r="1751" spans="1:22" x14ac:dyDescent="0.25">
      <c r="A1751" t="s">
        <v>933</v>
      </c>
      <c r="B1751" t="s">
        <v>934</v>
      </c>
      <c r="C1751">
        <v>18</v>
      </c>
      <c r="D1751" t="s">
        <v>45</v>
      </c>
      <c r="E1751" t="s">
        <v>38</v>
      </c>
      <c r="F1751" t="s">
        <v>75</v>
      </c>
      <c r="G1751">
        <v>1.39</v>
      </c>
      <c r="H1751" t="s">
        <v>79</v>
      </c>
      <c r="I1751">
        <v>4</v>
      </c>
      <c r="J1751" s="4" t="str">
        <f>HYPERLINK("https://www.eliteprospects.com/player/438096/cody-morgan")</f>
        <v>https://www.eliteprospects.com/player/438096/cody-morgan</v>
      </c>
      <c r="K1751" t="s">
        <v>27</v>
      </c>
      <c r="L1751" t="s">
        <v>918</v>
      </c>
      <c r="M1751" t="s">
        <v>42</v>
      </c>
      <c r="N1751">
        <v>5</v>
      </c>
      <c r="O1751" t="s">
        <v>935</v>
      </c>
      <c r="P1751">
        <v>0.17</v>
      </c>
      <c r="Q1751" t="s">
        <v>31</v>
      </c>
      <c r="R1751">
        <v>33.299999999999997</v>
      </c>
      <c r="S1751">
        <v>0</v>
      </c>
      <c r="T1751">
        <v>33.299999999999997</v>
      </c>
      <c r="U1751">
        <v>0</v>
      </c>
      <c r="V1751">
        <v>33.299999999999997</v>
      </c>
    </row>
    <row r="1752" spans="1:22" x14ac:dyDescent="0.25">
      <c r="A1752" t="s">
        <v>967</v>
      </c>
      <c r="B1752" t="s">
        <v>934</v>
      </c>
      <c r="C1752">
        <v>18</v>
      </c>
      <c r="D1752" t="s">
        <v>32</v>
      </c>
      <c r="E1752" t="s">
        <v>32</v>
      </c>
      <c r="F1752" t="s">
        <v>24</v>
      </c>
      <c r="G1752">
        <v>1.1100000000000001</v>
      </c>
      <c r="H1752" t="s">
        <v>53</v>
      </c>
      <c r="I1752">
        <v>6</v>
      </c>
      <c r="J1752" s="4" t="str">
        <f>HYPERLINK("https://www.eliteprospects.com/player/492143/cole-huckins")</f>
        <v>https://www.eliteprospects.com/player/492143/cole-huckins</v>
      </c>
      <c r="K1752" t="s">
        <v>27</v>
      </c>
      <c r="L1752" t="s">
        <v>918</v>
      </c>
      <c r="M1752" t="s">
        <v>87</v>
      </c>
      <c r="N1752">
        <v>6</v>
      </c>
      <c r="O1752" t="s">
        <v>968</v>
      </c>
      <c r="P1752">
        <v>0.14000000000000001</v>
      </c>
      <c r="Q1752" t="s">
        <v>31</v>
      </c>
      <c r="R1752">
        <v>50</v>
      </c>
      <c r="S1752">
        <v>35.700000000000003</v>
      </c>
      <c r="T1752">
        <v>0</v>
      </c>
      <c r="U1752">
        <v>0</v>
      </c>
      <c r="V1752">
        <v>14.3</v>
      </c>
    </row>
    <row r="1753" spans="1:22" x14ac:dyDescent="0.25">
      <c r="A1753" t="s">
        <v>1000</v>
      </c>
      <c r="B1753" t="s">
        <v>934</v>
      </c>
      <c r="C1753">
        <v>18</v>
      </c>
      <c r="D1753" t="s">
        <v>78</v>
      </c>
      <c r="E1753" t="s">
        <v>32</v>
      </c>
      <c r="F1753" t="s">
        <v>60</v>
      </c>
      <c r="G1753">
        <v>0.94</v>
      </c>
      <c r="H1753" t="s">
        <v>57</v>
      </c>
      <c r="I1753">
        <v>8</v>
      </c>
      <c r="J1753" s="4" t="str">
        <f>HYPERLINK("https://www.eliteprospects.com/player/418069/mike-petizian")</f>
        <v>https://www.eliteprospects.com/player/418069/mike-petizian</v>
      </c>
      <c r="K1753" t="s">
        <v>27</v>
      </c>
      <c r="L1753" t="s">
        <v>918</v>
      </c>
      <c r="M1753" t="s">
        <v>91</v>
      </c>
      <c r="N1753">
        <v>5</v>
      </c>
      <c r="O1753" t="s">
        <v>935</v>
      </c>
      <c r="P1753">
        <v>0.12</v>
      </c>
      <c r="Q1753" t="s">
        <v>135</v>
      </c>
      <c r="R1753">
        <v>22.7</v>
      </c>
      <c r="S1753">
        <v>36.4</v>
      </c>
      <c r="T1753">
        <v>9.1</v>
      </c>
      <c r="U1753">
        <v>0</v>
      </c>
      <c r="V1753">
        <v>31.8</v>
      </c>
    </row>
    <row r="1754" spans="1:22" x14ac:dyDescent="0.25">
      <c r="A1754" t="s">
        <v>1023</v>
      </c>
      <c r="B1754" t="s">
        <v>934</v>
      </c>
      <c r="C1754">
        <v>18</v>
      </c>
      <c r="D1754" t="s">
        <v>66</v>
      </c>
      <c r="E1754" t="s">
        <v>23</v>
      </c>
      <c r="F1754" t="s">
        <v>38</v>
      </c>
      <c r="G1754">
        <v>0.89</v>
      </c>
      <c r="H1754" t="s">
        <v>132</v>
      </c>
      <c r="I1754">
        <v>1</v>
      </c>
      <c r="J1754" s="4" t="str">
        <f>HYPERLINK("https://www.eliteprospects.com/player/461966/peter-reynolds")</f>
        <v>https://www.eliteprospects.com/player/461966/peter-reynolds</v>
      </c>
      <c r="K1754" t="s">
        <v>27</v>
      </c>
      <c r="L1754" t="s">
        <v>918</v>
      </c>
      <c r="M1754" t="s">
        <v>42</v>
      </c>
      <c r="N1754">
        <v>5</v>
      </c>
      <c r="O1754" t="s">
        <v>930</v>
      </c>
      <c r="P1754">
        <v>0.11</v>
      </c>
      <c r="Q1754" t="s">
        <v>135</v>
      </c>
      <c r="R1754">
        <v>20</v>
      </c>
      <c r="S1754">
        <v>40</v>
      </c>
      <c r="T1754">
        <v>20</v>
      </c>
      <c r="U1754">
        <v>0</v>
      </c>
      <c r="V1754">
        <v>20</v>
      </c>
    </row>
    <row r="1755" spans="1:22" x14ac:dyDescent="0.25">
      <c r="A1755" t="s">
        <v>1027</v>
      </c>
      <c r="B1755" t="s">
        <v>934</v>
      </c>
      <c r="C1755">
        <v>18</v>
      </c>
      <c r="D1755" t="s">
        <v>26</v>
      </c>
      <c r="E1755" t="s">
        <v>78</v>
      </c>
      <c r="F1755" t="s">
        <v>41</v>
      </c>
      <c r="G1755">
        <v>0.83</v>
      </c>
      <c r="H1755" t="s">
        <v>26</v>
      </c>
      <c r="I1755">
        <v>5</v>
      </c>
      <c r="J1755" s="4" t="str">
        <f>HYPERLINK("https://www.eliteprospects.com/player/479798/stuart-rolofs")</f>
        <v>https://www.eliteprospects.com/player/479798/stuart-rolofs</v>
      </c>
      <c r="K1755" t="s">
        <v>27</v>
      </c>
      <c r="L1755" t="s">
        <v>918</v>
      </c>
      <c r="M1755" t="s">
        <v>91</v>
      </c>
      <c r="N1755">
        <v>5</v>
      </c>
      <c r="O1755" t="s">
        <v>1008</v>
      </c>
      <c r="P1755">
        <v>0.1</v>
      </c>
      <c r="Q1755" t="s">
        <v>245</v>
      </c>
      <c r="R1755">
        <v>20</v>
      </c>
      <c r="S1755">
        <v>20</v>
      </c>
      <c r="T1755">
        <v>20</v>
      </c>
      <c r="U1755">
        <v>0</v>
      </c>
      <c r="V1755">
        <v>40</v>
      </c>
    </row>
    <row r="1756" spans="1:22" x14ac:dyDescent="0.25">
      <c r="A1756" t="s">
        <v>1067</v>
      </c>
      <c r="B1756" t="s">
        <v>934</v>
      </c>
      <c r="C1756">
        <v>18</v>
      </c>
      <c r="D1756" t="s">
        <v>78</v>
      </c>
      <c r="E1756" t="s">
        <v>96</v>
      </c>
      <c r="F1756" t="s">
        <v>23</v>
      </c>
      <c r="G1756">
        <v>0.67</v>
      </c>
      <c r="H1756" t="s">
        <v>32</v>
      </c>
      <c r="I1756">
        <v>9</v>
      </c>
      <c r="J1756" s="4" t="str">
        <f>HYPERLINK("https://www.eliteprospects.com/player/479789/jax-dubois")</f>
        <v>https://www.eliteprospects.com/player/479789/jax-dubois</v>
      </c>
      <c r="K1756" t="s">
        <v>27</v>
      </c>
      <c r="L1756" t="s">
        <v>918</v>
      </c>
      <c r="M1756" t="s">
        <v>87</v>
      </c>
      <c r="N1756">
        <v>4</v>
      </c>
      <c r="O1756" t="s">
        <v>1025</v>
      </c>
      <c r="P1756">
        <v>0.08</v>
      </c>
      <c r="Q1756" t="s">
        <v>135</v>
      </c>
      <c r="R1756">
        <v>11.1</v>
      </c>
      <c r="S1756">
        <v>55.6</v>
      </c>
      <c r="T1756">
        <v>11.1</v>
      </c>
      <c r="U1756">
        <v>11.1</v>
      </c>
      <c r="V1756">
        <v>11.1</v>
      </c>
    </row>
    <row r="1757" spans="1:22" x14ac:dyDescent="0.25">
      <c r="A1757" t="s">
        <v>1085</v>
      </c>
      <c r="B1757" t="s">
        <v>934</v>
      </c>
      <c r="C1757">
        <v>18</v>
      </c>
      <c r="D1757" t="s">
        <v>26</v>
      </c>
      <c r="E1757" t="s">
        <v>140</v>
      </c>
      <c r="F1757" t="s">
        <v>69</v>
      </c>
      <c r="G1757">
        <v>0.61</v>
      </c>
      <c r="H1757" t="s">
        <v>125</v>
      </c>
      <c r="I1757">
        <v>6</v>
      </c>
      <c r="J1757" s="4" t="str">
        <f>HYPERLINK("https://www.eliteprospects.com/player/335220/camaryn-baber")</f>
        <v>https://www.eliteprospects.com/player/335220/camaryn-baber</v>
      </c>
      <c r="K1757" t="s">
        <v>27</v>
      </c>
      <c r="L1757" t="s">
        <v>918</v>
      </c>
      <c r="M1757" t="s">
        <v>35</v>
      </c>
      <c r="N1757">
        <v>5</v>
      </c>
      <c r="O1757" t="s">
        <v>935</v>
      </c>
      <c r="P1757">
        <v>0.08</v>
      </c>
      <c r="Q1757" t="s">
        <v>135</v>
      </c>
      <c r="R1757">
        <v>11.1</v>
      </c>
      <c r="S1757">
        <v>55.6</v>
      </c>
      <c r="T1757">
        <v>11.1</v>
      </c>
      <c r="U1757">
        <v>11.1</v>
      </c>
      <c r="V1757">
        <v>11.1</v>
      </c>
    </row>
    <row r="1758" spans="1:22" x14ac:dyDescent="0.25">
      <c r="A1758" t="s">
        <v>1089</v>
      </c>
      <c r="B1758" t="s">
        <v>934</v>
      </c>
      <c r="C1758">
        <v>17</v>
      </c>
      <c r="D1758" t="s">
        <v>57</v>
      </c>
      <c r="E1758" t="s">
        <v>96</v>
      </c>
      <c r="F1758" t="s">
        <v>69</v>
      </c>
      <c r="G1758">
        <v>0.65</v>
      </c>
      <c r="H1758" t="s">
        <v>34</v>
      </c>
      <c r="I1758">
        <v>8</v>
      </c>
      <c r="J1758" s="4" t="str">
        <f>HYPERLINK("https://www.eliteprospects.com/player/578282/braeden-macphee")</f>
        <v>https://www.eliteprospects.com/player/578282/braeden-macphee</v>
      </c>
      <c r="K1758" t="s">
        <v>27</v>
      </c>
      <c r="L1758" t="s">
        <v>918</v>
      </c>
      <c r="M1758" t="s">
        <v>42</v>
      </c>
      <c r="N1758">
        <v>6</v>
      </c>
      <c r="O1758" t="s">
        <v>968</v>
      </c>
      <c r="P1758">
        <v>0.08</v>
      </c>
      <c r="Q1758" t="s">
        <v>135</v>
      </c>
      <c r="R1758">
        <v>11.1</v>
      </c>
      <c r="S1758">
        <v>55.6</v>
      </c>
      <c r="T1758">
        <v>11.1</v>
      </c>
      <c r="U1758">
        <v>11.1</v>
      </c>
      <c r="V1758">
        <v>11.1</v>
      </c>
    </row>
    <row r="1759" spans="1:22" x14ac:dyDescent="0.25">
      <c r="A1759" t="s">
        <v>1103</v>
      </c>
      <c r="B1759" t="s">
        <v>934</v>
      </c>
      <c r="C1759">
        <v>18</v>
      </c>
      <c r="D1759" t="s">
        <v>78</v>
      </c>
      <c r="E1759" t="s">
        <v>140</v>
      </c>
      <c r="F1759" t="s">
        <v>32</v>
      </c>
      <c r="G1759">
        <v>0.56000000000000005</v>
      </c>
      <c r="H1759" t="s">
        <v>32</v>
      </c>
      <c r="I1759">
        <v>9</v>
      </c>
      <c r="J1759" s="4" t="str">
        <f>HYPERLINK("https://www.eliteprospects.com/player/709898/luke-torrance")</f>
        <v>https://www.eliteprospects.com/player/709898/luke-torrance</v>
      </c>
      <c r="K1759" t="s">
        <v>27</v>
      </c>
      <c r="L1759" t="s">
        <v>918</v>
      </c>
      <c r="M1759" t="s">
        <v>91</v>
      </c>
      <c r="N1759">
        <v>5</v>
      </c>
      <c r="O1759" t="s">
        <v>1008</v>
      </c>
      <c r="P1759">
        <v>7.0000000000000007E-2</v>
      </c>
      <c r="Q1759" t="s">
        <v>31</v>
      </c>
      <c r="R1759">
        <v>25</v>
      </c>
      <c r="S1759">
        <v>25</v>
      </c>
      <c r="T1759">
        <v>0</v>
      </c>
      <c r="U1759">
        <v>25</v>
      </c>
      <c r="V1759">
        <v>25</v>
      </c>
    </row>
    <row r="1760" spans="1:22" x14ac:dyDescent="0.25">
      <c r="A1760" t="s">
        <v>1121</v>
      </c>
      <c r="B1760" t="s">
        <v>934</v>
      </c>
      <c r="C1760">
        <v>18</v>
      </c>
      <c r="D1760" t="s">
        <v>66</v>
      </c>
      <c r="E1760" t="s">
        <v>96</v>
      </c>
      <c r="F1760" t="s">
        <v>45</v>
      </c>
      <c r="G1760">
        <v>0.5</v>
      </c>
      <c r="H1760" t="s">
        <v>38</v>
      </c>
      <c r="I1760">
        <v>8</v>
      </c>
      <c r="J1760" s="4" t="str">
        <f>HYPERLINK("https://www.eliteprospects.com/player/709902/gage-heyes")</f>
        <v>https://www.eliteprospects.com/player/709902/gage-heyes</v>
      </c>
      <c r="K1760" t="s">
        <v>27</v>
      </c>
      <c r="L1760" t="s">
        <v>918</v>
      </c>
      <c r="M1760" t="s">
        <v>29</v>
      </c>
      <c r="N1760">
        <v>5</v>
      </c>
      <c r="O1760" t="s">
        <v>1008</v>
      </c>
      <c r="P1760">
        <v>0.06</v>
      </c>
      <c r="Q1760" t="s">
        <v>31</v>
      </c>
      <c r="R1760">
        <v>25</v>
      </c>
      <c r="S1760">
        <v>25</v>
      </c>
      <c r="T1760">
        <v>0</v>
      </c>
      <c r="U1760">
        <v>25</v>
      </c>
      <c r="V1760">
        <v>25</v>
      </c>
    </row>
    <row r="1761" spans="1:22" x14ac:dyDescent="0.25">
      <c r="A1761" t="s">
        <v>1153</v>
      </c>
      <c r="B1761" t="s">
        <v>934</v>
      </c>
      <c r="C1761">
        <v>17</v>
      </c>
      <c r="D1761" t="s">
        <v>79</v>
      </c>
      <c r="E1761" t="s">
        <v>96</v>
      </c>
      <c r="F1761" t="s">
        <v>78</v>
      </c>
      <c r="G1761">
        <v>0.41</v>
      </c>
      <c r="H1761" t="s">
        <v>26</v>
      </c>
      <c r="I1761">
        <v>8</v>
      </c>
      <c r="J1761" s="4" t="str">
        <f>HYPERLINK("https://www.eliteprospects.com/player/591275/thomas-larouche")</f>
        <v>https://www.eliteprospects.com/player/591275/thomas-larouche</v>
      </c>
      <c r="K1761" t="s">
        <v>27</v>
      </c>
      <c r="L1761" t="s">
        <v>918</v>
      </c>
      <c r="M1761" t="s">
        <v>42</v>
      </c>
      <c r="N1761">
        <v>3</v>
      </c>
      <c r="O1761" t="s">
        <v>1002</v>
      </c>
      <c r="P1761">
        <v>0.05</v>
      </c>
      <c r="Q1761" t="s">
        <v>245</v>
      </c>
      <c r="R1761">
        <v>0</v>
      </c>
      <c r="S1761">
        <v>25</v>
      </c>
      <c r="T1761">
        <v>0</v>
      </c>
      <c r="U1761">
        <v>25</v>
      </c>
      <c r="V1761">
        <v>50</v>
      </c>
    </row>
    <row r="1762" spans="1:22" x14ac:dyDescent="0.25">
      <c r="A1762" t="s">
        <v>1223</v>
      </c>
      <c r="B1762" t="s">
        <v>934</v>
      </c>
      <c r="C1762">
        <v>15</v>
      </c>
      <c r="D1762" t="s">
        <v>79</v>
      </c>
      <c r="E1762" t="s">
        <v>260</v>
      </c>
      <c r="F1762" t="s">
        <v>140</v>
      </c>
      <c r="G1762">
        <v>0.2</v>
      </c>
      <c r="H1762" t="s">
        <v>125</v>
      </c>
      <c r="I1762">
        <v>1</v>
      </c>
      <c r="J1762" s="4" t="str">
        <f>HYPERLINK("https://www.eliteprospects.com/player/492099/nick-blagden")</f>
        <v>https://www.eliteprospects.com/player/492099/nick-blagden</v>
      </c>
      <c r="K1762" t="s">
        <v>27</v>
      </c>
      <c r="L1762" t="s">
        <v>918</v>
      </c>
      <c r="M1762" t="s">
        <v>29</v>
      </c>
      <c r="N1762">
        <v>7</v>
      </c>
      <c r="O1762" t="s">
        <v>1224</v>
      </c>
      <c r="P1762">
        <v>0.02</v>
      </c>
      <c r="Q1762" t="s">
        <v>245</v>
      </c>
      <c r="R1762">
        <v>0</v>
      </c>
      <c r="S1762">
        <v>0</v>
      </c>
      <c r="T1762">
        <v>0</v>
      </c>
      <c r="U1762">
        <v>0</v>
      </c>
      <c r="V1762">
        <v>100</v>
      </c>
    </row>
    <row r="1763" spans="1:22" x14ac:dyDescent="0.25">
      <c r="A1763" t="s">
        <v>173</v>
      </c>
      <c r="B1763" t="s">
        <v>174</v>
      </c>
      <c r="C1763">
        <v>17</v>
      </c>
      <c r="D1763" t="s">
        <v>45</v>
      </c>
      <c r="E1763" t="s">
        <v>57</v>
      </c>
      <c r="F1763" t="s">
        <v>41</v>
      </c>
      <c r="G1763">
        <v>0.88</v>
      </c>
      <c r="H1763" t="s">
        <v>26</v>
      </c>
      <c r="I1763">
        <v>-1</v>
      </c>
      <c r="J1763" s="4" t="str">
        <f>HYPERLINK("https://www.eliteprospects.com/player/294610/morgan-winters")</f>
        <v>https://www.eliteprospects.com/player/294610/morgan-winters</v>
      </c>
      <c r="K1763" t="s">
        <v>27</v>
      </c>
      <c r="L1763" t="s">
        <v>28</v>
      </c>
      <c r="M1763" t="s">
        <v>35</v>
      </c>
      <c r="N1763">
        <v>4</v>
      </c>
      <c r="O1763" t="s">
        <v>30</v>
      </c>
      <c r="P1763">
        <v>0.17</v>
      </c>
      <c r="Q1763" t="s">
        <v>135</v>
      </c>
      <c r="R1763">
        <v>27.3</v>
      </c>
      <c r="S1763">
        <v>36.4</v>
      </c>
      <c r="T1763">
        <v>0</v>
      </c>
      <c r="U1763">
        <v>0</v>
      </c>
      <c r="V1763">
        <v>36.4</v>
      </c>
    </row>
    <row r="1764" spans="1:22" x14ac:dyDescent="0.25">
      <c r="A1764" t="s">
        <v>196</v>
      </c>
      <c r="B1764" t="s">
        <v>174</v>
      </c>
      <c r="C1764">
        <v>19</v>
      </c>
      <c r="D1764" t="s">
        <v>66</v>
      </c>
      <c r="E1764" t="s">
        <v>32</v>
      </c>
      <c r="F1764" t="s">
        <v>39</v>
      </c>
      <c r="G1764">
        <v>0.74</v>
      </c>
      <c r="H1764" t="s">
        <v>66</v>
      </c>
      <c r="I1764">
        <v>2</v>
      </c>
      <c r="J1764" s="4" t="str">
        <f>HYPERLINK("https://www.eliteprospects.com/player/563019/nick-ring")</f>
        <v>https://www.eliteprospects.com/player/563019/nick-ring</v>
      </c>
      <c r="K1764" t="s">
        <v>27</v>
      </c>
      <c r="L1764" t="s">
        <v>28</v>
      </c>
      <c r="M1764" t="s">
        <v>35</v>
      </c>
      <c r="N1764">
        <v>3</v>
      </c>
      <c r="O1764" t="s">
        <v>74</v>
      </c>
      <c r="P1764">
        <v>0.14000000000000001</v>
      </c>
      <c r="Q1764" t="s">
        <v>31</v>
      </c>
      <c r="R1764">
        <v>66.7</v>
      </c>
      <c r="S1764">
        <v>0</v>
      </c>
      <c r="T1764">
        <v>0</v>
      </c>
      <c r="U1764">
        <v>0</v>
      </c>
      <c r="V1764">
        <v>33.299999999999997</v>
      </c>
    </row>
    <row r="1765" spans="1:22" x14ac:dyDescent="0.25">
      <c r="A1765" t="s">
        <v>244</v>
      </c>
      <c r="B1765" t="s">
        <v>174</v>
      </c>
      <c r="C1765">
        <v>19</v>
      </c>
      <c r="D1765" t="s">
        <v>57</v>
      </c>
      <c r="E1765" t="s">
        <v>96</v>
      </c>
      <c r="F1765" t="s">
        <v>69</v>
      </c>
      <c r="G1765">
        <v>0.57999999999999996</v>
      </c>
      <c r="H1765" t="s">
        <v>57</v>
      </c>
      <c r="I1765">
        <v>-1</v>
      </c>
      <c r="J1765" s="4" t="str">
        <f>HYPERLINK("https://www.eliteprospects.com/player/563442/jacob-newcombe")</f>
        <v>https://www.eliteprospects.com/player/563442/jacob-newcombe</v>
      </c>
      <c r="K1765" t="s">
        <v>27</v>
      </c>
      <c r="L1765" t="s">
        <v>28</v>
      </c>
      <c r="M1765" t="s">
        <v>143</v>
      </c>
      <c r="N1765">
        <v>5</v>
      </c>
      <c r="O1765" t="s">
        <v>207</v>
      </c>
      <c r="P1765">
        <v>0.11</v>
      </c>
      <c r="Q1765" t="s">
        <v>135</v>
      </c>
      <c r="R1765">
        <v>20</v>
      </c>
      <c r="S1765">
        <v>40</v>
      </c>
      <c r="T1765">
        <v>0</v>
      </c>
      <c r="U1765">
        <v>20</v>
      </c>
      <c r="V1765">
        <v>20</v>
      </c>
    </row>
    <row r="1766" spans="1:22" x14ac:dyDescent="0.25">
      <c r="A1766" t="s">
        <v>296</v>
      </c>
      <c r="B1766" t="s">
        <v>174</v>
      </c>
      <c r="C1766">
        <v>16</v>
      </c>
      <c r="D1766" t="s">
        <v>96</v>
      </c>
      <c r="E1766" t="s">
        <v>66</v>
      </c>
      <c r="F1766" t="s">
        <v>45</v>
      </c>
      <c r="G1766">
        <v>0.56000000000000005</v>
      </c>
      <c r="H1766" t="s">
        <v>57</v>
      </c>
      <c r="I1766">
        <v>7</v>
      </c>
      <c r="J1766" s="4" t="str">
        <f>HYPERLINK("https://www.eliteprospects.com/player/572982/felix-gagnon")</f>
        <v>https://www.eliteprospects.com/player/572982/felix-gagnon</v>
      </c>
      <c r="K1766" t="s">
        <v>27</v>
      </c>
      <c r="L1766" t="s">
        <v>28</v>
      </c>
      <c r="M1766" t="s">
        <v>29</v>
      </c>
      <c r="N1766">
        <v>6</v>
      </c>
      <c r="O1766" t="s">
        <v>99</v>
      </c>
      <c r="P1766">
        <v>0.11</v>
      </c>
      <c r="Q1766" t="s">
        <v>245</v>
      </c>
      <c r="R1766">
        <v>25</v>
      </c>
      <c r="S1766">
        <v>25</v>
      </c>
      <c r="T1766">
        <v>0</v>
      </c>
      <c r="U1766">
        <v>0</v>
      </c>
      <c r="V1766">
        <v>50</v>
      </c>
    </row>
    <row r="1767" spans="1:22" x14ac:dyDescent="0.25">
      <c r="A1767" t="s">
        <v>319</v>
      </c>
      <c r="B1767" t="s">
        <v>174</v>
      </c>
      <c r="C1767">
        <v>19</v>
      </c>
      <c r="D1767" t="s">
        <v>66</v>
      </c>
      <c r="E1767" t="s">
        <v>66</v>
      </c>
      <c r="F1767" t="s">
        <v>26</v>
      </c>
      <c r="G1767">
        <v>0.42</v>
      </c>
      <c r="H1767" t="s">
        <v>84</v>
      </c>
      <c r="I1767">
        <v>-4</v>
      </c>
      <c r="J1767" s="4" t="str">
        <f>HYPERLINK("https://www.eliteprospects.com/player/473142/cameron-macdonald")</f>
        <v>https://www.eliteprospects.com/player/473142/cameron-macdonald</v>
      </c>
      <c r="K1767" t="s">
        <v>27</v>
      </c>
      <c r="L1767" t="s">
        <v>28</v>
      </c>
      <c r="M1767" t="s">
        <v>122</v>
      </c>
      <c r="N1767">
        <v>5</v>
      </c>
      <c r="O1767" t="s">
        <v>207</v>
      </c>
      <c r="P1767">
        <v>0.08</v>
      </c>
      <c r="Q1767" t="s">
        <v>1277</v>
      </c>
      <c r="R1767">
        <v>16.7</v>
      </c>
      <c r="S1767">
        <v>16.7</v>
      </c>
      <c r="T1767">
        <v>25</v>
      </c>
      <c r="U1767">
        <v>16.7</v>
      </c>
      <c r="V1767">
        <v>25</v>
      </c>
    </row>
    <row r="1768" spans="1:22" x14ac:dyDescent="0.25">
      <c r="A1768" t="s">
        <v>340</v>
      </c>
      <c r="B1768" t="s">
        <v>174</v>
      </c>
      <c r="C1768">
        <v>16</v>
      </c>
      <c r="D1768" t="s">
        <v>79</v>
      </c>
      <c r="E1768" t="s">
        <v>96</v>
      </c>
      <c r="F1768" t="s">
        <v>78</v>
      </c>
      <c r="G1768">
        <v>0.44</v>
      </c>
      <c r="H1768" t="s">
        <v>66</v>
      </c>
      <c r="I1768">
        <v>-9</v>
      </c>
      <c r="J1768" s="4" t="str">
        <f>HYPERLINK("https://www.eliteprospects.com/player/573929/sam-oliver")</f>
        <v>https://www.eliteprospects.com/player/573929/sam-oliver</v>
      </c>
      <c r="K1768" t="s">
        <v>27</v>
      </c>
      <c r="L1768" t="s">
        <v>28</v>
      </c>
      <c r="M1768" t="s">
        <v>42</v>
      </c>
      <c r="N1768">
        <v>6</v>
      </c>
      <c r="O1768" t="s">
        <v>99</v>
      </c>
      <c r="P1768">
        <v>0.09</v>
      </c>
      <c r="Q1768" t="s">
        <v>31</v>
      </c>
      <c r="R1768">
        <v>36.4</v>
      </c>
      <c r="S1768">
        <v>9.1</v>
      </c>
      <c r="T1768">
        <v>18.2</v>
      </c>
      <c r="U1768">
        <v>9.1</v>
      </c>
      <c r="V1768">
        <v>27.3</v>
      </c>
    </row>
    <row r="1769" spans="1:22" x14ac:dyDescent="0.25">
      <c r="A1769" t="s">
        <v>370</v>
      </c>
      <c r="B1769" t="s">
        <v>174</v>
      </c>
      <c r="C1769">
        <v>19</v>
      </c>
      <c r="D1769" t="s">
        <v>260</v>
      </c>
      <c r="E1769" t="s">
        <v>96</v>
      </c>
      <c r="F1769" t="s">
        <v>57</v>
      </c>
      <c r="G1769">
        <v>0.32</v>
      </c>
      <c r="H1769" t="s">
        <v>79</v>
      </c>
      <c r="I1769">
        <v>-7</v>
      </c>
      <c r="J1769" s="4" t="str">
        <f>HYPERLINK("https://www.eliteprospects.com/player/481655/cy-leclerc")</f>
        <v>https://www.eliteprospects.com/player/481655/cy-leclerc</v>
      </c>
      <c r="K1769" t="s">
        <v>27</v>
      </c>
      <c r="L1769" t="s">
        <v>28</v>
      </c>
      <c r="M1769" t="s">
        <v>35</v>
      </c>
      <c r="N1769">
        <v>4</v>
      </c>
      <c r="O1769" t="s">
        <v>30</v>
      </c>
      <c r="P1769">
        <v>0.06</v>
      </c>
      <c r="Q1769" t="s">
        <v>245</v>
      </c>
      <c r="R1769">
        <v>0</v>
      </c>
      <c r="S1769">
        <v>15.4</v>
      </c>
      <c r="T1769">
        <v>7.7</v>
      </c>
      <c r="U1769">
        <v>30.8</v>
      </c>
      <c r="V1769">
        <v>46.2</v>
      </c>
    </row>
    <row r="1770" spans="1:22" x14ac:dyDescent="0.25">
      <c r="A1770" t="s">
        <v>401</v>
      </c>
      <c r="B1770" t="s">
        <v>174</v>
      </c>
      <c r="C1770">
        <v>19</v>
      </c>
      <c r="D1770" t="s">
        <v>140</v>
      </c>
      <c r="E1770" t="s">
        <v>260</v>
      </c>
      <c r="F1770" t="s">
        <v>66</v>
      </c>
      <c r="G1770">
        <v>0.21</v>
      </c>
      <c r="H1770" t="s">
        <v>32</v>
      </c>
      <c r="I1770">
        <v>0</v>
      </c>
      <c r="J1770" s="4" t="str">
        <f>HYPERLINK("https://www.eliteprospects.com/player/630096/j.p.-turner")</f>
        <v>https://www.eliteprospects.com/player/630096/j.p.-turner</v>
      </c>
      <c r="K1770" t="s">
        <v>27</v>
      </c>
      <c r="L1770" t="s">
        <v>28</v>
      </c>
      <c r="M1770" t="s">
        <v>42</v>
      </c>
      <c r="N1770">
        <v>3</v>
      </c>
      <c r="O1770" t="s">
        <v>74</v>
      </c>
      <c r="P1770">
        <v>0.04</v>
      </c>
      <c r="Q1770" t="s">
        <v>245</v>
      </c>
      <c r="R1770">
        <v>9.1</v>
      </c>
      <c r="S1770">
        <v>18.2</v>
      </c>
      <c r="T1770">
        <v>9.1</v>
      </c>
      <c r="U1770">
        <v>13.6</v>
      </c>
      <c r="V1770">
        <v>50</v>
      </c>
    </row>
    <row r="1771" spans="1:22" x14ac:dyDescent="0.25">
      <c r="A1771" t="s">
        <v>437</v>
      </c>
      <c r="B1771" t="s">
        <v>174</v>
      </c>
      <c r="C1771">
        <v>18</v>
      </c>
      <c r="D1771" t="s">
        <v>260</v>
      </c>
      <c r="E1771" t="s">
        <v>79</v>
      </c>
      <c r="F1771" t="s">
        <v>140</v>
      </c>
      <c r="G1771">
        <v>0.17</v>
      </c>
      <c r="H1771" t="s">
        <v>79</v>
      </c>
      <c r="I1771">
        <v>-2</v>
      </c>
      <c r="J1771" s="4" t="str">
        <f>HYPERLINK("https://www.eliteprospects.com/player/476821/kristaps-skrastins")</f>
        <v>https://www.eliteprospects.com/player/476821/kristaps-skrastins</v>
      </c>
      <c r="K1771" t="s">
        <v>27</v>
      </c>
      <c r="L1771" t="s">
        <v>28</v>
      </c>
      <c r="M1771" t="s">
        <v>42</v>
      </c>
      <c r="N1771">
        <v>4</v>
      </c>
      <c r="O1771" t="s">
        <v>30</v>
      </c>
      <c r="P1771">
        <v>0.03</v>
      </c>
      <c r="Q1771" t="s">
        <v>245</v>
      </c>
      <c r="R1771">
        <v>9.1</v>
      </c>
      <c r="S1771">
        <v>18.2</v>
      </c>
      <c r="T1771">
        <v>9.1</v>
      </c>
      <c r="U1771">
        <v>13.6</v>
      </c>
      <c r="V1771">
        <v>50</v>
      </c>
    </row>
    <row r="1772" spans="1:22" x14ac:dyDescent="0.25">
      <c r="A1772" t="s">
        <v>444</v>
      </c>
      <c r="B1772" t="s">
        <v>174</v>
      </c>
      <c r="C1772">
        <v>17</v>
      </c>
      <c r="D1772" t="s">
        <v>132</v>
      </c>
      <c r="E1772" t="s">
        <v>140</v>
      </c>
      <c r="F1772" t="s">
        <v>140</v>
      </c>
      <c r="G1772">
        <v>0.18</v>
      </c>
      <c r="H1772" t="s">
        <v>79</v>
      </c>
      <c r="I1772">
        <v>-3</v>
      </c>
      <c r="J1772" s="4" t="str">
        <f>HYPERLINK("https://www.eliteprospects.com/player/201893/jason-siedem")</f>
        <v>https://www.eliteprospects.com/player/201893/jason-siedem</v>
      </c>
      <c r="K1772" t="s">
        <v>27</v>
      </c>
      <c r="L1772" t="s">
        <v>28</v>
      </c>
      <c r="M1772" t="s">
        <v>35</v>
      </c>
      <c r="N1772">
        <v>3</v>
      </c>
      <c r="O1772" t="s">
        <v>74</v>
      </c>
      <c r="P1772">
        <v>0.03</v>
      </c>
      <c r="Q1772" t="s">
        <v>245</v>
      </c>
      <c r="R1772">
        <v>9.1</v>
      </c>
      <c r="S1772">
        <v>18.2</v>
      </c>
      <c r="T1772">
        <v>9.1</v>
      </c>
      <c r="U1772">
        <v>13.6</v>
      </c>
      <c r="V1772">
        <v>50</v>
      </c>
    </row>
    <row r="1773" spans="1:22" x14ac:dyDescent="0.25">
      <c r="A1773" t="s">
        <v>472</v>
      </c>
      <c r="B1773" t="s">
        <v>174</v>
      </c>
      <c r="C1773">
        <v>16</v>
      </c>
      <c r="D1773" t="s">
        <v>132</v>
      </c>
      <c r="E1773" t="s">
        <v>260</v>
      </c>
      <c r="F1773" t="s">
        <v>260</v>
      </c>
      <c r="G1773">
        <v>0.06</v>
      </c>
      <c r="H1773" t="s">
        <v>26</v>
      </c>
      <c r="I1773">
        <v>-1</v>
      </c>
      <c r="J1773" s="4" t="str">
        <f>HYPERLINK("https://www.eliteprospects.com/player/613081/ryan-macpherson")</f>
        <v>https://www.eliteprospects.com/player/613081/ryan-macpherson</v>
      </c>
      <c r="K1773" t="s">
        <v>27</v>
      </c>
      <c r="L1773" t="s">
        <v>28</v>
      </c>
      <c r="M1773" t="s">
        <v>42</v>
      </c>
      <c r="N1773">
        <v>2</v>
      </c>
      <c r="O1773" t="s">
        <v>43</v>
      </c>
      <c r="P1773">
        <v>0.01</v>
      </c>
      <c r="Q1773" t="s">
        <v>245</v>
      </c>
      <c r="R1773">
        <v>9.1</v>
      </c>
      <c r="S1773">
        <v>18.2</v>
      </c>
      <c r="T1773">
        <v>9.1</v>
      </c>
      <c r="U1773">
        <v>13.6</v>
      </c>
      <c r="V1773">
        <v>50</v>
      </c>
    </row>
    <row r="1774" spans="1:22" x14ac:dyDescent="0.25">
      <c r="A1774" t="s">
        <v>480</v>
      </c>
      <c r="B1774" t="s">
        <v>174</v>
      </c>
      <c r="C1774">
        <v>14</v>
      </c>
      <c r="D1774" t="s">
        <v>132</v>
      </c>
      <c r="E1774" t="s">
        <v>132</v>
      </c>
      <c r="F1774" t="s">
        <v>132</v>
      </c>
      <c r="G1774">
        <v>0</v>
      </c>
      <c r="H1774" t="s">
        <v>79</v>
      </c>
      <c r="I1774">
        <v>-4</v>
      </c>
      <c r="J1774" s="4" t="str">
        <f>HYPERLINK("https://www.eliteprospects.com/player/721089/connor-deturris")</f>
        <v>https://www.eliteprospects.com/player/721089/connor-deturris</v>
      </c>
      <c r="K1774" t="s">
        <v>27</v>
      </c>
      <c r="L1774" t="s">
        <v>28</v>
      </c>
      <c r="M1774" t="s">
        <v>35</v>
      </c>
      <c r="N1774">
        <v>1</v>
      </c>
      <c r="O1774" t="s">
        <v>71</v>
      </c>
      <c r="P1774">
        <v>0</v>
      </c>
      <c r="Q1774" t="s">
        <v>245</v>
      </c>
      <c r="R1774">
        <v>9.1</v>
      </c>
      <c r="S1774">
        <v>18.2</v>
      </c>
      <c r="T1774">
        <v>9.1</v>
      </c>
      <c r="U1774">
        <v>13.6</v>
      </c>
      <c r="V1774">
        <v>50</v>
      </c>
    </row>
    <row r="1775" spans="1:22" x14ac:dyDescent="0.25">
      <c r="A1775" t="s">
        <v>108</v>
      </c>
      <c r="B1775" t="s">
        <v>109</v>
      </c>
      <c r="C1775">
        <v>20</v>
      </c>
      <c r="D1775" t="s">
        <v>23</v>
      </c>
      <c r="E1775" t="s">
        <v>26</v>
      </c>
      <c r="F1775" t="s">
        <v>24</v>
      </c>
      <c r="G1775">
        <v>1</v>
      </c>
      <c r="H1775" t="s">
        <v>57</v>
      </c>
      <c r="I1775">
        <v>7</v>
      </c>
      <c r="J1775" s="4" t="str">
        <f>HYPERLINK("https://www.eliteprospects.com/player/630036/ben-strinden")</f>
        <v>https://www.eliteprospects.com/player/630036/ben-strinden</v>
      </c>
      <c r="K1775" t="s">
        <v>27</v>
      </c>
      <c r="L1775" t="s">
        <v>28</v>
      </c>
      <c r="M1775" t="s">
        <v>42</v>
      </c>
      <c r="N1775">
        <v>4</v>
      </c>
      <c r="O1775" t="s">
        <v>30</v>
      </c>
      <c r="P1775">
        <v>0.19</v>
      </c>
      <c r="Q1775" t="s">
        <v>31</v>
      </c>
      <c r="R1775">
        <v>57.1</v>
      </c>
      <c r="S1775">
        <v>32.1</v>
      </c>
      <c r="T1775">
        <v>0</v>
      </c>
      <c r="U1775">
        <v>0</v>
      </c>
      <c r="V1775">
        <v>10.7</v>
      </c>
    </row>
    <row r="1776" spans="1:22" x14ac:dyDescent="0.25">
      <c r="A1776" t="s">
        <v>141</v>
      </c>
      <c r="B1776" t="s">
        <v>109</v>
      </c>
      <c r="C1776">
        <v>16</v>
      </c>
      <c r="D1776" t="s">
        <v>79</v>
      </c>
      <c r="E1776" t="s">
        <v>38</v>
      </c>
      <c r="F1776" t="s">
        <v>55</v>
      </c>
      <c r="G1776">
        <v>1.1299999999999999</v>
      </c>
      <c r="H1776" t="s">
        <v>79</v>
      </c>
      <c r="I1776">
        <v>2</v>
      </c>
      <c r="J1776" s="4" t="str">
        <f>HYPERLINK("https://www.eliteprospects.com/player/577070/cole-reschny")</f>
        <v>https://www.eliteprospects.com/player/577070/cole-reschny</v>
      </c>
      <c r="K1776" t="s">
        <v>27</v>
      </c>
      <c r="L1776" t="s">
        <v>28</v>
      </c>
      <c r="M1776" t="s">
        <v>76</v>
      </c>
      <c r="N1776">
        <v>4</v>
      </c>
      <c r="O1776" t="s">
        <v>137</v>
      </c>
      <c r="P1776">
        <v>0.22</v>
      </c>
      <c r="Q1776" t="s">
        <v>135</v>
      </c>
      <c r="R1776">
        <v>25</v>
      </c>
      <c r="S1776">
        <v>50</v>
      </c>
      <c r="T1776">
        <v>0</v>
      </c>
      <c r="U1776">
        <v>0</v>
      </c>
      <c r="V1776">
        <v>25</v>
      </c>
    </row>
    <row r="1777" spans="1:22" x14ac:dyDescent="0.25">
      <c r="A1777" t="s">
        <v>154</v>
      </c>
      <c r="B1777" t="s">
        <v>109</v>
      </c>
      <c r="C1777">
        <v>19</v>
      </c>
      <c r="D1777" t="s">
        <v>32</v>
      </c>
      <c r="E1777" t="s">
        <v>57</v>
      </c>
      <c r="F1777" t="s">
        <v>38</v>
      </c>
      <c r="G1777">
        <v>0.84</v>
      </c>
      <c r="H1777" t="s">
        <v>32</v>
      </c>
      <c r="I1777">
        <v>1</v>
      </c>
      <c r="J1777" s="4" t="str">
        <f>HYPERLINK("https://www.eliteprospects.com/player/673797/will-zellers")</f>
        <v>https://www.eliteprospects.com/player/673797/will-zellers</v>
      </c>
      <c r="K1777" t="s">
        <v>27</v>
      </c>
      <c r="L1777" t="s">
        <v>28</v>
      </c>
      <c r="M1777" t="s">
        <v>155</v>
      </c>
      <c r="N1777">
        <v>1</v>
      </c>
      <c r="O1777" t="s">
        <v>71</v>
      </c>
      <c r="P1777">
        <v>0.16</v>
      </c>
      <c r="Q1777" t="s">
        <v>1277</v>
      </c>
      <c r="R1777">
        <v>0</v>
      </c>
      <c r="S1777">
        <v>33.299999999999997</v>
      </c>
      <c r="T1777">
        <v>50</v>
      </c>
      <c r="U1777">
        <v>16.7</v>
      </c>
      <c r="V1777">
        <v>0</v>
      </c>
    </row>
    <row r="1778" spans="1:22" x14ac:dyDescent="0.25">
      <c r="A1778" t="s">
        <v>168</v>
      </c>
      <c r="B1778" t="s">
        <v>109</v>
      </c>
      <c r="C1778">
        <v>15</v>
      </c>
      <c r="D1778" t="s">
        <v>140</v>
      </c>
      <c r="E1778" t="s">
        <v>65</v>
      </c>
      <c r="F1778" t="s">
        <v>38</v>
      </c>
      <c r="G1778">
        <v>1.07</v>
      </c>
      <c r="H1778" t="s">
        <v>69</v>
      </c>
      <c r="I1778">
        <v>5</v>
      </c>
      <c r="J1778" s="4" t="str">
        <f>HYPERLINK("https://www.eliteprospects.com/player/201941/ellis-rickwood")</f>
        <v>https://www.eliteprospects.com/player/201941/ellis-rickwood</v>
      </c>
      <c r="K1778" t="s">
        <v>27</v>
      </c>
      <c r="L1778" t="s">
        <v>28</v>
      </c>
      <c r="M1778" t="s">
        <v>42</v>
      </c>
      <c r="N1778">
        <v>4</v>
      </c>
      <c r="O1778" t="s">
        <v>30</v>
      </c>
      <c r="P1778">
        <v>0.21</v>
      </c>
      <c r="Q1778" t="s">
        <v>135</v>
      </c>
      <c r="R1778">
        <v>25</v>
      </c>
      <c r="S1778">
        <v>50</v>
      </c>
      <c r="T1778">
        <v>0</v>
      </c>
      <c r="U1778">
        <v>0</v>
      </c>
      <c r="V1778">
        <v>25</v>
      </c>
    </row>
    <row r="1779" spans="1:22" x14ac:dyDescent="0.25">
      <c r="A1779" t="s">
        <v>169</v>
      </c>
      <c r="B1779" t="s">
        <v>109</v>
      </c>
      <c r="C1779">
        <v>20</v>
      </c>
      <c r="D1779" t="s">
        <v>69</v>
      </c>
      <c r="E1779" t="s">
        <v>66</v>
      </c>
      <c r="F1779" t="s">
        <v>41</v>
      </c>
      <c r="G1779">
        <v>0.75</v>
      </c>
      <c r="H1779" t="s">
        <v>26</v>
      </c>
      <c r="I1779">
        <v>5</v>
      </c>
      <c r="J1779" s="4" t="str">
        <f>HYPERLINK("https://www.eliteprospects.com/player/506333/dylan-james")</f>
        <v>https://www.eliteprospects.com/player/506333/dylan-james</v>
      </c>
      <c r="K1779" t="s">
        <v>27</v>
      </c>
      <c r="L1779" t="s">
        <v>28</v>
      </c>
      <c r="M1779" t="s">
        <v>91</v>
      </c>
      <c r="N1779">
        <v>4</v>
      </c>
      <c r="O1779" t="s">
        <v>30</v>
      </c>
      <c r="P1779">
        <v>0.15</v>
      </c>
      <c r="Q1779" t="s">
        <v>1277</v>
      </c>
      <c r="R1779">
        <v>0</v>
      </c>
      <c r="S1779">
        <v>33.299999999999997</v>
      </c>
      <c r="T1779">
        <v>50</v>
      </c>
      <c r="U1779">
        <v>16.7</v>
      </c>
      <c r="V1779">
        <v>0</v>
      </c>
    </row>
    <row r="1780" spans="1:22" x14ac:dyDescent="0.25">
      <c r="A1780" t="s">
        <v>198</v>
      </c>
      <c r="B1780" t="s">
        <v>109</v>
      </c>
      <c r="C1780">
        <v>20</v>
      </c>
      <c r="D1780" t="s">
        <v>66</v>
      </c>
      <c r="E1780" t="s">
        <v>32</v>
      </c>
      <c r="F1780" t="s">
        <v>39</v>
      </c>
      <c r="G1780">
        <v>0.7</v>
      </c>
      <c r="H1780" t="s">
        <v>132</v>
      </c>
      <c r="I1780">
        <v>1</v>
      </c>
      <c r="J1780" s="4" t="str">
        <f>HYPERLINK("https://www.eliteprospects.com/player/853221/mac-swanson")</f>
        <v>https://www.eliteprospects.com/player/853221/mac-swanson</v>
      </c>
      <c r="K1780" t="s">
        <v>27</v>
      </c>
      <c r="L1780" t="s">
        <v>28</v>
      </c>
      <c r="M1780" t="s">
        <v>143</v>
      </c>
      <c r="N1780">
        <v>2</v>
      </c>
      <c r="O1780" t="s">
        <v>43</v>
      </c>
      <c r="P1780">
        <v>0.14000000000000001</v>
      </c>
      <c r="Q1780" t="s">
        <v>31</v>
      </c>
      <c r="R1780">
        <v>66.7</v>
      </c>
      <c r="S1780">
        <v>0</v>
      </c>
      <c r="T1780">
        <v>0</v>
      </c>
      <c r="U1780">
        <v>0</v>
      </c>
      <c r="V1780">
        <v>33.299999999999997</v>
      </c>
    </row>
    <row r="1781" spans="1:22" x14ac:dyDescent="0.25">
      <c r="A1781" t="s">
        <v>257</v>
      </c>
      <c r="B1781" t="s">
        <v>109</v>
      </c>
      <c r="C1781">
        <v>20</v>
      </c>
      <c r="D1781" t="s">
        <v>140</v>
      </c>
      <c r="E1781" t="s">
        <v>26</v>
      </c>
      <c r="F1781" t="s">
        <v>69</v>
      </c>
      <c r="G1781">
        <v>0.55000000000000004</v>
      </c>
      <c r="H1781" t="s">
        <v>66</v>
      </c>
      <c r="I1781">
        <v>9</v>
      </c>
      <c r="J1781" s="4" t="str">
        <f>HYPERLINK("https://www.eliteprospects.com/player/705877/ollie-josephson")</f>
        <v>https://www.eliteprospects.com/player/705877/ollie-josephson</v>
      </c>
      <c r="K1781" t="s">
        <v>27</v>
      </c>
      <c r="L1781" t="s">
        <v>28</v>
      </c>
      <c r="M1781" t="s">
        <v>42</v>
      </c>
      <c r="N1781">
        <v>5</v>
      </c>
      <c r="O1781" t="s">
        <v>152</v>
      </c>
      <c r="P1781">
        <v>0.11</v>
      </c>
      <c r="Q1781" t="s">
        <v>245</v>
      </c>
      <c r="R1781">
        <v>25</v>
      </c>
      <c r="S1781">
        <v>25</v>
      </c>
      <c r="T1781">
        <v>0</v>
      </c>
      <c r="U1781">
        <v>0</v>
      </c>
      <c r="V1781">
        <v>50</v>
      </c>
    </row>
    <row r="1782" spans="1:22" x14ac:dyDescent="0.25">
      <c r="A1782" t="s">
        <v>297</v>
      </c>
      <c r="B1782" t="s">
        <v>109</v>
      </c>
      <c r="C1782">
        <v>17</v>
      </c>
      <c r="D1782" t="s">
        <v>96</v>
      </c>
      <c r="E1782" t="s">
        <v>66</v>
      </c>
      <c r="F1782" t="s">
        <v>45</v>
      </c>
      <c r="G1782">
        <v>0.53</v>
      </c>
      <c r="H1782" t="s">
        <v>26</v>
      </c>
      <c r="I1782">
        <v>5</v>
      </c>
      <c r="J1782" s="4" t="str">
        <f>HYPERLINK("https://www.eliteprospects.com/player/664619/jack-kernan")</f>
        <v>https://www.eliteprospects.com/player/664619/jack-kernan</v>
      </c>
      <c r="K1782" t="s">
        <v>27</v>
      </c>
      <c r="L1782" t="s">
        <v>28</v>
      </c>
      <c r="M1782" t="s">
        <v>42</v>
      </c>
      <c r="N1782">
        <v>1</v>
      </c>
      <c r="O1782" t="s">
        <v>71</v>
      </c>
      <c r="P1782">
        <v>0.1</v>
      </c>
      <c r="Q1782" t="s">
        <v>245</v>
      </c>
      <c r="R1782">
        <v>20</v>
      </c>
      <c r="S1782">
        <v>20</v>
      </c>
      <c r="T1782">
        <v>20</v>
      </c>
      <c r="U1782">
        <v>0</v>
      </c>
      <c r="V1782">
        <v>40</v>
      </c>
    </row>
    <row r="1783" spans="1:22" x14ac:dyDescent="0.25">
      <c r="A1783" t="s">
        <v>301</v>
      </c>
      <c r="B1783" t="s">
        <v>109</v>
      </c>
      <c r="C1783">
        <v>18</v>
      </c>
      <c r="D1783" t="s">
        <v>66</v>
      </c>
      <c r="E1783" t="s">
        <v>96</v>
      </c>
      <c r="F1783" t="s">
        <v>45</v>
      </c>
      <c r="G1783">
        <v>0.5</v>
      </c>
      <c r="H1783" t="s">
        <v>81</v>
      </c>
      <c r="I1783">
        <v>5</v>
      </c>
      <c r="J1783" s="4" t="str">
        <f>HYPERLINK("https://www.eliteprospects.com/player/634828/cade-littler")</f>
        <v>https://www.eliteprospects.com/player/634828/cade-littler</v>
      </c>
      <c r="K1783" t="s">
        <v>27</v>
      </c>
      <c r="L1783" t="s">
        <v>28</v>
      </c>
      <c r="M1783" t="s">
        <v>87</v>
      </c>
      <c r="N1783">
        <v>2</v>
      </c>
      <c r="O1783" t="s">
        <v>43</v>
      </c>
      <c r="P1783">
        <v>0.1</v>
      </c>
      <c r="Q1783" t="s">
        <v>245</v>
      </c>
      <c r="R1783">
        <v>20</v>
      </c>
      <c r="S1783">
        <v>20</v>
      </c>
      <c r="T1783">
        <v>20</v>
      </c>
      <c r="U1783">
        <v>0</v>
      </c>
      <c r="V1783">
        <v>40</v>
      </c>
    </row>
    <row r="1784" spans="1:22" x14ac:dyDescent="0.25">
      <c r="A1784" t="s">
        <v>316</v>
      </c>
      <c r="B1784" t="s">
        <v>109</v>
      </c>
      <c r="C1784">
        <v>19</v>
      </c>
      <c r="D1784" t="s">
        <v>96</v>
      </c>
      <c r="E1784" t="s">
        <v>140</v>
      </c>
      <c r="F1784" t="s">
        <v>26</v>
      </c>
      <c r="G1784">
        <v>0.42</v>
      </c>
      <c r="H1784" t="s">
        <v>57</v>
      </c>
      <c r="I1784">
        <v>11</v>
      </c>
      <c r="J1784" s="4" t="str">
        <f>HYPERLINK("https://www.eliteprospects.com/player/587753/cody-croal")</f>
        <v>https://www.eliteprospects.com/player/587753/cody-croal</v>
      </c>
      <c r="K1784" t="s">
        <v>27</v>
      </c>
      <c r="L1784" t="s">
        <v>28</v>
      </c>
      <c r="M1784" t="s">
        <v>91</v>
      </c>
      <c r="N1784">
        <v>2</v>
      </c>
      <c r="O1784" t="s">
        <v>43</v>
      </c>
      <c r="P1784">
        <v>0.08</v>
      </c>
      <c r="Q1784" t="s">
        <v>135</v>
      </c>
      <c r="R1784">
        <v>11.1</v>
      </c>
      <c r="S1784">
        <v>55.6</v>
      </c>
      <c r="T1784">
        <v>11.1</v>
      </c>
      <c r="U1784">
        <v>11.1</v>
      </c>
      <c r="V1784">
        <v>11.1</v>
      </c>
    </row>
    <row r="1785" spans="1:22" x14ac:dyDescent="0.25">
      <c r="A1785" t="s">
        <v>408</v>
      </c>
      <c r="B1785" t="s">
        <v>109</v>
      </c>
      <c r="C1785">
        <v>16</v>
      </c>
      <c r="D1785" t="s">
        <v>79</v>
      </c>
      <c r="E1785" t="s">
        <v>79</v>
      </c>
      <c r="F1785" t="s">
        <v>66</v>
      </c>
      <c r="G1785">
        <v>0.25</v>
      </c>
      <c r="H1785" t="s">
        <v>32</v>
      </c>
      <c r="I1785">
        <v>1</v>
      </c>
      <c r="J1785" s="4" t="str">
        <f>HYPERLINK("https://www.eliteprospects.com/player/746367/david-klee")</f>
        <v>https://www.eliteprospects.com/player/746367/david-klee</v>
      </c>
      <c r="K1785" t="s">
        <v>27</v>
      </c>
      <c r="L1785" t="s">
        <v>28</v>
      </c>
      <c r="M1785" t="s">
        <v>35</v>
      </c>
      <c r="N1785">
        <v>1</v>
      </c>
      <c r="O1785" t="s">
        <v>71</v>
      </c>
      <c r="P1785">
        <v>0.05</v>
      </c>
      <c r="Q1785" t="s">
        <v>245</v>
      </c>
      <c r="R1785">
        <v>0</v>
      </c>
      <c r="S1785">
        <v>0</v>
      </c>
      <c r="T1785">
        <v>0</v>
      </c>
      <c r="U1785">
        <v>0</v>
      </c>
      <c r="V1785">
        <v>100</v>
      </c>
    </row>
    <row r="1786" spans="1:22" x14ac:dyDescent="0.25">
      <c r="A1786" t="s">
        <v>409</v>
      </c>
      <c r="B1786" t="s">
        <v>109</v>
      </c>
      <c r="C1786">
        <v>19</v>
      </c>
      <c r="D1786" t="s">
        <v>79</v>
      </c>
      <c r="E1786" t="s">
        <v>79</v>
      </c>
      <c r="F1786" t="s">
        <v>66</v>
      </c>
      <c r="G1786">
        <v>0.21</v>
      </c>
      <c r="H1786" t="s">
        <v>57</v>
      </c>
      <c r="I1786">
        <v>4</v>
      </c>
      <c r="J1786" s="4" t="str">
        <f>HYPERLINK("https://www.eliteprospects.com/player/645459/anthony-menghini")</f>
        <v>https://www.eliteprospects.com/player/645459/anthony-menghini</v>
      </c>
      <c r="K1786" t="s">
        <v>27</v>
      </c>
      <c r="L1786" t="s">
        <v>28</v>
      </c>
      <c r="M1786" t="s">
        <v>35</v>
      </c>
      <c r="N1786">
        <v>3</v>
      </c>
      <c r="O1786" t="s">
        <v>74</v>
      </c>
      <c r="P1786">
        <v>0.04</v>
      </c>
      <c r="Q1786" t="s">
        <v>245</v>
      </c>
      <c r="R1786">
        <v>0</v>
      </c>
      <c r="S1786">
        <v>0</v>
      </c>
      <c r="T1786">
        <v>0</v>
      </c>
      <c r="U1786">
        <v>0</v>
      </c>
      <c r="V1786">
        <v>100</v>
      </c>
    </row>
    <row r="1787" spans="1:22" x14ac:dyDescent="0.25">
      <c r="A1787" t="s">
        <v>428</v>
      </c>
      <c r="B1787" t="s">
        <v>109</v>
      </c>
      <c r="C1787">
        <v>12</v>
      </c>
      <c r="D1787" t="s">
        <v>260</v>
      </c>
      <c r="E1787" t="s">
        <v>79</v>
      </c>
      <c r="F1787" t="s">
        <v>140</v>
      </c>
      <c r="G1787">
        <v>0.25</v>
      </c>
      <c r="H1787" t="s">
        <v>132</v>
      </c>
      <c r="I1787">
        <v>-1</v>
      </c>
      <c r="J1787" s="4" t="str">
        <f>HYPERLINK("https://www.eliteprospects.com/player/499253/tyler-young")</f>
        <v>https://www.eliteprospects.com/player/499253/tyler-young</v>
      </c>
      <c r="K1787" t="s">
        <v>27</v>
      </c>
      <c r="L1787" t="s">
        <v>28</v>
      </c>
      <c r="M1787" t="s">
        <v>29</v>
      </c>
      <c r="N1787">
        <v>4</v>
      </c>
      <c r="O1787" t="s">
        <v>30</v>
      </c>
      <c r="P1787">
        <v>0.05</v>
      </c>
      <c r="Q1787" t="s">
        <v>245</v>
      </c>
      <c r="R1787">
        <v>9.1</v>
      </c>
      <c r="S1787">
        <v>18.2</v>
      </c>
      <c r="T1787">
        <v>9.1</v>
      </c>
      <c r="U1787">
        <v>13.6</v>
      </c>
      <c r="V1787">
        <v>50</v>
      </c>
    </row>
    <row r="1788" spans="1:22" x14ac:dyDescent="0.25">
      <c r="A1788" t="s">
        <v>179</v>
      </c>
      <c r="B1788" t="s">
        <v>180</v>
      </c>
      <c r="C1788">
        <v>18</v>
      </c>
      <c r="D1788" t="s">
        <v>78</v>
      </c>
      <c r="E1788" t="s">
        <v>26</v>
      </c>
      <c r="F1788" t="s">
        <v>41</v>
      </c>
      <c r="G1788">
        <v>0.83</v>
      </c>
      <c r="H1788" t="s">
        <v>57</v>
      </c>
      <c r="I1788">
        <v>-13</v>
      </c>
      <c r="J1788" s="4" t="str">
        <f>HYPERLINK("https://www.eliteprospects.com/player/494607/sutter-muzzatti")</f>
        <v>https://www.eliteprospects.com/player/494607/sutter-muzzatti</v>
      </c>
      <c r="K1788" t="s">
        <v>27</v>
      </c>
      <c r="L1788" t="s">
        <v>28</v>
      </c>
      <c r="M1788" t="s">
        <v>35</v>
      </c>
      <c r="N1788">
        <v>4</v>
      </c>
      <c r="O1788" t="s">
        <v>30</v>
      </c>
      <c r="P1788">
        <v>0.16</v>
      </c>
      <c r="Q1788" t="s">
        <v>31</v>
      </c>
      <c r="R1788">
        <v>50</v>
      </c>
      <c r="S1788">
        <v>0</v>
      </c>
      <c r="T1788">
        <v>0</v>
      </c>
      <c r="U1788">
        <v>0</v>
      </c>
      <c r="V1788">
        <v>50</v>
      </c>
    </row>
    <row r="1789" spans="1:22" x14ac:dyDescent="0.25">
      <c r="A1789" t="s">
        <v>190</v>
      </c>
      <c r="B1789" t="s">
        <v>180</v>
      </c>
      <c r="C1789">
        <v>18</v>
      </c>
      <c r="D1789" t="s">
        <v>78</v>
      </c>
      <c r="E1789" t="s">
        <v>78</v>
      </c>
      <c r="F1789" t="s">
        <v>39</v>
      </c>
      <c r="G1789">
        <v>0.78</v>
      </c>
      <c r="H1789" t="s">
        <v>26</v>
      </c>
      <c r="I1789">
        <v>-8</v>
      </c>
      <c r="J1789" s="4" t="str">
        <f>HYPERLINK("https://www.eliteprospects.com/player/512365/evan-werner")</f>
        <v>https://www.eliteprospects.com/player/512365/evan-werner</v>
      </c>
      <c r="K1789" t="s">
        <v>27</v>
      </c>
      <c r="L1789" t="s">
        <v>28</v>
      </c>
      <c r="M1789" t="s">
        <v>35</v>
      </c>
      <c r="N1789">
        <v>3</v>
      </c>
      <c r="O1789" t="s">
        <v>74</v>
      </c>
      <c r="P1789">
        <v>0.15</v>
      </c>
      <c r="Q1789" t="s">
        <v>31</v>
      </c>
      <c r="R1789">
        <v>50</v>
      </c>
      <c r="S1789">
        <v>0</v>
      </c>
      <c r="T1789">
        <v>0</v>
      </c>
      <c r="U1789">
        <v>0</v>
      </c>
      <c r="V1789">
        <v>50</v>
      </c>
    </row>
    <row r="1790" spans="1:22" x14ac:dyDescent="0.25">
      <c r="A1790" t="s">
        <v>210</v>
      </c>
      <c r="B1790" t="s">
        <v>180</v>
      </c>
      <c r="C1790">
        <v>17</v>
      </c>
      <c r="D1790" t="s">
        <v>140</v>
      </c>
      <c r="E1790" t="s">
        <v>32</v>
      </c>
      <c r="F1790" t="s">
        <v>65</v>
      </c>
      <c r="G1790">
        <v>0.76</v>
      </c>
      <c r="H1790" t="s">
        <v>23</v>
      </c>
      <c r="I1790">
        <v>-15</v>
      </c>
      <c r="J1790" s="4" t="str">
        <f>HYPERLINK("https://www.eliteprospects.com/player/566424/cole-knuble")</f>
        <v>https://www.eliteprospects.com/player/566424/cole-knuble</v>
      </c>
      <c r="K1790" t="s">
        <v>27</v>
      </c>
      <c r="L1790" t="s">
        <v>28</v>
      </c>
      <c r="M1790" t="s">
        <v>87</v>
      </c>
      <c r="N1790">
        <v>3</v>
      </c>
      <c r="O1790" t="s">
        <v>74</v>
      </c>
      <c r="P1790">
        <v>0.15</v>
      </c>
      <c r="Q1790" t="s">
        <v>31</v>
      </c>
      <c r="R1790">
        <v>50</v>
      </c>
      <c r="S1790">
        <v>0</v>
      </c>
      <c r="T1790">
        <v>0</v>
      </c>
      <c r="U1790">
        <v>0</v>
      </c>
      <c r="V1790">
        <v>50</v>
      </c>
    </row>
    <row r="1791" spans="1:22" x14ac:dyDescent="0.25">
      <c r="A1791" t="s">
        <v>240</v>
      </c>
      <c r="B1791" t="s">
        <v>180</v>
      </c>
      <c r="C1791">
        <v>17</v>
      </c>
      <c r="D1791" t="s">
        <v>78</v>
      </c>
      <c r="E1791" t="s">
        <v>66</v>
      </c>
      <c r="F1791" t="s">
        <v>69</v>
      </c>
      <c r="G1791">
        <v>0.65</v>
      </c>
      <c r="H1791" t="s">
        <v>55</v>
      </c>
      <c r="I1791">
        <v>-5</v>
      </c>
      <c r="J1791" s="4" t="str">
        <f>HYPERLINK("https://www.eliteprospects.com/player/664635/danny-nelson")</f>
        <v>https://www.eliteprospects.com/player/664635/danny-nelson</v>
      </c>
      <c r="K1791" t="s">
        <v>27</v>
      </c>
      <c r="L1791" t="s">
        <v>28</v>
      </c>
      <c r="M1791" t="s">
        <v>76</v>
      </c>
      <c r="N1791">
        <v>3</v>
      </c>
      <c r="O1791" t="s">
        <v>74</v>
      </c>
      <c r="P1791">
        <v>0.13</v>
      </c>
      <c r="Q1791" t="s">
        <v>135</v>
      </c>
      <c r="R1791">
        <v>11.1</v>
      </c>
      <c r="S1791">
        <v>44.4</v>
      </c>
      <c r="T1791">
        <v>11.1</v>
      </c>
      <c r="U1791">
        <v>11.1</v>
      </c>
      <c r="V1791">
        <v>22.2</v>
      </c>
    </row>
    <row r="1792" spans="1:22" x14ac:dyDescent="0.25">
      <c r="A1792" t="s">
        <v>276</v>
      </c>
      <c r="B1792" t="s">
        <v>180</v>
      </c>
      <c r="C1792">
        <v>17</v>
      </c>
      <c r="D1792" t="s">
        <v>140</v>
      </c>
      <c r="E1792" t="s">
        <v>78</v>
      </c>
      <c r="F1792" t="s">
        <v>32</v>
      </c>
      <c r="G1792">
        <v>0.59</v>
      </c>
      <c r="H1792" t="s">
        <v>277</v>
      </c>
      <c r="I1792">
        <v>-8</v>
      </c>
      <c r="J1792" s="4" t="str">
        <f>HYPERLINK("https://www.eliteprospects.com/player/738925/cole-brown")</f>
        <v>https://www.eliteprospects.com/player/738925/cole-brown</v>
      </c>
      <c r="K1792" t="s">
        <v>27</v>
      </c>
      <c r="L1792" t="s">
        <v>28</v>
      </c>
      <c r="M1792" t="s">
        <v>70</v>
      </c>
      <c r="N1792">
        <v>5</v>
      </c>
      <c r="O1792" t="s">
        <v>147</v>
      </c>
      <c r="P1792">
        <v>0.11</v>
      </c>
      <c r="Q1792" t="s">
        <v>135</v>
      </c>
      <c r="R1792">
        <v>0</v>
      </c>
      <c r="S1792">
        <v>35.700000000000003</v>
      </c>
      <c r="T1792">
        <v>0</v>
      </c>
      <c r="U1792">
        <v>28.6</v>
      </c>
      <c r="V1792">
        <v>35.700000000000003</v>
      </c>
    </row>
    <row r="1793" spans="1:22" x14ac:dyDescent="0.25">
      <c r="A1793" t="s">
        <v>282</v>
      </c>
      <c r="B1793" t="s">
        <v>180</v>
      </c>
      <c r="C1793">
        <v>18</v>
      </c>
      <c r="D1793" t="s">
        <v>79</v>
      </c>
      <c r="E1793" t="s">
        <v>26</v>
      </c>
      <c r="F1793" t="s">
        <v>32</v>
      </c>
      <c r="G1793">
        <v>0.56000000000000005</v>
      </c>
      <c r="H1793" t="s">
        <v>57</v>
      </c>
      <c r="I1793">
        <v>-10</v>
      </c>
      <c r="J1793" s="4" t="str">
        <f>HYPERLINK("https://www.eliteprospects.com/player/526062/pano-fimis")</f>
        <v>https://www.eliteprospects.com/player/526062/pano-fimis</v>
      </c>
      <c r="K1793" t="s">
        <v>27</v>
      </c>
      <c r="L1793" t="s">
        <v>28</v>
      </c>
      <c r="M1793" t="s">
        <v>87</v>
      </c>
      <c r="N1793">
        <v>7</v>
      </c>
      <c r="O1793" t="s">
        <v>159</v>
      </c>
      <c r="P1793">
        <v>0.11</v>
      </c>
      <c r="Q1793" t="s">
        <v>135</v>
      </c>
      <c r="R1793">
        <v>0</v>
      </c>
      <c r="S1793">
        <v>35.700000000000003</v>
      </c>
      <c r="T1793">
        <v>0</v>
      </c>
      <c r="U1793">
        <v>28.6</v>
      </c>
      <c r="V1793">
        <v>35.700000000000003</v>
      </c>
    </row>
    <row r="1794" spans="1:22" x14ac:dyDescent="0.25">
      <c r="A1794" t="s">
        <v>323</v>
      </c>
      <c r="B1794" t="s">
        <v>180</v>
      </c>
      <c r="C1794">
        <v>16</v>
      </c>
      <c r="D1794" t="s">
        <v>140</v>
      </c>
      <c r="E1794" t="s">
        <v>96</v>
      </c>
      <c r="F1794" t="s">
        <v>26</v>
      </c>
      <c r="G1794">
        <v>0.5</v>
      </c>
      <c r="H1794" t="s">
        <v>60</v>
      </c>
      <c r="I1794">
        <v>-4</v>
      </c>
      <c r="J1794" s="4" t="str">
        <f>HYPERLINK("https://www.eliteprospects.com/player/574842/brennan-ali")</f>
        <v>https://www.eliteprospects.com/player/574842/brennan-ali</v>
      </c>
      <c r="K1794" t="s">
        <v>27</v>
      </c>
      <c r="L1794" t="s">
        <v>28</v>
      </c>
      <c r="M1794" t="s">
        <v>76</v>
      </c>
      <c r="N1794">
        <v>3</v>
      </c>
      <c r="O1794" t="s">
        <v>74</v>
      </c>
      <c r="P1794">
        <v>0.1</v>
      </c>
      <c r="Q1794" t="s">
        <v>245</v>
      </c>
      <c r="R1794">
        <v>0</v>
      </c>
      <c r="S1794">
        <v>33.299999999999997</v>
      </c>
      <c r="T1794">
        <v>0</v>
      </c>
      <c r="U1794">
        <v>0</v>
      </c>
      <c r="V1794">
        <v>66.7</v>
      </c>
    </row>
    <row r="1795" spans="1:22" x14ac:dyDescent="0.25">
      <c r="A1795" t="s">
        <v>426</v>
      </c>
      <c r="B1795" t="s">
        <v>180</v>
      </c>
      <c r="C1795">
        <v>18</v>
      </c>
      <c r="D1795" t="s">
        <v>79</v>
      </c>
      <c r="E1795" t="s">
        <v>260</v>
      </c>
      <c r="F1795" t="s">
        <v>140</v>
      </c>
      <c r="G1795">
        <v>0.17</v>
      </c>
      <c r="H1795" t="s">
        <v>23</v>
      </c>
      <c r="I1795">
        <v>-12</v>
      </c>
      <c r="J1795" s="4" t="str">
        <f>HYPERLINK("https://www.eliteprospects.com/player/637627/carter-slaggert")</f>
        <v>https://www.eliteprospects.com/player/637627/carter-slaggert</v>
      </c>
      <c r="K1795" t="s">
        <v>27</v>
      </c>
      <c r="L1795" t="s">
        <v>28</v>
      </c>
      <c r="M1795" t="s">
        <v>70</v>
      </c>
      <c r="N1795">
        <v>3</v>
      </c>
      <c r="O1795" t="s">
        <v>74</v>
      </c>
      <c r="P1795">
        <v>0.03</v>
      </c>
      <c r="Q1795" t="s">
        <v>245</v>
      </c>
      <c r="R1795">
        <v>13.3</v>
      </c>
      <c r="S1795">
        <v>13.3</v>
      </c>
      <c r="T1795">
        <v>0</v>
      </c>
      <c r="U1795">
        <v>13.3</v>
      </c>
      <c r="V1795">
        <v>60</v>
      </c>
    </row>
    <row r="1796" spans="1:22" x14ac:dyDescent="0.25">
      <c r="A1796" t="s">
        <v>443</v>
      </c>
      <c r="B1796" t="s">
        <v>180</v>
      </c>
      <c r="C1796">
        <v>16</v>
      </c>
      <c r="D1796" t="s">
        <v>132</v>
      </c>
      <c r="E1796" t="s">
        <v>140</v>
      </c>
      <c r="F1796" t="s">
        <v>140</v>
      </c>
      <c r="G1796">
        <v>0.19</v>
      </c>
      <c r="H1796" t="s">
        <v>79</v>
      </c>
      <c r="I1796">
        <v>-10</v>
      </c>
      <c r="J1796" s="4" t="str">
        <f>HYPERLINK("https://www.eliteprospects.com/player/593365/maddox-fleming")</f>
        <v>https://www.eliteprospects.com/player/593365/maddox-fleming</v>
      </c>
      <c r="K1796" t="s">
        <v>27</v>
      </c>
      <c r="L1796" t="s">
        <v>28</v>
      </c>
      <c r="M1796" t="s">
        <v>48</v>
      </c>
      <c r="N1796">
        <v>3</v>
      </c>
      <c r="O1796" t="s">
        <v>74</v>
      </c>
      <c r="P1796">
        <v>0.04</v>
      </c>
      <c r="Q1796" t="s">
        <v>245</v>
      </c>
      <c r="R1796">
        <v>13.3</v>
      </c>
      <c r="S1796">
        <v>13.3</v>
      </c>
      <c r="T1796">
        <v>0</v>
      </c>
      <c r="U1796">
        <v>13.3</v>
      </c>
      <c r="V1796">
        <v>60</v>
      </c>
    </row>
    <row r="1797" spans="1:22" x14ac:dyDescent="0.25">
      <c r="A1797" t="s">
        <v>473</v>
      </c>
      <c r="B1797" t="s">
        <v>180</v>
      </c>
      <c r="C1797">
        <v>18</v>
      </c>
      <c r="D1797" t="s">
        <v>132</v>
      </c>
      <c r="E1797" t="s">
        <v>260</v>
      </c>
      <c r="F1797" t="s">
        <v>260</v>
      </c>
      <c r="G1797">
        <v>0.06</v>
      </c>
      <c r="H1797" t="s">
        <v>132</v>
      </c>
      <c r="I1797">
        <v>-9</v>
      </c>
      <c r="J1797" s="4" t="str">
        <f>HYPERLINK("https://www.eliteprospects.com/player/623092/dashel-oliver")</f>
        <v>https://www.eliteprospects.com/player/623092/dashel-oliver</v>
      </c>
      <c r="K1797" t="s">
        <v>27</v>
      </c>
      <c r="L1797" t="s">
        <v>28</v>
      </c>
      <c r="M1797" t="s">
        <v>35</v>
      </c>
      <c r="N1797">
        <v>1</v>
      </c>
      <c r="O1797" t="s">
        <v>71</v>
      </c>
      <c r="P1797">
        <v>0.01</v>
      </c>
      <c r="Q1797" t="s">
        <v>245</v>
      </c>
      <c r="R1797">
        <v>13.3</v>
      </c>
      <c r="S1797">
        <v>13.3</v>
      </c>
      <c r="T1797">
        <v>0</v>
      </c>
      <c r="U1797">
        <v>13.3</v>
      </c>
      <c r="V1797">
        <v>60</v>
      </c>
    </row>
    <row r="1798" spans="1:22" x14ac:dyDescent="0.25">
      <c r="A1798" t="s">
        <v>476</v>
      </c>
      <c r="B1798" t="s">
        <v>180</v>
      </c>
      <c r="C1798">
        <v>11</v>
      </c>
      <c r="D1798" t="s">
        <v>132</v>
      </c>
      <c r="E1798" t="s">
        <v>132</v>
      </c>
      <c r="F1798" t="s">
        <v>132</v>
      </c>
      <c r="G1798">
        <v>0</v>
      </c>
      <c r="H1798" t="s">
        <v>66</v>
      </c>
      <c r="I1798">
        <v>-7</v>
      </c>
      <c r="J1798" s="4" t="str">
        <f>HYPERLINK("https://www.eliteprospects.com/player/683915/michael-schermerhorn")</f>
        <v>https://www.eliteprospects.com/player/683915/michael-schermerhorn</v>
      </c>
      <c r="K1798" t="s">
        <v>27</v>
      </c>
      <c r="L1798" t="s">
        <v>28</v>
      </c>
      <c r="M1798" t="s">
        <v>76</v>
      </c>
      <c r="N1798">
        <v>2</v>
      </c>
      <c r="O1798" t="s">
        <v>43</v>
      </c>
      <c r="P1798">
        <v>0</v>
      </c>
      <c r="Q1798" t="s">
        <v>245</v>
      </c>
      <c r="R1798">
        <v>13.3</v>
      </c>
      <c r="S1798">
        <v>13.3</v>
      </c>
      <c r="T1798">
        <v>0</v>
      </c>
      <c r="U1798">
        <v>13.3</v>
      </c>
      <c r="V1798">
        <v>60</v>
      </c>
    </row>
    <row r="1799" spans="1:22" x14ac:dyDescent="0.25">
      <c r="A1799" t="s">
        <v>483</v>
      </c>
      <c r="B1799" t="s">
        <v>180</v>
      </c>
      <c r="C1799">
        <v>17</v>
      </c>
      <c r="D1799" t="s">
        <v>132</v>
      </c>
      <c r="E1799" t="s">
        <v>132</v>
      </c>
      <c r="F1799" t="s">
        <v>132</v>
      </c>
      <c r="G1799">
        <v>0</v>
      </c>
      <c r="H1799" t="s">
        <v>75</v>
      </c>
      <c r="I1799">
        <v>-4</v>
      </c>
      <c r="J1799" s="4" t="str">
        <f>HYPERLINK("https://www.eliteprospects.com/player/577004/william-belle")</f>
        <v>https://www.eliteprospects.com/player/577004/william-belle</v>
      </c>
      <c r="K1799" t="s">
        <v>27</v>
      </c>
      <c r="L1799" t="s">
        <v>28</v>
      </c>
      <c r="M1799" t="s">
        <v>29</v>
      </c>
      <c r="N1799">
        <v>1</v>
      </c>
      <c r="O1799" t="s">
        <v>71</v>
      </c>
      <c r="P1799">
        <v>0</v>
      </c>
      <c r="Q1799" t="s">
        <v>245</v>
      </c>
      <c r="R1799">
        <v>9.1</v>
      </c>
      <c r="S1799">
        <v>18.2</v>
      </c>
      <c r="T1799">
        <v>9.1</v>
      </c>
      <c r="U1799">
        <v>13.6</v>
      </c>
      <c r="V1799">
        <v>50</v>
      </c>
    </row>
    <row r="1800" spans="1:22" x14ac:dyDescent="0.25">
      <c r="A1800" t="s">
        <v>953</v>
      </c>
      <c r="B1800" t="s">
        <v>954</v>
      </c>
      <c r="C1800">
        <v>16</v>
      </c>
      <c r="D1800" t="s">
        <v>26</v>
      </c>
      <c r="E1800" t="s">
        <v>39</v>
      </c>
      <c r="F1800" t="s">
        <v>47</v>
      </c>
      <c r="G1800">
        <v>1.38</v>
      </c>
      <c r="H1800" t="s">
        <v>52</v>
      </c>
      <c r="I1800">
        <v>0</v>
      </c>
      <c r="J1800" s="4" t="str">
        <f>HYPERLINK("https://www.eliteprospects.com/player/335280/max-grondin")</f>
        <v>https://www.eliteprospects.com/player/335280/max-grondin</v>
      </c>
      <c r="K1800" t="s">
        <v>27</v>
      </c>
      <c r="L1800" t="s">
        <v>918</v>
      </c>
      <c r="M1800" t="s">
        <v>42</v>
      </c>
      <c r="N1800">
        <v>5</v>
      </c>
      <c r="O1800" t="s">
        <v>955</v>
      </c>
      <c r="P1800">
        <v>0.17</v>
      </c>
      <c r="Q1800" t="s">
        <v>135</v>
      </c>
      <c r="R1800">
        <v>27.3</v>
      </c>
      <c r="S1800">
        <v>36.4</v>
      </c>
      <c r="T1800">
        <v>0</v>
      </c>
      <c r="U1800">
        <v>0</v>
      </c>
      <c r="V1800">
        <v>36.4</v>
      </c>
    </row>
    <row r="1801" spans="1:22" x14ac:dyDescent="0.25">
      <c r="A1801" t="s">
        <v>996</v>
      </c>
      <c r="B1801" t="s">
        <v>954</v>
      </c>
      <c r="C1801">
        <v>16</v>
      </c>
      <c r="D1801" t="s">
        <v>26</v>
      </c>
      <c r="E1801" t="s">
        <v>45</v>
      </c>
      <c r="F1801" t="s">
        <v>60</v>
      </c>
      <c r="G1801">
        <v>1.06</v>
      </c>
      <c r="H1801" t="s">
        <v>57</v>
      </c>
      <c r="I1801">
        <v>0</v>
      </c>
      <c r="J1801" s="4" t="str">
        <f>HYPERLINK("https://www.eliteprospects.com/player/579331/marc-antoine-seguin")</f>
        <v>https://www.eliteprospects.com/player/579331/marc-antoine-seguin</v>
      </c>
      <c r="K1801" t="s">
        <v>27</v>
      </c>
      <c r="L1801" t="s">
        <v>918</v>
      </c>
      <c r="M1801" t="s">
        <v>29</v>
      </c>
      <c r="N1801">
        <v>6</v>
      </c>
      <c r="O1801" t="s">
        <v>921</v>
      </c>
      <c r="P1801">
        <v>0.13</v>
      </c>
      <c r="Q1801" t="s">
        <v>135</v>
      </c>
      <c r="R1801">
        <v>11.1</v>
      </c>
      <c r="S1801">
        <v>44.4</v>
      </c>
      <c r="T1801">
        <v>11.1</v>
      </c>
      <c r="U1801">
        <v>11.1</v>
      </c>
      <c r="V1801">
        <v>22.2</v>
      </c>
    </row>
    <row r="1802" spans="1:22" x14ac:dyDescent="0.25">
      <c r="A1802" t="s">
        <v>1007</v>
      </c>
      <c r="B1802" t="s">
        <v>954</v>
      </c>
      <c r="C1802">
        <v>16</v>
      </c>
      <c r="D1802" t="s">
        <v>79</v>
      </c>
      <c r="E1802" t="s">
        <v>41</v>
      </c>
      <c r="F1802" t="s">
        <v>60</v>
      </c>
      <c r="G1802">
        <v>1.06</v>
      </c>
      <c r="H1802" t="s">
        <v>57</v>
      </c>
      <c r="I1802">
        <v>0</v>
      </c>
      <c r="J1802" s="4" t="str">
        <f>HYPERLINK("https://www.eliteprospects.com/player/475243/zacharie-giroux")</f>
        <v>https://www.eliteprospects.com/player/475243/zacharie-giroux</v>
      </c>
      <c r="K1802" t="s">
        <v>27</v>
      </c>
      <c r="L1802" t="s">
        <v>918</v>
      </c>
      <c r="M1802" t="s">
        <v>42</v>
      </c>
      <c r="N1802">
        <v>5</v>
      </c>
      <c r="O1802" t="s">
        <v>1008</v>
      </c>
      <c r="P1802">
        <v>0.13</v>
      </c>
      <c r="Q1802" t="s">
        <v>135</v>
      </c>
      <c r="R1802">
        <v>11.1</v>
      </c>
      <c r="S1802">
        <v>44.4</v>
      </c>
      <c r="T1802">
        <v>11.1</v>
      </c>
      <c r="U1802">
        <v>11.1</v>
      </c>
      <c r="V1802">
        <v>22.2</v>
      </c>
    </row>
    <row r="1803" spans="1:22" x14ac:dyDescent="0.25">
      <c r="A1803" t="s">
        <v>1065</v>
      </c>
      <c r="B1803" t="s">
        <v>954</v>
      </c>
      <c r="C1803">
        <v>16</v>
      </c>
      <c r="D1803" t="s">
        <v>26</v>
      </c>
      <c r="E1803" t="s">
        <v>66</v>
      </c>
      <c r="F1803" t="s">
        <v>23</v>
      </c>
      <c r="G1803">
        <v>0.75</v>
      </c>
      <c r="H1803" t="s">
        <v>600</v>
      </c>
      <c r="I1803">
        <v>0</v>
      </c>
      <c r="J1803" s="4" t="str">
        <f>HYPERLINK("https://www.eliteprospects.com/player/475246/mitchell-martin")</f>
        <v>https://www.eliteprospects.com/player/475246/mitchell-martin</v>
      </c>
      <c r="K1803" t="s">
        <v>27</v>
      </c>
      <c r="L1803" t="s">
        <v>918</v>
      </c>
      <c r="M1803" t="s">
        <v>91</v>
      </c>
      <c r="N1803">
        <v>4</v>
      </c>
      <c r="O1803" t="s">
        <v>1025</v>
      </c>
      <c r="P1803">
        <v>0.09</v>
      </c>
      <c r="Q1803" t="s">
        <v>1277</v>
      </c>
      <c r="R1803">
        <v>16.7</v>
      </c>
      <c r="S1803">
        <v>16.7</v>
      </c>
      <c r="T1803">
        <v>25</v>
      </c>
      <c r="U1803">
        <v>16.7</v>
      </c>
      <c r="V1803">
        <v>25</v>
      </c>
    </row>
    <row r="1804" spans="1:22" x14ac:dyDescent="0.25">
      <c r="A1804" t="s">
        <v>1086</v>
      </c>
      <c r="B1804" t="s">
        <v>954</v>
      </c>
      <c r="C1804">
        <v>16</v>
      </c>
      <c r="D1804" t="s">
        <v>78</v>
      </c>
      <c r="E1804" t="s">
        <v>66</v>
      </c>
      <c r="F1804" t="s">
        <v>69</v>
      </c>
      <c r="G1804">
        <v>0.69</v>
      </c>
      <c r="H1804" t="s">
        <v>57</v>
      </c>
      <c r="I1804">
        <v>0</v>
      </c>
      <c r="J1804" s="4" t="str">
        <f>HYPERLINK("https://www.eliteprospects.com/player/649131/lucas-veilleux")</f>
        <v>https://www.eliteprospects.com/player/649131/lucas-veilleux</v>
      </c>
      <c r="K1804" t="s">
        <v>27</v>
      </c>
      <c r="L1804" t="s">
        <v>918</v>
      </c>
      <c r="M1804" t="s">
        <v>29</v>
      </c>
      <c r="N1804">
        <v>2</v>
      </c>
      <c r="O1804" t="s">
        <v>1087</v>
      </c>
      <c r="P1804">
        <v>0.09</v>
      </c>
      <c r="Q1804" t="s">
        <v>1277</v>
      </c>
      <c r="R1804">
        <v>16.7</v>
      </c>
      <c r="S1804">
        <v>16.7</v>
      </c>
      <c r="T1804">
        <v>25</v>
      </c>
      <c r="U1804">
        <v>16.7</v>
      </c>
      <c r="V1804">
        <v>25</v>
      </c>
    </row>
    <row r="1805" spans="1:22" x14ac:dyDescent="0.25">
      <c r="A1805" t="s">
        <v>1116</v>
      </c>
      <c r="B1805" t="s">
        <v>954</v>
      </c>
      <c r="C1805">
        <v>14</v>
      </c>
      <c r="D1805" t="s">
        <v>57</v>
      </c>
      <c r="E1805" t="s">
        <v>140</v>
      </c>
      <c r="F1805" t="s">
        <v>45</v>
      </c>
      <c r="G1805">
        <v>0.64</v>
      </c>
      <c r="H1805" t="s">
        <v>57</v>
      </c>
      <c r="I1805">
        <v>0</v>
      </c>
      <c r="J1805" s="4" t="str">
        <f>HYPERLINK("https://www.eliteprospects.com/player/579330/andrew-belchamber")</f>
        <v>https://www.eliteprospects.com/player/579330/andrew-belchamber</v>
      </c>
      <c r="K1805" t="s">
        <v>27</v>
      </c>
      <c r="L1805" t="s">
        <v>918</v>
      </c>
      <c r="M1805" t="s">
        <v>29</v>
      </c>
      <c r="N1805">
        <v>6</v>
      </c>
      <c r="O1805" t="s">
        <v>968</v>
      </c>
      <c r="P1805">
        <v>0.08</v>
      </c>
      <c r="Q1805" t="s">
        <v>1277</v>
      </c>
      <c r="R1805">
        <v>16.7</v>
      </c>
      <c r="S1805">
        <v>16.7</v>
      </c>
      <c r="T1805">
        <v>25</v>
      </c>
      <c r="U1805">
        <v>16.7</v>
      </c>
      <c r="V1805">
        <v>25</v>
      </c>
    </row>
    <row r="1806" spans="1:22" x14ac:dyDescent="0.25">
      <c r="A1806" t="s">
        <v>1136</v>
      </c>
      <c r="B1806" t="s">
        <v>954</v>
      </c>
      <c r="C1806">
        <v>16</v>
      </c>
      <c r="D1806" t="s">
        <v>79</v>
      </c>
      <c r="E1806" t="s">
        <v>57</v>
      </c>
      <c r="F1806" t="s">
        <v>26</v>
      </c>
      <c r="G1806">
        <v>0.5</v>
      </c>
      <c r="H1806" t="s">
        <v>79</v>
      </c>
      <c r="I1806">
        <v>0</v>
      </c>
      <c r="J1806" s="4" t="str">
        <f>HYPERLINK("https://www.eliteprospects.com/player/574587/alexis-bonefon")</f>
        <v>https://www.eliteprospects.com/player/574587/alexis-bonefon</v>
      </c>
      <c r="K1806" t="s">
        <v>27</v>
      </c>
      <c r="L1806" t="s">
        <v>918</v>
      </c>
      <c r="M1806" t="s">
        <v>91</v>
      </c>
      <c r="N1806">
        <v>5</v>
      </c>
      <c r="O1806" t="s">
        <v>930</v>
      </c>
      <c r="P1806">
        <v>0.06</v>
      </c>
      <c r="Q1806" t="s">
        <v>135</v>
      </c>
      <c r="R1806">
        <v>0</v>
      </c>
      <c r="S1806">
        <v>33.299999999999997</v>
      </c>
      <c r="T1806">
        <v>23.8</v>
      </c>
      <c r="U1806">
        <v>9.5</v>
      </c>
      <c r="V1806">
        <v>33.299999999999997</v>
      </c>
    </row>
    <row r="1807" spans="1:22" x14ac:dyDescent="0.25">
      <c r="A1807" t="s">
        <v>1158</v>
      </c>
      <c r="B1807" t="s">
        <v>954</v>
      </c>
      <c r="C1807">
        <v>14</v>
      </c>
      <c r="D1807" t="s">
        <v>140</v>
      </c>
      <c r="E1807" t="s">
        <v>140</v>
      </c>
      <c r="F1807" t="s">
        <v>57</v>
      </c>
      <c r="G1807">
        <v>0.43</v>
      </c>
      <c r="H1807" t="s">
        <v>132</v>
      </c>
      <c r="I1807">
        <v>0</v>
      </c>
      <c r="J1807" s="4" t="str">
        <f>HYPERLINK("https://www.eliteprospects.com/player/553929/elliot-dutil")</f>
        <v>https://www.eliteprospects.com/player/553929/elliot-dutil</v>
      </c>
      <c r="K1807" t="s">
        <v>27</v>
      </c>
      <c r="L1807" t="s">
        <v>918</v>
      </c>
      <c r="M1807" t="s">
        <v>91</v>
      </c>
      <c r="N1807">
        <v>1</v>
      </c>
      <c r="O1807" t="s">
        <v>984</v>
      </c>
      <c r="P1807">
        <v>0.05</v>
      </c>
      <c r="Q1807" t="s">
        <v>245</v>
      </c>
      <c r="R1807">
        <v>9.1</v>
      </c>
      <c r="S1807">
        <v>18.2</v>
      </c>
      <c r="T1807">
        <v>9.1</v>
      </c>
      <c r="U1807">
        <v>13.6</v>
      </c>
      <c r="V1807">
        <v>50</v>
      </c>
    </row>
    <row r="1808" spans="1:22" x14ac:dyDescent="0.25">
      <c r="A1808" t="s">
        <v>1165</v>
      </c>
      <c r="B1808" t="s">
        <v>954</v>
      </c>
      <c r="C1808">
        <v>16</v>
      </c>
      <c r="D1808" t="s">
        <v>140</v>
      </c>
      <c r="E1808" t="s">
        <v>140</v>
      </c>
      <c r="F1808" t="s">
        <v>57</v>
      </c>
      <c r="G1808">
        <v>0.38</v>
      </c>
      <c r="H1808" t="s">
        <v>26</v>
      </c>
      <c r="I1808">
        <v>0</v>
      </c>
      <c r="J1808" s="4" t="str">
        <f>HYPERLINK("https://www.eliteprospects.com/player/649089/ethan-montroy")</f>
        <v>https://www.eliteprospects.com/player/649089/ethan-montroy</v>
      </c>
      <c r="K1808" t="s">
        <v>27</v>
      </c>
      <c r="L1808" t="s">
        <v>918</v>
      </c>
      <c r="M1808" t="s">
        <v>91</v>
      </c>
      <c r="N1808">
        <v>4</v>
      </c>
      <c r="O1808" t="s">
        <v>1166</v>
      </c>
      <c r="P1808">
        <v>0.05</v>
      </c>
      <c r="Q1808" t="s">
        <v>245</v>
      </c>
      <c r="R1808">
        <v>9.1</v>
      </c>
      <c r="S1808">
        <v>18.2</v>
      </c>
      <c r="T1808">
        <v>9.1</v>
      </c>
      <c r="U1808">
        <v>13.6</v>
      </c>
      <c r="V1808">
        <v>50</v>
      </c>
    </row>
    <row r="1809" spans="1:22" x14ac:dyDescent="0.25">
      <c r="A1809" t="s">
        <v>1180</v>
      </c>
      <c r="B1809" t="s">
        <v>954</v>
      </c>
      <c r="C1809">
        <v>12</v>
      </c>
      <c r="D1809" t="s">
        <v>140</v>
      </c>
      <c r="E1809" t="s">
        <v>79</v>
      </c>
      <c r="F1809" t="s">
        <v>96</v>
      </c>
      <c r="G1809">
        <v>0.42</v>
      </c>
      <c r="H1809" t="s">
        <v>132</v>
      </c>
      <c r="I1809">
        <v>0</v>
      </c>
      <c r="J1809" s="4" t="str">
        <f>HYPERLINK("https://www.eliteprospects.com/player/562218/loic-prud-homme")</f>
        <v>https://www.eliteprospects.com/player/562218/loic-prud-homme</v>
      </c>
      <c r="K1809" t="s">
        <v>27</v>
      </c>
      <c r="L1809" t="s">
        <v>918</v>
      </c>
      <c r="M1809" t="s">
        <v>29</v>
      </c>
      <c r="N1809">
        <v>1</v>
      </c>
      <c r="O1809" t="s">
        <v>984</v>
      </c>
      <c r="P1809">
        <v>0.05</v>
      </c>
      <c r="Q1809" t="s">
        <v>245</v>
      </c>
      <c r="R1809">
        <v>9.1</v>
      </c>
      <c r="S1809">
        <v>18.2</v>
      </c>
      <c r="T1809">
        <v>9.1</v>
      </c>
      <c r="U1809">
        <v>13.6</v>
      </c>
      <c r="V1809">
        <v>50</v>
      </c>
    </row>
    <row r="1810" spans="1:22" x14ac:dyDescent="0.25">
      <c r="A1810" t="s">
        <v>1244</v>
      </c>
      <c r="B1810" t="s">
        <v>954</v>
      </c>
      <c r="C1810">
        <v>11</v>
      </c>
      <c r="D1810" t="s">
        <v>132</v>
      </c>
      <c r="E1810" t="s">
        <v>140</v>
      </c>
      <c r="F1810" t="s">
        <v>140</v>
      </c>
      <c r="G1810">
        <v>0.27</v>
      </c>
      <c r="H1810" t="s">
        <v>132</v>
      </c>
      <c r="I1810">
        <v>0</v>
      </c>
      <c r="J1810" s="4" t="str">
        <f>HYPERLINK("https://www.eliteprospects.com/player/562193/max-seguin")</f>
        <v>https://www.eliteprospects.com/player/562193/max-seguin</v>
      </c>
      <c r="K1810" t="s">
        <v>27</v>
      </c>
      <c r="L1810" t="s">
        <v>918</v>
      </c>
      <c r="M1810" t="s">
        <v>35</v>
      </c>
      <c r="N1810">
        <v>1</v>
      </c>
      <c r="O1810" t="s">
        <v>984</v>
      </c>
      <c r="P1810">
        <v>0.03</v>
      </c>
      <c r="Q1810" t="s">
        <v>245</v>
      </c>
      <c r="R1810">
        <v>9.1</v>
      </c>
      <c r="S1810">
        <v>18.2</v>
      </c>
      <c r="T1810">
        <v>9.1</v>
      </c>
      <c r="U1810">
        <v>13.6</v>
      </c>
      <c r="V1810">
        <v>50</v>
      </c>
    </row>
    <row r="1811" spans="1:22" x14ac:dyDescent="0.25">
      <c r="A1811" t="s">
        <v>928</v>
      </c>
      <c r="B1811" t="s">
        <v>929</v>
      </c>
      <c r="C1811">
        <v>19</v>
      </c>
      <c r="D1811" t="s">
        <v>65</v>
      </c>
      <c r="E1811" t="s">
        <v>65</v>
      </c>
      <c r="F1811" t="s">
        <v>125</v>
      </c>
      <c r="G1811">
        <v>1.37</v>
      </c>
      <c r="H1811" t="s">
        <v>24</v>
      </c>
      <c r="I1811">
        <v>9</v>
      </c>
      <c r="J1811" s="4" t="str">
        <f>HYPERLINK("https://www.eliteprospects.com/player/484167/robert-orr")</f>
        <v>https://www.eliteprospects.com/player/484167/robert-orr</v>
      </c>
      <c r="K1811" t="s">
        <v>27</v>
      </c>
      <c r="L1811" t="s">
        <v>918</v>
      </c>
      <c r="M1811" t="s">
        <v>129</v>
      </c>
      <c r="N1811">
        <v>5</v>
      </c>
      <c r="O1811" t="s">
        <v>930</v>
      </c>
      <c r="P1811">
        <v>0.17</v>
      </c>
      <c r="Q1811" t="s">
        <v>31</v>
      </c>
      <c r="R1811">
        <v>78.599999999999994</v>
      </c>
      <c r="S1811">
        <v>0</v>
      </c>
      <c r="T1811">
        <v>0</v>
      </c>
      <c r="U1811">
        <v>0</v>
      </c>
      <c r="V1811">
        <v>21.4</v>
      </c>
    </row>
    <row r="1812" spans="1:22" x14ac:dyDescent="0.25">
      <c r="A1812" t="s">
        <v>956</v>
      </c>
      <c r="B1812" t="s">
        <v>929</v>
      </c>
      <c r="C1812">
        <v>19</v>
      </c>
      <c r="D1812" t="s">
        <v>57</v>
      </c>
      <c r="E1812" t="s">
        <v>38</v>
      </c>
      <c r="F1812" t="s">
        <v>47</v>
      </c>
      <c r="G1812">
        <v>1.1599999999999999</v>
      </c>
      <c r="H1812" t="s">
        <v>24</v>
      </c>
      <c r="I1812">
        <v>6</v>
      </c>
      <c r="J1812" s="4" t="str">
        <f>HYPERLINK("https://www.eliteprospects.com/player/575923/colby-huggan")</f>
        <v>https://www.eliteprospects.com/player/575923/colby-huggan</v>
      </c>
      <c r="K1812" t="s">
        <v>27</v>
      </c>
      <c r="L1812" t="s">
        <v>918</v>
      </c>
      <c r="M1812" t="s">
        <v>42</v>
      </c>
      <c r="N1812">
        <v>5</v>
      </c>
      <c r="O1812" t="s">
        <v>930</v>
      </c>
      <c r="P1812">
        <v>0.14000000000000001</v>
      </c>
      <c r="Q1812" t="s">
        <v>31</v>
      </c>
      <c r="R1812">
        <v>50</v>
      </c>
      <c r="S1812">
        <v>35.700000000000003</v>
      </c>
      <c r="T1812">
        <v>0</v>
      </c>
      <c r="U1812">
        <v>0</v>
      </c>
      <c r="V1812">
        <v>14.3</v>
      </c>
    </row>
    <row r="1813" spans="1:22" x14ac:dyDescent="0.25">
      <c r="A1813" t="s">
        <v>994</v>
      </c>
      <c r="B1813" t="s">
        <v>929</v>
      </c>
      <c r="C1813">
        <v>17</v>
      </c>
      <c r="D1813" t="s">
        <v>32</v>
      </c>
      <c r="E1813" t="s">
        <v>78</v>
      </c>
      <c r="F1813" t="s">
        <v>60</v>
      </c>
      <c r="G1813">
        <v>1</v>
      </c>
      <c r="H1813" t="s">
        <v>47</v>
      </c>
      <c r="I1813">
        <v>9</v>
      </c>
      <c r="J1813" s="4" t="str">
        <f>HYPERLINK("https://www.eliteprospects.com/player/485863/ben-mcfarlane")</f>
        <v>https://www.eliteprospects.com/player/485863/ben-mcfarlane</v>
      </c>
      <c r="K1813" t="s">
        <v>27</v>
      </c>
      <c r="L1813" t="s">
        <v>918</v>
      </c>
      <c r="M1813" t="s">
        <v>29</v>
      </c>
      <c r="N1813">
        <v>6</v>
      </c>
      <c r="O1813" t="s">
        <v>995</v>
      </c>
      <c r="P1813">
        <v>0.12</v>
      </c>
      <c r="Q1813" t="s">
        <v>135</v>
      </c>
      <c r="R1813">
        <v>22.7</v>
      </c>
      <c r="S1813">
        <v>36.4</v>
      </c>
      <c r="T1813">
        <v>9.1</v>
      </c>
      <c r="U1813">
        <v>0</v>
      </c>
      <c r="V1813">
        <v>31.8</v>
      </c>
    </row>
    <row r="1814" spans="1:22" x14ac:dyDescent="0.25">
      <c r="A1814" t="s">
        <v>1035</v>
      </c>
      <c r="B1814" t="s">
        <v>929</v>
      </c>
      <c r="C1814">
        <v>13</v>
      </c>
      <c r="D1814" t="s">
        <v>66</v>
      </c>
      <c r="E1814" t="s">
        <v>69</v>
      </c>
      <c r="F1814" t="s">
        <v>41</v>
      </c>
      <c r="G1814">
        <v>1.1499999999999999</v>
      </c>
      <c r="H1814" t="s">
        <v>178</v>
      </c>
      <c r="I1814">
        <v>3</v>
      </c>
      <c r="J1814" s="4" t="str">
        <f>HYPERLINK("https://www.eliteprospects.com/player/531694/elias-cohen")</f>
        <v>https://www.eliteprospects.com/player/531694/elias-cohen</v>
      </c>
      <c r="K1814" t="s">
        <v>27</v>
      </c>
      <c r="L1814" t="s">
        <v>918</v>
      </c>
      <c r="M1814" t="s">
        <v>42</v>
      </c>
      <c r="N1814">
        <v>7</v>
      </c>
      <c r="O1814" t="s">
        <v>919</v>
      </c>
      <c r="P1814">
        <v>0.14000000000000001</v>
      </c>
      <c r="Q1814" t="s">
        <v>31</v>
      </c>
      <c r="R1814">
        <v>66.7</v>
      </c>
      <c r="S1814">
        <v>0</v>
      </c>
      <c r="T1814">
        <v>0</v>
      </c>
      <c r="U1814">
        <v>0</v>
      </c>
      <c r="V1814">
        <v>33.299999999999997</v>
      </c>
    </row>
    <row r="1815" spans="1:22" x14ac:dyDescent="0.25">
      <c r="A1815" t="s">
        <v>1069</v>
      </c>
      <c r="B1815" t="s">
        <v>929</v>
      </c>
      <c r="C1815">
        <v>19</v>
      </c>
      <c r="D1815" t="s">
        <v>78</v>
      </c>
      <c r="E1815" t="s">
        <v>96</v>
      </c>
      <c r="F1815" t="s">
        <v>23</v>
      </c>
      <c r="G1815">
        <v>0.63</v>
      </c>
      <c r="H1815" t="s">
        <v>66</v>
      </c>
      <c r="I1815">
        <v>-4</v>
      </c>
      <c r="J1815" s="4" t="str">
        <f>HYPERLINK("https://www.eliteprospects.com/player/413642/yanic-crete")</f>
        <v>https://www.eliteprospects.com/player/413642/yanic-crete</v>
      </c>
      <c r="K1815" t="s">
        <v>27</v>
      </c>
      <c r="L1815" t="s">
        <v>918</v>
      </c>
      <c r="M1815" t="s">
        <v>35</v>
      </c>
      <c r="N1815">
        <v>4</v>
      </c>
      <c r="O1815" t="s">
        <v>1070</v>
      </c>
      <c r="P1815">
        <v>0.08</v>
      </c>
      <c r="Q1815" t="s">
        <v>1277</v>
      </c>
      <c r="R1815">
        <v>16.7</v>
      </c>
      <c r="S1815">
        <v>16.7</v>
      </c>
      <c r="T1815">
        <v>25</v>
      </c>
      <c r="U1815">
        <v>16.7</v>
      </c>
      <c r="V1815">
        <v>25</v>
      </c>
    </row>
    <row r="1816" spans="1:22" x14ac:dyDescent="0.25">
      <c r="A1816" t="s">
        <v>1079</v>
      </c>
      <c r="B1816" t="s">
        <v>929</v>
      </c>
      <c r="C1816">
        <v>19</v>
      </c>
      <c r="D1816" t="s">
        <v>66</v>
      </c>
      <c r="E1816" t="s">
        <v>26</v>
      </c>
      <c r="F1816" t="s">
        <v>23</v>
      </c>
      <c r="G1816">
        <v>0.63</v>
      </c>
      <c r="H1816" t="s">
        <v>47</v>
      </c>
      <c r="I1816">
        <v>9</v>
      </c>
      <c r="J1816" s="4" t="str">
        <f>HYPERLINK("https://www.eliteprospects.com/player/405922/keiran-gallant")</f>
        <v>https://www.eliteprospects.com/player/405922/keiran-gallant</v>
      </c>
      <c r="K1816" t="s">
        <v>27</v>
      </c>
      <c r="L1816" t="s">
        <v>918</v>
      </c>
      <c r="M1816" t="s">
        <v>42</v>
      </c>
      <c r="N1816">
        <v>6</v>
      </c>
      <c r="O1816" t="s">
        <v>921</v>
      </c>
      <c r="P1816">
        <v>0.08</v>
      </c>
      <c r="Q1816" t="s">
        <v>135</v>
      </c>
      <c r="R1816">
        <v>11.1</v>
      </c>
      <c r="S1816">
        <v>55.6</v>
      </c>
      <c r="T1816">
        <v>11.1</v>
      </c>
      <c r="U1816">
        <v>11.1</v>
      </c>
      <c r="V1816">
        <v>11.1</v>
      </c>
    </row>
    <row r="1817" spans="1:22" x14ac:dyDescent="0.25">
      <c r="A1817" t="s">
        <v>1102</v>
      </c>
      <c r="B1817" t="s">
        <v>929</v>
      </c>
      <c r="C1817">
        <v>19</v>
      </c>
      <c r="D1817" t="s">
        <v>79</v>
      </c>
      <c r="E1817" t="s">
        <v>45</v>
      </c>
      <c r="F1817" t="s">
        <v>69</v>
      </c>
      <c r="G1817">
        <v>0.57999999999999996</v>
      </c>
      <c r="H1817" t="s">
        <v>23</v>
      </c>
      <c r="I1817">
        <v>-5</v>
      </c>
      <c r="J1817" s="4" t="str">
        <f>HYPERLINK("https://www.eliteprospects.com/player/574996/donovan-arsenault")</f>
        <v>https://www.eliteprospects.com/player/574996/donovan-arsenault</v>
      </c>
      <c r="K1817" t="s">
        <v>27</v>
      </c>
      <c r="L1817" t="s">
        <v>918</v>
      </c>
      <c r="M1817" t="s">
        <v>29</v>
      </c>
      <c r="N1817">
        <v>6</v>
      </c>
      <c r="O1817" t="s">
        <v>968</v>
      </c>
      <c r="P1817">
        <v>7.0000000000000007E-2</v>
      </c>
      <c r="Q1817" t="s">
        <v>135</v>
      </c>
      <c r="R1817">
        <v>0</v>
      </c>
      <c r="S1817">
        <v>33.299999999999997</v>
      </c>
      <c r="T1817">
        <v>23.8</v>
      </c>
      <c r="U1817">
        <v>9.5</v>
      </c>
      <c r="V1817">
        <v>33.299999999999997</v>
      </c>
    </row>
    <row r="1818" spans="1:22" x14ac:dyDescent="0.25">
      <c r="A1818" t="s">
        <v>1120</v>
      </c>
      <c r="B1818" t="s">
        <v>929</v>
      </c>
      <c r="C1818">
        <v>17</v>
      </c>
      <c r="D1818" t="s">
        <v>66</v>
      </c>
      <c r="E1818" t="s">
        <v>96</v>
      </c>
      <c r="F1818" t="s">
        <v>45</v>
      </c>
      <c r="G1818">
        <v>0.53</v>
      </c>
      <c r="H1818" t="s">
        <v>503</v>
      </c>
      <c r="I1818">
        <v>-2</v>
      </c>
      <c r="J1818" s="4" t="str">
        <f>HYPERLINK("https://www.eliteprospects.com/player/582747/joshua-currie")</f>
        <v>https://www.eliteprospects.com/player/582747/joshua-currie</v>
      </c>
      <c r="K1818" t="s">
        <v>27</v>
      </c>
      <c r="L1818" t="s">
        <v>918</v>
      </c>
      <c r="M1818" t="s">
        <v>91</v>
      </c>
      <c r="N1818">
        <v>7</v>
      </c>
      <c r="O1818" t="s">
        <v>919</v>
      </c>
      <c r="P1818">
        <v>7.0000000000000007E-2</v>
      </c>
      <c r="Q1818" t="s">
        <v>135</v>
      </c>
      <c r="R1818">
        <v>0</v>
      </c>
      <c r="S1818">
        <v>33.299999999999997</v>
      </c>
      <c r="T1818">
        <v>23.8</v>
      </c>
      <c r="U1818">
        <v>9.5</v>
      </c>
      <c r="V1818">
        <v>33.299999999999997</v>
      </c>
    </row>
    <row r="1819" spans="1:22" x14ac:dyDescent="0.25">
      <c r="A1819" t="s">
        <v>1137</v>
      </c>
      <c r="B1819" t="s">
        <v>929</v>
      </c>
      <c r="C1819">
        <v>19</v>
      </c>
      <c r="D1819" t="s">
        <v>79</v>
      </c>
      <c r="E1819" t="s">
        <v>57</v>
      </c>
      <c r="F1819" t="s">
        <v>26</v>
      </c>
      <c r="G1819">
        <v>0.42</v>
      </c>
      <c r="H1819" t="s">
        <v>39</v>
      </c>
      <c r="I1819">
        <v>2</v>
      </c>
      <c r="J1819" s="4" t="str">
        <f>HYPERLINK("https://www.eliteprospects.com/player/417757/patrick-leblanc")</f>
        <v>https://www.eliteprospects.com/player/417757/patrick-leblanc</v>
      </c>
      <c r="K1819" t="s">
        <v>27</v>
      </c>
      <c r="L1819" t="s">
        <v>918</v>
      </c>
      <c r="M1819" t="s">
        <v>29</v>
      </c>
      <c r="N1819">
        <v>6</v>
      </c>
      <c r="O1819" t="s">
        <v>921</v>
      </c>
      <c r="P1819">
        <v>0.05</v>
      </c>
      <c r="Q1819" t="s">
        <v>245</v>
      </c>
      <c r="R1819">
        <v>0</v>
      </c>
      <c r="S1819">
        <v>0</v>
      </c>
      <c r="T1819">
        <v>0</v>
      </c>
      <c r="U1819">
        <v>0</v>
      </c>
      <c r="V1819">
        <v>100</v>
      </c>
    </row>
    <row r="1820" spans="1:22" x14ac:dyDescent="0.25">
      <c r="A1820" t="s">
        <v>1159</v>
      </c>
      <c r="B1820" t="s">
        <v>929</v>
      </c>
      <c r="C1820">
        <v>14</v>
      </c>
      <c r="D1820" t="s">
        <v>140</v>
      </c>
      <c r="E1820" t="s">
        <v>140</v>
      </c>
      <c r="F1820" t="s">
        <v>57</v>
      </c>
      <c r="G1820">
        <v>0.43</v>
      </c>
      <c r="H1820" t="s">
        <v>57</v>
      </c>
      <c r="I1820">
        <v>0</v>
      </c>
      <c r="J1820" s="4" t="str">
        <f>HYPERLINK("https://www.eliteprospects.com/player/405933/marc-richard")</f>
        <v>https://www.eliteprospects.com/player/405933/marc-richard</v>
      </c>
      <c r="K1820" t="s">
        <v>27</v>
      </c>
      <c r="L1820" t="s">
        <v>918</v>
      </c>
      <c r="M1820" t="s">
        <v>91</v>
      </c>
      <c r="N1820">
        <v>3</v>
      </c>
      <c r="O1820" t="s">
        <v>1160</v>
      </c>
      <c r="P1820">
        <v>0.05</v>
      </c>
      <c r="Q1820" t="s">
        <v>245</v>
      </c>
      <c r="R1820">
        <v>9.1</v>
      </c>
      <c r="S1820">
        <v>18.2</v>
      </c>
      <c r="T1820">
        <v>9.1</v>
      </c>
      <c r="U1820">
        <v>13.6</v>
      </c>
      <c r="V1820">
        <v>50</v>
      </c>
    </row>
    <row r="1821" spans="1:22" x14ac:dyDescent="0.25">
      <c r="A1821" t="s">
        <v>1168</v>
      </c>
      <c r="B1821" t="s">
        <v>929</v>
      </c>
      <c r="C1821">
        <v>17</v>
      </c>
      <c r="D1821" t="s">
        <v>140</v>
      </c>
      <c r="E1821" t="s">
        <v>140</v>
      </c>
      <c r="F1821" t="s">
        <v>57</v>
      </c>
      <c r="G1821">
        <v>0.35</v>
      </c>
      <c r="H1821" t="s">
        <v>759</v>
      </c>
      <c r="I1821">
        <v>-4</v>
      </c>
      <c r="J1821" s="4" t="str">
        <f>HYPERLINK("https://www.eliteprospects.com/player/575907/simon-hughes")</f>
        <v>https://www.eliteprospects.com/player/575907/simon-hughes</v>
      </c>
      <c r="K1821" t="s">
        <v>27</v>
      </c>
      <c r="L1821" t="s">
        <v>918</v>
      </c>
      <c r="M1821" t="s">
        <v>91</v>
      </c>
      <c r="N1821">
        <v>6</v>
      </c>
      <c r="O1821" t="s">
        <v>968</v>
      </c>
      <c r="P1821">
        <v>0.04</v>
      </c>
      <c r="Q1821" t="s">
        <v>245</v>
      </c>
      <c r="R1821">
        <v>9.1</v>
      </c>
      <c r="S1821">
        <v>18.2</v>
      </c>
      <c r="T1821">
        <v>9.1</v>
      </c>
      <c r="U1821">
        <v>13.6</v>
      </c>
      <c r="V1821">
        <v>50</v>
      </c>
    </row>
    <row r="1822" spans="1:22" x14ac:dyDescent="0.25">
      <c r="A1822" t="s">
        <v>1184</v>
      </c>
      <c r="B1822" t="s">
        <v>929</v>
      </c>
      <c r="C1822">
        <v>14</v>
      </c>
      <c r="D1822" t="s">
        <v>140</v>
      </c>
      <c r="E1822" t="s">
        <v>79</v>
      </c>
      <c r="F1822" t="s">
        <v>96</v>
      </c>
      <c r="G1822">
        <v>0.36</v>
      </c>
      <c r="H1822" t="s">
        <v>26</v>
      </c>
      <c r="I1822">
        <v>-2</v>
      </c>
      <c r="J1822" s="4" t="str">
        <f>HYPERLINK("https://www.eliteprospects.com/player/579490/brett-bressette")</f>
        <v>https://www.eliteprospects.com/player/579490/brett-bressette</v>
      </c>
      <c r="K1822" t="s">
        <v>27</v>
      </c>
      <c r="L1822" t="s">
        <v>918</v>
      </c>
      <c r="M1822" t="s">
        <v>42</v>
      </c>
      <c r="N1822">
        <v>7</v>
      </c>
      <c r="O1822" t="s">
        <v>948</v>
      </c>
      <c r="P1822">
        <v>0.04</v>
      </c>
      <c r="Q1822" t="s">
        <v>245</v>
      </c>
      <c r="R1822">
        <v>9.1</v>
      </c>
      <c r="S1822">
        <v>18.2</v>
      </c>
      <c r="T1822">
        <v>9.1</v>
      </c>
      <c r="U1822">
        <v>13.6</v>
      </c>
      <c r="V1822">
        <v>50</v>
      </c>
    </row>
    <row r="1823" spans="1:22" x14ac:dyDescent="0.25">
      <c r="A1823" t="s">
        <v>1256</v>
      </c>
      <c r="B1823" t="s">
        <v>929</v>
      </c>
      <c r="C1823">
        <v>13</v>
      </c>
      <c r="D1823" t="s">
        <v>260</v>
      </c>
      <c r="E1823" t="s">
        <v>260</v>
      </c>
      <c r="F1823" t="s">
        <v>79</v>
      </c>
      <c r="G1823">
        <v>0.15</v>
      </c>
      <c r="H1823" t="s">
        <v>23</v>
      </c>
      <c r="I1823">
        <v>-3</v>
      </c>
      <c r="J1823" s="4" t="str">
        <f>HYPERLINK("https://www.eliteprospects.com/player/562133/michael-stubbs")</f>
        <v>https://www.eliteprospects.com/player/562133/michael-stubbs</v>
      </c>
      <c r="K1823" t="s">
        <v>27</v>
      </c>
      <c r="L1823" t="s">
        <v>918</v>
      </c>
      <c r="M1823" t="s">
        <v>42</v>
      </c>
      <c r="N1823">
        <v>4</v>
      </c>
      <c r="O1823" t="s">
        <v>1257</v>
      </c>
      <c r="P1823">
        <v>0.02</v>
      </c>
      <c r="Q1823" t="s">
        <v>245</v>
      </c>
      <c r="R1823">
        <v>9.1</v>
      </c>
      <c r="S1823">
        <v>18.2</v>
      </c>
      <c r="T1823">
        <v>9.1</v>
      </c>
      <c r="U1823">
        <v>13.6</v>
      </c>
      <c r="V1823">
        <v>50</v>
      </c>
    </row>
    <row r="1824" spans="1:22" x14ac:dyDescent="0.25">
      <c r="A1824" t="s">
        <v>989</v>
      </c>
      <c r="B1824" t="s">
        <v>990</v>
      </c>
      <c r="C1824">
        <v>17</v>
      </c>
      <c r="D1824" t="s">
        <v>140</v>
      </c>
      <c r="E1824" t="s">
        <v>41</v>
      </c>
      <c r="F1824" t="s">
        <v>55</v>
      </c>
      <c r="G1824">
        <v>1.06</v>
      </c>
      <c r="H1824" t="s">
        <v>66</v>
      </c>
      <c r="I1824">
        <v>0</v>
      </c>
      <c r="J1824" s="4" t="str">
        <f>HYPERLINK("https://www.eliteprospects.com/player/296696/felix-lafrance")</f>
        <v>https://www.eliteprospects.com/player/296696/felix-lafrance</v>
      </c>
      <c r="K1824" t="s">
        <v>27</v>
      </c>
      <c r="L1824" t="s">
        <v>918</v>
      </c>
      <c r="M1824" t="s">
        <v>91</v>
      </c>
      <c r="N1824">
        <v>6</v>
      </c>
      <c r="O1824" t="s">
        <v>937</v>
      </c>
      <c r="P1824">
        <v>0.13</v>
      </c>
      <c r="Q1824" t="s">
        <v>135</v>
      </c>
      <c r="R1824">
        <v>11.1</v>
      </c>
      <c r="S1824">
        <v>44.4</v>
      </c>
      <c r="T1824">
        <v>11.1</v>
      </c>
      <c r="U1824">
        <v>11.1</v>
      </c>
      <c r="V1824">
        <v>22.2</v>
      </c>
    </row>
    <row r="1825" spans="1:22" x14ac:dyDescent="0.25">
      <c r="A1825" t="s">
        <v>1055</v>
      </c>
      <c r="B1825" t="s">
        <v>990</v>
      </c>
      <c r="C1825">
        <v>17</v>
      </c>
      <c r="D1825" t="s">
        <v>78</v>
      </c>
      <c r="E1825" t="s">
        <v>57</v>
      </c>
      <c r="F1825" t="s">
        <v>65</v>
      </c>
      <c r="G1825">
        <v>0.76</v>
      </c>
      <c r="H1825" t="s">
        <v>55</v>
      </c>
      <c r="I1825">
        <v>0</v>
      </c>
      <c r="J1825" s="4" t="str">
        <f>HYPERLINK("https://www.eliteprospects.com/player/410576/conor-frenette")</f>
        <v>https://www.eliteprospects.com/player/410576/conor-frenette</v>
      </c>
      <c r="K1825" t="s">
        <v>27</v>
      </c>
      <c r="L1825" t="s">
        <v>918</v>
      </c>
      <c r="M1825" t="s">
        <v>42</v>
      </c>
      <c r="N1825">
        <v>6</v>
      </c>
      <c r="O1825" t="s">
        <v>937</v>
      </c>
      <c r="P1825">
        <v>0.1</v>
      </c>
      <c r="Q1825" t="s">
        <v>245</v>
      </c>
      <c r="R1825">
        <v>0</v>
      </c>
      <c r="S1825">
        <v>33.299999999999997</v>
      </c>
      <c r="T1825">
        <v>0</v>
      </c>
      <c r="U1825">
        <v>0</v>
      </c>
      <c r="V1825">
        <v>66.7</v>
      </c>
    </row>
    <row r="1826" spans="1:22" x14ac:dyDescent="0.25">
      <c r="A1826" t="s">
        <v>1072</v>
      </c>
      <c r="B1826" t="s">
        <v>990</v>
      </c>
      <c r="C1826">
        <v>17</v>
      </c>
      <c r="D1826" t="s">
        <v>57</v>
      </c>
      <c r="E1826" t="s">
        <v>57</v>
      </c>
      <c r="F1826" t="s">
        <v>23</v>
      </c>
      <c r="G1826">
        <v>0.71</v>
      </c>
      <c r="H1826" t="s">
        <v>38</v>
      </c>
      <c r="I1826">
        <v>0</v>
      </c>
      <c r="J1826" s="4" t="str">
        <f>HYPERLINK("https://www.eliteprospects.com/player/295596/pier-olivier-roy")</f>
        <v>https://www.eliteprospects.com/player/295596/pier-olivier-roy</v>
      </c>
      <c r="K1826" t="s">
        <v>27</v>
      </c>
      <c r="L1826" t="s">
        <v>918</v>
      </c>
      <c r="M1826" t="s">
        <v>91</v>
      </c>
      <c r="N1826">
        <v>6</v>
      </c>
      <c r="O1826" t="s">
        <v>921</v>
      </c>
      <c r="P1826">
        <v>0.09</v>
      </c>
      <c r="Q1826" t="s">
        <v>1277</v>
      </c>
      <c r="R1826">
        <v>16.7</v>
      </c>
      <c r="S1826">
        <v>16.7</v>
      </c>
      <c r="T1826">
        <v>25</v>
      </c>
      <c r="U1826">
        <v>16.7</v>
      </c>
      <c r="V1826">
        <v>25</v>
      </c>
    </row>
    <row r="1827" spans="1:22" x14ac:dyDescent="0.25">
      <c r="A1827" t="s">
        <v>1093</v>
      </c>
      <c r="B1827" t="s">
        <v>990</v>
      </c>
      <c r="C1827">
        <v>17</v>
      </c>
      <c r="D1827" t="s">
        <v>96</v>
      </c>
      <c r="E1827" t="s">
        <v>57</v>
      </c>
      <c r="F1827" t="s">
        <v>69</v>
      </c>
      <c r="G1827">
        <v>0.65</v>
      </c>
      <c r="H1827" t="s">
        <v>79</v>
      </c>
      <c r="I1827">
        <v>0</v>
      </c>
      <c r="J1827" s="4" t="str">
        <f>HYPERLINK("https://www.eliteprospects.com/player/632652/william-dumoulin")</f>
        <v>https://www.eliteprospects.com/player/632652/william-dumoulin</v>
      </c>
      <c r="K1827" t="s">
        <v>27</v>
      </c>
      <c r="L1827" t="s">
        <v>918</v>
      </c>
      <c r="M1827" t="s">
        <v>29</v>
      </c>
      <c r="N1827">
        <v>5</v>
      </c>
      <c r="O1827" t="s">
        <v>1094</v>
      </c>
      <c r="P1827">
        <v>0.08</v>
      </c>
      <c r="Q1827" t="s">
        <v>1277</v>
      </c>
      <c r="R1827">
        <v>16.7</v>
      </c>
      <c r="S1827">
        <v>16.7</v>
      </c>
      <c r="T1827">
        <v>25</v>
      </c>
      <c r="U1827">
        <v>16.7</v>
      </c>
      <c r="V1827">
        <v>25</v>
      </c>
    </row>
    <row r="1828" spans="1:22" x14ac:dyDescent="0.25">
      <c r="A1828" t="s">
        <v>1098</v>
      </c>
      <c r="B1828" t="s">
        <v>990</v>
      </c>
      <c r="C1828">
        <v>16</v>
      </c>
      <c r="D1828" t="s">
        <v>66</v>
      </c>
      <c r="E1828" t="s">
        <v>78</v>
      </c>
      <c r="F1828" t="s">
        <v>69</v>
      </c>
      <c r="G1828">
        <v>0.69</v>
      </c>
      <c r="H1828" t="s">
        <v>26</v>
      </c>
      <c r="I1828">
        <v>0</v>
      </c>
      <c r="J1828" s="4" t="str">
        <f>HYPERLINK("https://www.eliteprospects.com/player/579023/anthony-turcotte")</f>
        <v>https://www.eliteprospects.com/player/579023/anthony-turcotte</v>
      </c>
      <c r="K1828" t="s">
        <v>27</v>
      </c>
      <c r="L1828" t="s">
        <v>918</v>
      </c>
      <c r="M1828" t="s">
        <v>42</v>
      </c>
      <c r="N1828">
        <v>6</v>
      </c>
      <c r="O1828" t="s">
        <v>968</v>
      </c>
      <c r="P1828">
        <v>0.09</v>
      </c>
      <c r="Q1828" t="s">
        <v>1277</v>
      </c>
      <c r="R1828">
        <v>16.7</v>
      </c>
      <c r="S1828">
        <v>16.7</v>
      </c>
      <c r="T1828">
        <v>25</v>
      </c>
      <c r="U1828">
        <v>16.7</v>
      </c>
      <c r="V1828">
        <v>25</v>
      </c>
    </row>
    <row r="1829" spans="1:22" x14ac:dyDescent="0.25">
      <c r="A1829" t="s">
        <v>1115</v>
      </c>
      <c r="B1829" t="s">
        <v>990</v>
      </c>
      <c r="C1829">
        <v>16</v>
      </c>
      <c r="D1829" t="s">
        <v>26</v>
      </c>
      <c r="E1829" t="s">
        <v>260</v>
      </c>
      <c r="F1829" t="s">
        <v>45</v>
      </c>
      <c r="G1829">
        <v>0.56000000000000005</v>
      </c>
      <c r="H1829" t="s">
        <v>32</v>
      </c>
      <c r="I1829">
        <v>0</v>
      </c>
      <c r="J1829" s="4" t="str">
        <f>HYPERLINK("https://www.eliteprospects.com/player/201906/anthony-munroe-boucher")</f>
        <v>https://www.eliteprospects.com/player/201906/anthony-munroe-boucher</v>
      </c>
      <c r="K1829" t="s">
        <v>27</v>
      </c>
      <c r="L1829" t="s">
        <v>918</v>
      </c>
      <c r="M1829" t="s">
        <v>29</v>
      </c>
      <c r="N1829">
        <v>6</v>
      </c>
      <c r="O1829" t="s">
        <v>921</v>
      </c>
      <c r="P1829">
        <v>7.0000000000000007E-2</v>
      </c>
      <c r="Q1829" t="s">
        <v>135</v>
      </c>
      <c r="R1829">
        <v>0</v>
      </c>
      <c r="S1829">
        <v>33.299999999999997</v>
      </c>
      <c r="T1829">
        <v>23.8</v>
      </c>
      <c r="U1829">
        <v>9.5</v>
      </c>
      <c r="V1829">
        <v>33.299999999999997</v>
      </c>
    </row>
    <row r="1830" spans="1:22" x14ac:dyDescent="0.25">
      <c r="A1830" t="s">
        <v>1138</v>
      </c>
      <c r="B1830" t="s">
        <v>990</v>
      </c>
      <c r="C1830">
        <v>16</v>
      </c>
      <c r="D1830" t="s">
        <v>96</v>
      </c>
      <c r="E1830" t="s">
        <v>79</v>
      </c>
      <c r="F1830" t="s">
        <v>78</v>
      </c>
      <c r="G1830">
        <v>0.44</v>
      </c>
      <c r="H1830" t="s">
        <v>79</v>
      </c>
      <c r="I1830">
        <v>0</v>
      </c>
      <c r="J1830" s="4" t="str">
        <f>HYPERLINK("https://www.eliteprospects.com/player/410549/charles-beaudoin")</f>
        <v>https://www.eliteprospects.com/player/410549/charles-beaudoin</v>
      </c>
      <c r="K1830" t="s">
        <v>27</v>
      </c>
      <c r="L1830" t="s">
        <v>918</v>
      </c>
      <c r="M1830" t="s">
        <v>29</v>
      </c>
      <c r="N1830">
        <v>6</v>
      </c>
      <c r="O1830" t="s">
        <v>921</v>
      </c>
      <c r="P1830">
        <v>0.06</v>
      </c>
      <c r="Q1830" t="s">
        <v>135</v>
      </c>
      <c r="R1830">
        <v>0</v>
      </c>
      <c r="S1830">
        <v>33.299999999999997</v>
      </c>
      <c r="T1830">
        <v>23.8</v>
      </c>
      <c r="U1830">
        <v>9.5</v>
      </c>
      <c r="V1830">
        <v>33.299999999999997</v>
      </c>
    </row>
    <row r="1831" spans="1:22" x14ac:dyDescent="0.25">
      <c r="A1831" t="s">
        <v>1171</v>
      </c>
      <c r="B1831" t="s">
        <v>990</v>
      </c>
      <c r="C1831">
        <v>16</v>
      </c>
      <c r="D1831" t="s">
        <v>79</v>
      </c>
      <c r="E1831" t="s">
        <v>66</v>
      </c>
      <c r="F1831" t="s">
        <v>57</v>
      </c>
      <c r="G1831">
        <v>0.38</v>
      </c>
      <c r="H1831" t="s">
        <v>38</v>
      </c>
      <c r="I1831">
        <v>0</v>
      </c>
      <c r="J1831" s="4" t="str">
        <f>HYPERLINK("https://www.eliteprospects.com/player/572384/thomas-auger")</f>
        <v>https://www.eliteprospects.com/player/572384/thomas-auger</v>
      </c>
      <c r="K1831" t="s">
        <v>27</v>
      </c>
      <c r="L1831" t="s">
        <v>918</v>
      </c>
      <c r="M1831" t="s">
        <v>42</v>
      </c>
      <c r="N1831">
        <v>5</v>
      </c>
      <c r="O1831" t="s">
        <v>930</v>
      </c>
      <c r="P1831">
        <v>0.05</v>
      </c>
      <c r="Q1831" t="s">
        <v>245</v>
      </c>
      <c r="R1831">
        <v>9.1</v>
      </c>
      <c r="S1831">
        <v>18.2</v>
      </c>
      <c r="T1831">
        <v>9.1</v>
      </c>
      <c r="U1831">
        <v>13.6</v>
      </c>
      <c r="V1831">
        <v>50</v>
      </c>
    </row>
    <row r="1832" spans="1:22" x14ac:dyDescent="0.25">
      <c r="A1832" t="s">
        <v>1178</v>
      </c>
      <c r="B1832" t="s">
        <v>990</v>
      </c>
      <c r="C1832">
        <v>13</v>
      </c>
      <c r="D1832" t="s">
        <v>66</v>
      </c>
      <c r="E1832" t="s">
        <v>260</v>
      </c>
      <c r="F1832" t="s">
        <v>96</v>
      </c>
      <c r="G1832">
        <v>0.38</v>
      </c>
      <c r="H1832" t="s">
        <v>38</v>
      </c>
      <c r="I1832">
        <v>0</v>
      </c>
      <c r="J1832" s="4" t="str">
        <f>HYPERLINK("https://www.eliteprospects.com/player/491573/zachary-gravel")</f>
        <v>https://www.eliteprospects.com/player/491573/zachary-gravel</v>
      </c>
      <c r="K1832" t="s">
        <v>27</v>
      </c>
      <c r="L1832" t="s">
        <v>918</v>
      </c>
      <c r="M1832" t="s">
        <v>42</v>
      </c>
      <c r="N1832">
        <v>6</v>
      </c>
      <c r="O1832" t="s">
        <v>921</v>
      </c>
      <c r="P1832">
        <v>0.05</v>
      </c>
      <c r="Q1832" t="s">
        <v>245</v>
      </c>
      <c r="R1832">
        <v>9.1</v>
      </c>
      <c r="S1832">
        <v>18.2</v>
      </c>
      <c r="T1832">
        <v>9.1</v>
      </c>
      <c r="U1832">
        <v>13.6</v>
      </c>
      <c r="V1832">
        <v>50</v>
      </c>
    </row>
    <row r="1833" spans="1:22" x14ac:dyDescent="0.25">
      <c r="A1833" t="s">
        <v>1194</v>
      </c>
      <c r="B1833" t="s">
        <v>990</v>
      </c>
      <c r="C1833">
        <v>17</v>
      </c>
      <c r="D1833" t="s">
        <v>260</v>
      </c>
      <c r="E1833" t="s">
        <v>66</v>
      </c>
      <c r="F1833" t="s">
        <v>96</v>
      </c>
      <c r="G1833">
        <v>0.28999999999999998</v>
      </c>
      <c r="H1833" t="s">
        <v>39</v>
      </c>
      <c r="I1833">
        <v>0</v>
      </c>
      <c r="J1833" s="4" t="str">
        <f>HYPERLINK("https://www.eliteprospects.com/player/417937/ludovic-soucy")</f>
        <v>https://www.eliteprospects.com/player/417937/ludovic-soucy</v>
      </c>
      <c r="K1833" t="s">
        <v>27</v>
      </c>
      <c r="L1833" t="s">
        <v>918</v>
      </c>
      <c r="M1833" t="s">
        <v>42</v>
      </c>
      <c r="N1833">
        <v>6</v>
      </c>
      <c r="O1833" t="s">
        <v>937</v>
      </c>
      <c r="P1833">
        <v>0.04</v>
      </c>
      <c r="Q1833" t="s">
        <v>245</v>
      </c>
      <c r="R1833">
        <v>9.1</v>
      </c>
      <c r="S1833">
        <v>18.2</v>
      </c>
      <c r="T1833">
        <v>9.1</v>
      </c>
      <c r="U1833">
        <v>13.6</v>
      </c>
      <c r="V1833">
        <v>50</v>
      </c>
    </row>
    <row r="1834" spans="1:22" x14ac:dyDescent="0.25">
      <c r="A1834" t="s">
        <v>1200</v>
      </c>
      <c r="B1834" t="s">
        <v>990</v>
      </c>
      <c r="C1834">
        <v>14</v>
      </c>
      <c r="D1834" t="s">
        <v>79</v>
      </c>
      <c r="E1834" t="s">
        <v>79</v>
      </c>
      <c r="F1834" t="s">
        <v>66</v>
      </c>
      <c r="G1834">
        <v>0.28999999999999998</v>
      </c>
      <c r="H1834" t="s">
        <v>79</v>
      </c>
      <c r="I1834">
        <v>0</v>
      </c>
      <c r="J1834" s="4" t="str">
        <f>HYPERLINK("https://www.eliteprospects.com/player/599562/mathis-perron")</f>
        <v>https://www.eliteprospects.com/player/599562/mathis-perron</v>
      </c>
      <c r="K1834" t="s">
        <v>27</v>
      </c>
      <c r="L1834" t="s">
        <v>918</v>
      </c>
      <c r="M1834" t="s">
        <v>91</v>
      </c>
      <c r="N1834">
        <v>4</v>
      </c>
      <c r="O1834" t="s">
        <v>1051</v>
      </c>
      <c r="P1834">
        <v>0.04</v>
      </c>
      <c r="Q1834" t="s">
        <v>245</v>
      </c>
      <c r="R1834">
        <v>9.1</v>
      </c>
      <c r="S1834">
        <v>18.2</v>
      </c>
      <c r="T1834">
        <v>9.1</v>
      </c>
      <c r="U1834">
        <v>13.6</v>
      </c>
      <c r="V1834">
        <v>50</v>
      </c>
    </row>
    <row r="1835" spans="1:22" x14ac:dyDescent="0.25">
      <c r="A1835" t="s">
        <v>1212</v>
      </c>
      <c r="B1835" t="s">
        <v>990</v>
      </c>
      <c r="C1835">
        <v>14</v>
      </c>
      <c r="D1835" t="s">
        <v>260</v>
      </c>
      <c r="E1835" t="s">
        <v>140</v>
      </c>
      <c r="F1835" t="s">
        <v>66</v>
      </c>
      <c r="G1835">
        <v>0.28999999999999998</v>
      </c>
      <c r="H1835" t="s">
        <v>79</v>
      </c>
      <c r="I1835">
        <v>0</v>
      </c>
      <c r="J1835" s="4" t="str">
        <f>HYPERLINK("https://www.eliteprospects.com/player/499941/mathis-cloutier")</f>
        <v>https://www.eliteprospects.com/player/499941/mathis-cloutier</v>
      </c>
      <c r="K1835" t="s">
        <v>27</v>
      </c>
      <c r="L1835" t="s">
        <v>918</v>
      </c>
      <c r="M1835" t="s">
        <v>42</v>
      </c>
      <c r="N1835">
        <v>6</v>
      </c>
      <c r="O1835" t="s">
        <v>968</v>
      </c>
      <c r="P1835">
        <v>0.04</v>
      </c>
      <c r="Q1835" t="s">
        <v>245</v>
      </c>
      <c r="R1835">
        <v>9.1</v>
      </c>
      <c r="S1835">
        <v>18.2</v>
      </c>
      <c r="T1835">
        <v>9.1</v>
      </c>
      <c r="U1835">
        <v>13.6</v>
      </c>
      <c r="V1835">
        <v>50</v>
      </c>
    </row>
    <row r="1836" spans="1:22" x14ac:dyDescent="0.25">
      <c r="A1836" t="s">
        <v>1227</v>
      </c>
      <c r="B1836" t="s">
        <v>990</v>
      </c>
      <c r="C1836">
        <v>17</v>
      </c>
      <c r="D1836" t="s">
        <v>79</v>
      </c>
      <c r="E1836" t="s">
        <v>260</v>
      </c>
      <c r="F1836" t="s">
        <v>140</v>
      </c>
      <c r="G1836">
        <v>0.18</v>
      </c>
      <c r="H1836" t="s">
        <v>26</v>
      </c>
      <c r="I1836">
        <v>0</v>
      </c>
      <c r="J1836" s="4" t="str">
        <f>HYPERLINK("https://www.eliteprospects.com/player/574282/kassim-gaudet")</f>
        <v>https://www.eliteprospects.com/player/574282/kassim-gaudet</v>
      </c>
      <c r="K1836" t="s">
        <v>27</v>
      </c>
      <c r="L1836" t="s">
        <v>918</v>
      </c>
      <c r="M1836" t="s">
        <v>91</v>
      </c>
      <c r="N1836">
        <v>6</v>
      </c>
      <c r="O1836" t="s">
        <v>968</v>
      </c>
      <c r="P1836">
        <v>0.02</v>
      </c>
      <c r="Q1836" t="s">
        <v>245</v>
      </c>
      <c r="R1836">
        <v>9.1</v>
      </c>
      <c r="S1836">
        <v>18.2</v>
      </c>
      <c r="T1836">
        <v>9.1</v>
      </c>
      <c r="U1836">
        <v>13.6</v>
      </c>
      <c r="V1836">
        <v>50</v>
      </c>
    </row>
    <row r="1837" spans="1:22" x14ac:dyDescent="0.25">
      <c r="A1837" t="s">
        <v>1117</v>
      </c>
      <c r="B1837" t="s">
        <v>1118</v>
      </c>
      <c r="C1837">
        <v>16</v>
      </c>
      <c r="D1837" t="s">
        <v>96</v>
      </c>
      <c r="E1837" t="s">
        <v>66</v>
      </c>
      <c r="F1837" t="s">
        <v>45</v>
      </c>
      <c r="G1837">
        <v>0.56000000000000005</v>
      </c>
      <c r="H1837" t="s">
        <v>32</v>
      </c>
      <c r="I1837">
        <v>-8</v>
      </c>
      <c r="J1837" s="4" t="str">
        <f>HYPERLINK("https://www.eliteprospects.com/player/352093/matthew-culling")</f>
        <v>https://www.eliteprospects.com/player/352093/matthew-culling</v>
      </c>
      <c r="K1837" t="s">
        <v>27</v>
      </c>
      <c r="L1837" t="s">
        <v>918</v>
      </c>
      <c r="M1837" t="s">
        <v>35</v>
      </c>
      <c r="N1837">
        <v>5</v>
      </c>
      <c r="O1837" t="s">
        <v>1107</v>
      </c>
      <c r="P1837">
        <v>7.0000000000000007E-2</v>
      </c>
      <c r="Q1837" t="s">
        <v>245</v>
      </c>
      <c r="R1837">
        <v>0</v>
      </c>
      <c r="S1837">
        <v>15.4</v>
      </c>
      <c r="T1837">
        <v>7.7</v>
      </c>
      <c r="U1837">
        <v>30.8</v>
      </c>
      <c r="V1837">
        <v>46.2</v>
      </c>
    </row>
    <row r="1838" spans="1:22" x14ac:dyDescent="0.25">
      <c r="A1838" t="s">
        <v>1133</v>
      </c>
      <c r="B1838" t="s">
        <v>1118</v>
      </c>
      <c r="C1838">
        <v>16</v>
      </c>
      <c r="D1838" t="s">
        <v>140</v>
      </c>
      <c r="E1838" t="s">
        <v>96</v>
      </c>
      <c r="F1838" t="s">
        <v>26</v>
      </c>
      <c r="G1838">
        <v>0.5</v>
      </c>
      <c r="H1838" t="s">
        <v>66</v>
      </c>
      <c r="I1838">
        <v>-13</v>
      </c>
      <c r="J1838" s="4" t="str">
        <f>HYPERLINK("https://www.eliteprospects.com/player/342690/jackson-doucet")</f>
        <v>https://www.eliteprospects.com/player/342690/jackson-doucet</v>
      </c>
      <c r="K1838" t="s">
        <v>27</v>
      </c>
      <c r="L1838" t="s">
        <v>918</v>
      </c>
      <c r="M1838" t="s">
        <v>35</v>
      </c>
      <c r="N1838">
        <v>4</v>
      </c>
      <c r="O1838" t="s">
        <v>940</v>
      </c>
      <c r="P1838">
        <v>0.06</v>
      </c>
      <c r="Q1838" t="s">
        <v>245</v>
      </c>
      <c r="R1838">
        <v>0</v>
      </c>
      <c r="S1838">
        <v>15.4</v>
      </c>
      <c r="T1838">
        <v>7.7</v>
      </c>
      <c r="U1838">
        <v>30.8</v>
      </c>
      <c r="V1838">
        <v>46.2</v>
      </c>
    </row>
    <row r="1839" spans="1:22" x14ac:dyDescent="0.25">
      <c r="A1839" t="s">
        <v>1141</v>
      </c>
      <c r="B1839" t="s">
        <v>1118</v>
      </c>
      <c r="C1839">
        <v>16</v>
      </c>
      <c r="D1839" t="s">
        <v>96</v>
      </c>
      <c r="E1839" t="s">
        <v>79</v>
      </c>
      <c r="F1839" t="s">
        <v>78</v>
      </c>
      <c r="G1839">
        <v>0.44</v>
      </c>
      <c r="H1839" t="s">
        <v>38</v>
      </c>
      <c r="I1839">
        <v>-11</v>
      </c>
      <c r="J1839" s="4" t="str">
        <f>HYPERLINK("https://www.eliteprospects.com/player/322102/jaxon-steele")</f>
        <v>https://www.eliteprospects.com/player/322102/jaxon-steele</v>
      </c>
      <c r="K1839" t="s">
        <v>27</v>
      </c>
      <c r="L1839" t="s">
        <v>918</v>
      </c>
      <c r="M1839" t="s">
        <v>42</v>
      </c>
      <c r="N1839">
        <v>1</v>
      </c>
      <c r="O1839" t="s">
        <v>984</v>
      </c>
      <c r="P1839">
        <v>0.06</v>
      </c>
      <c r="Q1839" t="s">
        <v>245</v>
      </c>
      <c r="R1839">
        <v>0</v>
      </c>
      <c r="S1839">
        <v>15.4</v>
      </c>
      <c r="T1839">
        <v>7.7</v>
      </c>
      <c r="U1839">
        <v>30.8</v>
      </c>
      <c r="V1839">
        <v>46.2</v>
      </c>
    </row>
    <row r="1840" spans="1:22" x14ac:dyDescent="0.25">
      <c r="A1840" t="s">
        <v>1173</v>
      </c>
      <c r="B1840" t="s">
        <v>1118</v>
      </c>
      <c r="C1840">
        <v>16</v>
      </c>
      <c r="D1840" t="s">
        <v>260</v>
      </c>
      <c r="E1840" t="s">
        <v>96</v>
      </c>
      <c r="F1840" t="s">
        <v>57</v>
      </c>
      <c r="G1840">
        <v>0.38</v>
      </c>
      <c r="H1840" t="s">
        <v>39</v>
      </c>
      <c r="I1840">
        <v>-10</v>
      </c>
      <c r="J1840" s="4" t="str">
        <f>HYPERLINK("https://www.eliteprospects.com/player/352047/eric-houk")</f>
        <v>https://www.eliteprospects.com/player/352047/eric-houk</v>
      </c>
      <c r="K1840" t="s">
        <v>27</v>
      </c>
      <c r="L1840" t="s">
        <v>918</v>
      </c>
      <c r="M1840" t="s">
        <v>143</v>
      </c>
      <c r="N1840">
        <v>5</v>
      </c>
      <c r="O1840" t="s">
        <v>1107</v>
      </c>
      <c r="P1840">
        <v>0.05</v>
      </c>
      <c r="Q1840" t="s">
        <v>245</v>
      </c>
      <c r="R1840">
        <v>13.3</v>
      </c>
      <c r="S1840">
        <v>13.3</v>
      </c>
      <c r="T1840">
        <v>0</v>
      </c>
      <c r="U1840">
        <v>13.3</v>
      </c>
      <c r="V1840">
        <v>60</v>
      </c>
    </row>
    <row r="1841" spans="1:22" x14ac:dyDescent="0.25">
      <c r="A1841" t="s">
        <v>1183</v>
      </c>
      <c r="B1841" t="s">
        <v>1118</v>
      </c>
      <c r="C1841">
        <v>12</v>
      </c>
      <c r="D1841" t="s">
        <v>140</v>
      </c>
      <c r="E1841" t="s">
        <v>79</v>
      </c>
      <c r="F1841" t="s">
        <v>96</v>
      </c>
      <c r="G1841">
        <v>0.42</v>
      </c>
      <c r="H1841" t="s">
        <v>23</v>
      </c>
      <c r="I1841">
        <v>-4</v>
      </c>
      <c r="J1841" s="4" t="str">
        <f>HYPERLINK("https://www.eliteprospects.com/player/403440/turner-mcmillen")</f>
        <v>https://www.eliteprospects.com/player/403440/turner-mcmillen</v>
      </c>
      <c r="K1841" t="s">
        <v>27</v>
      </c>
      <c r="L1841" t="s">
        <v>918</v>
      </c>
      <c r="M1841" t="s">
        <v>35</v>
      </c>
      <c r="N1841">
        <v>6</v>
      </c>
      <c r="O1841" t="s">
        <v>950</v>
      </c>
      <c r="P1841">
        <v>0.05</v>
      </c>
      <c r="Q1841" t="s">
        <v>245</v>
      </c>
      <c r="R1841">
        <v>9.1</v>
      </c>
      <c r="S1841">
        <v>18.2</v>
      </c>
      <c r="T1841">
        <v>9.1</v>
      </c>
      <c r="U1841">
        <v>13.6</v>
      </c>
      <c r="V1841">
        <v>50</v>
      </c>
    </row>
    <row r="1842" spans="1:22" x14ac:dyDescent="0.25">
      <c r="A1842" t="s">
        <v>1205</v>
      </c>
      <c r="B1842" t="s">
        <v>1118</v>
      </c>
      <c r="C1842">
        <v>16</v>
      </c>
      <c r="D1842" t="s">
        <v>79</v>
      </c>
      <c r="E1842" t="s">
        <v>79</v>
      </c>
      <c r="F1842" t="s">
        <v>66</v>
      </c>
      <c r="G1842">
        <v>0.25</v>
      </c>
      <c r="H1842" t="s">
        <v>52</v>
      </c>
      <c r="I1842">
        <v>-6</v>
      </c>
      <c r="J1842" s="4" t="str">
        <f>HYPERLINK("https://www.eliteprospects.com/player/352041/carter-belitski")</f>
        <v>https://www.eliteprospects.com/player/352041/carter-belitski</v>
      </c>
      <c r="K1842" t="s">
        <v>27</v>
      </c>
      <c r="L1842" t="s">
        <v>918</v>
      </c>
      <c r="M1842" t="s">
        <v>35</v>
      </c>
      <c r="N1842">
        <v>3</v>
      </c>
      <c r="O1842" t="s">
        <v>1039</v>
      </c>
      <c r="P1842">
        <v>0.03</v>
      </c>
      <c r="Q1842" t="s">
        <v>245</v>
      </c>
      <c r="R1842">
        <v>13.3</v>
      </c>
      <c r="S1842">
        <v>13.3</v>
      </c>
      <c r="T1842">
        <v>0</v>
      </c>
      <c r="U1842">
        <v>13.3</v>
      </c>
      <c r="V1842">
        <v>60</v>
      </c>
    </row>
    <row r="1843" spans="1:22" x14ac:dyDescent="0.25">
      <c r="A1843" t="s">
        <v>1218</v>
      </c>
      <c r="B1843" t="s">
        <v>1118</v>
      </c>
      <c r="C1843">
        <v>12</v>
      </c>
      <c r="D1843" t="s">
        <v>132</v>
      </c>
      <c r="E1843" t="s">
        <v>66</v>
      </c>
      <c r="F1843" t="s">
        <v>66</v>
      </c>
      <c r="G1843">
        <v>0.33</v>
      </c>
      <c r="H1843" t="s">
        <v>66</v>
      </c>
      <c r="I1843">
        <v>-5</v>
      </c>
      <c r="J1843" s="4" t="str">
        <f>HYPERLINK("https://www.eliteprospects.com/player/583364/jaron-desnoyers")</f>
        <v>https://www.eliteprospects.com/player/583364/jaron-desnoyers</v>
      </c>
      <c r="K1843" t="s">
        <v>27</v>
      </c>
      <c r="L1843" t="s">
        <v>918</v>
      </c>
      <c r="M1843" t="s">
        <v>35</v>
      </c>
      <c r="N1843">
        <v>1</v>
      </c>
      <c r="O1843" t="s">
        <v>984</v>
      </c>
      <c r="P1843">
        <v>0.04</v>
      </c>
      <c r="Q1843" t="s">
        <v>245</v>
      </c>
      <c r="R1843">
        <v>9.1</v>
      </c>
      <c r="S1843">
        <v>18.2</v>
      </c>
      <c r="T1843">
        <v>9.1</v>
      </c>
      <c r="U1843">
        <v>13.6</v>
      </c>
      <c r="V1843">
        <v>50</v>
      </c>
    </row>
    <row r="1844" spans="1:22" x14ac:dyDescent="0.25">
      <c r="A1844" t="s">
        <v>1225</v>
      </c>
      <c r="B1844" t="s">
        <v>1118</v>
      </c>
      <c r="C1844">
        <v>16</v>
      </c>
      <c r="D1844" t="s">
        <v>79</v>
      </c>
      <c r="E1844" t="s">
        <v>260</v>
      </c>
      <c r="F1844" t="s">
        <v>140</v>
      </c>
      <c r="G1844">
        <v>0.19</v>
      </c>
      <c r="H1844" t="s">
        <v>57</v>
      </c>
      <c r="I1844">
        <v>-17</v>
      </c>
      <c r="J1844" s="4" t="str">
        <f>HYPERLINK("https://www.eliteprospects.com/player/403456/carson-whyte")</f>
        <v>https://www.eliteprospects.com/player/403456/carson-whyte</v>
      </c>
      <c r="K1844" t="s">
        <v>27</v>
      </c>
      <c r="L1844" t="s">
        <v>918</v>
      </c>
      <c r="M1844" t="s">
        <v>35</v>
      </c>
      <c r="N1844">
        <v>2</v>
      </c>
      <c r="O1844" t="s">
        <v>1021</v>
      </c>
      <c r="P1844">
        <v>0.02</v>
      </c>
      <c r="Q1844" t="s">
        <v>245</v>
      </c>
      <c r="R1844">
        <v>13.3</v>
      </c>
      <c r="S1844">
        <v>13.3</v>
      </c>
      <c r="T1844">
        <v>0</v>
      </c>
      <c r="U1844">
        <v>13.3</v>
      </c>
      <c r="V1844">
        <v>60</v>
      </c>
    </row>
    <row r="1845" spans="1:22" x14ac:dyDescent="0.25">
      <c r="A1845" t="s">
        <v>1233</v>
      </c>
      <c r="B1845" t="s">
        <v>1118</v>
      </c>
      <c r="C1845">
        <v>13</v>
      </c>
      <c r="D1845" t="s">
        <v>260</v>
      </c>
      <c r="E1845" t="s">
        <v>79</v>
      </c>
      <c r="F1845" t="s">
        <v>140</v>
      </c>
      <c r="G1845">
        <v>0.23</v>
      </c>
      <c r="H1845" t="s">
        <v>66</v>
      </c>
      <c r="I1845">
        <v>-16</v>
      </c>
      <c r="J1845" s="4" t="str">
        <f>HYPERLINK("https://www.eliteprospects.com/player/281891/paycen-bjorklund")</f>
        <v>https://www.eliteprospects.com/player/281891/paycen-bjorklund</v>
      </c>
      <c r="K1845" t="s">
        <v>27</v>
      </c>
      <c r="L1845" t="s">
        <v>918</v>
      </c>
      <c r="M1845" t="s">
        <v>35</v>
      </c>
      <c r="N1845">
        <v>4</v>
      </c>
      <c r="O1845" t="s">
        <v>1004</v>
      </c>
      <c r="P1845">
        <v>0.03</v>
      </c>
      <c r="Q1845" t="s">
        <v>245</v>
      </c>
      <c r="R1845">
        <v>13.3</v>
      </c>
      <c r="S1845">
        <v>13.3</v>
      </c>
      <c r="T1845">
        <v>0</v>
      </c>
      <c r="U1845">
        <v>13.3</v>
      </c>
      <c r="V1845">
        <v>60</v>
      </c>
    </row>
    <row r="1846" spans="1:22" x14ac:dyDescent="0.25">
      <c r="A1846" t="s">
        <v>1238</v>
      </c>
      <c r="B1846" t="s">
        <v>1118</v>
      </c>
      <c r="C1846">
        <v>15</v>
      </c>
      <c r="D1846" t="s">
        <v>260</v>
      </c>
      <c r="E1846" t="s">
        <v>79</v>
      </c>
      <c r="F1846" t="s">
        <v>140</v>
      </c>
      <c r="G1846">
        <v>0.2</v>
      </c>
      <c r="H1846" t="s">
        <v>57</v>
      </c>
      <c r="I1846">
        <v>-13</v>
      </c>
      <c r="J1846" s="4" t="str">
        <f>HYPERLINK("https://www.eliteprospects.com/player/352048/eric-pearce")</f>
        <v>https://www.eliteprospects.com/player/352048/eric-pearce</v>
      </c>
      <c r="K1846" t="s">
        <v>27</v>
      </c>
      <c r="L1846" t="s">
        <v>918</v>
      </c>
      <c r="M1846" t="s">
        <v>42</v>
      </c>
      <c r="N1846">
        <v>6</v>
      </c>
      <c r="O1846" t="s">
        <v>927</v>
      </c>
      <c r="P1846">
        <v>0.02</v>
      </c>
      <c r="Q1846" t="s">
        <v>245</v>
      </c>
      <c r="R1846">
        <v>13.3</v>
      </c>
      <c r="S1846">
        <v>13.3</v>
      </c>
      <c r="T1846">
        <v>0</v>
      </c>
      <c r="U1846">
        <v>13.3</v>
      </c>
      <c r="V1846">
        <v>60</v>
      </c>
    </row>
    <row r="1847" spans="1:22" x14ac:dyDescent="0.25">
      <c r="A1847" t="s">
        <v>1271</v>
      </c>
      <c r="B1847" t="s">
        <v>1118</v>
      </c>
      <c r="C1847">
        <v>11</v>
      </c>
      <c r="D1847" t="s">
        <v>132</v>
      </c>
      <c r="E1847" t="s">
        <v>132</v>
      </c>
      <c r="F1847" t="s">
        <v>132</v>
      </c>
      <c r="G1847">
        <v>0</v>
      </c>
      <c r="H1847" t="s">
        <v>132</v>
      </c>
      <c r="I1847">
        <v>-14</v>
      </c>
      <c r="J1847" s="4" t="str">
        <f>HYPERLINK("https://www.eliteprospects.com/player/286608/logan-barlage")</f>
        <v>https://www.eliteprospects.com/player/286608/logan-barlage</v>
      </c>
      <c r="K1847" t="s">
        <v>27</v>
      </c>
      <c r="L1847" t="s">
        <v>918</v>
      </c>
      <c r="M1847" t="s">
        <v>42</v>
      </c>
      <c r="N1847">
        <v>6</v>
      </c>
      <c r="O1847" t="s">
        <v>927</v>
      </c>
      <c r="P1847">
        <v>0</v>
      </c>
      <c r="Q1847" t="s">
        <v>245</v>
      </c>
      <c r="R1847">
        <v>13.3</v>
      </c>
      <c r="S1847">
        <v>13.3</v>
      </c>
      <c r="T1847">
        <v>0</v>
      </c>
      <c r="U1847">
        <v>13.3</v>
      </c>
      <c r="V1847">
        <v>60</v>
      </c>
    </row>
    <row r="1848" spans="1:22" x14ac:dyDescent="0.25">
      <c r="A1848" t="s">
        <v>1273</v>
      </c>
      <c r="B1848" t="s">
        <v>1118</v>
      </c>
      <c r="C1848">
        <v>14</v>
      </c>
      <c r="D1848" t="s">
        <v>132</v>
      </c>
      <c r="E1848" t="s">
        <v>132</v>
      </c>
      <c r="F1848" t="s">
        <v>132</v>
      </c>
      <c r="G1848">
        <v>0</v>
      </c>
      <c r="H1848" t="s">
        <v>26</v>
      </c>
      <c r="I1848">
        <v>-14</v>
      </c>
      <c r="J1848" s="4" t="str">
        <f>HYPERLINK("https://www.eliteprospects.com/player/408562/kade-runke")</f>
        <v>https://www.eliteprospects.com/player/408562/kade-runke</v>
      </c>
      <c r="K1848" t="s">
        <v>27</v>
      </c>
      <c r="L1848" t="s">
        <v>918</v>
      </c>
      <c r="M1848" t="s">
        <v>87</v>
      </c>
      <c r="N1848">
        <v>4</v>
      </c>
      <c r="O1848" t="s">
        <v>958</v>
      </c>
      <c r="P1848">
        <v>0</v>
      </c>
      <c r="Q1848" t="s">
        <v>245</v>
      </c>
      <c r="R1848">
        <v>13.3</v>
      </c>
      <c r="S1848">
        <v>13.3</v>
      </c>
      <c r="T1848">
        <v>0</v>
      </c>
      <c r="U1848">
        <v>13.3</v>
      </c>
      <c r="V1848">
        <v>60</v>
      </c>
    </row>
    <row r="1849" spans="1:22" x14ac:dyDescent="0.25">
      <c r="A1849" t="s">
        <v>938</v>
      </c>
      <c r="B1849" t="s">
        <v>939</v>
      </c>
      <c r="C1849">
        <v>14</v>
      </c>
      <c r="D1849" t="s">
        <v>38</v>
      </c>
      <c r="E1849" t="s">
        <v>26</v>
      </c>
      <c r="F1849" t="s">
        <v>81</v>
      </c>
      <c r="G1849">
        <v>1.71</v>
      </c>
      <c r="H1849" t="s">
        <v>66</v>
      </c>
      <c r="I1849">
        <v>10</v>
      </c>
      <c r="J1849" s="4" t="str">
        <f>HYPERLINK("https://www.eliteprospects.com/player/286715/chantz-petruic")</f>
        <v>https://www.eliteprospects.com/player/286715/chantz-petruic</v>
      </c>
      <c r="K1849" t="s">
        <v>27</v>
      </c>
      <c r="L1849" t="s">
        <v>918</v>
      </c>
      <c r="M1849" t="s">
        <v>76</v>
      </c>
      <c r="N1849">
        <v>4</v>
      </c>
      <c r="O1849" t="s">
        <v>940</v>
      </c>
      <c r="P1849">
        <v>0.21</v>
      </c>
      <c r="Q1849" t="s">
        <v>31</v>
      </c>
      <c r="R1849">
        <v>57.1</v>
      </c>
      <c r="S1849">
        <v>32.1</v>
      </c>
      <c r="T1849">
        <v>0</v>
      </c>
      <c r="U1849">
        <v>0</v>
      </c>
      <c r="V1849">
        <v>10.7</v>
      </c>
    </row>
    <row r="1850" spans="1:22" x14ac:dyDescent="0.25">
      <c r="A1850" t="s">
        <v>949</v>
      </c>
      <c r="B1850" t="s">
        <v>939</v>
      </c>
      <c r="C1850">
        <v>16</v>
      </c>
      <c r="D1850" t="s">
        <v>45</v>
      </c>
      <c r="E1850" t="s">
        <v>39</v>
      </c>
      <c r="F1850" t="s">
        <v>84</v>
      </c>
      <c r="G1850">
        <v>1.44</v>
      </c>
      <c r="H1850" t="s">
        <v>66</v>
      </c>
      <c r="I1850">
        <v>8</v>
      </c>
      <c r="J1850" s="4" t="str">
        <f>HYPERLINK("https://www.eliteprospects.com/player/483386/conner-roulette")</f>
        <v>https://www.eliteprospects.com/player/483386/conner-roulette</v>
      </c>
      <c r="K1850" t="s">
        <v>27</v>
      </c>
      <c r="L1850" t="s">
        <v>918</v>
      </c>
      <c r="M1850" t="s">
        <v>143</v>
      </c>
      <c r="N1850">
        <v>6</v>
      </c>
      <c r="O1850" t="s">
        <v>950</v>
      </c>
      <c r="P1850">
        <v>0.18</v>
      </c>
      <c r="Q1850" t="s">
        <v>31</v>
      </c>
      <c r="R1850">
        <v>78.599999999999994</v>
      </c>
      <c r="S1850">
        <v>0</v>
      </c>
      <c r="T1850">
        <v>0</v>
      </c>
      <c r="U1850">
        <v>0</v>
      </c>
      <c r="V1850">
        <v>21.4</v>
      </c>
    </row>
    <row r="1851" spans="1:22" x14ac:dyDescent="0.25">
      <c r="A1851" t="s">
        <v>974</v>
      </c>
      <c r="B1851" t="s">
        <v>939</v>
      </c>
      <c r="C1851">
        <v>16</v>
      </c>
      <c r="D1851" t="s">
        <v>57</v>
      </c>
      <c r="E1851" t="s">
        <v>65</v>
      </c>
      <c r="F1851" t="s">
        <v>51</v>
      </c>
      <c r="G1851">
        <v>1.19</v>
      </c>
      <c r="H1851" t="s">
        <v>26</v>
      </c>
      <c r="I1851">
        <v>12</v>
      </c>
      <c r="J1851" s="4" t="str">
        <f>HYPERLINK("https://www.eliteprospects.com/player/279031/dawson-holt")</f>
        <v>https://www.eliteprospects.com/player/279031/dawson-holt</v>
      </c>
      <c r="K1851" t="s">
        <v>27</v>
      </c>
      <c r="L1851" t="s">
        <v>918</v>
      </c>
      <c r="M1851" t="s">
        <v>129</v>
      </c>
      <c r="N1851">
        <v>6</v>
      </c>
      <c r="O1851" t="s">
        <v>975</v>
      </c>
      <c r="P1851">
        <v>0.15</v>
      </c>
      <c r="Q1851" t="s">
        <v>31</v>
      </c>
      <c r="R1851">
        <v>36.700000000000003</v>
      </c>
      <c r="S1851">
        <v>36.700000000000003</v>
      </c>
      <c r="T1851">
        <v>0</v>
      </c>
      <c r="U1851">
        <v>0</v>
      </c>
      <c r="V1851">
        <v>26.7</v>
      </c>
    </row>
    <row r="1852" spans="1:22" x14ac:dyDescent="0.25">
      <c r="A1852" t="s">
        <v>1040</v>
      </c>
      <c r="B1852" t="s">
        <v>939</v>
      </c>
      <c r="C1852">
        <v>16</v>
      </c>
      <c r="D1852" t="s">
        <v>26</v>
      </c>
      <c r="E1852" t="s">
        <v>57</v>
      </c>
      <c r="F1852" t="s">
        <v>39</v>
      </c>
      <c r="G1852">
        <v>0.88</v>
      </c>
      <c r="H1852" t="s">
        <v>23</v>
      </c>
      <c r="I1852">
        <v>2</v>
      </c>
      <c r="J1852" s="4" t="str">
        <f>HYPERLINK("https://www.eliteprospects.com/player/403338/carter-stebbings")</f>
        <v>https://www.eliteprospects.com/player/403338/carter-stebbings</v>
      </c>
      <c r="K1852" t="s">
        <v>27</v>
      </c>
      <c r="L1852" t="s">
        <v>918</v>
      </c>
      <c r="M1852" t="s">
        <v>42</v>
      </c>
      <c r="N1852">
        <v>6</v>
      </c>
      <c r="O1852" t="s">
        <v>927</v>
      </c>
      <c r="P1852">
        <v>0.11</v>
      </c>
      <c r="Q1852" t="s">
        <v>135</v>
      </c>
      <c r="R1852">
        <v>20</v>
      </c>
      <c r="S1852">
        <v>40</v>
      </c>
      <c r="T1852">
        <v>20</v>
      </c>
      <c r="U1852">
        <v>0</v>
      </c>
      <c r="V1852">
        <v>20</v>
      </c>
    </row>
    <row r="1853" spans="1:22" x14ac:dyDescent="0.25">
      <c r="A1853" t="s">
        <v>1078</v>
      </c>
      <c r="B1853" t="s">
        <v>939</v>
      </c>
      <c r="C1853">
        <v>15</v>
      </c>
      <c r="D1853" t="s">
        <v>66</v>
      </c>
      <c r="E1853" t="s">
        <v>26</v>
      </c>
      <c r="F1853" t="s">
        <v>23</v>
      </c>
      <c r="G1853">
        <v>0.8</v>
      </c>
      <c r="H1853" t="s">
        <v>23</v>
      </c>
      <c r="I1853">
        <v>7</v>
      </c>
      <c r="J1853" s="4" t="str">
        <f>HYPERLINK("https://www.eliteprospects.com/player/413134/raphael-pelletier")</f>
        <v>https://www.eliteprospects.com/player/413134/raphael-pelletier</v>
      </c>
      <c r="K1853" t="s">
        <v>27</v>
      </c>
      <c r="L1853" t="s">
        <v>918</v>
      </c>
      <c r="M1853" t="s">
        <v>35</v>
      </c>
      <c r="N1853">
        <v>6</v>
      </c>
      <c r="O1853" t="s">
        <v>924</v>
      </c>
      <c r="P1853">
        <v>0.1</v>
      </c>
      <c r="Q1853" t="s">
        <v>31</v>
      </c>
      <c r="R1853">
        <v>37.5</v>
      </c>
      <c r="S1853">
        <v>12.5</v>
      </c>
      <c r="T1853">
        <v>12.5</v>
      </c>
      <c r="U1853">
        <v>12.5</v>
      </c>
      <c r="V1853">
        <v>25</v>
      </c>
    </row>
    <row r="1854" spans="1:22" x14ac:dyDescent="0.25">
      <c r="A1854" t="s">
        <v>1096</v>
      </c>
      <c r="B1854" t="s">
        <v>939</v>
      </c>
      <c r="C1854">
        <v>10</v>
      </c>
      <c r="D1854" t="s">
        <v>66</v>
      </c>
      <c r="E1854" t="s">
        <v>78</v>
      </c>
      <c r="F1854" t="s">
        <v>69</v>
      </c>
      <c r="G1854">
        <v>1.1000000000000001</v>
      </c>
      <c r="H1854" t="s">
        <v>132</v>
      </c>
      <c r="I1854">
        <v>7</v>
      </c>
      <c r="J1854" s="4" t="str">
        <f>HYPERLINK("https://www.eliteprospects.com/player/483470/chase-bertholet")</f>
        <v>https://www.eliteprospects.com/player/483470/chase-bertholet</v>
      </c>
      <c r="K1854" t="s">
        <v>27</v>
      </c>
      <c r="L1854" t="s">
        <v>918</v>
      </c>
      <c r="M1854" t="s">
        <v>29</v>
      </c>
      <c r="N1854">
        <v>6</v>
      </c>
      <c r="O1854" t="s">
        <v>950</v>
      </c>
      <c r="P1854">
        <v>0.14000000000000001</v>
      </c>
      <c r="Q1854" t="s">
        <v>31</v>
      </c>
      <c r="R1854">
        <v>50</v>
      </c>
      <c r="S1854">
        <v>35.700000000000003</v>
      </c>
      <c r="T1854">
        <v>0</v>
      </c>
      <c r="U1854">
        <v>0</v>
      </c>
      <c r="V1854">
        <v>14.3</v>
      </c>
    </row>
    <row r="1855" spans="1:22" x14ac:dyDescent="0.25">
      <c r="A1855" t="s">
        <v>1122</v>
      </c>
      <c r="B1855" t="s">
        <v>939</v>
      </c>
      <c r="C1855">
        <v>14</v>
      </c>
      <c r="D1855" t="s">
        <v>140</v>
      </c>
      <c r="E1855" t="s">
        <v>57</v>
      </c>
      <c r="F1855" t="s">
        <v>45</v>
      </c>
      <c r="G1855">
        <v>0.64</v>
      </c>
      <c r="H1855" t="s">
        <v>32</v>
      </c>
      <c r="I1855">
        <v>5</v>
      </c>
      <c r="J1855" s="4" t="str">
        <f>HYPERLINK("https://www.eliteprospects.com/player/326644/liam-keeler")</f>
        <v>https://www.eliteprospects.com/player/326644/liam-keeler</v>
      </c>
      <c r="K1855" t="s">
        <v>27</v>
      </c>
      <c r="L1855" t="s">
        <v>918</v>
      </c>
      <c r="M1855" t="s">
        <v>91</v>
      </c>
      <c r="N1855">
        <v>6</v>
      </c>
      <c r="O1855" t="s">
        <v>927</v>
      </c>
      <c r="P1855">
        <v>0.08</v>
      </c>
      <c r="Q1855" t="s">
        <v>31</v>
      </c>
      <c r="R1855">
        <v>33.299999999999997</v>
      </c>
      <c r="S1855">
        <v>8.3000000000000007</v>
      </c>
      <c r="T1855">
        <v>33.299999999999997</v>
      </c>
      <c r="U1855">
        <v>8.3000000000000007</v>
      </c>
      <c r="V1855">
        <v>16.7</v>
      </c>
    </row>
    <row r="1856" spans="1:22" x14ac:dyDescent="0.25">
      <c r="A1856" t="s">
        <v>1145</v>
      </c>
      <c r="B1856" t="s">
        <v>939</v>
      </c>
      <c r="C1856">
        <v>13</v>
      </c>
      <c r="D1856" t="s">
        <v>140</v>
      </c>
      <c r="E1856" t="s">
        <v>66</v>
      </c>
      <c r="F1856" t="s">
        <v>78</v>
      </c>
      <c r="G1856">
        <v>0.54</v>
      </c>
      <c r="H1856" t="s">
        <v>66</v>
      </c>
      <c r="I1856">
        <v>2</v>
      </c>
      <c r="J1856" s="4" t="str">
        <f>HYPERLINK("https://www.eliteprospects.com/player/403427/cade-hayes")</f>
        <v>https://www.eliteprospects.com/player/403427/cade-hayes</v>
      </c>
      <c r="K1856" t="s">
        <v>27</v>
      </c>
      <c r="L1856" t="s">
        <v>918</v>
      </c>
      <c r="M1856" t="s">
        <v>42</v>
      </c>
      <c r="N1856">
        <v>6</v>
      </c>
      <c r="O1856" t="s">
        <v>924</v>
      </c>
      <c r="P1856">
        <v>7.0000000000000007E-2</v>
      </c>
      <c r="Q1856" t="s">
        <v>245</v>
      </c>
      <c r="R1856">
        <v>14.3</v>
      </c>
      <c r="S1856">
        <v>28.6</v>
      </c>
      <c r="T1856">
        <v>0</v>
      </c>
      <c r="U1856">
        <v>14.3</v>
      </c>
      <c r="V1856">
        <v>42.9</v>
      </c>
    </row>
    <row r="1857" spans="1:22" x14ac:dyDescent="0.25">
      <c r="A1857" t="s">
        <v>1197</v>
      </c>
      <c r="B1857" t="s">
        <v>939</v>
      </c>
      <c r="C1857">
        <v>12</v>
      </c>
      <c r="D1857" t="s">
        <v>66</v>
      </c>
      <c r="E1857" t="s">
        <v>132</v>
      </c>
      <c r="F1857" t="s">
        <v>66</v>
      </c>
      <c r="G1857">
        <v>0.33</v>
      </c>
      <c r="H1857" t="s">
        <v>78</v>
      </c>
      <c r="I1857">
        <v>-1</v>
      </c>
      <c r="J1857" s="4" t="str">
        <f>HYPERLINK("https://www.eliteprospects.com/player/403357/josh-pillar")</f>
        <v>https://www.eliteprospects.com/player/403357/josh-pillar</v>
      </c>
      <c r="K1857" t="s">
        <v>27</v>
      </c>
      <c r="L1857" t="s">
        <v>918</v>
      </c>
      <c r="M1857" t="s">
        <v>129</v>
      </c>
      <c r="N1857">
        <v>6</v>
      </c>
      <c r="O1857" t="s">
        <v>924</v>
      </c>
      <c r="P1857">
        <v>0.04</v>
      </c>
      <c r="Q1857" t="s">
        <v>245</v>
      </c>
      <c r="R1857">
        <v>9.1</v>
      </c>
      <c r="S1857">
        <v>18.2</v>
      </c>
      <c r="T1857">
        <v>9.1</v>
      </c>
      <c r="U1857">
        <v>13.6</v>
      </c>
      <c r="V1857">
        <v>50</v>
      </c>
    </row>
    <row r="1858" spans="1:22" x14ac:dyDescent="0.25">
      <c r="A1858" t="s">
        <v>1213</v>
      </c>
      <c r="B1858" t="s">
        <v>939</v>
      </c>
      <c r="C1858">
        <v>14</v>
      </c>
      <c r="D1858" t="s">
        <v>260</v>
      </c>
      <c r="E1858" t="s">
        <v>140</v>
      </c>
      <c r="F1858" t="s">
        <v>66</v>
      </c>
      <c r="G1858">
        <v>0.28999999999999998</v>
      </c>
      <c r="H1858" t="s">
        <v>24</v>
      </c>
      <c r="I1858">
        <v>-1</v>
      </c>
      <c r="J1858" s="4" t="str">
        <f>HYPERLINK("https://www.eliteprospects.com/player/413374/ben-tkachuk")</f>
        <v>https://www.eliteprospects.com/player/413374/ben-tkachuk</v>
      </c>
      <c r="K1858" t="s">
        <v>27</v>
      </c>
      <c r="L1858" t="s">
        <v>918</v>
      </c>
      <c r="M1858" t="s">
        <v>35</v>
      </c>
      <c r="N1858">
        <v>2</v>
      </c>
      <c r="O1858" t="s">
        <v>1021</v>
      </c>
      <c r="P1858">
        <v>0.04</v>
      </c>
      <c r="Q1858" t="s">
        <v>245</v>
      </c>
      <c r="R1858">
        <v>9.1</v>
      </c>
      <c r="S1858">
        <v>18.2</v>
      </c>
      <c r="T1858">
        <v>9.1</v>
      </c>
      <c r="U1858">
        <v>13.6</v>
      </c>
      <c r="V1858">
        <v>50</v>
      </c>
    </row>
    <row r="1859" spans="1:22" x14ac:dyDescent="0.25">
      <c r="A1859" t="s">
        <v>1232</v>
      </c>
      <c r="B1859" t="s">
        <v>939</v>
      </c>
      <c r="C1859">
        <v>12</v>
      </c>
      <c r="D1859" t="s">
        <v>260</v>
      </c>
      <c r="E1859" t="s">
        <v>79</v>
      </c>
      <c r="F1859" t="s">
        <v>140</v>
      </c>
      <c r="G1859">
        <v>0.25</v>
      </c>
      <c r="H1859" t="s">
        <v>26</v>
      </c>
      <c r="I1859">
        <v>-2</v>
      </c>
      <c r="J1859" s="4" t="str">
        <f>HYPERLINK("https://www.eliteprospects.com/player/201927/keaton-sorensen")</f>
        <v>https://www.eliteprospects.com/player/201927/keaton-sorensen</v>
      </c>
      <c r="K1859" t="s">
        <v>27</v>
      </c>
      <c r="L1859" t="s">
        <v>918</v>
      </c>
      <c r="M1859" t="s">
        <v>42</v>
      </c>
      <c r="N1859">
        <v>6</v>
      </c>
      <c r="O1859" t="s">
        <v>924</v>
      </c>
      <c r="P1859">
        <v>0.03</v>
      </c>
      <c r="Q1859" t="s">
        <v>245</v>
      </c>
      <c r="R1859">
        <v>9.1</v>
      </c>
      <c r="S1859">
        <v>18.2</v>
      </c>
      <c r="T1859">
        <v>9.1</v>
      </c>
      <c r="U1859">
        <v>13.6</v>
      </c>
      <c r="V1859">
        <v>50</v>
      </c>
    </row>
    <row r="1860" spans="1:22" x14ac:dyDescent="0.25">
      <c r="A1860" t="s">
        <v>1246</v>
      </c>
      <c r="B1860" t="s">
        <v>939</v>
      </c>
      <c r="C1860">
        <v>10</v>
      </c>
      <c r="D1860" t="s">
        <v>79</v>
      </c>
      <c r="E1860" t="s">
        <v>132</v>
      </c>
      <c r="F1860" t="s">
        <v>79</v>
      </c>
      <c r="G1860">
        <v>0.2</v>
      </c>
      <c r="H1860" t="s">
        <v>81</v>
      </c>
      <c r="I1860">
        <v>-1</v>
      </c>
      <c r="J1860" s="4" t="str">
        <f>HYPERLINK("https://www.eliteprospects.com/player/291444/jarrett-penner")</f>
        <v>https://www.eliteprospects.com/player/291444/jarrett-penner</v>
      </c>
      <c r="K1860" t="s">
        <v>27</v>
      </c>
      <c r="L1860" t="s">
        <v>918</v>
      </c>
      <c r="M1860" t="s">
        <v>29</v>
      </c>
      <c r="N1860">
        <v>4</v>
      </c>
      <c r="O1860" t="s">
        <v>940</v>
      </c>
      <c r="P1860">
        <v>0.02</v>
      </c>
      <c r="Q1860" t="s">
        <v>245</v>
      </c>
      <c r="R1860">
        <v>9.1</v>
      </c>
      <c r="S1860">
        <v>18.2</v>
      </c>
      <c r="T1860">
        <v>9.1</v>
      </c>
      <c r="U1860">
        <v>13.6</v>
      </c>
      <c r="V1860">
        <v>50</v>
      </c>
    </row>
    <row r="1861" spans="1:22" x14ac:dyDescent="0.25">
      <c r="A1861" t="s">
        <v>63</v>
      </c>
      <c r="B1861" t="s">
        <v>64</v>
      </c>
      <c r="C1861">
        <v>21</v>
      </c>
      <c r="D1861" t="s">
        <v>65</v>
      </c>
      <c r="E1861" t="s">
        <v>39</v>
      </c>
      <c r="F1861" t="s">
        <v>61</v>
      </c>
      <c r="G1861">
        <v>1.29</v>
      </c>
      <c r="H1861" t="s">
        <v>66</v>
      </c>
      <c r="I1861">
        <v>8</v>
      </c>
      <c r="J1861" s="4" t="str">
        <f>HYPERLINK("https://www.eliteprospects.com/player/201885/alex-gaffney")</f>
        <v>https://www.eliteprospects.com/player/201885/alex-gaffney</v>
      </c>
      <c r="K1861" t="s">
        <v>27</v>
      </c>
      <c r="L1861" t="s">
        <v>28</v>
      </c>
      <c r="M1861" t="s">
        <v>42</v>
      </c>
      <c r="N1861">
        <v>5</v>
      </c>
      <c r="O1861" t="s">
        <v>67</v>
      </c>
      <c r="P1861">
        <v>0.25</v>
      </c>
      <c r="Q1861" t="s">
        <v>31</v>
      </c>
      <c r="R1861">
        <v>57.1</v>
      </c>
      <c r="S1861">
        <v>32.1</v>
      </c>
      <c r="T1861">
        <v>0</v>
      </c>
      <c r="U1861">
        <v>0</v>
      </c>
      <c r="V1861">
        <v>10.7</v>
      </c>
    </row>
    <row r="1862" spans="1:22" x14ac:dyDescent="0.25">
      <c r="A1862" t="s">
        <v>92</v>
      </c>
      <c r="B1862" t="s">
        <v>64</v>
      </c>
      <c r="C1862">
        <v>19</v>
      </c>
      <c r="D1862" t="s">
        <v>65</v>
      </c>
      <c r="E1862" t="s">
        <v>45</v>
      </c>
      <c r="F1862" t="s">
        <v>47</v>
      </c>
      <c r="G1862">
        <v>1.1599999999999999</v>
      </c>
      <c r="H1862" t="s">
        <v>84</v>
      </c>
      <c r="I1862">
        <v>9</v>
      </c>
      <c r="J1862" s="4" t="str">
        <f>HYPERLINK("https://www.eliteprospects.com/player/597415/lucas-wahlin")</f>
        <v>https://www.eliteprospects.com/player/597415/lucas-wahlin</v>
      </c>
      <c r="K1862" t="s">
        <v>27</v>
      </c>
      <c r="L1862" t="s">
        <v>28</v>
      </c>
      <c r="M1862" t="s">
        <v>48</v>
      </c>
      <c r="N1862">
        <v>4</v>
      </c>
      <c r="O1862" t="s">
        <v>30</v>
      </c>
      <c r="P1862">
        <v>0.23</v>
      </c>
      <c r="Q1862" t="s">
        <v>31</v>
      </c>
      <c r="R1862">
        <v>57.1</v>
      </c>
      <c r="S1862">
        <v>32.1</v>
      </c>
      <c r="T1862">
        <v>0</v>
      </c>
      <c r="U1862">
        <v>0</v>
      </c>
      <c r="V1862">
        <v>10.7</v>
      </c>
    </row>
    <row r="1863" spans="1:22" x14ac:dyDescent="0.25">
      <c r="A1863" t="s">
        <v>105</v>
      </c>
      <c r="B1863" t="s">
        <v>64</v>
      </c>
      <c r="C1863">
        <v>20</v>
      </c>
      <c r="D1863" t="s">
        <v>78</v>
      </c>
      <c r="E1863" t="s">
        <v>39</v>
      </c>
      <c r="F1863" t="s">
        <v>33</v>
      </c>
      <c r="G1863">
        <v>1.05</v>
      </c>
      <c r="H1863" t="s">
        <v>26</v>
      </c>
      <c r="I1863">
        <v>2</v>
      </c>
      <c r="J1863" s="4" t="str">
        <f>HYPERLINK("https://www.eliteprospects.com/player/597851/lucas-van-vliet")</f>
        <v>https://www.eliteprospects.com/player/597851/lucas-van-vliet</v>
      </c>
      <c r="K1863" t="s">
        <v>27</v>
      </c>
      <c r="L1863" t="s">
        <v>28</v>
      </c>
      <c r="M1863" t="s">
        <v>29</v>
      </c>
      <c r="N1863">
        <v>1</v>
      </c>
      <c r="O1863" t="s">
        <v>71</v>
      </c>
      <c r="P1863">
        <v>0.2</v>
      </c>
      <c r="Q1863" t="s">
        <v>135</v>
      </c>
      <c r="R1863">
        <v>25</v>
      </c>
      <c r="S1863">
        <v>50</v>
      </c>
      <c r="T1863">
        <v>0</v>
      </c>
      <c r="U1863">
        <v>0</v>
      </c>
      <c r="V1863">
        <v>25</v>
      </c>
    </row>
    <row r="1864" spans="1:22" x14ac:dyDescent="0.25">
      <c r="A1864" t="s">
        <v>175</v>
      </c>
      <c r="B1864" t="s">
        <v>64</v>
      </c>
      <c r="C1864">
        <v>20</v>
      </c>
      <c r="D1864" t="s">
        <v>45</v>
      </c>
      <c r="E1864" t="s">
        <v>57</v>
      </c>
      <c r="F1864" t="s">
        <v>41</v>
      </c>
      <c r="G1864">
        <v>0.75</v>
      </c>
      <c r="H1864" t="s">
        <v>23</v>
      </c>
      <c r="I1864">
        <v>2</v>
      </c>
      <c r="J1864" s="4" t="str">
        <f>HYPERLINK("https://www.eliteprospects.com/player/535876/jake-braccini")</f>
        <v>https://www.eliteprospects.com/player/535876/jake-braccini</v>
      </c>
      <c r="K1864" t="s">
        <v>27</v>
      </c>
      <c r="L1864" t="s">
        <v>28</v>
      </c>
      <c r="M1864" t="s">
        <v>29</v>
      </c>
      <c r="N1864">
        <v>4</v>
      </c>
      <c r="O1864" t="s">
        <v>30</v>
      </c>
      <c r="P1864">
        <v>0.15</v>
      </c>
      <c r="Q1864" t="s">
        <v>1277</v>
      </c>
      <c r="R1864">
        <v>0</v>
      </c>
      <c r="S1864">
        <v>33.299999999999997</v>
      </c>
      <c r="T1864">
        <v>50</v>
      </c>
      <c r="U1864">
        <v>16.7</v>
      </c>
      <c r="V1864">
        <v>0</v>
      </c>
    </row>
    <row r="1865" spans="1:22" x14ac:dyDescent="0.25">
      <c r="A1865" t="s">
        <v>181</v>
      </c>
      <c r="B1865" t="s">
        <v>64</v>
      </c>
      <c r="C1865">
        <v>21</v>
      </c>
      <c r="D1865" t="s">
        <v>78</v>
      </c>
      <c r="E1865" t="s">
        <v>26</v>
      </c>
      <c r="F1865" t="s">
        <v>41</v>
      </c>
      <c r="G1865">
        <v>0.71</v>
      </c>
      <c r="H1865" t="s">
        <v>38</v>
      </c>
      <c r="I1865">
        <v>4</v>
      </c>
      <c r="J1865" s="4" t="str">
        <f>HYPERLINK("https://www.eliteprospects.com/player/643373/nathan-pilling")</f>
        <v>https://www.eliteprospects.com/player/643373/nathan-pilling</v>
      </c>
      <c r="K1865" t="s">
        <v>27</v>
      </c>
      <c r="L1865" t="s">
        <v>28</v>
      </c>
      <c r="M1865" t="s">
        <v>42</v>
      </c>
      <c r="N1865">
        <v>5</v>
      </c>
      <c r="O1865" t="s">
        <v>152</v>
      </c>
      <c r="P1865">
        <v>0.14000000000000001</v>
      </c>
      <c r="Q1865" t="s">
        <v>31</v>
      </c>
      <c r="R1865">
        <v>66.7</v>
      </c>
      <c r="S1865">
        <v>0</v>
      </c>
      <c r="T1865">
        <v>0</v>
      </c>
      <c r="U1865">
        <v>0</v>
      </c>
      <c r="V1865">
        <v>33.299999999999997</v>
      </c>
    </row>
    <row r="1866" spans="1:22" x14ac:dyDescent="0.25">
      <c r="A1866" t="s">
        <v>236</v>
      </c>
      <c r="B1866" t="s">
        <v>64</v>
      </c>
      <c r="C1866">
        <v>17</v>
      </c>
      <c r="D1866" t="s">
        <v>79</v>
      </c>
      <c r="E1866" t="s">
        <v>32</v>
      </c>
      <c r="F1866" t="s">
        <v>23</v>
      </c>
      <c r="G1866">
        <v>0.71</v>
      </c>
      <c r="H1866" t="s">
        <v>26</v>
      </c>
      <c r="I1866">
        <v>4</v>
      </c>
      <c r="J1866" s="4" t="str">
        <f>HYPERLINK("https://www.eliteprospects.com/player/495309/ryan-o-neill")</f>
        <v>https://www.eliteprospects.com/player/495309/ryan-o-neill</v>
      </c>
      <c r="K1866" t="s">
        <v>27</v>
      </c>
      <c r="L1866" t="s">
        <v>28</v>
      </c>
      <c r="M1866" t="s">
        <v>35</v>
      </c>
      <c r="N1866">
        <v>4</v>
      </c>
      <c r="O1866" t="s">
        <v>30</v>
      </c>
      <c r="P1866">
        <v>0.14000000000000001</v>
      </c>
      <c r="Q1866" t="s">
        <v>31</v>
      </c>
      <c r="R1866">
        <v>66.7</v>
      </c>
      <c r="S1866">
        <v>0</v>
      </c>
      <c r="T1866">
        <v>0</v>
      </c>
      <c r="U1866">
        <v>0</v>
      </c>
      <c r="V1866">
        <v>33.299999999999997</v>
      </c>
    </row>
    <row r="1867" spans="1:22" x14ac:dyDescent="0.25">
      <c r="A1867" t="s">
        <v>310</v>
      </c>
      <c r="B1867" t="s">
        <v>64</v>
      </c>
      <c r="C1867">
        <v>16</v>
      </c>
      <c r="D1867" t="s">
        <v>260</v>
      </c>
      <c r="E1867" t="s">
        <v>26</v>
      </c>
      <c r="F1867" t="s">
        <v>45</v>
      </c>
      <c r="G1867">
        <v>0.56000000000000005</v>
      </c>
      <c r="H1867" t="s">
        <v>132</v>
      </c>
      <c r="I1867">
        <v>4</v>
      </c>
      <c r="J1867" s="4" t="str">
        <f>HYPERLINK("https://www.eliteprospects.com/player/425992/charlie-schoen")</f>
        <v>https://www.eliteprospects.com/player/425992/charlie-schoen</v>
      </c>
      <c r="K1867" t="s">
        <v>27</v>
      </c>
      <c r="L1867" t="s">
        <v>28</v>
      </c>
      <c r="M1867" t="s">
        <v>29</v>
      </c>
      <c r="N1867">
        <v>4</v>
      </c>
      <c r="O1867" t="s">
        <v>30</v>
      </c>
      <c r="P1867">
        <v>0.11</v>
      </c>
      <c r="Q1867" t="s">
        <v>135</v>
      </c>
      <c r="R1867">
        <v>20</v>
      </c>
      <c r="S1867">
        <v>40</v>
      </c>
      <c r="T1867">
        <v>20</v>
      </c>
      <c r="U1867">
        <v>0</v>
      </c>
      <c r="V1867">
        <v>20</v>
      </c>
    </row>
    <row r="1868" spans="1:22" x14ac:dyDescent="0.25">
      <c r="A1868" t="s">
        <v>339</v>
      </c>
      <c r="B1868" t="s">
        <v>64</v>
      </c>
      <c r="C1868">
        <v>12</v>
      </c>
      <c r="D1868" t="s">
        <v>79</v>
      </c>
      <c r="E1868" t="s">
        <v>96</v>
      </c>
      <c r="F1868" t="s">
        <v>78</v>
      </c>
      <c r="G1868">
        <v>0.57999999999999996</v>
      </c>
      <c r="H1868" t="s">
        <v>132</v>
      </c>
      <c r="I1868">
        <v>4</v>
      </c>
      <c r="J1868" s="4" t="str">
        <f>HYPERLINK("https://www.eliteprospects.com/player/623812/dylan-godbout")</f>
        <v>https://www.eliteprospects.com/player/623812/dylan-godbout</v>
      </c>
      <c r="K1868" t="s">
        <v>27</v>
      </c>
      <c r="L1868" t="s">
        <v>28</v>
      </c>
      <c r="M1868" t="s">
        <v>35</v>
      </c>
      <c r="N1868">
        <v>2</v>
      </c>
      <c r="O1868" t="s">
        <v>43</v>
      </c>
      <c r="P1868">
        <v>0.11</v>
      </c>
      <c r="Q1868" t="s">
        <v>135</v>
      </c>
      <c r="R1868">
        <v>20</v>
      </c>
      <c r="S1868">
        <v>40</v>
      </c>
      <c r="T1868">
        <v>20</v>
      </c>
      <c r="U1868">
        <v>0</v>
      </c>
      <c r="V1868">
        <v>20</v>
      </c>
    </row>
    <row r="1869" spans="1:22" x14ac:dyDescent="0.25">
      <c r="A1869" t="s">
        <v>347</v>
      </c>
      <c r="B1869" t="s">
        <v>64</v>
      </c>
      <c r="C1869">
        <v>16</v>
      </c>
      <c r="D1869" t="s">
        <v>260</v>
      </c>
      <c r="E1869" t="s">
        <v>57</v>
      </c>
      <c r="F1869" t="s">
        <v>78</v>
      </c>
      <c r="G1869">
        <v>0.44</v>
      </c>
      <c r="H1869" t="s">
        <v>39</v>
      </c>
      <c r="I1869">
        <v>1</v>
      </c>
      <c r="J1869" s="4" t="str">
        <f>HYPERLINK("https://www.eliteprospects.com/player/564553/quinton-pepper")</f>
        <v>https://www.eliteprospects.com/player/564553/quinton-pepper</v>
      </c>
      <c r="K1869" t="s">
        <v>27</v>
      </c>
      <c r="L1869" t="s">
        <v>28</v>
      </c>
      <c r="M1869" t="s">
        <v>29</v>
      </c>
      <c r="N1869">
        <v>4</v>
      </c>
      <c r="O1869" t="s">
        <v>30</v>
      </c>
      <c r="P1869">
        <v>0.09</v>
      </c>
      <c r="Q1869" t="s">
        <v>31</v>
      </c>
      <c r="R1869">
        <v>33.299999999999997</v>
      </c>
      <c r="S1869">
        <v>8.3000000000000007</v>
      </c>
      <c r="T1869">
        <v>33.299999999999997</v>
      </c>
      <c r="U1869">
        <v>8.3000000000000007</v>
      </c>
      <c r="V1869">
        <v>16.7</v>
      </c>
    </row>
    <row r="1870" spans="1:22" x14ac:dyDescent="0.25">
      <c r="A1870" t="s">
        <v>348</v>
      </c>
      <c r="B1870" t="s">
        <v>64</v>
      </c>
      <c r="C1870">
        <v>17</v>
      </c>
      <c r="D1870" t="s">
        <v>260</v>
      </c>
      <c r="E1870" t="s">
        <v>57</v>
      </c>
      <c r="F1870" t="s">
        <v>78</v>
      </c>
      <c r="G1870">
        <v>0.41</v>
      </c>
      <c r="H1870" t="s">
        <v>23</v>
      </c>
      <c r="I1870">
        <v>1</v>
      </c>
      <c r="J1870" s="4" t="str">
        <f>HYPERLINK("https://www.eliteprospects.com/player/350241/caige-sterzer")</f>
        <v>https://www.eliteprospects.com/player/350241/caige-sterzer</v>
      </c>
      <c r="K1870" t="s">
        <v>27</v>
      </c>
      <c r="L1870" t="s">
        <v>28</v>
      </c>
      <c r="M1870" t="s">
        <v>35</v>
      </c>
      <c r="N1870">
        <v>4</v>
      </c>
      <c r="O1870" t="s">
        <v>30</v>
      </c>
      <c r="P1870">
        <v>0.08</v>
      </c>
      <c r="Q1870" t="s">
        <v>31</v>
      </c>
      <c r="R1870">
        <v>33.299999999999997</v>
      </c>
      <c r="S1870">
        <v>8.3000000000000007</v>
      </c>
      <c r="T1870">
        <v>33.299999999999997</v>
      </c>
      <c r="U1870">
        <v>8.3000000000000007</v>
      </c>
      <c r="V1870">
        <v>16.7</v>
      </c>
    </row>
    <row r="1871" spans="1:22" x14ac:dyDescent="0.25">
      <c r="A1871" t="s">
        <v>374</v>
      </c>
      <c r="B1871" t="s">
        <v>64</v>
      </c>
      <c r="C1871">
        <v>21</v>
      </c>
      <c r="D1871" t="s">
        <v>66</v>
      </c>
      <c r="E1871" t="s">
        <v>260</v>
      </c>
      <c r="F1871" t="s">
        <v>96</v>
      </c>
      <c r="G1871">
        <v>0.24</v>
      </c>
      <c r="H1871" t="s">
        <v>57</v>
      </c>
      <c r="I1871">
        <v>0</v>
      </c>
      <c r="J1871" s="4" t="str">
        <f>HYPERLINK("https://www.eliteprospects.com/player/495618/luc-laylin")</f>
        <v>https://www.eliteprospects.com/player/495618/luc-laylin</v>
      </c>
      <c r="K1871" t="s">
        <v>27</v>
      </c>
      <c r="L1871" t="s">
        <v>28</v>
      </c>
      <c r="M1871" t="s">
        <v>35</v>
      </c>
      <c r="N1871">
        <v>4</v>
      </c>
      <c r="O1871" t="s">
        <v>30</v>
      </c>
      <c r="P1871">
        <v>0.05</v>
      </c>
      <c r="Q1871" t="s">
        <v>245</v>
      </c>
      <c r="R1871">
        <v>9.1</v>
      </c>
      <c r="S1871">
        <v>18.2</v>
      </c>
      <c r="T1871">
        <v>9.1</v>
      </c>
      <c r="U1871">
        <v>13.6</v>
      </c>
      <c r="V1871">
        <v>50</v>
      </c>
    </row>
    <row r="1872" spans="1:22" x14ac:dyDescent="0.25">
      <c r="A1872" t="s">
        <v>386</v>
      </c>
      <c r="B1872" t="s">
        <v>64</v>
      </c>
      <c r="C1872">
        <v>15</v>
      </c>
      <c r="D1872" t="s">
        <v>260</v>
      </c>
      <c r="E1872" t="s">
        <v>66</v>
      </c>
      <c r="F1872" t="s">
        <v>96</v>
      </c>
      <c r="G1872">
        <v>0.33</v>
      </c>
      <c r="H1872" t="s">
        <v>57</v>
      </c>
      <c r="I1872">
        <v>-6</v>
      </c>
      <c r="J1872" s="4" t="str">
        <f>HYPERLINK("https://www.eliteprospects.com/player/689487/casy-laylin")</f>
        <v>https://www.eliteprospects.com/player/689487/casy-laylin</v>
      </c>
      <c r="K1872" t="s">
        <v>27</v>
      </c>
      <c r="L1872" t="s">
        <v>28</v>
      </c>
      <c r="M1872" t="s">
        <v>35</v>
      </c>
      <c r="N1872">
        <v>2</v>
      </c>
      <c r="O1872" t="s">
        <v>43</v>
      </c>
      <c r="P1872">
        <v>0.06</v>
      </c>
      <c r="Q1872" t="s">
        <v>245</v>
      </c>
      <c r="R1872">
        <v>0</v>
      </c>
      <c r="S1872">
        <v>15.4</v>
      </c>
      <c r="T1872">
        <v>7.7</v>
      </c>
      <c r="U1872">
        <v>30.8</v>
      </c>
      <c r="V1872">
        <v>46.2</v>
      </c>
    </row>
    <row r="1873" spans="1:22" x14ac:dyDescent="0.25">
      <c r="A1873" t="s">
        <v>394</v>
      </c>
      <c r="B1873" t="s">
        <v>64</v>
      </c>
      <c r="C1873">
        <v>12</v>
      </c>
      <c r="D1873" t="s">
        <v>140</v>
      </c>
      <c r="E1873" t="s">
        <v>260</v>
      </c>
      <c r="F1873" t="s">
        <v>66</v>
      </c>
      <c r="G1873">
        <v>0.33</v>
      </c>
      <c r="H1873" t="s">
        <v>66</v>
      </c>
      <c r="I1873">
        <v>-4</v>
      </c>
      <c r="J1873" s="4" t="str">
        <f>HYPERLINK("https://www.eliteprospects.com/player/626436/joshua-giuliani")</f>
        <v>https://www.eliteprospects.com/player/626436/joshua-giuliani</v>
      </c>
      <c r="K1873" t="s">
        <v>27</v>
      </c>
      <c r="L1873" t="s">
        <v>28</v>
      </c>
      <c r="M1873" t="s">
        <v>35</v>
      </c>
      <c r="N1873">
        <v>1</v>
      </c>
      <c r="O1873" t="s">
        <v>71</v>
      </c>
      <c r="P1873">
        <v>0.06</v>
      </c>
      <c r="Q1873" t="s">
        <v>135</v>
      </c>
      <c r="R1873">
        <v>0</v>
      </c>
      <c r="S1873">
        <v>33.299999999999997</v>
      </c>
      <c r="T1873">
        <v>23.8</v>
      </c>
      <c r="U1873">
        <v>9.5</v>
      </c>
      <c r="V1873">
        <v>33.299999999999997</v>
      </c>
    </row>
    <row r="1874" spans="1:22" x14ac:dyDescent="0.25">
      <c r="A1874" t="s">
        <v>424</v>
      </c>
      <c r="B1874" t="s">
        <v>64</v>
      </c>
      <c r="C1874">
        <v>15</v>
      </c>
      <c r="D1874" t="s">
        <v>79</v>
      </c>
      <c r="E1874" t="s">
        <v>260</v>
      </c>
      <c r="F1874" t="s">
        <v>140</v>
      </c>
      <c r="G1874">
        <v>0.2</v>
      </c>
      <c r="H1874" t="s">
        <v>26</v>
      </c>
      <c r="I1874">
        <v>1</v>
      </c>
      <c r="J1874" s="4" t="str">
        <f>HYPERLINK("https://www.eliteprospects.com/player/691594/attila-lippai")</f>
        <v>https://www.eliteprospects.com/player/691594/attila-lippai</v>
      </c>
      <c r="K1874" t="s">
        <v>27</v>
      </c>
      <c r="L1874" t="s">
        <v>28</v>
      </c>
      <c r="M1874" t="s">
        <v>70</v>
      </c>
      <c r="N1874">
        <v>1</v>
      </c>
      <c r="O1874" t="s">
        <v>71</v>
      </c>
      <c r="P1874">
        <v>0.04</v>
      </c>
      <c r="Q1874" t="s">
        <v>245</v>
      </c>
      <c r="R1874">
        <v>0</v>
      </c>
      <c r="S1874">
        <v>0</v>
      </c>
      <c r="T1874">
        <v>0</v>
      </c>
      <c r="U1874">
        <v>0</v>
      </c>
      <c r="V1874">
        <v>100</v>
      </c>
    </row>
    <row r="1875" spans="1:22" x14ac:dyDescent="0.25">
      <c r="A1875" t="s">
        <v>1037</v>
      </c>
      <c r="B1875" t="s">
        <v>1038</v>
      </c>
      <c r="C1875">
        <v>16</v>
      </c>
      <c r="D1875" t="s">
        <v>45</v>
      </c>
      <c r="E1875" t="s">
        <v>96</v>
      </c>
      <c r="F1875" t="s">
        <v>39</v>
      </c>
      <c r="G1875">
        <v>0.88</v>
      </c>
      <c r="H1875" t="s">
        <v>66</v>
      </c>
      <c r="I1875">
        <v>0</v>
      </c>
      <c r="J1875" s="4" t="str">
        <f>HYPERLINK("https://www.eliteprospects.com/player/503261/rylee-hlusiak")</f>
        <v>https://www.eliteprospects.com/player/503261/rylee-hlusiak</v>
      </c>
      <c r="K1875" t="s">
        <v>27</v>
      </c>
      <c r="L1875" t="s">
        <v>918</v>
      </c>
      <c r="M1875" t="s">
        <v>29</v>
      </c>
      <c r="N1875">
        <v>3</v>
      </c>
      <c r="O1875" t="s">
        <v>1039</v>
      </c>
      <c r="P1875">
        <v>0.11</v>
      </c>
      <c r="Q1875" t="s">
        <v>135</v>
      </c>
      <c r="R1875">
        <v>20</v>
      </c>
      <c r="S1875">
        <v>40</v>
      </c>
      <c r="T1875">
        <v>0</v>
      </c>
      <c r="U1875">
        <v>20</v>
      </c>
      <c r="V1875">
        <v>20</v>
      </c>
    </row>
    <row r="1876" spans="1:22" x14ac:dyDescent="0.25">
      <c r="A1876" t="s">
        <v>1058</v>
      </c>
      <c r="B1876" t="s">
        <v>1038</v>
      </c>
      <c r="C1876">
        <v>13</v>
      </c>
      <c r="D1876" t="s">
        <v>57</v>
      </c>
      <c r="E1876" t="s">
        <v>78</v>
      </c>
      <c r="F1876" t="s">
        <v>65</v>
      </c>
      <c r="G1876">
        <v>1</v>
      </c>
      <c r="H1876" t="s">
        <v>57</v>
      </c>
      <c r="I1876">
        <v>0</v>
      </c>
      <c r="J1876" s="4" t="str">
        <f>HYPERLINK("https://www.eliteprospects.com/player/477551/dylan-wightman")</f>
        <v>https://www.eliteprospects.com/player/477551/dylan-wightman</v>
      </c>
      <c r="K1876" t="s">
        <v>27</v>
      </c>
      <c r="L1876" t="s">
        <v>918</v>
      </c>
      <c r="M1876" t="s">
        <v>35</v>
      </c>
      <c r="N1876">
        <v>6</v>
      </c>
      <c r="O1876" t="s">
        <v>950</v>
      </c>
      <c r="P1876">
        <v>0.12</v>
      </c>
      <c r="Q1876" t="s">
        <v>135</v>
      </c>
      <c r="R1876">
        <v>11.1</v>
      </c>
      <c r="S1876">
        <v>44.4</v>
      </c>
      <c r="T1876">
        <v>11.1</v>
      </c>
      <c r="U1876">
        <v>11.1</v>
      </c>
      <c r="V1876">
        <v>22.2</v>
      </c>
    </row>
    <row r="1877" spans="1:22" x14ac:dyDescent="0.25">
      <c r="A1877" t="s">
        <v>1059</v>
      </c>
      <c r="B1877" t="s">
        <v>1038</v>
      </c>
      <c r="C1877">
        <v>15</v>
      </c>
      <c r="D1877" t="s">
        <v>57</v>
      </c>
      <c r="E1877" t="s">
        <v>78</v>
      </c>
      <c r="F1877" t="s">
        <v>65</v>
      </c>
      <c r="G1877">
        <v>0.87</v>
      </c>
      <c r="H1877" t="s">
        <v>33</v>
      </c>
      <c r="I1877">
        <v>0</v>
      </c>
      <c r="J1877" s="4" t="str">
        <f>HYPERLINK("https://www.eliteprospects.com/player/518369/zack-smith")</f>
        <v>https://www.eliteprospects.com/player/518369/zack-smith</v>
      </c>
      <c r="K1877" t="s">
        <v>27</v>
      </c>
      <c r="L1877" t="s">
        <v>918</v>
      </c>
      <c r="M1877" t="s">
        <v>29</v>
      </c>
      <c r="N1877">
        <v>6</v>
      </c>
      <c r="O1877" t="s">
        <v>927</v>
      </c>
      <c r="P1877">
        <v>0.11</v>
      </c>
      <c r="Q1877" t="s">
        <v>135</v>
      </c>
      <c r="R1877">
        <v>20</v>
      </c>
      <c r="S1877">
        <v>40</v>
      </c>
      <c r="T1877">
        <v>0</v>
      </c>
      <c r="U1877">
        <v>20</v>
      </c>
      <c r="V1877">
        <v>20</v>
      </c>
    </row>
    <row r="1878" spans="1:22" x14ac:dyDescent="0.25">
      <c r="A1878" t="s">
        <v>1074</v>
      </c>
      <c r="B1878" t="s">
        <v>1038</v>
      </c>
      <c r="C1878">
        <v>14</v>
      </c>
      <c r="D1878" t="s">
        <v>96</v>
      </c>
      <c r="E1878" t="s">
        <v>78</v>
      </c>
      <c r="F1878" t="s">
        <v>23</v>
      </c>
      <c r="G1878">
        <v>0.86</v>
      </c>
      <c r="H1878" t="s">
        <v>66</v>
      </c>
      <c r="I1878">
        <v>0</v>
      </c>
      <c r="J1878" s="4" t="str">
        <f>HYPERLINK("https://www.eliteprospects.com/player/413693/julian-recine")</f>
        <v>https://www.eliteprospects.com/player/413693/julian-recine</v>
      </c>
      <c r="K1878" t="s">
        <v>27</v>
      </c>
      <c r="L1878" t="s">
        <v>918</v>
      </c>
      <c r="M1878" t="s">
        <v>42</v>
      </c>
      <c r="N1878">
        <v>2</v>
      </c>
      <c r="O1878" t="s">
        <v>1021</v>
      </c>
      <c r="P1878">
        <v>0.11</v>
      </c>
      <c r="Q1878" t="s">
        <v>135</v>
      </c>
      <c r="R1878">
        <v>20</v>
      </c>
      <c r="S1878">
        <v>40</v>
      </c>
      <c r="T1878">
        <v>0</v>
      </c>
      <c r="U1878">
        <v>20</v>
      </c>
      <c r="V1878">
        <v>20</v>
      </c>
    </row>
    <row r="1879" spans="1:22" x14ac:dyDescent="0.25">
      <c r="A1879" t="s">
        <v>1081</v>
      </c>
      <c r="B1879" t="s">
        <v>1038</v>
      </c>
      <c r="C1879">
        <v>15</v>
      </c>
      <c r="D1879" t="s">
        <v>79</v>
      </c>
      <c r="E1879" t="s">
        <v>32</v>
      </c>
      <c r="F1879" t="s">
        <v>23</v>
      </c>
      <c r="G1879">
        <v>0.8</v>
      </c>
      <c r="H1879" t="s">
        <v>26</v>
      </c>
      <c r="I1879">
        <v>0</v>
      </c>
      <c r="J1879" s="4" t="str">
        <f>HYPERLINK("https://www.eliteprospects.com/player/407658/brandon-santa-juana")</f>
        <v>https://www.eliteprospects.com/player/407658/brandon-santa-juana</v>
      </c>
      <c r="K1879" t="s">
        <v>27</v>
      </c>
      <c r="L1879" t="s">
        <v>918</v>
      </c>
      <c r="M1879" t="s">
        <v>35</v>
      </c>
      <c r="N1879">
        <v>3</v>
      </c>
      <c r="O1879" t="s">
        <v>1039</v>
      </c>
      <c r="P1879">
        <v>0.1</v>
      </c>
      <c r="Q1879" t="s">
        <v>245</v>
      </c>
      <c r="R1879">
        <v>0</v>
      </c>
      <c r="S1879">
        <v>33.299999999999997</v>
      </c>
      <c r="T1879">
        <v>0</v>
      </c>
      <c r="U1879">
        <v>0</v>
      </c>
      <c r="V1879">
        <v>66.7</v>
      </c>
    </row>
    <row r="1880" spans="1:22" x14ac:dyDescent="0.25">
      <c r="A1880" t="s">
        <v>1109</v>
      </c>
      <c r="B1880" t="s">
        <v>1038</v>
      </c>
      <c r="C1880">
        <v>14</v>
      </c>
      <c r="D1880" t="s">
        <v>66</v>
      </c>
      <c r="E1880" t="s">
        <v>57</v>
      </c>
      <c r="F1880" t="s">
        <v>32</v>
      </c>
      <c r="G1880">
        <v>0.71</v>
      </c>
      <c r="H1880" t="s">
        <v>32</v>
      </c>
      <c r="I1880">
        <v>0</v>
      </c>
      <c r="J1880" s="4" t="str">
        <f>HYPERLINK("https://www.eliteprospects.com/player/640279/sean-clarke")</f>
        <v>https://www.eliteprospects.com/player/640279/sean-clarke</v>
      </c>
      <c r="K1880" t="s">
        <v>27</v>
      </c>
      <c r="L1880" t="s">
        <v>918</v>
      </c>
      <c r="M1880" t="s">
        <v>35</v>
      </c>
      <c r="N1880">
        <v>1</v>
      </c>
      <c r="O1880" t="s">
        <v>984</v>
      </c>
      <c r="P1880">
        <v>0.09</v>
      </c>
      <c r="Q1880" t="s">
        <v>1277</v>
      </c>
      <c r="R1880">
        <v>16.7</v>
      </c>
      <c r="S1880">
        <v>16.7</v>
      </c>
      <c r="T1880">
        <v>25</v>
      </c>
      <c r="U1880">
        <v>16.7</v>
      </c>
      <c r="V1880">
        <v>25</v>
      </c>
    </row>
    <row r="1881" spans="1:22" x14ac:dyDescent="0.25">
      <c r="A1881" t="s">
        <v>1144</v>
      </c>
      <c r="B1881" t="s">
        <v>1038</v>
      </c>
      <c r="C1881">
        <v>12</v>
      </c>
      <c r="D1881" t="s">
        <v>140</v>
      </c>
      <c r="E1881" t="s">
        <v>66</v>
      </c>
      <c r="F1881" t="s">
        <v>78</v>
      </c>
      <c r="G1881">
        <v>0.57999999999999996</v>
      </c>
      <c r="H1881" t="s">
        <v>38</v>
      </c>
      <c r="I1881">
        <v>0</v>
      </c>
      <c r="J1881" s="4" t="str">
        <f>HYPERLINK("https://www.eliteprospects.com/player/647063/ryan-watt")</f>
        <v>https://www.eliteprospects.com/player/647063/ryan-watt</v>
      </c>
      <c r="K1881" t="s">
        <v>27</v>
      </c>
      <c r="L1881" t="s">
        <v>918</v>
      </c>
      <c r="M1881" t="s">
        <v>35</v>
      </c>
      <c r="N1881">
        <v>1</v>
      </c>
      <c r="O1881" t="s">
        <v>984</v>
      </c>
      <c r="P1881">
        <v>7.0000000000000007E-2</v>
      </c>
      <c r="Q1881" t="s">
        <v>135</v>
      </c>
      <c r="R1881">
        <v>0</v>
      </c>
      <c r="S1881">
        <v>33.299999999999997</v>
      </c>
      <c r="T1881">
        <v>23.8</v>
      </c>
      <c r="U1881">
        <v>9.5</v>
      </c>
      <c r="V1881">
        <v>33.299999999999997</v>
      </c>
    </row>
    <row r="1882" spans="1:22" x14ac:dyDescent="0.25">
      <c r="A1882" t="s">
        <v>1149</v>
      </c>
      <c r="B1882" t="s">
        <v>1038</v>
      </c>
      <c r="C1882">
        <v>11</v>
      </c>
      <c r="D1882" t="s">
        <v>79</v>
      </c>
      <c r="E1882" t="s">
        <v>96</v>
      </c>
      <c r="F1882" t="s">
        <v>78</v>
      </c>
      <c r="G1882">
        <v>0.64</v>
      </c>
      <c r="H1882" t="s">
        <v>132</v>
      </c>
      <c r="I1882">
        <v>0</v>
      </c>
      <c r="J1882" s="4" t="str">
        <f>HYPERLINK("https://www.eliteprospects.com/player/254971/ryan-evenhuis")</f>
        <v>https://www.eliteprospects.com/player/254971/ryan-evenhuis</v>
      </c>
      <c r="K1882" t="s">
        <v>27</v>
      </c>
      <c r="L1882" t="s">
        <v>918</v>
      </c>
      <c r="M1882" t="s">
        <v>35</v>
      </c>
      <c r="N1882">
        <v>1</v>
      </c>
      <c r="O1882" t="s">
        <v>984</v>
      </c>
      <c r="P1882">
        <v>0.08</v>
      </c>
      <c r="Q1882" t="s">
        <v>1277</v>
      </c>
      <c r="R1882">
        <v>16.7</v>
      </c>
      <c r="S1882">
        <v>16.7</v>
      </c>
      <c r="T1882">
        <v>25</v>
      </c>
      <c r="U1882">
        <v>16.7</v>
      </c>
      <c r="V1882">
        <v>25</v>
      </c>
    </row>
    <row r="1883" spans="1:22" x14ac:dyDescent="0.25">
      <c r="A1883" t="s">
        <v>1170</v>
      </c>
      <c r="B1883" t="s">
        <v>1038</v>
      </c>
      <c r="C1883">
        <v>16</v>
      </c>
      <c r="D1883" t="s">
        <v>79</v>
      </c>
      <c r="E1883" t="s">
        <v>66</v>
      </c>
      <c r="F1883" t="s">
        <v>57</v>
      </c>
      <c r="G1883">
        <v>0.38</v>
      </c>
      <c r="H1883" t="s">
        <v>32</v>
      </c>
      <c r="I1883">
        <v>0</v>
      </c>
      <c r="J1883" s="4" t="str">
        <f>HYPERLINK("https://www.eliteprospects.com/player/651957/nicholas-athanasakos")</f>
        <v>https://www.eliteprospects.com/player/651957/nicholas-athanasakos</v>
      </c>
      <c r="K1883" t="s">
        <v>27</v>
      </c>
      <c r="L1883" t="s">
        <v>918</v>
      </c>
      <c r="M1883" t="s">
        <v>35</v>
      </c>
      <c r="N1883">
        <v>1</v>
      </c>
      <c r="O1883" t="s">
        <v>984</v>
      </c>
      <c r="P1883">
        <v>0.05</v>
      </c>
      <c r="Q1883" t="s">
        <v>245</v>
      </c>
      <c r="R1883">
        <v>9.1</v>
      </c>
      <c r="S1883">
        <v>18.2</v>
      </c>
      <c r="T1883">
        <v>9.1</v>
      </c>
      <c r="U1883">
        <v>13.6</v>
      </c>
      <c r="V1883">
        <v>50</v>
      </c>
    </row>
    <row r="1884" spans="1:22" x14ac:dyDescent="0.25">
      <c r="A1884" t="s">
        <v>1204</v>
      </c>
      <c r="B1884" t="s">
        <v>1038</v>
      </c>
      <c r="C1884">
        <v>15</v>
      </c>
      <c r="D1884" t="s">
        <v>79</v>
      </c>
      <c r="E1884" t="s">
        <v>79</v>
      </c>
      <c r="F1884" t="s">
        <v>66</v>
      </c>
      <c r="G1884">
        <v>0.27</v>
      </c>
      <c r="H1884" t="s">
        <v>32</v>
      </c>
      <c r="I1884">
        <v>0</v>
      </c>
      <c r="J1884" s="4" t="str">
        <f>HYPERLINK("https://www.eliteprospects.com/player/479787/owen-hollingsworth")</f>
        <v>https://www.eliteprospects.com/player/479787/owen-hollingsworth</v>
      </c>
      <c r="K1884" t="s">
        <v>27</v>
      </c>
      <c r="L1884" t="s">
        <v>918</v>
      </c>
      <c r="M1884" t="s">
        <v>87</v>
      </c>
      <c r="N1884">
        <v>4</v>
      </c>
      <c r="O1884" t="s">
        <v>1070</v>
      </c>
      <c r="P1884">
        <v>0.03</v>
      </c>
      <c r="Q1884" t="s">
        <v>245</v>
      </c>
      <c r="R1884">
        <v>9.1</v>
      </c>
      <c r="S1884">
        <v>18.2</v>
      </c>
      <c r="T1884">
        <v>9.1</v>
      </c>
      <c r="U1884">
        <v>13.6</v>
      </c>
      <c r="V1884">
        <v>50</v>
      </c>
    </row>
    <row r="1885" spans="1:22" x14ac:dyDescent="0.25">
      <c r="A1885" t="s">
        <v>1214</v>
      </c>
      <c r="B1885" t="s">
        <v>1038</v>
      </c>
      <c r="C1885">
        <v>16</v>
      </c>
      <c r="D1885" t="s">
        <v>260</v>
      </c>
      <c r="E1885" t="s">
        <v>140</v>
      </c>
      <c r="F1885" t="s">
        <v>66</v>
      </c>
      <c r="G1885">
        <v>0.25</v>
      </c>
      <c r="H1885" t="s">
        <v>39</v>
      </c>
      <c r="I1885">
        <v>0</v>
      </c>
      <c r="J1885" s="4" t="str">
        <f>HYPERLINK("https://www.eliteprospects.com/player/363694/juncheng-yan")</f>
        <v>https://www.eliteprospects.com/player/363694/juncheng-yan</v>
      </c>
      <c r="K1885" t="s">
        <v>27</v>
      </c>
      <c r="L1885" t="s">
        <v>918</v>
      </c>
      <c r="M1885" t="s">
        <v>35</v>
      </c>
      <c r="N1885">
        <v>3</v>
      </c>
      <c r="O1885" t="s">
        <v>962</v>
      </c>
      <c r="P1885">
        <v>0.03</v>
      </c>
      <c r="Q1885" t="s">
        <v>245</v>
      </c>
      <c r="R1885">
        <v>9.1</v>
      </c>
      <c r="S1885">
        <v>18.2</v>
      </c>
      <c r="T1885">
        <v>9.1</v>
      </c>
      <c r="U1885">
        <v>13.6</v>
      </c>
      <c r="V1885">
        <v>50</v>
      </c>
    </row>
    <row r="1886" spans="1:22" x14ac:dyDescent="0.25">
      <c r="A1886" t="s">
        <v>1247</v>
      </c>
      <c r="B1886" t="s">
        <v>1038</v>
      </c>
      <c r="C1886">
        <v>12</v>
      </c>
      <c r="D1886" t="s">
        <v>79</v>
      </c>
      <c r="E1886" t="s">
        <v>132</v>
      </c>
      <c r="F1886" t="s">
        <v>79</v>
      </c>
      <c r="G1886">
        <v>0.17</v>
      </c>
      <c r="H1886" t="s">
        <v>66</v>
      </c>
      <c r="I1886">
        <v>0</v>
      </c>
      <c r="J1886" s="4" t="str">
        <f>HYPERLINK("https://www.eliteprospects.com/player/505224/christian-stevens")</f>
        <v>https://www.eliteprospects.com/player/505224/christian-stevens</v>
      </c>
      <c r="K1886" t="s">
        <v>27</v>
      </c>
      <c r="L1886" t="s">
        <v>918</v>
      </c>
      <c r="M1886" t="s">
        <v>42</v>
      </c>
      <c r="N1886">
        <v>6</v>
      </c>
      <c r="O1886" t="s">
        <v>995</v>
      </c>
      <c r="P1886">
        <v>0.02</v>
      </c>
      <c r="Q1886" t="s">
        <v>245</v>
      </c>
      <c r="R1886">
        <v>9.1</v>
      </c>
      <c r="S1886">
        <v>18.2</v>
      </c>
      <c r="T1886">
        <v>9.1</v>
      </c>
      <c r="U1886">
        <v>13.6</v>
      </c>
      <c r="V1886">
        <v>50</v>
      </c>
    </row>
    <row r="1887" spans="1:22" x14ac:dyDescent="0.25">
      <c r="A1887" t="s">
        <v>1255</v>
      </c>
      <c r="B1887" t="s">
        <v>1038</v>
      </c>
      <c r="C1887">
        <v>12</v>
      </c>
      <c r="D1887" t="s">
        <v>260</v>
      </c>
      <c r="E1887" t="s">
        <v>260</v>
      </c>
      <c r="F1887" t="s">
        <v>79</v>
      </c>
      <c r="G1887">
        <v>0.17</v>
      </c>
      <c r="H1887" t="s">
        <v>47</v>
      </c>
      <c r="I1887">
        <v>0</v>
      </c>
      <c r="J1887" s="4" t="str">
        <f>HYPERLINK("https://www.eliteprospects.com/player/411581/samuel-marit")</f>
        <v>https://www.eliteprospects.com/player/411581/samuel-marit</v>
      </c>
      <c r="K1887" t="s">
        <v>27</v>
      </c>
      <c r="L1887" t="s">
        <v>918</v>
      </c>
      <c r="M1887" t="s">
        <v>35</v>
      </c>
      <c r="N1887">
        <v>1</v>
      </c>
      <c r="O1887" t="s">
        <v>984</v>
      </c>
      <c r="P1887">
        <v>0.02</v>
      </c>
      <c r="Q1887" t="s">
        <v>245</v>
      </c>
      <c r="R1887">
        <v>9.1</v>
      </c>
      <c r="S1887">
        <v>18.2</v>
      </c>
      <c r="T1887">
        <v>9.1</v>
      </c>
      <c r="U1887">
        <v>13.6</v>
      </c>
      <c r="V1887">
        <v>50</v>
      </c>
    </row>
    <row r="1888" spans="1:22" x14ac:dyDescent="0.25">
      <c r="A1888" t="s">
        <v>287</v>
      </c>
      <c r="B1888" t="s">
        <v>288</v>
      </c>
      <c r="C1888">
        <v>16</v>
      </c>
      <c r="D1888" t="s">
        <v>132</v>
      </c>
      <c r="E1888" t="s">
        <v>32</v>
      </c>
      <c r="F1888" t="s">
        <v>32</v>
      </c>
      <c r="G1888">
        <v>0.63</v>
      </c>
      <c r="H1888" t="s">
        <v>57</v>
      </c>
      <c r="I1888">
        <v>0</v>
      </c>
      <c r="J1888" s="4" t="str">
        <f>HYPERLINK("https://www.eliteprospects.com/player/558792/colin-kessler")</f>
        <v>https://www.eliteprospects.com/player/558792/colin-kessler</v>
      </c>
      <c r="K1888" t="s">
        <v>27</v>
      </c>
      <c r="L1888" t="s">
        <v>28</v>
      </c>
      <c r="M1888" t="s">
        <v>35</v>
      </c>
      <c r="N1888">
        <v>2</v>
      </c>
      <c r="O1888" t="s">
        <v>43</v>
      </c>
      <c r="P1888">
        <v>0.12</v>
      </c>
      <c r="Q1888" t="s">
        <v>135</v>
      </c>
      <c r="R1888">
        <v>11.1</v>
      </c>
      <c r="S1888">
        <v>44.4</v>
      </c>
      <c r="T1888">
        <v>11.1</v>
      </c>
      <c r="U1888">
        <v>11.1</v>
      </c>
      <c r="V1888">
        <v>22.2</v>
      </c>
    </row>
    <row r="1889" spans="1:22" x14ac:dyDescent="0.25">
      <c r="A1889" t="s">
        <v>331</v>
      </c>
      <c r="B1889" t="s">
        <v>288</v>
      </c>
      <c r="C1889">
        <v>14</v>
      </c>
      <c r="D1889" t="s">
        <v>66</v>
      </c>
      <c r="E1889" t="s">
        <v>140</v>
      </c>
      <c r="F1889" t="s">
        <v>78</v>
      </c>
      <c r="G1889">
        <v>0.5</v>
      </c>
      <c r="H1889" t="s">
        <v>79</v>
      </c>
      <c r="I1889">
        <v>4</v>
      </c>
      <c r="J1889" s="4" t="str">
        <f>HYPERLINK("https://www.eliteprospects.com/player/626520/jonah-aegerter")</f>
        <v>https://www.eliteprospects.com/player/626520/jonah-aegerter</v>
      </c>
      <c r="K1889" t="s">
        <v>27</v>
      </c>
      <c r="L1889" t="s">
        <v>28</v>
      </c>
      <c r="M1889" t="s">
        <v>42</v>
      </c>
      <c r="N1889">
        <v>1</v>
      </c>
      <c r="O1889" t="s">
        <v>71</v>
      </c>
      <c r="P1889">
        <v>0.1</v>
      </c>
      <c r="Q1889" t="s">
        <v>245</v>
      </c>
      <c r="R1889">
        <v>20</v>
      </c>
      <c r="S1889">
        <v>20</v>
      </c>
      <c r="T1889">
        <v>20</v>
      </c>
      <c r="U1889">
        <v>0</v>
      </c>
      <c r="V1889">
        <v>40</v>
      </c>
    </row>
    <row r="1890" spans="1:22" x14ac:dyDescent="0.25">
      <c r="A1890" t="s">
        <v>382</v>
      </c>
      <c r="B1890" t="s">
        <v>288</v>
      </c>
      <c r="C1890">
        <v>16</v>
      </c>
      <c r="D1890" t="s">
        <v>79</v>
      </c>
      <c r="E1890" t="s">
        <v>140</v>
      </c>
      <c r="F1890" t="s">
        <v>96</v>
      </c>
      <c r="G1890">
        <v>0.31</v>
      </c>
      <c r="H1890" t="s">
        <v>23</v>
      </c>
      <c r="I1890">
        <v>-1</v>
      </c>
      <c r="J1890" s="4" t="str">
        <f>HYPERLINK("https://www.eliteprospects.com/player/676299/jens-richards")</f>
        <v>https://www.eliteprospects.com/player/676299/jens-richards</v>
      </c>
      <c r="K1890" t="s">
        <v>27</v>
      </c>
      <c r="L1890" t="s">
        <v>28</v>
      </c>
      <c r="M1890" t="s">
        <v>35</v>
      </c>
      <c r="N1890">
        <v>4</v>
      </c>
      <c r="O1890" t="s">
        <v>30</v>
      </c>
      <c r="P1890">
        <v>0.06</v>
      </c>
      <c r="Q1890" t="s">
        <v>135</v>
      </c>
      <c r="R1890">
        <v>0</v>
      </c>
      <c r="S1890">
        <v>33.299999999999997</v>
      </c>
      <c r="T1890">
        <v>23.8</v>
      </c>
      <c r="U1890">
        <v>9.5</v>
      </c>
      <c r="V1890">
        <v>33.299999999999997</v>
      </c>
    </row>
    <row r="1891" spans="1:22" x14ac:dyDescent="0.25">
      <c r="A1891" t="s">
        <v>383</v>
      </c>
      <c r="B1891" t="s">
        <v>288</v>
      </c>
      <c r="C1891">
        <v>17</v>
      </c>
      <c r="D1891" t="s">
        <v>79</v>
      </c>
      <c r="E1891" t="s">
        <v>140</v>
      </c>
      <c r="F1891" t="s">
        <v>96</v>
      </c>
      <c r="G1891">
        <v>0.28999999999999998</v>
      </c>
      <c r="H1891" t="s">
        <v>66</v>
      </c>
      <c r="I1891">
        <v>-2</v>
      </c>
      <c r="J1891" s="4" t="str">
        <f>HYPERLINK("https://www.eliteprospects.com/player/682734/matteo-michels")</f>
        <v>https://www.eliteprospects.com/player/682734/matteo-michels</v>
      </c>
      <c r="K1891" t="s">
        <v>27</v>
      </c>
      <c r="L1891" t="s">
        <v>28</v>
      </c>
      <c r="M1891" t="s">
        <v>155</v>
      </c>
      <c r="N1891">
        <v>5</v>
      </c>
      <c r="O1891" t="s">
        <v>152</v>
      </c>
      <c r="P1891">
        <v>0.06</v>
      </c>
      <c r="Q1891" t="s">
        <v>135</v>
      </c>
      <c r="R1891">
        <v>0</v>
      </c>
      <c r="S1891">
        <v>33.299999999999997</v>
      </c>
      <c r="T1891">
        <v>23.8</v>
      </c>
      <c r="U1891">
        <v>9.5</v>
      </c>
      <c r="V1891">
        <v>33.299999999999997</v>
      </c>
    </row>
    <row r="1892" spans="1:22" x14ac:dyDescent="0.25">
      <c r="A1892" t="s">
        <v>392</v>
      </c>
      <c r="B1892" t="s">
        <v>288</v>
      </c>
      <c r="C1892">
        <v>10</v>
      </c>
      <c r="D1892" t="s">
        <v>140</v>
      </c>
      <c r="E1892" t="s">
        <v>260</v>
      </c>
      <c r="F1892" t="s">
        <v>66</v>
      </c>
      <c r="G1892">
        <v>0.4</v>
      </c>
      <c r="H1892" t="s">
        <v>66</v>
      </c>
      <c r="I1892">
        <v>-1</v>
      </c>
      <c r="J1892" s="4" t="str">
        <f>HYPERLINK("https://www.eliteprospects.com/player/419768/massimo-lombardi")</f>
        <v>https://www.eliteprospects.com/player/419768/massimo-lombardi</v>
      </c>
      <c r="K1892" t="s">
        <v>27</v>
      </c>
      <c r="L1892" t="s">
        <v>28</v>
      </c>
      <c r="M1892" t="s">
        <v>42</v>
      </c>
      <c r="N1892">
        <v>4</v>
      </c>
      <c r="O1892" t="s">
        <v>30</v>
      </c>
      <c r="P1892">
        <v>0.08</v>
      </c>
      <c r="Q1892" t="s">
        <v>1277</v>
      </c>
      <c r="R1892">
        <v>16.7</v>
      </c>
      <c r="S1892">
        <v>16.7</v>
      </c>
      <c r="T1892">
        <v>25</v>
      </c>
      <c r="U1892">
        <v>16.7</v>
      </c>
      <c r="V1892">
        <v>25</v>
      </c>
    </row>
    <row r="1893" spans="1:22" x14ac:dyDescent="0.25">
      <c r="A1893" t="s">
        <v>406</v>
      </c>
      <c r="B1893" t="s">
        <v>288</v>
      </c>
      <c r="C1893">
        <v>14</v>
      </c>
      <c r="D1893" t="s">
        <v>79</v>
      </c>
      <c r="E1893" t="s">
        <v>79</v>
      </c>
      <c r="F1893" t="s">
        <v>66</v>
      </c>
      <c r="G1893">
        <v>0.28999999999999998</v>
      </c>
      <c r="H1893" t="s">
        <v>132</v>
      </c>
      <c r="I1893">
        <v>-6</v>
      </c>
      <c r="J1893" s="4" t="str">
        <f>HYPERLINK("https://www.eliteprospects.com/player/693250/blake-steenerson")</f>
        <v>https://www.eliteprospects.com/player/693250/blake-steenerson</v>
      </c>
      <c r="K1893" t="s">
        <v>27</v>
      </c>
      <c r="L1893" t="s">
        <v>28</v>
      </c>
      <c r="M1893" t="s">
        <v>35</v>
      </c>
      <c r="N1893">
        <v>2</v>
      </c>
      <c r="O1893" t="s">
        <v>43</v>
      </c>
      <c r="P1893">
        <v>0.06</v>
      </c>
      <c r="Q1893" t="s">
        <v>245</v>
      </c>
      <c r="R1893">
        <v>0</v>
      </c>
      <c r="S1893">
        <v>15.4</v>
      </c>
      <c r="T1893">
        <v>7.7</v>
      </c>
      <c r="U1893">
        <v>30.8</v>
      </c>
      <c r="V1893">
        <v>46.2</v>
      </c>
    </row>
    <row r="1894" spans="1:22" x14ac:dyDescent="0.25">
      <c r="A1894" t="s">
        <v>423</v>
      </c>
      <c r="B1894" t="s">
        <v>288</v>
      </c>
      <c r="C1894">
        <v>15</v>
      </c>
      <c r="D1894" t="s">
        <v>79</v>
      </c>
      <c r="E1894" t="s">
        <v>260</v>
      </c>
      <c r="F1894" t="s">
        <v>140</v>
      </c>
      <c r="G1894">
        <v>0.2</v>
      </c>
      <c r="H1894" t="s">
        <v>57</v>
      </c>
      <c r="I1894">
        <v>-13</v>
      </c>
      <c r="J1894" s="4" t="str">
        <f>HYPERLINK("https://www.eliteprospects.com/player/623838/max-strand")</f>
        <v>https://www.eliteprospects.com/player/623838/max-strand</v>
      </c>
      <c r="K1894" t="s">
        <v>27</v>
      </c>
      <c r="L1894" t="s">
        <v>28</v>
      </c>
      <c r="M1894" t="s">
        <v>35</v>
      </c>
      <c r="N1894">
        <v>2</v>
      </c>
      <c r="O1894" t="s">
        <v>43</v>
      </c>
      <c r="P1894">
        <v>0.04</v>
      </c>
      <c r="Q1894" t="s">
        <v>245</v>
      </c>
      <c r="R1894">
        <v>13.3</v>
      </c>
      <c r="S1894">
        <v>13.3</v>
      </c>
      <c r="T1894">
        <v>0</v>
      </c>
      <c r="U1894">
        <v>13.3</v>
      </c>
      <c r="V1894">
        <v>60</v>
      </c>
    </row>
    <row r="1895" spans="1:22" x14ac:dyDescent="0.25">
      <c r="A1895" t="s">
        <v>434</v>
      </c>
      <c r="B1895" t="s">
        <v>288</v>
      </c>
      <c r="C1895">
        <v>16</v>
      </c>
      <c r="D1895" t="s">
        <v>260</v>
      </c>
      <c r="E1895" t="s">
        <v>79</v>
      </c>
      <c r="F1895" t="s">
        <v>140</v>
      </c>
      <c r="G1895">
        <v>0.19</v>
      </c>
      <c r="H1895" t="s">
        <v>57</v>
      </c>
      <c r="I1895">
        <v>-11</v>
      </c>
      <c r="J1895" s="4" t="str">
        <f>HYPERLINK("https://www.eliteprospects.com/player/535814/cedrick-guindon")</f>
        <v>https://www.eliteprospects.com/player/535814/cedrick-guindon</v>
      </c>
      <c r="K1895" t="s">
        <v>27</v>
      </c>
      <c r="L1895" t="s">
        <v>28</v>
      </c>
      <c r="M1895" t="s">
        <v>143</v>
      </c>
      <c r="N1895">
        <v>7</v>
      </c>
      <c r="O1895" t="s">
        <v>159</v>
      </c>
      <c r="P1895">
        <v>0.04</v>
      </c>
      <c r="Q1895" t="s">
        <v>245</v>
      </c>
      <c r="R1895">
        <v>13.3</v>
      </c>
      <c r="S1895">
        <v>13.3</v>
      </c>
      <c r="T1895">
        <v>0</v>
      </c>
      <c r="U1895">
        <v>13.3</v>
      </c>
      <c r="V1895">
        <v>60</v>
      </c>
    </row>
    <row r="1896" spans="1:22" x14ac:dyDescent="0.25">
      <c r="A1896" t="s">
        <v>436</v>
      </c>
      <c r="B1896" t="s">
        <v>288</v>
      </c>
      <c r="C1896">
        <v>17</v>
      </c>
      <c r="D1896" t="s">
        <v>260</v>
      </c>
      <c r="E1896" t="s">
        <v>79</v>
      </c>
      <c r="F1896" t="s">
        <v>140</v>
      </c>
      <c r="G1896">
        <v>0.18</v>
      </c>
      <c r="H1896" t="s">
        <v>32</v>
      </c>
      <c r="I1896">
        <v>-3</v>
      </c>
      <c r="J1896" s="4" t="str">
        <f>HYPERLINK("https://www.eliteprospects.com/player/422329/dawson-good")</f>
        <v>https://www.eliteprospects.com/player/422329/dawson-good</v>
      </c>
      <c r="K1896" t="s">
        <v>27</v>
      </c>
      <c r="L1896" t="s">
        <v>28</v>
      </c>
      <c r="M1896" t="s">
        <v>35</v>
      </c>
      <c r="N1896">
        <v>4</v>
      </c>
      <c r="O1896" t="s">
        <v>30</v>
      </c>
      <c r="P1896">
        <v>0.03</v>
      </c>
      <c r="Q1896" t="s">
        <v>245</v>
      </c>
      <c r="R1896">
        <v>9.1</v>
      </c>
      <c r="S1896">
        <v>18.2</v>
      </c>
      <c r="T1896">
        <v>9.1</v>
      </c>
      <c r="U1896">
        <v>13.6</v>
      </c>
      <c r="V1896">
        <v>50</v>
      </c>
    </row>
    <row r="1897" spans="1:22" x14ac:dyDescent="0.25">
      <c r="A1897" t="s">
        <v>447</v>
      </c>
      <c r="B1897" t="s">
        <v>288</v>
      </c>
      <c r="C1897">
        <v>13</v>
      </c>
      <c r="D1897" t="s">
        <v>79</v>
      </c>
      <c r="E1897" t="s">
        <v>132</v>
      </c>
      <c r="F1897" t="s">
        <v>79</v>
      </c>
      <c r="G1897">
        <v>0.15</v>
      </c>
      <c r="H1897" t="s">
        <v>66</v>
      </c>
      <c r="I1897">
        <v>-6</v>
      </c>
      <c r="J1897" s="4" t="str">
        <f>HYPERLINK("https://www.eliteprospects.com/player/478376/daniel-sambuco")</f>
        <v>https://www.eliteprospects.com/player/478376/daniel-sambuco</v>
      </c>
      <c r="K1897" t="s">
        <v>27</v>
      </c>
      <c r="L1897" t="s">
        <v>28</v>
      </c>
      <c r="M1897" t="s">
        <v>35</v>
      </c>
      <c r="N1897">
        <v>3</v>
      </c>
      <c r="O1897" t="s">
        <v>74</v>
      </c>
      <c r="P1897">
        <v>0.03</v>
      </c>
      <c r="Q1897" t="s">
        <v>245</v>
      </c>
      <c r="R1897">
        <v>13.3</v>
      </c>
      <c r="S1897">
        <v>13.3</v>
      </c>
      <c r="T1897">
        <v>0</v>
      </c>
      <c r="U1897">
        <v>13.3</v>
      </c>
      <c r="V1897">
        <v>60</v>
      </c>
    </row>
    <row r="1898" spans="1:22" x14ac:dyDescent="0.25">
      <c r="A1898" t="s">
        <v>448</v>
      </c>
      <c r="B1898" t="s">
        <v>288</v>
      </c>
      <c r="C1898">
        <v>11</v>
      </c>
      <c r="D1898" t="s">
        <v>260</v>
      </c>
      <c r="E1898" t="s">
        <v>260</v>
      </c>
      <c r="F1898" t="s">
        <v>79</v>
      </c>
      <c r="G1898">
        <v>0.18</v>
      </c>
      <c r="H1898" t="s">
        <v>66</v>
      </c>
      <c r="I1898">
        <v>-2</v>
      </c>
      <c r="J1898" s="4" t="str">
        <f>HYPERLINK("https://www.eliteprospects.com/player/640283/ethan-burroughs")</f>
        <v>https://www.eliteprospects.com/player/640283/ethan-burroughs</v>
      </c>
      <c r="K1898" t="s">
        <v>27</v>
      </c>
      <c r="L1898" t="s">
        <v>28</v>
      </c>
      <c r="M1898" t="s">
        <v>29</v>
      </c>
      <c r="N1898">
        <v>7</v>
      </c>
      <c r="O1898" t="s">
        <v>159</v>
      </c>
      <c r="P1898">
        <v>0.03</v>
      </c>
      <c r="Q1898" t="s">
        <v>245</v>
      </c>
      <c r="R1898">
        <v>9.1</v>
      </c>
      <c r="S1898">
        <v>18.2</v>
      </c>
      <c r="T1898">
        <v>9.1</v>
      </c>
      <c r="U1898">
        <v>13.6</v>
      </c>
      <c r="V1898">
        <v>50</v>
      </c>
    </row>
    <row r="1899" spans="1:22" x14ac:dyDescent="0.25">
      <c r="A1899" t="s">
        <v>451</v>
      </c>
      <c r="B1899" t="s">
        <v>288</v>
      </c>
      <c r="C1899">
        <v>13</v>
      </c>
      <c r="D1899" t="s">
        <v>260</v>
      </c>
      <c r="E1899" t="s">
        <v>260</v>
      </c>
      <c r="F1899" t="s">
        <v>79</v>
      </c>
      <c r="G1899">
        <v>0.15</v>
      </c>
      <c r="H1899" t="s">
        <v>32</v>
      </c>
      <c r="I1899">
        <v>-7</v>
      </c>
      <c r="J1899" s="4" t="str">
        <f>HYPERLINK("https://www.eliteprospects.com/player/574824/zach-filak")</f>
        <v>https://www.eliteprospects.com/player/574824/zach-filak</v>
      </c>
      <c r="K1899" t="s">
        <v>27</v>
      </c>
      <c r="L1899" t="s">
        <v>28</v>
      </c>
      <c r="M1899" t="s">
        <v>42</v>
      </c>
      <c r="N1899">
        <v>7</v>
      </c>
      <c r="O1899" t="s">
        <v>159</v>
      </c>
      <c r="P1899">
        <v>0.03</v>
      </c>
      <c r="Q1899" t="s">
        <v>245</v>
      </c>
      <c r="R1899">
        <v>13.3</v>
      </c>
      <c r="S1899">
        <v>13.3</v>
      </c>
      <c r="T1899">
        <v>0</v>
      </c>
      <c r="U1899">
        <v>13.3</v>
      </c>
      <c r="V1899">
        <v>60</v>
      </c>
    </row>
    <row r="1900" spans="1:22" x14ac:dyDescent="0.25">
      <c r="A1900" t="s">
        <v>453</v>
      </c>
      <c r="B1900" t="s">
        <v>288</v>
      </c>
      <c r="C1900">
        <v>16</v>
      </c>
      <c r="D1900" t="s">
        <v>260</v>
      </c>
      <c r="E1900" t="s">
        <v>260</v>
      </c>
      <c r="F1900" t="s">
        <v>79</v>
      </c>
      <c r="G1900">
        <v>0.13</v>
      </c>
      <c r="H1900" t="s">
        <v>26</v>
      </c>
      <c r="I1900">
        <v>-6</v>
      </c>
      <c r="J1900" s="4" t="str">
        <f>HYPERLINK("https://www.eliteprospects.com/player/504239/thomas-sinclair")</f>
        <v>https://www.eliteprospects.com/player/504239/thomas-sinclair</v>
      </c>
      <c r="K1900" t="s">
        <v>27</v>
      </c>
      <c r="L1900" t="s">
        <v>28</v>
      </c>
      <c r="M1900" t="s">
        <v>42</v>
      </c>
      <c r="N1900">
        <v>4</v>
      </c>
      <c r="O1900" t="s">
        <v>30</v>
      </c>
      <c r="P1900">
        <v>0.03</v>
      </c>
      <c r="Q1900" t="s">
        <v>245</v>
      </c>
      <c r="R1900">
        <v>13.3</v>
      </c>
      <c r="S1900">
        <v>13.3</v>
      </c>
      <c r="T1900">
        <v>0</v>
      </c>
      <c r="U1900">
        <v>13.3</v>
      </c>
      <c r="V1900">
        <v>60</v>
      </c>
    </row>
    <row r="1901" spans="1:22" x14ac:dyDescent="0.25">
      <c r="A1901" t="s">
        <v>1031</v>
      </c>
      <c r="B1901" t="s">
        <v>1032</v>
      </c>
      <c r="C1901">
        <v>16</v>
      </c>
      <c r="D1901" t="s">
        <v>96</v>
      </c>
      <c r="E1901" t="s">
        <v>32</v>
      </c>
      <c r="F1901" t="s">
        <v>41</v>
      </c>
      <c r="G1901">
        <v>0.94</v>
      </c>
      <c r="H1901" t="s">
        <v>47</v>
      </c>
      <c r="I1901">
        <v>0</v>
      </c>
      <c r="J1901" s="4" t="str">
        <f>HYPERLINK("https://www.eliteprospects.com/player/424320/emmett-pierce")</f>
        <v>https://www.eliteprospects.com/player/424320/emmett-pierce</v>
      </c>
      <c r="K1901" t="s">
        <v>27</v>
      </c>
      <c r="L1901" t="s">
        <v>918</v>
      </c>
      <c r="M1901" t="s">
        <v>29</v>
      </c>
      <c r="N1901">
        <v>4</v>
      </c>
      <c r="O1901" t="s">
        <v>1033</v>
      </c>
      <c r="P1901">
        <v>0.12</v>
      </c>
      <c r="Q1901" t="s">
        <v>135</v>
      </c>
      <c r="R1901">
        <v>11.1</v>
      </c>
      <c r="S1901">
        <v>44.4</v>
      </c>
      <c r="T1901">
        <v>11.1</v>
      </c>
      <c r="U1901">
        <v>11.1</v>
      </c>
      <c r="V1901">
        <v>22.2</v>
      </c>
    </row>
    <row r="1902" spans="1:22" x14ac:dyDescent="0.25">
      <c r="A1902" t="s">
        <v>1045</v>
      </c>
      <c r="B1902" t="s">
        <v>1032</v>
      </c>
      <c r="C1902">
        <v>17</v>
      </c>
      <c r="D1902" t="s">
        <v>57</v>
      </c>
      <c r="E1902" t="s">
        <v>26</v>
      </c>
      <c r="F1902" t="s">
        <v>39</v>
      </c>
      <c r="G1902">
        <v>0.82</v>
      </c>
      <c r="H1902" t="s">
        <v>79</v>
      </c>
      <c r="I1902">
        <v>0</v>
      </c>
      <c r="J1902" s="4" t="str">
        <f>HYPERLINK("https://www.eliteprospects.com/player/582713/jaxson-murray")</f>
        <v>https://www.eliteprospects.com/player/582713/jaxson-murray</v>
      </c>
      <c r="K1902" t="s">
        <v>27</v>
      </c>
      <c r="L1902" t="s">
        <v>918</v>
      </c>
      <c r="M1902" t="s">
        <v>29</v>
      </c>
      <c r="N1902">
        <v>1</v>
      </c>
      <c r="O1902" t="s">
        <v>984</v>
      </c>
      <c r="P1902">
        <v>0.1</v>
      </c>
      <c r="Q1902" t="s">
        <v>245</v>
      </c>
      <c r="R1902">
        <v>0</v>
      </c>
      <c r="S1902">
        <v>33.299999999999997</v>
      </c>
      <c r="T1902">
        <v>0</v>
      </c>
      <c r="U1902">
        <v>0</v>
      </c>
      <c r="V1902">
        <v>66.7</v>
      </c>
    </row>
    <row r="1903" spans="1:22" x14ac:dyDescent="0.25">
      <c r="A1903" t="s">
        <v>1092</v>
      </c>
      <c r="B1903" t="s">
        <v>1032</v>
      </c>
      <c r="C1903">
        <v>17</v>
      </c>
      <c r="D1903" t="s">
        <v>96</v>
      </c>
      <c r="E1903" t="s">
        <v>57</v>
      </c>
      <c r="F1903" t="s">
        <v>69</v>
      </c>
      <c r="G1903">
        <v>0.65</v>
      </c>
      <c r="H1903" t="s">
        <v>79</v>
      </c>
      <c r="I1903">
        <v>0</v>
      </c>
      <c r="J1903" s="4" t="str">
        <f>HYPERLINK("https://www.eliteprospects.com/player/504071/jaden-goldie")</f>
        <v>https://www.eliteprospects.com/player/504071/jaden-goldie</v>
      </c>
      <c r="K1903" t="s">
        <v>27</v>
      </c>
      <c r="L1903" t="s">
        <v>918</v>
      </c>
      <c r="M1903" t="s">
        <v>35</v>
      </c>
      <c r="N1903">
        <v>2</v>
      </c>
      <c r="O1903" t="s">
        <v>1021</v>
      </c>
      <c r="P1903">
        <v>0.08</v>
      </c>
      <c r="Q1903" t="s">
        <v>1277</v>
      </c>
      <c r="R1903">
        <v>16.7</v>
      </c>
      <c r="S1903">
        <v>16.7</v>
      </c>
      <c r="T1903">
        <v>25</v>
      </c>
      <c r="U1903">
        <v>16.7</v>
      </c>
      <c r="V1903">
        <v>25</v>
      </c>
    </row>
    <row r="1904" spans="1:22" x14ac:dyDescent="0.25">
      <c r="A1904" t="s">
        <v>1099</v>
      </c>
      <c r="B1904" t="s">
        <v>1032</v>
      </c>
      <c r="C1904">
        <v>17</v>
      </c>
      <c r="D1904" t="s">
        <v>66</v>
      </c>
      <c r="E1904" t="s">
        <v>78</v>
      </c>
      <c r="F1904" t="s">
        <v>69</v>
      </c>
      <c r="G1904">
        <v>0.65</v>
      </c>
      <c r="H1904" t="s">
        <v>40</v>
      </c>
      <c r="I1904">
        <v>0</v>
      </c>
      <c r="J1904" s="4" t="str">
        <f>HYPERLINK("https://www.eliteprospects.com/player/413079/nathanial-bierd")</f>
        <v>https://www.eliteprospects.com/player/413079/nathanial-bierd</v>
      </c>
      <c r="K1904" t="s">
        <v>27</v>
      </c>
      <c r="L1904" t="s">
        <v>918</v>
      </c>
      <c r="M1904" t="s">
        <v>42</v>
      </c>
      <c r="N1904">
        <v>3</v>
      </c>
      <c r="O1904" t="s">
        <v>962</v>
      </c>
      <c r="P1904">
        <v>0.08</v>
      </c>
      <c r="Q1904" t="s">
        <v>1277</v>
      </c>
      <c r="R1904">
        <v>16.7</v>
      </c>
      <c r="S1904">
        <v>16.7</v>
      </c>
      <c r="T1904">
        <v>25</v>
      </c>
      <c r="U1904">
        <v>16.7</v>
      </c>
      <c r="V1904">
        <v>25</v>
      </c>
    </row>
    <row r="1905" spans="1:22" x14ac:dyDescent="0.25">
      <c r="A1905" t="s">
        <v>1105</v>
      </c>
      <c r="B1905" t="s">
        <v>1032</v>
      </c>
      <c r="C1905">
        <v>16</v>
      </c>
      <c r="D1905" t="s">
        <v>57</v>
      </c>
      <c r="E1905" t="s">
        <v>66</v>
      </c>
      <c r="F1905" t="s">
        <v>32</v>
      </c>
      <c r="G1905">
        <v>0.63</v>
      </c>
      <c r="H1905" t="s">
        <v>24</v>
      </c>
      <c r="I1905">
        <v>0</v>
      </c>
      <c r="J1905" s="4" t="str">
        <f>HYPERLINK("https://www.eliteprospects.com/player/529246/jesse-fishman")</f>
        <v>https://www.eliteprospects.com/player/529246/jesse-fishman</v>
      </c>
      <c r="K1905" t="s">
        <v>27</v>
      </c>
      <c r="L1905" t="s">
        <v>918</v>
      </c>
      <c r="M1905" t="s">
        <v>42</v>
      </c>
      <c r="N1905">
        <v>5</v>
      </c>
      <c r="O1905" t="s">
        <v>1064</v>
      </c>
      <c r="P1905">
        <v>0.08</v>
      </c>
      <c r="Q1905" t="s">
        <v>1277</v>
      </c>
      <c r="R1905">
        <v>16.7</v>
      </c>
      <c r="S1905">
        <v>16.7</v>
      </c>
      <c r="T1905">
        <v>25</v>
      </c>
      <c r="U1905">
        <v>16.7</v>
      </c>
      <c r="V1905">
        <v>25</v>
      </c>
    </row>
    <row r="1906" spans="1:22" x14ac:dyDescent="0.25">
      <c r="A1906" t="s">
        <v>1169</v>
      </c>
      <c r="B1906" t="s">
        <v>1032</v>
      </c>
      <c r="C1906">
        <v>15</v>
      </c>
      <c r="D1906" t="s">
        <v>79</v>
      </c>
      <c r="E1906" t="s">
        <v>66</v>
      </c>
      <c r="F1906" t="s">
        <v>57</v>
      </c>
      <c r="G1906">
        <v>0.4</v>
      </c>
      <c r="H1906" t="s">
        <v>26</v>
      </c>
      <c r="I1906">
        <v>0</v>
      </c>
      <c r="J1906" s="4" t="str">
        <f>HYPERLINK("https://www.eliteprospects.com/player/702156/jaden-reyers")</f>
        <v>https://www.eliteprospects.com/player/702156/jaden-reyers</v>
      </c>
      <c r="K1906" t="s">
        <v>27</v>
      </c>
      <c r="L1906" t="s">
        <v>918</v>
      </c>
      <c r="M1906" t="s">
        <v>42</v>
      </c>
      <c r="N1906">
        <v>3</v>
      </c>
      <c r="O1906" t="s">
        <v>1119</v>
      </c>
      <c r="P1906">
        <v>0.05</v>
      </c>
      <c r="Q1906" t="s">
        <v>245</v>
      </c>
      <c r="R1906">
        <v>9.1</v>
      </c>
      <c r="S1906">
        <v>18.2</v>
      </c>
      <c r="T1906">
        <v>9.1</v>
      </c>
      <c r="U1906">
        <v>13.6</v>
      </c>
      <c r="V1906">
        <v>50</v>
      </c>
    </row>
    <row r="1907" spans="1:22" x14ac:dyDescent="0.25">
      <c r="A1907" t="s">
        <v>1179</v>
      </c>
      <c r="B1907" t="s">
        <v>1032</v>
      </c>
      <c r="C1907">
        <v>15</v>
      </c>
      <c r="D1907" t="s">
        <v>66</v>
      </c>
      <c r="E1907" t="s">
        <v>260</v>
      </c>
      <c r="F1907" t="s">
        <v>96</v>
      </c>
      <c r="G1907">
        <v>0.33</v>
      </c>
      <c r="H1907" t="s">
        <v>61</v>
      </c>
      <c r="I1907">
        <v>0</v>
      </c>
      <c r="J1907" s="4" t="str">
        <f>HYPERLINK("https://www.eliteprospects.com/player/373699/cole-fraser")</f>
        <v>https://www.eliteprospects.com/player/373699/cole-fraser</v>
      </c>
      <c r="K1907" t="s">
        <v>27</v>
      </c>
      <c r="L1907" t="s">
        <v>918</v>
      </c>
      <c r="M1907" t="s">
        <v>91</v>
      </c>
      <c r="N1907">
        <v>5</v>
      </c>
      <c r="O1907" t="s">
        <v>973</v>
      </c>
      <c r="P1907">
        <v>0.04</v>
      </c>
      <c r="Q1907" t="s">
        <v>245</v>
      </c>
      <c r="R1907">
        <v>9.1</v>
      </c>
      <c r="S1907">
        <v>18.2</v>
      </c>
      <c r="T1907">
        <v>9.1</v>
      </c>
      <c r="U1907">
        <v>13.6</v>
      </c>
      <c r="V1907">
        <v>50</v>
      </c>
    </row>
    <row r="1908" spans="1:22" x14ac:dyDescent="0.25">
      <c r="A1908" t="s">
        <v>1185</v>
      </c>
      <c r="B1908" t="s">
        <v>1032</v>
      </c>
      <c r="C1908">
        <v>14</v>
      </c>
      <c r="D1908" t="s">
        <v>140</v>
      </c>
      <c r="E1908" t="s">
        <v>79</v>
      </c>
      <c r="F1908" t="s">
        <v>96</v>
      </c>
      <c r="G1908">
        <v>0.36</v>
      </c>
      <c r="H1908" t="s">
        <v>23</v>
      </c>
      <c r="I1908">
        <v>0</v>
      </c>
      <c r="J1908" s="4" t="str">
        <f>HYPERLINK("https://www.eliteprospects.com/player/640794/cory-jewitt")</f>
        <v>https://www.eliteprospects.com/player/640794/cory-jewitt</v>
      </c>
      <c r="K1908" t="s">
        <v>27</v>
      </c>
      <c r="L1908" t="s">
        <v>918</v>
      </c>
      <c r="M1908" t="s">
        <v>91</v>
      </c>
      <c r="N1908">
        <v>1</v>
      </c>
      <c r="O1908" t="s">
        <v>984</v>
      </c>
      <c r="P1908">
        <v>0.04</v>
      </c>
      <c r="Q1908" t="s">
        <v>245</v>
      </c>
      <c r="R1908">
        <v>9.1</v>
      </c>
      <c r="S1908">
        <v>18.2</v>
      </c>
      <c r="T1908">
        <v>9.1</v>
      </c>
      <c r="U1908">
        <v>13.6</v>
      </c>
      <c r="V1908">
        <v>50</v>
      </c>
    </row>
    <row r="1909" spans="1:22" x14ac:dyDescent="0.25">
      <c r="A1909" t="s">
        <v>1195</v>
      </c>
      <c r="B1909" t="s">
        <v>1032</v>
      </c>
      <c r="C1909">
        <v>17</v>
      </c>
      <c r="D1909" t="s">
        <v>260</v>
      </c>
      <c r="E1909" t="s">
        <v>66</v>
      </c>
      <c r="F1909" t="s">
        <v>96</v>
      </c>
      <c r="G1909">
        <v>0.28999999999999998</v>
      </c>
      <c r="H1909" t="s">
        <v>55</v>
      </c>
      <c r="I1909">
        <v>0</v>
      </c>
      <c r="J1909" s="4" t="str">
        <f>HYPERLINK("https://www.eliteprospects.com/player/477654/max-monette")</f>
        <v>https://www.eliteprospects.com/player/477654/max-monette</v>
      </c>
      <c r="K1909" t="s">
        <v>27</v>
      </c>
      <c r="L1909" t="s">
        <v>918</v>
      </c>
      <c r="M1909" t="s">
        <v>42</v>
      </c>
      <c r="N1909">
        <v>1</v>
      </c>
      <c r="O1909" t="s">
        <v>984</v>
      </c>
      <c r="P1909">
        <v>0.04</v>
      </c>
      <c r="Q1909" t="s">
        <v>245</v>
      </c>
      <c r="R1909">
        <v>9.1</v>
      </c>
      <c r="S1909">
        <v>18.2</v>
      </c>
      <c r="T1909">
        <v>9.1</v>
      </c>
      <c r="U1909">
        <v>13.6</v>
      </c>
      <c r="V1909">
        <v>50</v>
      </c>
    </row>
    <row r="1910" spans="1:22" x14ac:dyDescent="0.25">
      <c r="A1910" t="s">
        <v>1199</v>
      </c>
      <c r="B1910" t="s">
        <v>1032</v>
      </c>
      <c r="C1910">
        <v>12</v>
      </c>
      <c r="D1910" t="s">
        <v>79</v>
      </c>
      <c r="E1910" t="s">
        <v>79</v>
      </c>
      <c r="F1910" t="s">
        <v>66</v>
      </c>
      <c r="G1910">
        <v>0.33</v>
      </c>
      <c r="H1910" t="s">
        <v>34</v>
      </c>
      <c r="I1910">
        <v>0</v>
      </c>
      <c r="J1910" s="4" t="str">
        <f>HYPERLINK("https://www.eliteprospects.com/player/647568/evan-klein")</f>
        <v>https://www.eliteprospects.com/player/647568/evan-klein</v>
      </c>
      <c r="K1910" t="s">
        <v>27</v>
      </c>
      <c r="L1910" t="s">
        <v>918</v>
      </c>
      <c r="M1910" t="s">
        <v>91</v>
      </c>
      <c r="N1910">
        <v>6</v>
      </c>
      <c r="O1910" t="s">
        <v>970</v>
      </c>
      <c r="P1910">
        <v>0.04</v>
      </c>
      <c r="Q1910" t="s">
        <v>245</v>
      </c>
      <c r="R1910">
        <v>9.1</v>
      </c>
      <c r="S1910">
        <v>18.2</v>
      </c>
      <c r="T1910">
        <v>9.1</v>
      </c>
      <c r="U1910">
        <v>13.6</v>
      </c>
      <c r="V1910">
        <v>50</v>
      </c>
    </row>
    <row r="1911" spans="1:22" x14ac:dyDescent="0.25">
      <c r="A1911" t="s">
        <v>1222</v>
      </c>
      <c r="B1911" t="s">
        <v>1032</v>
      </c>
      <c r="C1911">
        <v>15</v>
      </c>
      <c r="D1911" t="s">
        <v>79</v>
      </c>
      <c r="E1911" t="s">
        <v>260</v>
      </c>
      <c r="F1911" t="s">
        <v>140</v>
      </c>
      <c r="G1911">
        <v>0.2</v>
      </c>
      <c r="H1911" t="s">
        <v>32</v>
      </c>
      <c r="I1911">
        <v>0</v>
      </c>
      <c r="J1911" s="4" t="str">
        <f>HYPERLINK("https://www.eliteprospects.com/player/424571/adamo-santia")</f>
        <v>https://www.eliteprospects.com/player/424571/adamo-santia</v>
      </c>
      <c r="K1911" t="s">
        <v>27</v>
      </c>
      <c r="L1911" t="s">
        <v>918</v>
      </c>
      <c r="M1911" t="s">
        <v>35</v>
      </c>
      <c r="N1911">
        <v>4</v>
      </c>
      <c r="O1911" t="s">
        <v>940</v>
      </c>
      <c r="P1911">
        <v>0.02</v>
      </c>
      <c r="Q1911" t="s">
        <v>245</v>
      </c>
      <c r="R1911">
        <v>9.1</v>
      </c>
      <c r="S1911">
        <v>18.2</v>
      </c>
      <c r="T1911">
        <v>9.1</v>
      </c>
      <c r="U1911">
        <v>13.6</v>
      </c>
      <c r="V1911">
        <v>50</v>
      </c>
    </row>
    <row r="1912" spans="1:22" x14ac:dyDescent="0.25">
      <c r="A1912" t="s">
        <v>1248</v>
      </c>
      <c r="B1912" t="s">
        <v>1032</v>
      </c>
      <c r="C1912">
        <v>14</v>
      </c>
      <c r="D1912" t="s">
        <v>79</v>
      </c>
      <c r="E1912" t="s">
        <v>132</v>
      </c>
      <c r="F1912" t="s">
        <v>79</v>
      </c>
      <c r="G1912">
        <v>0.14000000000000001</v>
      </c>
      <c r="H1912" t="s">
        <v>81</v>
      </c>
      <c r="I1912">
        <v>0</v>
      </c>
      <c r="J1912" s="4" t="str">
        <f>HYPERLINK("https://www.eliteprospects.com/player/505190/aaron-davidson")</f>
        <v>https://www.eliteprospects.com/player/505190/aaron-davidson</v>
      </c>
      <c r="K1912" t="s">
        <v>27</v>
      </c>
      <c r="L1912" t="s">
        <v>918</v>
      </c>
      <c r="M1912" t="s">
        <v>91</v>
      </c>
      <c r="N1912">
        <v>2</v>
      </c>
      <c r="O1912" t="s">
        <v>1021</v>
      </c>
      <c r="P1912">
        <v>0.02</v>
      </c>
      <c r="Q1912" t="s">
        <v>245</v>
      </c>
      <c r="R1912">
        <v>9.1</v>
      </c>
      <c r="S1912">
        <v>18.2</v>
      </c>
      <c r="T1912">
        <v>9.1</v>
      </c>
      <c r="U1912">
        <v>13.6</v>
      </c>
      <c r="V1912">
        <v>50</v>
      </c>
    </row>
    <row r="1913" spans="1:22" x14ac:dyDescent="0.25">
      <c r="A1913" t="s">
        <v>1266</v>
      </c>
      <c r="B1913" t="s">
        <v>1032</v>
      </c>
      <c r="C1913">
        <v>10</v>
      </c>
      <c r="D1913" t="s">
        <v>260</v>
      </c>
      <c r="E1913" t="s">
        <v>132</v>
      </c>
      <c r="F1913" t="s">
        <v>260</v>
      </c>
      <c r="G1913">
        <v>0.1</v>
      </c>
      <c r="H1913" t="s">
        <v>57</v>
      </c>
      <c r="I1913">
        <v>0</v>
      </c>
      <c r="J1913" s="4" t="str">
        <f>HYPERLINK("https://www.eliteprospects.com/player/496367/adam-grein")</f>
        <v>https://www.eliteprospects.com/player/496367/adam-grein</v>
      </c>
      <c r="K1913" t="s">
        <v>27</v>
      </c>
      <c r="L1913" t="s">
        <v>918</v>
      </c>
      <c r="M1913" t="s">
        <v>91</v>
      </c>
      <c r="N1913">
        <v>2</v>
      </c>
      <c r="O1913" t="s">
        <v>1021</v>
      </c>
      <c r="P1913">
        <v>0.01</v>
      </c>
      <c r="Q1913" t="s">
        <v>245</v>
      </c>
      <c r="R1913">
        <v>9.1</v>
      </c>
      <c r="S1913">
        <v>18.2</v>
      </c>
      <c r="T1913">
        <v>9.1</v>
      </c>
      <c r="U1913">
        <v>13.6</v>
      </c>
      <c r="V1913">
        <v>50</v>
      </c>
    </row>
    <row r="1914" spans="1:22" x14ac:dyDescent="0.25">
      <c r="A1914" t="s">
        <v>960</v>
      </c>
      <c r="B1914" t="s">
        <v>961</v>
      </c>
      <c r="C1914">
        <v>16</v>
      </c>
      <c r="D1914" t="s">
        <v>78</v>
      </c>
      <c r="E1914" t="s">
        <v>39</v>
      </c>
      <c r="F1914" t="s">
        <v>33</v>
      </c>
      <c r="G1914">
        <v>1.31</v>
      </c>
      <c r="H1914" t="s">
        <v>26</v>
      </c>
      <c r="I1914">
        <v>0</v>
      </c>
      <c r="J1914" s="4" t="str">
        <f>HYPERLINK("https://www.eliteprospects.com/player/351154/christiano-aiello")</f>
        <v>https://www.eliteprospects.com/player/351154/christiano-aiello</v>
      </c>
      <c r="K1914" t="s">
        <v>27</v>
      </c>
      <c r="L1914" t="s">
        <v>918</v>
      </c>
      <c r="M1914" t="s">
        <v>87</v>
      </c>
      <c r="N1914">
        <v>3</v>
      </c>
      <c r="O1914" t="s">
        <v>962</v>
      </c>
      <c r="P1914">
        <v>0.16</v>
      </c>
      <c r="Q1914" t="s">
        <v>135</v>
      </c>
      <c r="R1914">
        <v>20</v>
      </c>
      <c r="S1914">
        <v>40</v>
      </c>
      <c r="T1914">
        <v>0</v>
      </c>
      <c r="U1914">
        <v>20</v>
      </c>
      <c r="V1914">
        <v>20</v>
      </c>
    </row>
    <row r="1915" spans="1:22" x14ac:dyDescent="0.25">
      <c r="A1915" t="s">
        <v>964</v>
      </c>
      <c r="B1915" t="s">
        <v>961</v>
      </c>
      <c r="C1915">
        <v>16</v>
      </c>
      <c r="D1915" t="s">
        <v>96</v>
      </c>
      <c r="E1915" t="s">
        <v>38</v>
      </c>
      <c r="F1915" t="s">
        <v>33</v>
      </c>
      <c r="G1915">
        <v>1.31</v>
      </c>
      <c r="H1915" t="s">
        <v>55</v>
      </c>
      <c r="I1915">
        <v>0</v>
      </c>
      <c r="J1915" s="4" t="str">
        <f>HYPERLINK("https://www.eliteprospects.com/player/567146/zachary-power")</f>
        <v>https://www.eliteprospects.com/player/567146/zachary-power</v>
      </c>
      <c r="K1915" t="s">
        <v>27</v>
      </c>
      <c r="L1915" t="s">
        <v>918</v>
      </c>
      <c r="M1915" t="s">
        <v>42</v>
      </c>
      <c r="N1915">
        <v>3</v>
      </c>
      <c r="O1915" t="s">
        <v>965</v>
      </c>
      <c r="P1915">
        <v>0.16</v>
      </c>
      <c r="Q1915" t="s">
        <v>135</v>
      </c>
      <c r="R1915">
        <v>20</v>
      </c>
      <c r="S1915">
        <v>40</v>
      </c>
      <c r="T1915">
        <v>0</v>
      </c>
      <c r="U1915">
        <v>20</v>
      </c>
      <c r="V1915">
        <v>20</v>
      </c>
    </row>
    <row r="1916" spans="1:22" x14ac:dyDescent="0.25">
      <c r="A1916" t="s">
        <v>1024</v>
      </c>
      <c r="B1916" t="s">
        <v>961</v>
      </c>
      <c r="C1916">
        <v>13</v>
      </c>
      <c r="D1916" t="s">
        <v>79</v>
      </c>
      <c r="E1916" t="s">
        <v>39</v>
      </c>
      <c r="F1916" t="s">
        <v>38</v>
      </c>
      <c r="G1916">
        <v>1.23</v>
      </c>
      <c r="H1916" t="s">
        <v>81</v>
      </c>
      <c r="I1916">
        <v>0</v>
      </c>
      <c r="J1916" s="4" t="str">
        <f>HYPERLINK("https://www.eliteprospects.com/player/695068/nicholas-yearwood")</f>
        <v>https://www.eliteprospects.com/player/695068/nicholas-yearwood</v>
      </c>
      <c r="K1916" t="s">
        <v>27</v>
      </c>
      <c r="L1916" t="s">
        <v>918</v>
      </c>
      <c r="M1916" t="s">
        <v>42</v>
      </c>
      <c r="N1916">
        <v>4</v>
      </c>
      <c r="O1916" t="s">
        <v>1025</v>
      </c>
      <c r="P1916">
        <v>0.15</v>
      </c>
      <c r="Q1916" t="s">
        <v>135</v>
      </c>
      <c r="R1916">
        <v>20</v>
      </c>
      <c r="S1916">
        <v>40</v>
      </c>
      <c r="T1916">
        <v>0</v>
      </c>
      <c r="U1916">
        <v>20</v>
      </c>
      <c r="V1916">
        <v>20</v>
      </c>
    </row>
    <row r="1917" spans="1:22" x14ac:dyDescent="0.25">
      <c r="A1917" t="s">
        <v>1066</v>
      </c>
      <c r="B1917" t="s">
        <v>961</v>
      </c>
      <c r="C1917">
        <v>16</v>
      </c>
      <c r="D1917" t="s">
        <v>78</v>
      </c>
      <c r="E1917" t="s">
        <v>96</v>
      </c>
      <c r="F1917" t="s">
        <v>23</v>
      </c>
      <c r="G1917">
        <v>0.75</v>
      </c>
      <c r="H1917" t="s">
        <v>24</v>
      </c>
      <c r="I1917">
        <v>0</v>
      </c>
      <c r="J1917" s="4" t="str">
        <f>HYPERLINK("https://www.eliteprospects.com/player/640285/lawson-sherk")</f>
        <v>https://www.eliteprospects.com/player/640285/lawson-sherk</v>
      </c>
      <c r="K1917" t="s">
        <v>27</v>
      </c>
      <c r="L1917" t="s">
        <v>918</v>
      </c>
      <c r="M1917" t="s">
        <v>42</v>
      </c>
      <c r="N1917">
        <v>7</v>
      </c>
      <c r="O1917" t="s">
        <v>948</v>
      </c>
      <c r="P1917">
        <v>0.09</v>
      </c>
      <c r="Q1917" t="s">
        <v>1277</v>
      </c>
      <c r="R1917">
        <v>16.7</v>
      </c>
      <c r="S1917">
        <v>16.7</v>
      </c>
      <c r="T1917">
        <v>25</v>
      </c>
      <c r="U1917">
        <v>16.7</v>
      </c>
      <c r="V1917">
        <v>25</v>
      </c>
    </row>
    <row r="1918" spans="1:22" x14ac:dyDescent="0.25">
      <c r="A1918" t="s">
        <v>1139</v>
      </c>
      <c r="B1918" t="s">
        <v>961</v>
      </c>
      <c r="C1918">
        <v>16</v>
      </c>
      <c r="D1918" t="s">
        <v>96</v>
      </c>
      <c r="E1918" t="s">
        <v>79</v>
      </c>
      <c r="F1918" t="s">
        <v>78</v>
      </c>
      <c r="G1918">
        <v>0.44</v>
      </c>
      <c r="H1918" t="s">
        <v>39</v>
      </c>
      <c r="I1918">
        <v>0</v>
      </c>
      <c r="J1918" s="4" t="str">
        <f>HYPERLINK("https://www.eliteprospects.com/player/317084/shane-bulitka")</f>
        <v>https://www.eliteprospects.com/player/317084/shane-bulitka</v>
      </c>
      <c r="K1918" t="s">
        <v>27</v>
      </c>
      <c r="L1918" t="s">
        <v>918</v>
      </c>
      <c r="M1918" t="s">
        <v>91</v>
      </c>
      <c r="N1918">
        <v>6</v>
      </c>
      <c r="O1918" t="s">
        <v>1140</v>
      </c>
      <c r="P1918">
        <v>0.06</v>
      </c>
      <c r="Q1918" t="s">
        <v>135</v>
      </c>
      <c r="R1918">
        <v>0</v>
      </c>
      <c r="S1918">
        <v>33.299999999999997</v>
      </c>
      <c r="T1918">
        <v>23.8</v>
      </c>
      <c r="U1918">
        <v>9.5</v>
      </c>
      <c r="V1918">
        <v>33.299999999999997</v>
      </c>
    </row>
    <row r="1919" spans="1:22" x14ac:dyDescent="0.25">
      <c r="A1919" t="s">
        <v>1146</v>
      </c>
      <c r="B1919" t="s">
        <v>961</v>
      </c>
      <c r="C1919">
        <v>16</v>
      </c>
      <c r="D1919" t="s">
        <v>140</v>
      </c>
      <c r="E1919" t="s">
        <v>66</v>
      </c>
      <c r="F1919" t="s">
        <v>78</v>
      </c>
      <c r="G1919">
        <v>0.44</v>
      </c>
      <c r="H1919" t="s">
        <v>23</v>
      </c>
      <c r="I1919">
        <v>0</v>
      </c>
      <c r="J1919" s="4" t="str">
        <f>HYPERLINK("https://www.eliteprospects.com/player/317878/brett-willits")</f>
        <v>https://www.eliteprospects.com/player/317878/brett-willits</v>
      </c>
      <c r="K1919" t="s">
        <v>27</v>
      </c>
      <c r="L1919" t="s">
        <v>918</v>
      </c>
      <c r="M1919" t="s">
        <v>42</v>
      </c>
      <c r="N1919">
        <v>5</v>
      </c>
      <c r="O1919" t="s">
        <v>1147</v>
      </c>
      <c r="P1919">
        <v>0.06</v>
      </c>
      <c r="Q1919" t="s">
        <v>135</v>
      </c>
      <c r="R1919">
        <v>0</v>
      </c>
      <c r="S1919">
        <v>33.299999999999997</v>
      </c>
      <c r="T1919">
        <v>23.8</v>
      </c>
      <c r="U1919">
        <v>9.5</v>
      </c>
      <c r="V1919">
        <v>33.299999999999997</v>
      </c>
    </row>
    <row r="1920" spans="1:22" x14ac:dyDescent="0.25">
      <c r="A1920" t="s">
        <v>1151</v>
      </c>
      <c r="B1920" t="s">
        <v>961</v>
      </c>
      <c r="C1920">
        <v>16</v>
      </c>
      <c r="D1920" t="s">
        <v>79</v>
      </c>
      <c r="E1920" t="s">
        <v>96</v>
      </c>
      <c r="F1920" t="s">
        <v>78</v>
      </c>
      <c r="G1920">
        <v>0.44</v>
      </c>
      <c r="H1920" t="s">
        <v>55</v>
      </c>
      <c r="I1920">
        <v>0</v>
      </c>
      <c r="J1920" s="4" t="str">
        <f>HYPERLINK("https://www.eliteprospects.com/player/582746/owen-saye")</f>
        <v>https://www.eliteprospects.com/player/582746/owen-saye</v>
      </c>
      <c r="K1920" t="s">
        <v>27</v>
      </c>
      <c r="L1920" t="s">
        <v>918</v>
      </c>
      <c r="M1920" t="s">
        <v>29</v>
      </c>
      <c r="N1920">
        <v>6</v>
      </c>
      <c r="O1920" t="s">
        <v>1152</v>
      </c>
      <c r="P1920">
        <v>0.06</v>
      </c>
      <c r="Q1920" t="s">
        <v>135</v>
      </c>
      <c r="R1920">
        <v>0</v>
      </c>
      <c r="S1920">
        <v>33.299999999999997</v>
      </c>
      <c r="T1920">
        <v>23.8</v>
      </c>
      <c r="U1920">
        <v>9.5</v>
      </c>
      <c r="V1920">
        <v>33.299999999999997</v>
      </c>
    </row>
    <row r="1921" spans="1:22" x14ac:dyDescent="0.25">
      <c r="A1921" t="s">
        <v>1164</v>
      </c>
      <c r="B1921" t="s">
        <v>961</v>
      </c>
      <c r="C1921">
        <v>16</v>
      </c>
      <c r="D1921" t="s">
        <v>140</v>
      </c>
      <c r="E1921" t="s">
        <v>140</v>
      </c>
      <c r="F1921" t="s">
        <v>57</v>
      </c>
      <c r="G1921">
        <v>0.38</v>
      </c>
      <c r="H1921" t="s">
        <v>26</v>
      </c>
      <c r="I1921">
        <v>0</v>
      </c>
      <c r="J1921" s="4" t="str">
        <f>HYPERLINK("https://www.eliteprospects.com/player/418351/aidan-prueter")</f>
        <v>https://www.eliteprospects.com/player/418351/aidan-prueter</v>
      </c>
      <c r="K1921" t="s">
        <v>27</v>
      </c>
      <c r="L1921" t="s">
        <v>918</v>
      </c>
      <c r="M1921" t="s">
        <v>42</v>
      </c>
      <c r="N1921">
        <v>5</v>
      </c>
      <c r="O1921" t="s">
        <v>935</v>
      </c>
      <c r="P1921">
        <v>0.05</v>
      </c>
      <c r="Q1921" t="s">
        <v>245</v>
      </c>
      <c r="R1921">
        <v>9.1</v>
      </c>
      <c r="S1921">
        <v>18.2</v>
      </c>
      <c r="T1921">
        <v>9.1</v>
      </c>
      <c r="U1921">
        <v>13.6</v>
      </c>
      <c r="V1921">
        <v>50</v>
      </c>
    </row>
    <row r="1922" spans="1:22" x14ac:dyDescent="0.25">
      <c r="A1922" t="s">
        <v>1207</v>
      </c>
      <c r="B1922" t="s">
        <v>961</v>
      </c>
      <c r="C1922">
        <v>10</v>
      </c>
      <c r="D1922" t="s">
        <v>260</v>
      </c>
      <c r="E1922" t="s">
        <v>140</v>
      </c>
      <c r="F1922" t="s">
        <v>66</v>
      </c>
      <c r="G1922">
        <v>0.4</v>
      </c>
      <c r="H1922" t="s">
        <v>79</v>
      </c>
      <c r="I1922">
        <v>0</v>
      </c>
      <c r="J1922" s="4" t="str">
        <f>HYPERLINK("https://www.eliteprospects.com/player/425689/jacob-santerre")</f>
        <v>https://www.eliteprospects.com/player/425689/jacob-santerre</v>
      </c>
      <c r="K1922" t="s">
        <v>27</v>
      </c>
      <c r="L1922" t="s">
        <v>918</v>
      </c>
      <c r="M1922" t="s">
        <v>42</v>
      </c>
      <c r="N1922">
        <v>3</v>
      </c>
      <c r="O1922" t="s">
        <v>1160</v>
      </c>
      <c r="P1922">
        <v>0.05</v>
      </c>
      <c r="Q1922" t="s">
        <v>245</v>
      </c>
      <c r="R1922">
        <v>9.1</v>
      </c>
      <c r="S1922">
        <v>18.2</v>
      </c>
      <c r="T1922">
        <v>9.1</v>
      </c>
      <c r="U1922">
        <v>13.6</v>
      </c>
      <c r="V1922">
        <v>50</v>
      </c>
    </row>
    <row r="1923" spans="1:22" x14ac:dyDescent="0.25">
      <c r="A1923" t="s">
        <v>1220</v>
      </c>
      <c r="B1923" t="s">
        <v>961</v>
      </c>
      <c r="C1923">
        <v>12</v>
      </c>
      <c r="D1923" t="s">
        <v>79</v>
      </c>
      <c r="E1923" t="s">
        <v>260</v>
      </c>
      <c r="F1923" t="s">
        <v>140</v>
      </c>
      <c r="G1923">
        <v>0.25</v>
      </c>
      <c r="H1923" t="s">
        <v>26</v>
      </c>
      <c r="I1923">
        <v>0</v>
      </c>
      <c r="J1923" s="4" t="str">
        <f>HYPERLINK("https://www.eliteprospects.com/player/647927/benjamin-campeau")</f>
        <v>https://www.eliteprospects.com/player/647927/benjamin-campeau</v>
      </c>
      <c r="K1923" t="s">
        <v>27</v>
      </c>
      <c r="L1923" t="s">
        <v>918</v>
      </c>
      <c r="M1923" t="s">
        <v>42</v>
      </c>
      <c r="N1923">
        <v>1</v>
      </c>
      <c r="O1923" t="s">
        <v>984</v>
      </c>
      <c r="P1923">
        <v>0.03</v>
      </c>
      <c r="Q1923" t="s">
        <v>245</v>
      </c>
      <c r="R1923">
        <v>9.1</v>
      </c>
      <c r="S1923">
        <v>18.2</v>
      </c>
      <c r="T1923">
        <v>9.1</v>
      </c>
      <c r="U1923">
        <v>13.6</v>
      </c>
      <c r="V1923">
        <v>50</v>
      </c>
    </row>
    <row r="1924" spans="1:22" x14ac:dyDescent="0.25">
      <c r="A1924" t="s">
        <v>1249</v>
      </c>
      <c r="B1924" t="s">
        <v>961</v>
      </c>
      <c r="C1924">
        <v>16</v>
      </c>
      <c r="D1924" t="s">
        <v>79</v>
      </c>
      <c r="E1924" t="s">
        <v>132</v>
      </c>
      <c r="F1924" t="s">
        <v>79</v>
      </c>
      <c r="G1924">
        <v>0.13</v>
      </c>
      <c r="H1924" t="s">
        <v>32</v>
      </c>
      <c r="I1924">
        <v>0</v>
      </c>
      <c r="J1924" s="4" t="str">
        <f>HYPERLINK("https://www.eliteprospects.com/player/475291/owen-macneil")</f>
        <v>https://www.eliteprospects.com/player/475291/owen-macneil</v>
      </c>
      <c r="K1924" t="s">
        <v>27</v>
      </c>
      <c r="L1924" t="s">
        <v>918</v>
      </c>
      <c r="M1924" t="s">
        <v>35</v>
      </c>
      <c r="N1924">
        <v>5</v>
      </c>
      <c r="O1924" t="s">
        <v>979</v>
      </c>
      <c r="P1924">
        <v>0.02</v>
      </c>
      <c r="Q1924" t="s">
        <v>245</v>
      </c>
      <c r="R1924">
        <v>9.1</v>
      </c>
      <c r="S1924">
        <v>18.2</v>
      </c>
      <c r="T1924">
        <v>9.1</v>
      </c>
      <c r="U1924">
        <v>13.6</v>
      </c>
      <c r="V1924">
        <v>50</v>
      </c>
    </row>
    <row r="1925" spans="1:22" x14ac:dyDescent="0.25">
      <c r="A1925" t="s">
        <v>976</v>
      </c>
      <c r="B1925" t="s">
        <v>977</v>
      </c>
      <c r="C1925">
        <v>16</v>
      </c>
      <c r="D1925" t="s">
        <v>96</v>
      </c>
      <c r="E1925" t="s">
        <v>39</v>
      </c>
      <c r="F1925" t="s">
        <v>51</v>
      </c>
      <c r="G1925">
        <v>1.19</v>
      </c>
      <c r="H1925" t="s">
        <v>57</v>
      </c>
      <c r="I1925">
        <v>0</v>
      </c>
      <c r="J1925" s="4" t="str">
        <f>HYPERLINK("https://www.eliteprospects.com/player/569165/logan-linklater")</f>
        <v>https://www.eliteprospects.com/player/569165/logan-linklater</v>
      </c>
      <c r="K1925" t="s">
        <v>27</v>
      </c>
      <c r="L1925" t="s">
        <v>918</v>
      </c>
      <c r="M1925" t="s">
        <v>42</v>
      </c>
      <c r="N1925">
        <v>4</v>
      </c>
      <c r="O1925" t="s">
        <v>978</v>
      </c>
      <c r="P1925">
        <v>0.15</v>
      </c>
      <c r="Q1925" t="s">
        <v>135</v>
      </c>
      <c r="R1925">
        <v>20</v>
      </c>
      <c r="S1925">
        <v>40</v>
      </c>
      <c r="T1925">
        <v>0</v>
      </c>
      <c r="U1925">
        <v>20</v>
      </c>
      <c r="V1925">
        <v>20</v>
      </c>
    </row>
    <row r="1926" spans="1:22" x14ac:dyDescent="0.25">
      <c r="A1926" t="s">
        <v>980</v>
      </c>
      <c r="B1926" t="s">
        <v>977</v>
      </c>
      <c r="C1926">
        <v>15</v>
      </c>
      <c r="D1926" t="s">
        <v>66</v>
      </c>
      <c r="E1926" t="s">
        <v>41</v>
      </c>
      <c r="F1926" t="s">
        <v>51</v>
      </c>
      <c r="G1926">
        <v>1.27</v>
      </c>
      <c r="H1926" t="s">
        <v>78</v>
      </c>
      <c r="I1926">
        <v>0</v>
      </c>
      <c r="J1926" s="4" t="str">
        <f>HYPERLINK("https://www.eliteprospects.com/player/415738/aaron-shaw")</f>
        <v>https://www.eliteprospects.com/player/415738/aaron-shaw</v>
      </c>
      <c r="K1926" t="s">
        <v>27</v>
      </c>
      <c r="L1926" t="s">
        <v>918</v>
      </c>
      <c r="M1926" t="s">
        <v>35</v>
      </c>
      <c r="N1926">
        <v>3</v>
      </c>
      <c r="O1926" t="s">
        <v>962</v>
      </c>
      <c r="P1926">
        <v>0.16</v>
      </c>
      <c r="Q1926" t="s">
        <v>135</v>
      </c>
      <c r="R1926">
        <v>20</v>
      </c>
      <c r="S1926">
        <v>40</v>
      </c>
      <c r="T1926">
        <v>0</v>
      </c>
      <c r="U1926">
        <v>20</v>
      </c>
      <c r="V1926">
        <v>20</v>
      </c>
    </row>
    <row r="1927" spans="1:22" x14ac:dyDescent="0.25">
      <c r="A1927" t="s">
        <v>981</v>
      </c>
      <c r="B1927" t="s">
        <v>977</v>
      </c>
      <c r="C1927">
        <v>16</v>
      </c>
      <c r="D1927" t="s">
        <v>39</v>
      </c>
      <c r="E1927" t="s">
        <v>66</v>
      </c>
      <c r="F1927" t="s">
        <v>55</v>
      </c>
      <c r="G1927">
        <v>1.1299999999999999</v>
      </c>
      <c r="H1927" t="s">
        <v>66</v>
      </c>
      <c r="I1927">
        <v>0</v>
      </c>
      <c r="J1927" s="4" t="str">
        <f>HYPERLINK("https://www.eliteprospects.com/player/496384/keegan-mcmullen")</f>
        <v>https://www.eliteprospects.com/player/496384/keegan-mcmullen</v>
      </c>
      <c r="K1927" t="s">
        <v>27</v>
      </c>
      <c r="L1927" t="s">
        <v>918</v>
      </c>
      <c r="M1927" t="s">
        <v>91</v>
      </c>
      <c r="N1927">
        <v>6</v>
      </c>
      <c r="O1927" t="s">
        <v>982</v>
      </c>
      <c r="P1927">
        <v>0.14000000000000001</v>
      </c>
      <c r="Q1927" t="s">
        <v>245</v>
      </c>
      <c r="R1927">
        <v>0</v>
      </c>
      <c r="S1927">
        <v>25</v>
      </c>
      <c r="T1927">
        <v>25</v>
      </c>
      <c r="U1927">
        <v>0</v>
      </c>
      <c r="V1927">
        <v>50</v>
      </c>
    </row>
    <row r="1928" spans="1:22" x14ac:dyDescent="0.25">
      <c r="A1928" t="s">
        <v>992</v>
      </c>
      <c r="B1928" t="s">
        <v>977</v>
      </c>
      <c r="C1928">
        <v>16</v>
      </c>
      <c r="D1928" t="s">
        <v>32</v>
      </c>
      <c r="E1928" t="s">
        <v>78</v>
      </c>
      <c r="F1928" t="s">
        <v>60</v>
      </c>
      <c r="G1928">
        <v>1.06</v>
      </c>
      <c r="H1928" t="s">
        <v>32</v>
      </c>
      <c r="I1928">
        <v>0</v>
      </c>
      <c r="J1928" s="4" t="str">
        <f>HYPERLINK("https://www.eliteprospects.com/player/651788/colton-smith")</f>
        <v>https://www.eliteprospects.com/player/651788/colton-smith</v>
      </c>
      <c r="K1928" t="s">
        <v>27</v>
      </c>
      <c r="L1928" t="s">
        <v>918</v>
      </c>
      <c r="M1928" t="s">
        <v>91</v>
      </c>
      <c r="N1928">
        <v>7</v>
      </c>
      <c r="O1928" t="s">
        <v>993</v>
      </c>
      <c r="P1928">
        <v>0.13</v>
      </c>
      <c r="Q1928" t="s">
        <v>135</v>
      </c>
      <c r="R1928">
        <v>11.1</v>
      </c>
      <c r="S1928">
        <v>44.4</v>
      </c>
      <c r="T1928">
        <v>11.1</v>
      </c>
      <c r="U1928">
        <v>11.1</v>
      </c>
      <c r="V1928">
        <v>22.2</v>
      </c>
    </row>
    <row r="1929" spans="1:22" x14ac:dyDescent="0.25">
      <c r="A1929" t="s">
        <v>1082</v>
      </c>
      <c r="B1929" t="s">
        <v>977</v>
      </c>
      <c r="C1929">
        <v>16</v>
      </c>
      <c r="D1929" t="s">
        <v>79</v>
      </c>
      <c r="E1929" t="s">
        <v>32</v>
      </c>
      <c r="F1929" t="s">
        <v>23</v>
      </c>
      <c r="G1929">
        <v>0.75</v>
      </c>
      <c r="H1929" t="s">
        <v>26</v>
      </c>
      <c r="I1929">
        <v>0</v>
      </c>
      <c r="J1929" s="4" t="str">
        <f>HYPERLINK("https://www.eliteprospects.com/player/413147/ty-toews")</f>
        <v>https://www.eliteprospects.com/player/413147/ty-toews</v>
      </c>
      <c r="K1929" t="s">
        <v>27</v>
      </c>
      <c r="L1929" t="s">
        <v>918</v>
      </c>
      <c r="M1929" t="s">
        <v>35</v>
      </c>
      <c r="N1929">
        <v>2</v>
      </c>
      <c r="O1929" t="s">
        <v>1021</v>
      </c>
      <c r="P1929">
        <v>0.09</v>
      </c>
      <c r="Q1929" t="s">
        <v>1277</v>
      </c>
      <c r="R1929">
        <v>16.7</v>
      </c>
      <c r="S1929">
        <v>16.7</v>
      </c>
      <c r="T1929">
        <v>25</v>
      </c>
      <c r="U1929">
        <v>16.7</v>
      </c>
      <c r="V1929">
        <v>25</v>
      </c>
    </row>
    <row r="1930" spans="1:22" x14ac:dyDescent="0.25">
      <c r="A1930" t="s">
        <v>1101</v>
      </c>
      <c r="B1930" t="s">
        <v>977</v>
      </c>
      <c r="C1930">
        <v>15</v>
      </c>
      <c r="D1930" t="s">
        <v>140</v>
      </c>
      <c r="E1930" t="s">
        <v>26</v>
      </c>
      <c r="F1930" t="s">
        <v>69</v>
      </c>
      <c r="G1930">
        <v>0.73</v>
      </c>
      <c r="H1930" t="s">
        <v>26</v>
      </c>
      <c r="I1930">
        <v>0</v>
      </c>
      <c r="J1930" s="4" t="str">
        <f>HYPERLINK("https://www.eliteprospects.com/player/576898/owen-jones")</f>
        <v>https://www.eliteprospects.com/player/576898/owen-jones</v>
      </c>
      <c r="K1930" t="s">
        <v>27</v>
      </c>
      <c r="L1930" t="s">
        <v>918</v>
      </c>
      <c r="M1930" t="s">
        <v>35</v>
      </c>
      <c r="N1930">
        <v>1</v>
      </c>
      <c r="O1930" t="s">
        <v>984</v>
      </c>
      <c r="P1930">
        <v>0.09</v>
      </c>
      <c r="Q1930" t="s">
        <v>1277</v>
      </c>
      <c r="R1930">
        <v>16.7</v>
      </c>
      <c r="S1930">
        <v>16.7</v>
      </c>
      <c r="T1930">
        <v>25</v>
      </c>
      <c r="U1930">
        <v>16.7</v>
      </c>
      <c r="V1930">
        <v>25</v>
      </c>
    </row>
    <row r="1931" spans="1:22" x14ac:dyDescent="0.25">
      <c r="A1931" t="s">
        <v>1163</v>
      </c>
      <c r="B1931" t="s">
        <v>977</v>
      </c>
      <c r="C1931">
        <v>16</v>
      </c>
      <c r="D1931" t="s">
        <v>140</v>
      </c>
      <c r="E1931" t="s">
        <v>140</v>
      </c>
      <c r="F1931" t="s">
        <v>57</v>
      </c>
      <c r="G1931">
        <v>0.38</v>
      </c>
      <c r="H1931" t="s">
        <v>66</v>
      </c>
      <c r="I1931">
        <v>0</v>
      </c>
      <c r="J1931" s="4" t="str">
        <f>HYPERLINK("https://www.eliteprospects.com/player/505392/johnny-ulicny")</f>
        <v>https://www.eliteprospects.com/player/505392/johnny-ulicny</v>
      </c>
      <c r="K1931" t="s">
        <v>27</v>
      </c>
      <c r="L1931" t="s">
        <v>918</v>
      </c>
      <c r="M1931" t="s">
        <v>70</v>
      </c>
      <c r="N1931">
        <v>2</v>
      </c>
      <c r="O1931" t="s">
        <v>1021</v>
      </c>
      <c r="P1931">
        <v>0.05</v>
      </c>
      <c r="Q1931" t="s">
        <v>245</v>
      </c>
      <c r="R1931">
        <v>9.1</v>
      </c>
      <c r="S1931">
        <v>18.2</v>
      </c>
      <c r="T1931">
        <v>9.1</v>
      </c>
      <c r="U1931">
        <v>13.6</v>
      </c>
      <c r="V1931">
        <v>50</v>
      </c>
    </row>
    <row r="1932" spans="1:22" x14ac:dyDescent="0.25">
      <c r="A1932" t="s">
        <v>1240</v>
      </c>
      <c r="B1932" t="s">
        <v>977</v>
      </c>
      <c r="C1932">
        <v>16</v>
      </c>
      <c r="D1932" t="s">
        <v>260</v>
      </c>
      <c r="E1932" t="s">
        <v>79</v>
      </c>
      <c r="F1932" t="s">
        <v>140</v>
      </c>
      <c r="G1932">
        <v>0.19</v>
      </c>
      <c r="H1932" t="s">
        <v>79</v>
      </c>
      <c r="I1932">
        <v>0</v>
      </c>
      <c r="J1932" s="4" t="str">
        <f>HYPERLINK("https://www.eliteprospects.com/player/582726/ray-hamlin")</f>
        <v>https://www.eliteprospects.com/player/582726/ray-hamlin</v>
      </c>
      <c r="K1932" t="s">
        <v>27</v>
      </c>
      <c r="L1932" t="s">
        <v>918</v>
      </c>
      <c r="M1932" t="s">
        <v>42</v>
      </c>
      <c r="N1932">
        <v>1</v>
      </c>
      <c r="O1932" t="s">
        <v>984</v>
      </c>
      <c r="P1932">
        <v>0.02</v>
      </c>
      <c r="Q1932" t="s">
        <v>245</v>
      </c>
      <c r="R1932">
        <v>9.1</v>
      </c>
      <c r="S1932">
        <v>18.2</v>
      </c>
      <c r="T1932">
        <v>9.1</v>
      </c>
      <c r="U1932">
        <v>13.6</v>
      </c>
      <c r="V1932">
        <v>50</v>
      </c>
    </row>
    <row r="1933" spans="1:22" x14ac:dyDescent="0.25">
      <c r="A1933" t="s">
        <v>1245</v>
      </c>
      <c r="B1933" t="s">
        <v>977</v>
      </c>
      <c r="C1933">
        <v>16</v>
      </c>
      <c r="D1933" t="s">
        <v>132</v>
      </c>
      <c r="E1933" t="s">
        <v>140</v>
      </c>
      <c r="F1933" t="s">
        <v>140</v>
      </c>
      <c r="G1933">
        <v>0.19</v>
      </c>
      <c r="H1933" t="s">
        <v>57</v>
      </c>
      <c r="I1933">
        <v>0</v>
      </c>
      <c r="J1933" s="4" t="str">
        <f>HYPERLINK("https://www.eliteprospects.com/player/485347/kirk-mullen")</f>
        <v>https://www.eliteprospects.com/player/485347/kirk-mullen</v>
      </c>
      <c r="K1933" t="s">
        <v>27</v>
      </c>
      <c r="L1933" t="s">
        <v>918</v>
      </c>
      <c r="M1933" t="s">
        <v>42</v>
      </c>
      <c r="N1933">
        <v>1</v>
      </c>
      <c r="O1933" t="s">
        <v>984</v>
      </c>
      <c r="P1933">
        <v>0.02</v>
      </c>
      <c r="Q1933" t="s">
        <v>245</v>
      </c>
      <c r="R1933">
        <v>9.1</v>
      </c>
      <c r="S1933">
        <v>18.2</v>
      </c>
      <c r="T1933">
        <v>9.1</v>
      </c>
      <c r="U1933">
        <v>13.6</v>
      </c>
      <c r="V1933">
        <v>50</v>
      </c>
    </row>
    <row r="1934" spans="1:22" x14ac:dyDescent="0.25">
      <c r="A1934" t="s">
        <v>1250</v>
      </c>
      <c r="B1934" t="s">
        <v>977</v>
      </c>
      <c r="C1934">
        <v>11</v>
      </c>
      <c r="D1934" t="s">
        <v>260</v>
      </c>
      <c r="E1934" t="s">
        <v>260</v>
      </c>
      <c r="F1934" t="s">
        <v>79</v>
      </c>
      <c r="G1934">
        <v>0.18</v>
      </c>
      <c r="H1934" t="s">
        <v>132</v>
      </c>
      <c r="I1934">
        <v>0</v>
      </c>
      <c r="J1934" s="4" t="str">
        <f>HYPERLINK("https://www.eliteprospects.com/player/582725/cayden-faust")</f>
        <v>https://www.eliteprospects.com/player/582725/cayden-faust</v>
      </c>
      <c r="K1934" t="s">
        <v>27</v>
      </c>
      <c r="L1934" t="s">
        <v>918</v>
      </c>
      <c r="M1934" t="s">
        <v>42</v>
      </c>
      <c r="N1934">
        <v>1</v>
      </c>
      <c r="O1934" t="s">
        <v>984</v>
      </c>
      <c r="P1934">
        <v>0.02</v>
      </c>
      <c r="Q1934" t="s">
        <v>245</v>
      </c>
      <c r="R1934">
        <v>9.1</v>
      </c>
      <c r="S1934">
        <v>18.2</v>
      </c>
      <c r="T1934">
        <v>9.1</v>
      </c>
      <c r="U1934">
        <v>13.6</v>
      </c>
      <c r="V1934">
        <v>50</v>
      </c>
    </row>
    <row r="1935" spans="1:22" x14ac:dyDescent="0.25">
      <c r="A1935" t="s">
        <v>1251</v>
      </c>
      <c r="B1935" t="s">
        <v>977</v>
      </c>
      <c r="C1935">
        <v>11</v>
      </c>
      <c r="D1935" t="s">
        <v>260</v>
      </c>
      <c r="E1935" t="s">
        <v>260</v>
      </c>
      <c r="F1935" t="s">
        <v>79</v>
      </c>
      <c r="G1935">
        <v>0.18</v>
      </c>
      <c r="H1935" t="s">
        <v>132</v>
      </c>
      <c r="I1935">
        <v>0</v>
      </c>
      <c r="J1935" s="4" t="str">
        <f>HYPERLINK("https://www.eliteprospects.com/player/582729/alexander-cunningham")</f>
        <v>https://www.eliteprospects.com/player/582729/alexander-cunningham</v>
      </c>
      <c r="K1935" t="s">
        <v>27</v>
      </c>
      <c r="L1935" t="s">
        <v>918</v>
      </c>
      <c r="M1935" t="s">
        <v>91</v>
      </c>
      <c r="N1935">
        <v>1</v>
      </c>
      <c r="O1935" t="s">
        <v>984</v>
      </c>
      <c r="P1935">
        <v>0.02</v>
      </c>
      <c r="Q1935" t="s">
        <v>245</v>
      </c>
      <c r="R1935">
        <v>9.1</v>
      </c>
      <c r="S1935">
        <v>18.2</v>
      </c>
      <c r="T1935">
        <v>9.1</v>
      </c>
      <c r="U1935">
        <v>13.6</v>
      </c>
      <c r="V1935">
        <v>50</v>
      </c>
    </row>
    <row r="1936" spans="1:22" x14ac:dyDescent="0.25">
      <c r="A1936" t="s">
        <v>1254</v>
      </c>
      <c r="B1936" t="s">
        <v>977</v>
      </c>
      <c r="C1936">
        <v>12</v>
      </c>
      <c r="D1936" t="s">
        <v>260</v>
      </c>
      <c r="E1936" t="s">
        <v>260</v>
      </c>
      <c r="F1936" t="s">
        <v>79</v>
      </c>
      <c r="G1936">
        <v>0.17</v>
      </c>
      <c r="H1936" t="s">
        <v>26</v>
      </c>
      <c r="I1936">
        <v>0</v>
      </c>
      <c r="J1936" s="4" t="str">
        <f>HYPERLINK("https://www.eliteprospects.com/player/529927/salvatore-collora")</f>
        <v>https://www.eliteprospects.com/player/529927/salvatore-collora</v>
      </c>
      <c r="K1936" t="s">
        <v>27</v>
      </c>
      <c r="L1936" t="s">
        <v>918</v>
      </c>
      <c r="M1936" t="s">
        <v>35</v>
      </c>
      <c r="N1936">
        <v>5</v>
      </c>
      <c r="O1936" t="s">
        <v>979</v>
      </c>
      <c r="P1936">
        <v>0.02</v>
      </c>
      <c r="Q1936" t="s">
        <v>245</v>
      </c>
      <c r="R1936">
        <v>9.1</v>
      </c>
      <c r="S1936">
        <v>18.2</v>
      </c>
      <c r="T1936">
        <v>9.1</v>
      </c>
      <c r="U1936">
        <v>13.6</v>
      </c>
      <c r="V1936">
        <v>50</v>
      </c>
    </row>
    <row r="1937" spans="1:22" x14ac:dyDescent="0.25">
      <c r="A1937" t="s">
        <v>138</v>
      </c>
      <c r="B1937" t="s">
        <v>139</v>
      </c>
      <c r="C1937">
        <v>18</v>
      </c>
      <c r="D1937" t="s">
        <v>140</v>
      </c>
      <c r="E1937" t="s">
        <v>41</v>
      </c>
      <c r="F1937" t="s">
        <v>55</v>
      </c>
      <c r="G1937">
        <v>1</v>
      </c>
      <c r="H1937" t="s">
        <v>79</v>
      </c>
      <c r="I1937">
        <v>3</v>
      </c>
      <c r="J1937" s="4" t="str">
        <f>HYPERLINK("https://www.eliteprospects.com/player/512200/gavin-morrissey")</f>
        <v>https://www.eliteprospects.com/player/512200/gavin-morrissey</v>
      </c>
      <c r="K1937" t="s">
        <v>27</v>
      </c>
      <c r="L1937" t="s">
        <v>28</v>
      </c>
      <c r="M1937" t="s">
        <v>35</v>
      </c>
      <c r="N1937">
        <v>2</v>
      </c>
      <c r="O1937" t="s">
        <v>43</v>
      </c>
      <c r="P1937">
        <v>0.19</v>
      </c>
      <c r="Q1937" t="s">
        <v>135</v>
      </c>
      <c r="R1937">
        <v>25</v>
      </c>
      <c r="S1937">
        <v>50</v>
      </c>
      <c r="T1937">
        <v>0</v>
      </c>
      <c r="U1937">
        <v>0</v>
      </c>
      <c r="V1937">
        <v>25</v>
      </c>
    </row>
    <row r="1938" spans="1:22" x14ac:dyDescent="0.25">
      <c r="A1938" t="s">
        <v>156</v>
      </c>
      <c r="B1938" t="s">
        <v>139</v>
      </c>
      <c r="C1938">
        <v>16</v>
      </c>
      <c r="D1938" t="s">
        <v>26</v>
      </c>
      <c r="E1938" t="s">
        <v>26</v>
      </c>
      <c r="F1938" t="s">
        <v>38</v>
      </c>
      <c r="G1938">
        <v>1</v>
      </c>
      <c r="H1938" t="s">
        <v>57</v>
      </c>
      <c r="I1938">
        <v>3</v>
      </c>
      <c r="J1938" s="4" t="str">
        <f>HYPERLINK("https://www.eliteprospects.com/player/630047/quinn-finley")</f>
        <v>https://www.eliteprospects.com/player/630047/quinn-finley</v>
      </c>
      <c r="K1938" t="s">
        <v>27</v>
      </c>
      <c r="L1938" t="s">
        <v>28</v>
      </c>
      <c r="M1938" t="s">
        <v>91</v>
      </c>
      <c r="N1938">
        <v>3</v>
      </c>
      <c r="O1938" t="s">
        <v>74</v>
      </c>
      <c r="P1938">
        <v>0.19</v>
      </c>
      <c r="Q1938" t="s">
        <v>135</v>
      </c>
      <c r="R1938">
        <v>25</v>
      </c>
      <c r="S1938">
        <v>50</v>
      </c>
      <c r="T1938">
        <v>0</v>
      </c>
      <c r="U1938">
        <v>0</v>
      </c>
      <c r="V1938">
        <v>25</v>
      </c>
    </row>
    <row r="1939" spans="1:22" x14ac:dyDescent="0.25">
      <c r="A1939" t="s">
        <v>172</v>
      </c>
      <c r="B1939" t="s">
        <v>139</v>
      </c>
      <c r="C1939">
        <v>18</v>
      </c>
      <c r="D1939" t="s">
        <v>32</v>
      </c>
      <c r="E1939" t="s">
        <v>96</v>
      </c>
      <c r="F1939" t="s">
        <v>41</v>
      </c>
      <c r="G1939">
        <v>0.83</v>
      </c>
      <c r="H1939" t="s">
        <v>39</v>
      </c>
      <c r="I1939">
        <v>0</v>
      </c>
      <c r="J1939" s="4" t="str">
        <f>HYPERLINK("https://www.eliteprospects.com/player/290350/christian-fitzgerald")</f>
        <v>https://www.eliteprospects.com/player/290350/christian-fitzgerald</v>
      </c>
      <c r="K1939" t="s">
        <v>27</v>
      </c>
      <c r="L1939" t="s">
        <v>28</v>
      </c>
      <c r="M1939" t="s">
        <v>35</v>
      </c>
      <c r="N1939">
        <v>4</v>
      </c>
      <c r="O1939" t="s">
        <v>30</v>
      </c>
      <c r="P1939">
        <v>0.16</v>
      </c>
      <c r="Q1939" t="s">
        <v>135</v>
      </c>
      <c r="R1939">
        <v>20</v>
      </c>
      <c r="S1939">
        <v>40</v>
      </c>
      <c r="T1939">
        <v>0</v>
      </c>
      <c r="U1939">
        <v>20</v>
      </c>
      <c r="V1939">
        <v>20</v>
      </c>
    </row>
    <row r="1940" spans="1:22" x14ac:dyDescent="0.25">
      <c r="A1940" t="s">
        <v>191</v>
      </c>
      <c r="B1940" t="s">
        <v>139</v>
      </c>
      <c r="C1940">
        <v>18</v>
      </c>
      <c r="D1940" t="s">
        <v>78</v>
      </c>
      <c r="E1940" t="s">
        <v>78</v>
      </c>
      <c r="F1940" t="s">
        <v>39</v>
      </c>
      <c r="G1940">
        <v>0.78</v>
      </c>
      <c r="H1940" t="s">
        <v>47</v>
      </c>
      <c r="I1940">
        <v>6</v>
      </c>
      <c r="J1940" s="4" t="str">
        <f>HYPERLINK("https://www.eliteprospects.com/player/410666/simon-tassy")</f>
        <v>https://www.eliteprospects.com/player/410666/simon-tassy</v>
      </c>
      <c r="K1940" t="s">
        <v>27</v>
      </c>
      <c r="L1940" t="s">
        <v>28</v>
      </c>
      <c r="M1940" t="s">
        <v>35</v>
      </c>
      <c r="N1940">
        <v>4</v>
      </c>
      <c r="O1940" t="s">
        <v>30</v>
      </c>
      <c r="P1940">
        <v>0.15</v>
      </c>
      <c r="Q1940" t="s">
        <v>31</v>
      </c>
      <c r="R1940">
        <v>36.700000000000003</v>
      </c>
      <c r="S1940">
        <v>36.700000000000003</v>
      </c>
      <c r="T1940">
        <v>0</v>
      </c>
      <c r="U1940">
        <v>0</v>
      </c>
      <c r="V1940">
        <v>26.7</v>
      </c>
    </row>
    <row r="1941" spans="1:22" x14ac:dyDescent="0.25">
      <c r="A1941" t="s">
        <v>213</v>
      </c>
      <c r="B1941" t="s">
        <v>139</v>
      </c>
      <c r="C1941">
        <v>18</v>
      </c>
      <c r="D1941" t="s">
        <v>79</v>
      </c>
      <c r="E1941" t="s">
        <v>69</v>
      </c>
      <c r="F1941" t="s">
        <v>65</v>
      </c>
      <c r="G1941">
        <v>0.72</v>
      </c>
      <c r="H1941" t="s">
        <v>66</v>
      </c>
      <c r="I1941">
        <v>10</v>
      </c>
      <c r="J1941" s="4" t="str">
        <f>HYPERLINK("https://www.eliteprospects.com/player/638602/oliver-tulk")</f>
        <v>https://www.eliteprospects.com/player/638602/oliver-tulk</v>
      </c>
      <c r="K1941" t="s">
        <v>27</v>
      </c>
      <c r="L1941" t="s">
        <v>28</v>
      </c>
      <c r="M1941" t="s">
        <v>42</v>
      </c>
      <c r="N1941">
        <v>5</v>
      </c>
      <c r="O1941" t="s">
        <v>152</v>
      </c>
      <c r="P1941">
        <v>0.14000000000000001</v>
      </c>
      <c r="Q1941" t="s">
        <v>31</v>
      </c>
      <c r="R1941">
        <v>50</v>
      </c>
      <c r="S1941">
        <v>35.700000000000003</v>
      </c>
      <c r="T1941">
        <v>0</v>
      </c>
      <c r="U1941">
        <v>0</v>
      </c>
      <c r="V1941">
        <v>14.3</v>
      </c>
    </row>
    <row r="1942" spans="1:22" x14ac:dyDescent="0.25">
      <c r="A1942" t="s">
        <v>216</v>
      </c>
      <c r="B1942" t="s">
        <v>139</v>
      </c>
      <c r="C1942">
        <v>18</v>
      </c>
      <c r="D1942" t="s">
        <v>26</v>
      </c>
      <c r="E1942" t="s">
        <v>66</v>
      </c>
      <c r="F1942" t="s">
        <v>23</v>
      </c>
      <c r="G1942">
        <v>0.67</v>
      </c>
      <c r="H1942" t="s">
        <v>66</v>
      </c>
      <c r="I1942">
        <v>0</v>
      </c>
      <c r="J1942" s="4" t="str">
        <f>HYPERLINK("https://www.eliteprospects.com/player/675715/blake-montgomery")</f>
        <v>https://www.eliteprospects.com/player/675715/blake-montgomery</v>
      </c>
      <c r="K1942" t="s">
        <v>27</v>
      </c>
      <c r="L1942" t="s">
        <v>28</v>
      </c>
      <c r="M1942" t="s">
        <v>91</v>
      </c>
      <c r="N1942">
        <v>2</v>
      </c>
      <c r="O1942" t="s">
        <v>217</v>
      </c>
      <c r="P1942">
        <v>0.13</v>
      </c>
      <c r="Q1942" t="s">
        <v>135</v>
      </c>
      <c r="R1942">
        <v>11.1</v>
      </c>
      <c r="S1942">
        <v>44.4</v>
      </c>
      <c r="T1942">
        <v>11.1</v>
      </c>
      <c r="U1942">
        <v>11.1</v>
      </c>
      <c r="V1942">
        <v>22.2</v>
      </c>
    </row>
    <row r="1943" spans="1:22" x14ac:dyDescent="0.25">
      <c r="A1943" t="s">
        <v>290</v>
      </c>
      <c r="B1943" t="s">
        <v>139</v>
      </c>
      <c r="C1943">
        <v>18</v>
      </c>
      <c r="D1943" t="s">
        <v>57</v>
      </c>
      <c r="E1943" t="s">
        <v>140</v>
      </c>
      <c r="F1943" t="s">
        <v>45</v>
      </c>
      <c r="G1943">
        <v>0.5</v>
      </c>
      <c r="H1943" t="s">
        <v>132</v>
      </c>
      <c r="I1943">
        <v>5</v>
      </c>
      <c r="J1943" s="4" t="str">
        <f>HYPERLINK("https://www.eliteprospects.com/player/527501/ryan-botterill")</f>
        <v>https://www.eliteprospects.com/player/527501/ryan-botterill</v>
      </c>
      <c r="K1943" t="s">
        <v>27</v>
      </c>
      <c r="L1943" t="s">
        <v>28</v>
      </c>
      <c r="M1943" t="s">
        <v>35</v>
      </c>
      <c r="N1943">
        <v>2</v>
      </c>
      <c r="O1943" t="s">
        <v>43</v>
      </c>
      <c r="P1943">
        <v>0.1</v>
      </c>
      <c r="Q1943" t="s">
        <v>245</v>
      </c>
      <c r="R1943">
        <v>20</v>
      </c>
      <c r="S1943">
        <v>20</v>
      </c>
      <c r="T1943">
        <v>20</v>
      </c>
      <c r="U1943">
        <v>0</v>
      </c>
      <c r="V1943">
        <v>40</v>
      </c>
    </row>
    <row r="1944" spans="1:22" x14ac:dyDescent="0.25">
      <c r="A1944" t="s">
        <v>305</v>
      </c>
      <c r="B1944" t="s">
        <v>139</v>
      </c>
      <c r="C1944">
        <v>15</v>
      </c>
      <c r="D1944" t="s">
        <v>79</v>
      </c>
      <c r="E1944" t="s">
        <v>78</v>
      </c>
      <c r="F1944" t="s">
        <v>45</v>
      </c>
      <c r="G1944">
        <v>0.6</v>
      </c>
      <c r="H1944" t="s">
        <v>51</v>
      </c>
      <c r="I1944">
        <v>4</v>
      </c>
      <c r="J1944" s="4" t="str">
        <f>HYPERLINK("https://www.eliteprospects.com/player/619102/vasily-zelenov")</f>
        <v>https://www.eliteprospects.com/player/619102/vasily-zelenov</v>
      </c>
      <c r="K1944" t="s">
        <v>27</v>
      </c>
      <c r="L1944" t="s">
        <v>28</v>
      </c>
      <c r="M1944" t="s">
        <v>48</v>
      </c>
      <c r="N1944">
        <v>1</v>
      </c>
      <c r="O1944" t="s">
        <v>71</v>
      </c>
      <c r="P1944">
        <v>0.12</v>
      </c>
      <c r="Q1944" t="s">
        <v>31</v>
      </c>
      <c r="R1944">
        <v>100</v>
      </c>
      <c r="S1944">
        <v>0</v>
      </c>
      <c r="T1944">
        <v>0</v>
      </c>
      <c r="U1944">
        <v>0</v>
      </c>
      <c r="V1944">
        <v>0</v>
      </c>
    </row>
    <row r="1945" spans="1:22" x14ac:dyDescent="0.25">
      <c r="A1945" t="s">
        <v>337</v>
      </c>
      <c r="B1945" t="s">
        <v>139</v>
      </c>
      <c r="C1945">
        <v>18</v>
      </c>
      <c r="D1945" t="s">
        <v>140</v>
      </c>
      <c r="E1945" t="s">
        <v>66</v>
      </c>
      <c r="F1945" t="s">
        <v>78</v>
      </c>
      <c r="G1945">
        <v>0.39</v>
      </c>
      <c r="H1945" t="s">
        <v>269</v>
      </c>
      <c r="I1945">
        <v>4</v>
      </c>
      <c r="J1945" s="4" t="str">
        <f>HYPERLINK("https://www.eliteprospects.com/player/634890/grady-deering")</f>
        <v>https://www.eliteprospects.com/player/634890/grady-deering</v>
      </c>
      <c r="K1945" t="s">
        <v>27</v>
      </c>
      <c r="L1945" t="s">
        <v>28</v>
      </c>
      <c r="M1945" t="s">
        <v>42</v>
      </c>
      <c r="N1945">
        <v>1</v>
      </c>
      <c r="O1945" t="s">
        <v>71</v>
      </c>
      <c r="P1945">
        <v>0.08</v>
      </c>
      <c r="Q1945" t="s">
        <v>31</v>
      </c>
      <c r="R1945">
        <v>33.299999999999997</v>
      </c>
      <c r="S1945">
        <v>8.3000000000000007</v>
      </c>
      <c r="T1945">
        <v>33.299999999999997</v>
      </c>
      <c r="U1945">
        <v>8.3000000000000007</v>
      </c>
      <c r="V1945">
        <v>16.7</v>
      </c>
    </row>
    <row r="1946" spans="1:22" x14ac:dyDescent="0.25">
      <c r="A1946" t="s">
        <v>365</v>
      </c>
      <c r="B1946" t="s">
        <v>139</v>
      </c>
      <c r="C1946">
        <v>10</v>
      </c>
      <c r="D1946" t="s">
        <v>79</v>
      </c>
      <c r="E1946" t="s">
        <v>66</v>
      </c>
      <c r="F1946" t="s">
        <v>57</v>
      </c>
      <c r="G1946">
        <v>0.6</v>
      </c>
      <c r="H1946" t="s">
        <v>132</v>
      </c>
      <c r="I1946">
        <v>4</v>
      </c>
      <c r="J1946" s="4" t="str">
        <f>HYPERLINK("https://www.eliteprospects.com/player/635386/tyson-dyck")</f>
        <v>https://www.eliteprospects.com/player/635386/tyson-dyck</v>
      </c>
      <c r="K1946" t="s">
        <v>27</v>
      </c>
      <c r="L1946" t="s">
        <v>28</v>
      </c>
      <c r="M1946" t="s">
        <v>42</v>
      </c>
      <c r="N1946">
        <v>4</v>
      </c>
      <c r="O1946" t="s">
        <v>30</v>
      </c>
      <c r="P1946">
        <v>0.12</v>
      </c>
      <c r="Q1946" t="s">
        <v>31</v>
      </c>
      <c r="R1946">
        <v>100</v>
      </c>
      <c r="S1946">
        <v>0</v>
      </c>
      <c r="T1946">
        <v>0</v>
      </c>
      <c r="U1946">
        <v>0</v>
      </c>
      <c r="V1946">
        <v>0</v>
      </c>
    </row>
    <row r="1947" spans="1:22" x14ac:dyDescent="0.25">
      <c r="A1947" t="s">
        <v>375</v>
      </c>
      <c r="B1947" t="s">
        <v>139</v>
      </c>
      <c r="C1947">
        <v>10</v>
      </c>
      <c r="D1947" t="s">
        <v>140</v>
      </c>
      <c r="E1947" t="s">
        <v>79</v>
      </c>
      <c r="F1947" t="s">
        <v>96</v>
      </c>
      <c r="G1947">
        <v>0.5</v>
      </c>
      <c r="H1947" t="s">
        <v>23</v>
      </c>
      <c r="I1947">
        <v>6</v>
      </c>
      <c r="J1947" s="4" t="str">
        <f>HYPERLINK("https://www.eliteprospects.com/player/664595/finn-brink")</f>
        <v>https://www.eliteprospects.com/player/664595/finn-brink</v>
      </c>
      <c r="K1947" t="s">
        <v>27</v>
      </c>
      <c r="L1947" t="s">
        <v>28</v>
      </c>
      <c r="M1947" t="s">
        <v>91</v>
      </c>
      <c r="N1947">
        <v>1</v>
      </c>
      <c r="O1947" t="s">
        <v>71</v>
      </c>
      <c r="P1947">
        <v>0.1</v>
      </c>
      <c r="Q1947" t="s">
        <v>31</v>
      </c>
      <c r="R1947">
        <v>37.5</v>
      </c>
      <c r="S1947">
        <v>12.5</v>
      </c>
      <c r="T1947">
        <v>12.5</v>
      </c>
      <c r="U1947">
        <v>12.5</v>
      </c>
      <c r="V1947">
        <v>25</v>
      </c>
    </row>
    <row r="1948" spans="1:22" x14ac:dyDescent="0.25">
      <c r="A1948" t="s">
        <v>387</v>
      </c>
      <c r="B1948" t="s">
        <v>139</v>
      </c>
      <c r="C1948">
        <v>15</v>
      </c>
      <c r="D1948" t="s">
        <v>260</v>
      </c>
      <c r="E1948" t="s">
        <v>66</v>
      </c>
      <c r="F1948" t="s">
        <v>96</v>
      </c>
      <c r="G1948">
        <v>0.33</v>
      </c>
      <c r="H1948" t="s">
        <v>26</v>
      </c>
      <c r="I1948">
        <v>-6</v>
      </c>
      <c r="J1948" s="4" t="str">
        <f>HYPERLINK("https://www.eliteprospects.com/player/583030/kyle-kukkonen")</f>
        <v>https://www.eliteprospects.com/player/583030/kyle-kukkonen</v>
      </c>
      <c r="K1948" t="s">
        <v>27</v>
      </c>
      <c r="L1948" t="s">
        <v>28</v>
      </c>
      <c r="M1948" t="s">
        <v>87</v>
      </c>
      <c r="N1948">
        <v>4</v>
      </c>
      <c r="O1948" t="s">
        <v>30</v>
      </c>
      <c r="P1948">
        <v>0.06</v>
      </c>
      <c r="Q1948" t="s">
        <v>245</v>
      </c>
      <c r="R1948">
        <v>0</v>
      </c>
      <c r="S1948">
        <v>15.4</v>
      </c>
      <c r="T1948">
        <v>7.7</v>
      </c>
      <c r="U1948">
        <v>30.8</v>
      </c>
      <c r="V1948">
        <v>46.2</v>
      </c>
    </row>
    <row r="1949" spans="1:22" x14ac:dyDescent="0.25">
      <c r="A1949" t="s">
        <v>393</v>
      </c>
      <c r="B1949" t="s">
        <v>139</v>
      </c>
      <c r="C1949">
        <v>11</v>
      </c>
      <c r="D1949" t="s">
        <v>140</v>
      </c>
      <c r="E1949" t="s">
        <v>260</v>
      </c>
      <c r="F1949" t="s">
        <v>66</v>
      </c>
      <c r="G1949">
        <v>0.36</v>
      </c>
      <c r="H1949" t="s">
        <v>38</v>
      </c>
      <c r="I1949">
        <v>0</v>
      </c>
      <c r="J1949" s="4" t="str">
        <f>HYPERLINK("https://www.eliteprospects.com/player/512174/adam-pietila")</f>
        <v>https://www.eliteprospects.com/player/512174/adam-pietila</v>
      </c>
      <c r="K1949" t="s">
        <v>27</v>
      </c>
      <c r="L1949" t="s">
        <v>28</v>
      </c>
      <c r="M1949" t="s">
        <v>35</v>
      </c>
      <c r="N1949">
        <v>2</v>
      </c>
      <c r="O1949" t="s">
        <v>43</v>
      </c>
      <c r="P1949">
        <v>7.0000000000000007E-2</v>
      </c>
      <c r="Q1949" t="s">
        <v>135</v>
      </c>
      <c r="R1949">
        <v>0</v>
      </c>
      <c r="S1949">
        <v>33.299999999999997</v>
      </c>
      <c r="T1949">
        <v>23.8</v>
      </c>
      <c r="U1949">
        <v>9.5</v>
      </c>
      <c r="V1949">
        <v>33.299999999999997</v>
      </c>
    </row>
    <row r="1950" spans="1:22" x14ac:dyDescent="0.25">
      <c r="A1950" t="s">
        <v>413</v>
      </c>
      <c r="B1950" t="s">
        <v>139</v>
      </c>
      <c r="C1950">
        <v>12</v>
      </c>
      <c r="D1950" t="s">
        <v>260</v>
      </c>
      <c r="E1950" t="s">
        <v>140</v>
      </c>
      <c r="F1950" t="s">
        <v>66</v>
      </c>
      <c r="G1950">
        <v>0.33</v>
      </c>
      <c r="H1950" t="s">
        <v>79</v>
      </c>
      <c r="I1950">
        <v>4</v>
      </c>
      <c r="J1950" s="4" t="str">
        <f>HYPERLINK("https://www.eliteprospects.com/player/619088/bruno-idzan")</f>
        <v>https://www.eliteprospects.com/player/619088/bruno-idzan</v>
      </c>
      <c r="K1950" t="s">
        <v>27</v>
      </c>
      <c r="L1950" t="s">
        <v>28</v>
      </c>
      <c r="M1950" t="s">
        <v>91</v>
      </c>
      <c r="N1950">
        <v>1</v>
      </c>
      <c r="O1950" t="s">
        <v>71</v>
      </c>
      <c r="P1950">
        <v>0.06</v>
      </c>
      <c r="Q1950" t="s">
        <v>245</v>
      </c>
      <c r="R1950">
        <v>14.3</v>
      </c>
      <c r="S1950">
        <v>28.6</v>
      </c>
      <c r="T1950">
        <v>0</v>
      </c>
      <c r="U1950">
        <v>14.3</v>
      </c>
      <c r="V1950">
        <v>42.9</v>
      </c>
    </row>
    <row r="1951" spans="1:22" x14ac:dyDescent="0.25">
      <c r="A1951" t="s">
        <v>439</v>
      </c>
      <c r="B1951" t="s">
        <v>139</v>
      </c>
      <c r="C1951">
        <v>18</v>
      </c>
      <c r="D1951" t="s">
        <v>260</v>
      </c>
      <c r="E1951" t="s">
        <v>79</v>
      </c>
      <c r="F1951" t="s">
        <v>140</v>
      </c>
      <c r="G1951">
        <v>0.17</v>
      </c>
      <c r="H1951" t="s">
        <v>40</v>
      </c>
      <c r="I1951">
        <v>5</v>
      </c>
      <c r="J1951" s="4" t="str">
        <f>HYPERLINK("https://www.eliteprospects.com/player/418240/jack-horbach")</f>
        <v>https://www.eliteprospects.com/player/418240/jack-horbach</v>
      </c>
      <c r="K1951" t="s">
        <v>27</v>
      </c>
      <c r="L1951" t="s">
        <v>28</v>
      </c>
      <c r="M1951" t="s">
        <v>129</v>
      </c>
      <c r="N1951">
        <v>4</v>
      </c>
      <c r="O1951" t="s">
        <v>30</v>
      </c>
      <c r="P1951">
        <v>0.03</v>
      </c>
      <c r="Q1951" t="s">
        <v>245</v>
      </c>
      <c r="R1951">
        <v>0</v>
      </c>
      <c r="S1951">
        <v>0</v>
      </c>
      <c r="T1951">
        <v>0</v>
      </c>
      <c r="U1951">
        <v>0</v>
      </c>
      <c r="V1951">
        <v>100</v>
      </c>
    </row>
    <row r="1952" spans="1:22" x14ac:dyDescent="0.25">
      <c r="A1952" t="s">
        <v>802</v>
      </c>
      <c r="B1952" t="s">
        <v>803</v>
      </c>
      <c r="C1952">
        <v>37</v>
      </c>
      <c r="D1952" t="s">
        <v>125</v>
      </c>
      <c r="E1952" t="s">
        <v>25</v>
      </c>
      <c r="F1952" t="s">
        <v>111</v>
      </c>
      <c r="G1952">
        <v>1.57</v>
      </c>
      <c r="H1952" t="s">
        <v>66</v>
      </c>
      <c r="I1952">
        <v>-12</v>
      </c>
      <c r="J1952" s="4" t="str">
        <f>HYPERLINK("https://www.eliteprospects.com/player/805224/philippe-veilleux")</f>
        <v>https://www.eliteprospects.com/player/805224/philippe-veilleux</v>
      </c>
      <c r="K1952" t="s">
        <v>27</v>
      </c>
      <c r="L1952" t="s">
        <v>804</v>
      </c>
      <c r="M1952" t="s">
        <v>91</v>
      </c>
      <c r="N1952">
        <v>3</v>
      </c>
      <c r="O1952" t="s">
        <v>805</v>
      </c>
      <c r="P1952">
        <v>0.18</v>
      </c>
      <c r="Q1952" t="s">
        <v>135</v>
      </c>
      <c r="R1952">
        <v>0</v>
      </c>
      <c r="S1952">
        <v>100</v>
      </c>
      <c r="T1952">
        <v>0</v>
      </c>
      <c r="U1952">
        <v>0</v>
      </c>
      <c r="V1952">
        <v>0</v>
      </c>
    </row>
    <row r="1953" spans="1:22" x14ac:dyDescent="0.25">
      <c r="A1953" t="s">
        <v>813</v>
      </c>
      <c r="B1953" t="s">
        <v>803</v>
      </c>
      <c r="C1953">
        <v>33</v>
      </c>
      <c r="D1953" t="s">
        <v>60</v>
      </c>
      <c r="E1953" t="s">
        <v>269</v>
      </c>
      <c r="F1953" t="s">
        <v>491</v>
      </c>
      <c r="G1953">
        <v>1.52</v>
      </c>
      <c r="H1953" t="s">
        <v>39</v>
      </c>
      <c r="I1953">
        <v>-8</v>
      </c>
      <c r="J1953" s="4" t="str">
        <f>HYPERLINK("https://www.eliteprospects.com/player/663452/maxime-coursol")</f>
        <v>https://www.eliteprospects.com/player/663452/maxime-coursol</v>
      </c>
      <c r="K1953" t="s">
        <v>27</v>
      </c>
      <c r="L1953" t="s">
        <v>804</v>
      </c>
      <c r="M1953" t="s">
        <v>29</v>
      </c>
      <c r="N1953">
        <v>5</v>
      </c>
      <c r="O1953" t="s">
        <v>807</v>
      </c>
      <c r="P1953">
        <v>0.17</v>
      </c>
      <c r="Q1953" t="s">
        <v>135</v>
      </c>
      <c r="R1953">
        <v>0</v>
      </c>
      <c r="S1953">
        <v>100</v>
      </c>
      <c r="T1953">
        <v>0</v>
      </c>
      <c r="U1953">
        <v>0</v>
      </c>
      <c r="V1953">
        <v>0</v>
      </c>
    </row>
    <row r="1954" spans="1:22" x14ac:dyDescent="0.25">
      <c r="A1954" t="s">
        <v>819</v>
      </c>
      <c r="B1954" t="s">
        <v>803</v>
      </c>
      <c r="C1954">
        <v>33</v>
      </c>
      <c r="D1954" t="s">
        <v>60</v>
      </c>
      <c r="E1954" t="s">
        <v>61</v>
      </c>
      <c r="F1954" t="s">
        <v>235</v>
      </c>
      <c r="G1954">
        <v>1.33</v>
      </c>
      <c r="H1954" t="s">
        <v>53</v>
      </c>
      <c r="I1954">
        <v>0</v>
      </c>
      <c r="J1954" s="4" t="str">
        <f>HYPERLINK("https://www.eliteprospects.com/player/719756/nathan-brisson")</f>
        <v>https://www.eliteprospects.com/player/719756/nathan-brisson</v>
      </c>
      <c r="K1954" t="s">
        <v>27</v>
      </c>
      <c r="L1954" t="s">
        <v>804</v>
      </c>
      <c r="M1954" t="s">
        <v>91</v>
      </c>
      <c r="N1954">
        <v>4</v>
      </c>
      <c r="O1954" t="s">
        <v>809</v>
      </c>
      <c r="P1954">
        <v>0.15</v>
      </c>
      <c r="Q1954" t="s">
        <v>135</v>
      </c>
      <c r="R1954">
        <v>20</v>
      </c>
      <c r="S1954">
        <v>40</v>
      </c>
      <c r="T1954">
        <v>0</v>
      </c>
      <c r="U1954">
        <v>20</v>
      </c>
      <c r="V1954">
        <v>20</v>
      </c>
    </row>
    <row r="1955" spans="1:22" x14ac:dyDescent="0.25">
      <c r="A1955" t="s">
        <v>850</v>
      </c>
      <c r="B1955" t="s">
        <v>803</v>
      </c>
      <c r="C1955">
        <v>29</v>
      </c>
      <c r="D1955" t="s">
        <v>23</v>
      </c>
      <c r="E1955" t="s">
        <v>69</v>
      </c>
      <c r="F1955" t="s">
        <v>84</v>
      </c>
      <c r="G1955">
        <v>0.79</v>
      </c>
      <c r="H1955" t="s">
        <v>75</v>
      </c>
      <c r="I1955">
        <v>-10</v>
      </c>
      <c r="J1955" s="4" t="str">
        <f>HYPERLINK("https://www.eliteprospects.com/player/657818/samuel-fiala")</f>
        <v>https://www.eliteprospects.com/player/657818/samuel-fiala</v>
      </c>
      <c r="K1955" t="s">
        <v>27</v>
      </c>
      <c r="L1955" t="s">
        <v>804</v>
      </c>
      <c r="M1955" t="s">
        <v>42</v>
      </c>
      <c r="N1955">
        <v>3</v>
      </c>
      <c r="O1955" t="s">
        <v>805</v>
      </c>
      <c r="P1955">
        <v>0.09</v>
      </c>
      <c r="Q1955" t="s">
        <v>31</v>
      </c>
      <c r="R1955">
        <v>36.4</v>
      </c>
      <c r="S1955">
        <v>9.1</v>
      </c>
      <c r="T1955">
        <v>18.2</v>
      </c>
      <c r="U1955">
        <v>9.1</v>
      </c>
      <c r="V1955">
        <v>27.3</v>
      </c>
    </row>
    <row r="1956" spans="1:22" x14ac:dyDescent="0.25">
      <c r="A1956" t="s">
        <v>857</v>
      </c>
      <c r="B1956" t="s">
        <v>803</v>
      </c>
      <c r="C1956">
        <v>36</v>
      </c>
      <c r="D1956" t="s">
        <v>57</v>
      </c>
      <c r="E1956" t="s">
        <v>41</v>
      </c>
      <c r="F1956" t="s">
        <v>33</v>
      </c>
      <c r="G1956">
        <v>0.57999999999999996</v>
      </c>
      <c r="H1956" t="s">
        <v>32</v>
      </c>
      <c r="I1956">
        <v>0</v>
      </c>
      <c r="J1956" s="4" t="str">
        <f>HYPERLINK("https://www.eliteprospects.com/player/619707/benjamin-oliver")</f>
        <v>https://www.eliteprospects.com/player/619707/benjamin-oliver</v>
      </c>
      <c r="K1956" t="s">
        <v>27</v>
      </c>
      <c r="L1956" t="s">
        <v>804</v>
      </c>
      <c r="M1956" t="s">
        <v>42</v>
      </c>
      <c r="N1956">
        <v>2</v>
      </c>
      <c r="O1956" t="s">
        <v>825</v>
      </c>
      <c r="P1956">
        <v>7.0000000000000007E-2</v>
      </c>
      <c r="Q1956" t="s">
        <v>135</v>
      </c>
      <c r="R1956">
        <v>0</v>
      </c>
      <c r="S1956">
        <v>33.299999999999997</v>
      </c>
      <c r="T1956">
        <v>23.8</v>
      </c>
      <c r="U1956">
        <v>9.5</v>
      </c>
      <c r="V1956">
        <v>33.299999999999997</v>
      </c>
    </row>
    <row r="1957" spans="1:22" x14ac:dyDescent="0.25">
      <c r="A1957" t="s">
        <v>866</v>
      </c>
      <c r="B1957" t="s">
        <v>803</v>
      </c>
      <c r="C1957">
        <v>35</v>
      </c>
      <c r="D1957" t="s">
        <v>96</v>
      </c>
      <c r="E1957" t="s">
        <v>69</v>
      </c>
      <c r="F1957" t="s">
        <v>38</v>
      </c>
      <c r="G1957">
        <v>0.46</v>
      </c>
      <c r="H1957" t="s">
        <v>39</v>
      </c>
      <c r="I1957">
        <v>-4</v>
      </c>
      <c r="J1957" s="4" t="str">
        <f>HYPERLINK("https://www.eliteprospects.com/player/597535/jeremy-leroux")</f>
        <v>https://www.eliteprospects.com/player/597535/jeremy-leroux</v>
      </c>
      <c r="K1957" t="s">
        <v>27</v>
      </c>
      <c r="L1957" t="s">
        <v>804</v>
      </c>
      <c r="M1957" t="s">
        <v>42</v>
      </c>
      <c r="N1957">
        <v>4</v>
      </c>
      <c r="O1957" t="s">
        <v>809</v>
      </c>
      <c r="P1957">
        <v>0.05</v>
      </c>
      <c r="Q1957" t="s">
        <v>245</v>
      </c>
      <c r="R1957">
        <v>9.1</v>
      </c>
      <c r="S1957">
        <v>18.2</v>
      </c>
      <c r="T1957">
        <v>9.1</v>
      </c>
      <c r="U1957">
        <v>13.6</v>
      </c>
      <c r="V1957">
        <v>50</v>
      </c>
    </row>
    <row r="1958" spans="1:22" x14ac:dyDescent="0.25">
      <c r="A1958" t="s">
        <v>871</v>
      </c>
      <c r="B1958" t="s">
        <v>803</v>
      </c>
      <c r="C1958">
        <v>37</v>
      </c>
      <c r="D1958" t="s">
        <v>26</v>
      </c>
      <c r="E1958" t="s">
        <v>96</v>
      </c>
      <c r="F1958" t="s">
        <v>65</v>
      </c>
      <c r="G1958">
        <v>0.35</v>
      </c>
      <c r="H1958" t="s">
        <v>491</v>
      </c>
      <c r="I1958">
        <v>-3</v>
      </c>
      <c r="J1958" s="4" t="str">
        <f>HYPERLINK("https://www.eliteprospects.com/player/790440/mathias-bourque")</f>
        <v>https://www.eliteprospects.com/player/790440/mathias-bourque</v>
      </c>
      <c r="K1958" t="s">
        <v>27</v>
      </c>
      <c r="L1958" t="s">
        <v>804</v>
      </c>
      <c r="M1958" t="s">
        <v>91</v>
      </c>
      <c r="N1958">
        <v>3</v>
      </c>
      <c r="O1958" t="s">
        <v>805</v>
      </c>
      <c r="P1958">
        <v>0.04</v>
      </c>
      <c r="Q1958" t="s">
        <v>245</v>
      </c>
      <c r="R1958">
        <v>9.1</v>
      </c>
      <c r="S1958">
        <v>18.2</v>
      </c>
      <c r="T1958">
        <v>9.1</v>
      </c>
      <c r="U1958">
        <v>13.6</v>
      </c>
      <c r="V1958">
        <v>50</v>
      </c>
    </row>
    <row r="1959" spans="1:22" x14ac:dyDescent="0.25">
      <c r="A1959" t="s">
        <v>874</v>
      </c>
      <c r="B1959" t="s">
        <v>803</v>
      </c>
      <c r="C1959">
        <v>10</v>
      </c>
      <c r="D1959" t="s">
        <v>66</v>
      </c>
      <c r="E1959" t="s">
        <v>26</v>
      </c>
      <c r="F1959" t="s">
        <v>23</v>
      </c>
      <c r="G1959">
        <v>1.2</v>
      </c>
      <c r="H1959" t="s">
        <v>57</v>
      </c>
      <c r="I1959">
        <v>0</v>
      </c>
      <c r="J1959" s="4" t="str">
        <f>HYPERLINK("https://www.eliteprospects.com/player/667423/alix-durocher")</f>
        <v>https://www.eliteprospects.com/player/667423/alix-durocher</v>
      </c>
      <c r="K1959" t="s">
        <v>27</v>
      </c>
      <c r="L1959" t="s">
        <v>804</v>
      </c>
      <c r="M1959" t="s">
        <v>42</v>
      </c>
      <c r="N1959">
        <v>3</v>
      </c>
      <c r="O1959" t="s">
        <v>805</v>
      </c>
      <c r="P1959">
        <v>0.14000000000000001</v>
      </c>
      <c r="Q1959" t="s">
        <v>245</v>
      </c>
      <c r="R1959">
        <v>0</v>
      </c>
      <c r="S1959">
        <v>25</v>
      </c>
      <c r="T1959">
        <v>25</v>
      </c>
      <c r="U1959">
        <v>0</v>
      </c>
      <c r="V1959">
        <v>50</v>
      </c>
    </row>
    <row r="1960" spans="1:22" x14ac:dyDescent="0.25">
      <c r="A1960" t="s">
        <v>881</v>
      </c>
      <c r="B1960" t="s">
        <v>803</v>
      </c>
      <c r="C1960">
        <v>35</v>
      </c>
      <c r="D1960" t="s">
        <v>57</v>
      </c>
      <c r="E1960" t="s">
        <v>140</v>
      </c>
      <c r="F1960" t="s">
        <v>45</v>
      </c>
      <c r="G1960">
        <v>0.26</v>
      </c>
      <c r="H1960" t="s">
        <v>38</v>
      </c>
      <c r="I1960">
        <v>-11</v>
      </c>
      <c r="J1960" s="4" t="str">
        <f>HYPERLINK("https://www.eliteprospects.com/player/825848/jordan-labelle")</f>
        <v>https://www.eliteprospects.com/player/825848/jordan-labelle</v>
      </c>
      <c r="K1960" t="s">
        <v>27</v>
      </c>
      <c r="L1960" t="s">
        <v>804</v>
      </c>
      <c r="M1960" t="s">
        <v>91</v>
      </c>
      <c r="N1960">
        <v>3</v>
      </c>
      <c r="O1960" t="s">
        <v>805</v>
      </c>
      <c r="P1960">
        <v>0.03</v>
      </c>
      <c r="Q1960" t="s">
        <v>245</v>
      </c>
      <c r="R1960">
        <v>13.3</v>
      </c>
      <c r="S1960">
        <v>13.3</v>
      </c>
      <c r="T1960">
        <v>0</v>
      </c>
      <c r="U1960">
        <v>13.3</v>
      </c>
      <c r="V1960">
        <v>60</v>
      </c>
    </row>
    <row r="1961" spans="1:22" x14ac:dyDescent="0.25">
      <c r="A1961" t="s">
        <v>883</v>
      </c>
      <c r="B1961" t="s">
        <v>803</v>
      </c>
      <c r="C1961">
        <v>35</v>
      </c>
      <c r="D1961" t="s">
        <v>140</v>
      </c>
      <c r="E1961" t="s">
        <v>57</v>
      </c>
      <c r="F1961" t="s">
        <v>45</v>
      </c>
      <c r="G1961">
        <v>0.26</v>
      </c>
      <c r="H1961" t="s">
        <v>26</v>
      </c>
      <c r="I1961">
        <v>-5</v>
      </c>
      <c r="J1961" s="4" t="str">
        <f>HYPERLINK("https://www.eliteprospects.com/player/885509/josh-demers")</f>
        <v>https://www.eliteprospects.com/player/885509/josh-demers</v>
      </c>
      <c r="K1961" t="s">
        <v>27</v>
      </c>
      <c r="L1961" t="s">
        <v>804</v>
      </c>
      <c r="M1961" t="s">
        <v>91</v>
      </c>
      <c r="N1961">
        <v>1</v>
      </c>
      <c r="O1961" t="s">
        <v>816</v>
      </c>
      <c r="P1961">
        <v>0.03</v>
      </c>
      <c r="Q1961" t="s">
        <v>245</v>
      </c>
      <c r="R1961">
        <v>9.1</v>
      </c>
      <c r="S1961">
        <v>18.2</v>
      </c>
      <c r="T1961">
        <v>9.1</v>
      </c>
      <c r="U1961">
        <v>13.6</v>
      </c>
      <c r="V1961">
        <v>50</v>
      </c>
    </row>
    <row r="1962" spans="1:22" x14ac:dyDescent="0.25">
      <c r="A1962" t="s">
        <v>913</v>
      </c>
      <c r="B1962" t="s">
        <v>803</v>
      </c>
      <c r="C1962">
        <v>24</v>
      </c>
      <c r="D1962" t="s">
        <v>132</v>
      </c>
      <c r="E1962" t="s">
        <v>260</v>
      </c>
      <c r="F1962" t="s">
        <v>260</v>
      </c>
      <c r="G1962">
        <v>0.04</v>
      </c>
      <c r="H1962" t="s">
        <v>79</v>
      </c>
      <c r="I1962">
        <v>-9</v>
      </c>
      <c r="J1962" s="4" t="str">
        <f>HYPERLINK("https://www.eliteprospects.com/player/973052/evan-sercerchi")</f>
        <v>https://www.eliteprospects.com/player/973052/evan-sercerchi</v>
      </c>
      <c r="K1962" t="s">
        <v>27</v>
      </c>
      <c r="L1962" t="s">
        <v>804</v>
      </c>
      <c r="M1962" t="s">
        <v>42</v>
      </c>
      <c r="N1962">
        <v>1</v>
      </c>
      <c r="O1962" t="s">
        <v>816</v>
      </c>
      <c r="P1962">
        <v>0</v>
      </c>
      <c r="Q1962" t="s">
        <v>245</v>
      </c>
      <c r="R1962">
        <v>13.3</v>
      </c>
      <c r="S1962">
        <v>13.3</v>
      </c>
      <c r="T1962">
        <v>0</v>
      </c>
      <c r="U1962">
        <v>13.3</v>
      </c>
      <c r="V1962">
        <v>60</v>
      </c>
    </row>
    <row r="1963" spans="1:22" x14ac:dyDescent="0.25">
      <c r="A1963" t="s">
        <v>914</v>
      </c>
      <c r="B1963" t="s">
        <v>803</v>
      </c>
      <c r="C1963">
        <v>34</v>
      </c>
      <c r="D1963" t="s">
        <v>132</v>
      </c>
      <c r="E1963" t="s">
        <v>260</v>
      </c>
      <c r="F1963" t="s">
        <v>260</v>
      </c>
      <c r="G1963">
        <v>0.03</v>
      </c>
      <c r="H1963" t="s">
        <v>38</v>
      </c>
      <c r="I1963">
        <v>-10</v>
      </c>
      <c r="J1963" s="4" t="str">
        <f>HYPERLINK("https://www.eliteprospects.com/player/868990/sheldon-rioux")</f>
        <v>https://www.eliteprospects.com/player/868990/sheldon-rioux</v>
      </c>
      <c r="K1963" t="s">
        <v>27</v>
      </c>
      <c r="L1963" t="s">
        <v>804</v>
      </c>
      <c r="M1963" t="s">
        <v>29</v>
      </c>
      <c r="N1963">
        <v>1</v>
      </c>
      <c r="O1963" t="s">
        <v>816</v>
      </c>
      <c r="P1963">
        <v>0</v>
      </c>
      <c r="Q1963" t="s">
        <v>245</v>
      </c>
      <c r="R1963">
        <v>13.3</v>
      </c>
      <c r="S1963">
        <v>13.3</v>
      </c>
      <c r="T1963">
        <v>0</v>
      </c>
      <c r="U1963">
        <v>13.3</v>
      </c>
      <c r="V1963">
        <v>60</v>
      </c>
    </row>
    <row r="1964" spans="1:22" x14ac:dyDescent="0.25">
      <c r="A1964" t="s">
        <v>701</v>
      </c>
      <c r="B1964" t="s">
        <v>702</v>
      </c>
      <c r="C1964">
        <v>40</v>
      </c>
      <c r="D1964" t="s">
        <v>26</v>
      </c>
      <c r="E1964" t="s">
        <v>41</v>
      </c>
      <c r="F1964" t="s">
        <v>84</v>
      </c>
      <c r="G1964">
        <v>0.57999999999999996</v>
      </c>
      <c r="H1964" t="s">
        <v>32</v>
      </c>
      <c r="I1964">
        <v>-3</v>
      </c>
      <c r="J1964" s="4" t="str">
        <f>HYPERLINK("https://www.eliteprospects.com/player/576976/jakob-oreskovic")</f>
        <v>https://www.eliteprospects.com/player/576976/jakob-oreskovic</v>
      </c>
      <c r="K1964" t="s">
        <v>27</v>
      </c>
      <c r="L1964" t="s">
        <v>631</v>
      </c>
      <c r="M1964" t="s">
        <v>35</v>
      </c>
      <c r="N1964">
        <v>4</v>
      </c>
      <c r="O1964" t="s">
        <v>632</v>
      </c>
      <c r="P1964">
        <v>0.08</v>
      </c>
      <c r="Q1964" t="s">
        <v>1277</v>
      </c>
      <c r="R1964">
        <v>16.7</v>
      </c>
      <c r="S1964">
        <v>16.7</v>
      </c>
      <c r="T1964">
        <v>25</v>
      </c>
      <c r="U1964">
        <v>16.7</v>
      </c>
      <c r="V1964">
        <v>25</v>
      </c>
    </row>
    <row r="1965" spans="1:22" x14ac:dyDescent="0.25">
      <c r="A1965" t="s">
        <v>713</v>
      </c>
      <c r="B1965" t="s">
        <v>702</v>
      </c>
      <c r="C1965">
        <v>30</v>
      </c>
      <c r="D1965" t="s">
        <v>78</v>
      </c>
      <c r="E1965" t="s">
        <v>65</v>
      </c>
      <c r="F1965" t="s">
        <v>24</v>
      </c>
      <c r="G1965">
        <v>0.67</v>
      </c>
      <c r="H1965" t="s">
        <v>38</v>
      </c>
      <c r="I1965">
        <v>-8</v>
      </c>
      <c r="J1965" s="4" t="str">
        <f>HYPERLINK("https://www.eliteprospects.com/player/619072/adam-titlbach")</f>
        <v>https://www.eliteprospects.com/player/619072/adam-titlbach</v>
      </c>
      <c r="K1965" t="s">
        <v>27</v>
      </c>
      <c r="L1965" t="s">
        <v>631</v>
      </c>
      <c r="M1965" t="s">
        <v>76</v>
      </c>
      <c r="N1965">
        <v>3</v>
      </c>
      <c r="O1965" t="s">
        <v>639</v>
      </c>
      <c r="P1965">
        <v>0.09</v>
      </c>
      <c r="Q1965" t="s">
        <v>31</v>
      </c>
      <c r="R1965">
        <v>36.4</v>
      </c>
      <c r="S1965">
        <v>9.1</v>
      </c>
      <c r="T1965">
        <v>18.2</v>
      </c>
      <c r="U1965">
        <v>9.1</v>
      </c>
      <c r="V1965">
        <v>27.3</v>
      </c>
    </row>
    <row r="1966" spans="1:22" x14ac:dyDescent="0.25">
      <c r="A1966" t="s">
        <v>727</v>
      </c>
      <c r="B1966" t="s">
        <v>702</v>
      </c>
      <c r="C1966">
        <v>40</v>
      </c>
      <c r="D1966" t="s">
        <v>57</v>
      </c>
      <c r="E1966" t="s">
        <v>23</v>
      </c>
      <c r="F1966" t="s">
        <v>55</v>
      </c>
      <c r="G1966">
        <v>0.45</v>
      </c>
      <c r="H1966" t="s">
        <v>39</v>
      </c>
      <c r="I1966">
        <v>-11</v>
      </c>
      <c r="J1966" s="4" t="str">
        <f>HYPERLINK("https://www.eliteprospects.com/player/628074/brett-olson")</f>
        <v>https://www.eliteprospects.com/player/628074/brett-olson</v>
      </c>
      <c r="K1966" t="s">
        <v>27</v>
      </c>
      <c r="L1966" t="s">
        <v>631</v>
      </c>
      <c r="M1966" t="s">
        <v>42</v>
      </c>
      <c r="N1966">
        <v>2</v>
      </c>
      <c r="O1966" t="s">
        <v>636</v>
      </c>
      <c r="P1966">
        <v>0.06</v>
      </c>
      <c r="Q1966" t="s">
        <v>245</v>
      </c>
      <c r="R1966">
        <v>0</v>
      </c>
      <c r="S1966">
        <v>15.4</v>
      </c>
      <c r="T1966">
        <v>7.7</v>
      </c>
      <c r="U1966">
        <v>30.8</v>
      </c>
      <c r="V1966">
        <v>46.2</v>
      </c>
    </row>
    <row r="1967" spans="1:22" x14ac:dyDescent="0.25">
      <c r="A1967" t="s">
        <v>730</v>
      </c>
      <c r="B1967" t="s">
        <v>702</v>
      </c>
      <c r="C1967">
        <v>33</v>
      </c>
      <c r="D1967" t="s">
        <v>26</v>
      </c>
      <c r="E1967" t="s">
        <v>26</v>
      </c>
      <c r="F1967" t="s">
        <v>38</v>
      </c>
      <c r="G1967">
        <v>0.48</v>
      </c>
      <c r="H1967" t="s">
        <v>66</v>
      </c>
      <c r="I1967">
        <v>-4</v>
      </c>
      <c r="J1967" s="4" t="str">
        <f>HYPERLINK("https://www.eliteprospects.com/player/873403/tobias-tomik")</f>
        <v>https://www.eliteprospects.com/player/873403/tobias-tomik</v>
      </c>
      <c r="K1967" t="s">
        <v>27</v>
      </c>
      <c r="L1967" t="s">
        <v>631</v>
      </c>
      <c r="M1967" t="s">
        <v>87</v>
      </c>
      <c r="N1967">
        <v>1</v>
      </c>
      <c r="O1967" t="s">
        <v>634</v>
      </c>
      <c r="P1967">
        <v>7.0000000000000007E-2</v>
      </c>
      <c r="Q1967" t="s">
        <v>135</v>
      </c>
      <c r="R1967">
        <v>0</v>
      </c>
      <c r="S1967">
        <v>33.299999999999997</v>
      </c>
      <c r="T1967">
        <v>23.8</v>
      </c>
      <c r="U1967">
        <v>9.5</v>
      </c>
      <c r="V1967">
        <v>33.299999999999997</v>
      </c>
    </row>
    <row r="1968" spans="1:22" x14ac:dyDescent="0.25">
      <c r="A1968" t="s">
        <v>751</v>
      </c>
      <c r="B1968" t="s">
        <v>702</v>
      </c>
      <c r="C1968">
        <v>36</v>
      </c>
      <c r="D1968" t="s">
        <v>96</v>
      </c>
      <c r="E1968" t="s">
        <v>57</v>
      </c>
      <c r="F1968" t="s">
        <v>69</v>
      </c>
      <c r="G1968">
        <v>0.31</v>
      </c>
      <c r="H1968" t="s">
        <v>24</v>
      </c>
      <c r="I1968">
        <v>-14</v>
      </c>
      <c r="J1968" s="4" t="str">
        <f>HYPERLINK("https://www.eliteprospects.com/player/960847/blake-chorney")</f>
        <v>https://www.eliteprospects.com/player/960847/blake-chorney</v>
      </c>
      <c r="K1968" t="s">
        <v>27</v>
      </c>
      <c r="L1968" t="s">
        <v>631</v>
      </c>
      <c r="M1968" t="s">
        <v>35</v>
      </c>
      <c r="N1968">
        <v>2</v>
      </c>
      <c r="O1968" t="s">
        <v>636</v>
      </c>
      <c r="P1968">
        <v>0.04</v>
      </c>
      <c r="Q1968" t="s">
        <v>245</v>
      </c>
      <c r="R1968">
        <v>13.3</v>
      </c>
      <c r="S1968">
        <v>13.3</v>
      </c>
      <c r="T1968">
        <v>0</v>
      </c>
      <c r="U1968">
        <v>13.3</v>
      </c>
      <c r="V1968">
        <v>60</v>
      </c>
    </row>
    <row r="1969" spans="1:22" x14ac:dyDescent="0.25">
      <c r="A1969" t="s">
        <v>761</v>
      </c>
      <c r="B1969" t="s">
        <v>702</v>
      </c>
      <c r="C1969">
        <v>36</v>
      </c>
      <c r="D1969" t="s">
        <v>96</v>
      </c>
      <c r="E1969" t="s">
        <v>140</v>
      </c>
      <c r="F1969" t="s">
        <v>26</v>
      </c>
      <c r="G1969">
        <v>0.22</v>
      </c>
      <c r="H1969" t="s">
        <v>79</v>
      </c>
      <c r="I1969">
        <v>-5</v>
      </c>
      <c r="J1969" s="4" t="str">
        <f>HYPERLINK("https://www.eliteprospects.com/player/683695/leonardo-domenichelli")</f>
        <v>https://www.eliteprospects.com/player/683695/leonardo-domenichelli</v>
      </c>
      <c r="K1969" t="s">
        <v>27</v>
      </c>
      <c r="L1969" t="s">
        <v>631</v>
      </c>
      <c r="M1969" t="s">
        <v>87</v>
      </c>
      <c r="N1969">
        <v>1</v>
      </c>
      <c r="O1969" t="s">
        <v>634</v>
      </c>
      <c r="P1969">
        <v>0.03</v>
      </c>
      <c r="Q1969" t="s">
        <v>245</v>
      </c>
      <c r="R1969">
        <v>9.1</v>
      </c>
      <c r="S1969">
        <v>18.2</v>
      </c>
      <c r="T1969">
        <v>9.1</v>
      </c>
      <c r="U1969">
        <v>13.6</v>
      </c>
      <c r="V1969">
        <v>50</v>
      </c>
    </row>
    <row r="1970" spans="1:22" x14ac:dyDescent="0.25">
      <c r="A1970" t="s">
        <v>791</v>
      </c>
      <c r="B1970" t="s">
        <v>702</v>
      </c>
      <c r="C1970">
        <v>34</v>
      </c>
      <c r="D1970" t="s">
        <v>79</v>
      </c>
      <c r="E1970" t="s">
        <v>79</v>
      </c>
      <c r="F1970" t="s">
        <v>66</v>
      </c>
      <c r="G1970">
        <v>0.12</v>
      </c>
      <c r="H1970" t="s">
        <v>47</v>
      </c>
      <c r="I1970">
        <v>-5</v>
      </c>
      <c r="J1970" s="4" t="str">
        <f>HYPERLINK("https://www.eliteprospects.com/player/808720/torretto-marrelli")</f>
        <v>https://www.eliteprospects.com/player/808720/torretto-marrelli</v>
      </c>
      <c r="K1970" t="s">
        <v>27</v>
      </c>
      <c r="L1970" t="s">
        <v>631</v>
      </c>
      <c r="M1970" t="s">
        <v>35</v>
      </c>
      <c r="N1970">
        <v>2</v>
      </c>
      <c r="O1970" t="s">
        <v>636</v>
      </c>
      <c r="P1970">
        <v>0.02</v>
      </c>
      <c r="Q1970" t="s">
        <v>245</v>
      </c>
      <c r="R1970">
        <v>9.1</v>
      </c>
      <c r="S1970">
        <v>18.2</v>
      </c>
      <c r="T1970">
        <v>9.1</v>
      </c>
      <c r="U1970">
        <v>13.6</v>
      </c>
      <c r="V1970">
        <v>50</v>
      </c>
    </row>
    <row r="1971" spans="1:22" x14ac:dyDescent="0.25">
      <c r="A1971" t="s">
        <v>793</v>
      </c>
      <c r="B1971" t="s">
        <v>702</v>
      </c>
      <c r="C1971">
        <v>30</v>
      </c>
      <c r="D1971" t="s">
        <v>132</v>
      </c>
      <c r="E1971" t="s">
        <v>66</v>
      </c>
      <c r="F1971" t="s">
        <v>66</v>
      </c>
      <c r="G1971">
        <v>0.13</v>
      </c>
      <c r="H1971" t="s">
        <v>26</v>
      </c>
      <c r="I1971">
        <v>-3</v>
      </c>
      <c r="J1971" s="4" t="str">
        <f>HYPERLINK("https://www.eliteprospects.com/player/885660/luca-pura")</f>
        <v>https://www.eliteprospects.com/player/885660/luca-pura</v>
      </c>
      <c r="K1971" t="s">
        <v>27</v>
      </c>
      <c r="L1971" t="s">
        <v>631</v>
      </c>
      <c r="M1971" t="s">
        <v>35</v>
      </c>
      <c r="N1971">
        <v>1</v>
      </c>
      <c r="O1971" t="s">
        <v>634</v>
      </c>
      <c r="P1971">
        <v>0.02</v>
      </c>
      <c r="Q1971" t="s">
        <v>245</v>
      </c>
      <c r="R1971">
        <v>9.1</v>
      </c>
      <c r="S1971">
        <v>18.2</v>
      </c>
      <c r="T1971">
        <v>9.1</v>
      </c>
      <c r="U1971">
        <v>13.6</v>
      </c>
      <c r="V1971">
        <v>50</v>
      </c>
    </row>
    <row r="1972" spans="1:22" x14ac:dyDescent="0.25">
      <c r="A1972" t="s">
        <v>801</v>
      </c>
      <c r="B1972" t="s">
        <v>702</v>
      </c>
      <c r="C1972">
        <v>16</v>
      </c>
      <c r="D1972" t="s">
        <v>132</v>
      </c>
      <c r="E1972" t="s">
        <v>260</v>
      </c>
      <c r="F1972" t="s">
        <v>260</v>
      </c>
      <c r="G1972">
        <v>0.06</v>
      </c>
      <c r="H1972" t="s">
        <v>78</v>
      </c>
      <c r="I1972">
        <v>-3</v>
      </c>
      <c r="J1972" s="4" t="str">
        <f>HYPERLINK("https://www.eliteprospects.com/player/875571/caden-cail")</f>
        <v>https://www.eliteprospects.com/player/875571/caden-cail</v>
      </c>
      <c r="K1972" t="s">
        <v>27</v>
      </c>
      <c r="L1972" t="s">
        <v>631</v>
      </c>
      <c r="M1972" t="s">
        <v>35</v>
      </c>
      <c r="N1972">
        <v>2</v>
      </c>
      <c r="O1972" t="s">
        <v>636</v>
      </c>
      <c r="P1972">
        <v>0.01</v>
      </c>
      <c r="Q1972" t="s">
        <v>245</v>
      </c>
      <c r="R1972">
        <v>9.1</v>
      </c>
      <c r="S1972">
        <v>18.2</v>
      </c>
      <c r="T1972">
        <v>9.1</v>
      </c>
      <c r="U1972">
        <v>13.6</v>
      </c>
      <c r="V1972">
        <v>50</v>
      </c>
    </row>
    <row r="1973" spans="1:22" x14ac:dyDescent="0.25">
      <c r="A1973" t="s">
        <v>656</v>
      </c>
      <c r="B1973" t="s">
        <v>657</v>
      </c>
      <c r="C1973">
        <v>37</v>
      </c>
      <c r="D1973" t="s">
        <v>84</v>
      </c>
      <c r="E1973" t="s">
        <v>38</v>
      </c>
      <c r="F1973" t="s">
        <v>187</v>
      </c>
      <c r="G1973">
        <v>1.05</v>
      </c>
      <c r="H1973" t="s">
        <v>32</v>
      </c>
      <c r="I1973">
        <v>-8</v>
      </c>
      <c r="J1973" s="4" t="str">
        <f>HYPERLINK("https://www.eliteprospects.com/player/647076/roan-woodward")</f>
        <v>https://www.eliteprospects.com/player/647076/roan-woodward</v>
      </c>
      <c r="K1973" t="s">
        <v>27</v>
      </c>
      <c r="L1973" t="s">
        <v>631</v>
      </c>
      <c r="M1973" t="s">
        <v>42</v>
      </c>
      <c r="N1973">
        <v>5</v>
      </c>
      <c r="O1973" t="s">
        <v>645</v>
      </c>
      <c r="P1973">
        <v>0.15</v>
      </c>
      <c r="Q1973" t="s">
        <v>31</v>
      </c>
      <c r="R1973">
        <v>50</v>
      </c>
      <c r="S1973">
        <v>0</v>
      </c>
      <c r="T1973">
        <v>0</v>
      </c>
      <c r="U1973">
        <v>0</v>
      </c>
      <c r="V1973">
        <v>50</v>
      </c>
    </row>
    <row r="1974" spans="1:22" x14ac:dyDescent="0.25">
      <c r="A1974" t="s">
        <v>663</v>
      </c>
      <c r="B1974" t="s">
        <v>657</v>
      </c>
      <c r="C1974">
        <v>37</v>
      </c>
      <c r="D1974" t="s">
        <v>39</v>
      </c>
      <c r="E1974" t="s">
        <v>81</v>
      </c>
      <c r="F1974" t="s">
        <v>53</v>
      </c>
      <c r="G1974">
        <v>1.03</v>
      </c>
      <c r="H1974" t="s">
        <v>277</v>
      </c>
      <c r="I1974">
        <v>-7</v>
      </c>
      <c r="J1974" s="4" t="str">
        <f>HYPERLINK("https://www.eliteprospects.com/player/724532/hayden-moore")</f>
        <v>https://www.eliteprospects.com/player/724532/hayden-moore</v>
      </c>
      <c r="K1974" t="s">
        <v>27</v>
      </c>
      <c r="L1974" t="s">
        <v>631</v>
      </c>
      <c r="M1974" t="s">
        <v>35</v>
      </c>
      <c r="N1974">
        <v>4</v>
      </c>
      <c r="O1974" t="s">
        <v>632</v>
      </c>
      <c r="P1974">
        <v>0.15</v>
      </c>
      <c r="Q1974" t="s">
        <v>31</v>
      </c>
      <c r="R1974">
        <v>50</v>
      </c>
      <c r="S1974">
        <v>0</v>
      </c>
      <c r="T1974">
        <v>0</v>
      </c>
      <c r="U1974">
        <v>0</v>
      </c>
      <c r="V1974">
        <v>50</v>
      </c>
    </row>
    <row r="1975" spans="1:22" x14ac:dyDescent="0.25">
      <c r="A1975" t="s">
        <v>682</v>
      </c>
      <c r="B1975" t="s">
        <v>657</v>
      </c>
      <c r="C1975">
        <v>37</v>
      </c>
      <c r="D1975" t="s">
        <v>32</v>
      </c>
      <c r="E1975" t="s">
        <v>24</v>
      </c>
      <c r="F1975" t="s">
        <v>40</v>
      </c>
      <c r="G1975">
        <v>0.81</v>
      </c>
      <c r="H1975" t="s">
        <v>46</v>
      </c>
      <c r="I1975">
        <v>6</v>
      </c>
      <c r="J1975" s="4" t="str">
        <f>HYPERLINK("https://www.eliteprospects.com/player/881357/nolan-stewart")</f>
        <v>https://www.eliteprospects.com/player/881357/nolan-stewart</v>
      </c>
      <c r="K1975" t="s">
        <v>27</v>
      </c>
      <c r="L1975" t="s">
        <v>631</v>
      </c>
      <c r="M1975" t="s">
        <v>35</v>
      </c>
      <c r="N1975">
        <v>2</v>
      </c>
      <c r="O1975" t="s">
        <v>636</v>
      </c>
      <c r="P1975">
        <v>0.11</v>
      </c>
      <c r="Q1975" t="s">
        <v>245</v>
      </c>
      <c r="R1975">
        <v>25</v>
      </c>
      <c r="S1975">
        <v>25</v>
      </c>
      <c r="T1975">
        <v>0</v>
      </c>
      <c r="U1975">
        <v>0</v>
      </c>
      <c r="V1975">
        <v>50</v>
      </c>
    </row>
    <row r="1976" spans="1:22" x14ac:dyDescent="0.25">
      <c r="A1976" t="s">
        <v>688</v>
      </c>
      <c r="B1976" t="s">
        <v>657</v>
      </c>
      <c r="C1976">
        <v>27</v>
      </c>
      <c r="D1976" t="s">
        <v>78</v>
      </c>
      <c r="E1976" t="s">
        <v>51</v>
      </c>
      <c r="F1976" t="s">
        <v>125</v>
      </c>
      <c r="G1976">
        <v>0.96</v>
      </c>
      <c r="H1976" t="s">
        <v>75</v>
      </c>
      <c r="I1976">
        <v>-4</v>
      </c>
      <c r="J1976" s="4" t="str">
        <f>HYPERLINK("https://www.eliteprospects.com/player/682921/reggie-newman")</f>
        <v>https://www.eliteprospects.com/player/682921/reggie-newman</v>
      </c>
      <c r="K1976" t="s">
        <v>27</v>
      </c>
      <c r="L1976" t="s">
        <v>631</v>
      </c>
      <c r="M1976" t="s">
        <v>29</v>
      </c>
      <c r="N1976">
        <v>5</v>
      </c>
      <c r="O1976" t="s">
        <v>645</v>
      </c>
      <c r="P1976">
        <v>0.14000000000000001</v>
      </c>
      <c r="Q1976" t="s">
        <v>245</v>
      </c>
      <c r="R1976">
        <v>0</v>
      </c>
      <c r="S1976">
        <v>25</v>
      </c>
      <c r="T1976">
        <v>25</v>
      </c>
      <c r="U1976">
        <v>0</v>
      </c>
      <c r="V1976">
        <v>50</v>
      </c>
    </row>
    <row r="1977" spans="1:22" x14ac:dyDescent="0.25">
      <c r="A1977" t="s">
        <v>690</v>
      </c>
      <c r="B1977" t="s">
        <v>657</v>
      </c>
      <c r="C1977">
        <v>32</v>
      </c>
      <c r="D1977" t="s">
        <v>26</v>
      </c>
      <c r="E1977" t="s">
        <v>60</v>
      </c>
      <c r="F1977" t="s">
        <v>75</v>
      </c>
      <c r="G1977">
        <v>0.78</v>
      </c>
      <c r="H1977" t="s">
        <v>33</v>
      </c>
      <c r="I1977">
        <v>-9</v>
      </c>
      <c r="J1977" s="4" t="str">
        <f>HYPERLINK("https://www.eliteprospects.com/player/709817/miles-cooper")</f>
        <v>https://www.eliteprospects.com/player/709817/miles-cooper</v>
      </c>
      <c r="K1977" t="s">
        <v>27</v>
      </c>
      <c r="L1977" t="s">
        <v>631</v>
      </c>
      <c r="M1977" t="s">
        <v>76</v>
      </c>
      <c r="N1977">
        <v>4</v>
      </c>
      <c r="O1977" t="s">
        <v>632</v>
      </c>
      <c r="P1977">
        <v>0.11</v>
      </c>
      <c r="Q1977" t="s">
        <v>135</v>
      </c>
      <c r="R1977">
        <v>0</v>
      </c>
      <c r="S1977">
        <v>35.700000000000003</v>
      </c>
      <c r="T1977">
        <v>0</v>
      </c>
      <c r="U1977">
        <v>28.6</v>
      </c>
      <c r="V1977">
        <v>35.700000000000003</v>
      </c>
    </row>
    <row r="1978" spans="1:22" x14ac:dyDescent="0.25">
      <c r="A1978" t="s">
        <v>691</v>
      </c>
      <c r="B1978" t="s">
        <v>657</v>
      </c>
      <c r="C1978">
        <v>37</v>
      </c>
      <c r="D1978" t="s">
        <v>23</v>
      </c>
      <c r="E1978" t="s">
        <v>23</v>
      </c>
      <c r="F1978" t="s">
        <v>81</v>
      </c>
      <c r="G1978">
        <v>0.65</v>
      </c>
      <c r="H1978" t="s">
        <v>26</v>
      </c>
      <c r="I1978">
        <v>-8</v>
      </c>
      <c r="J1978" s="4" t="str">
        <f>HYPERLINK("https://www.eliteprospects.com/player/721309/heath-nelson")</f>
        <v>https://www.eliteprospects.com/player/721309/heath-nelson</v>
      </c>
      <c r="K1978" t="s">
        <v>27</v>
      </c>
      <c r="L1978" t="s">
        <v>631</v>
      </c>
      <c r="M1978" t="s">
        <v>91</v>
      </c>
      <c r="N1978">
        <v>1</v>
      </c>
      <c r="O1978" t="s">
        <v>634</v>
      </c>
      <c r="P1978">
        <v>0.09</v>
      </c>
      <c r="Q1978" t="s">
        <v>31</v>
      </c>
      <c r="R1978">
        <v>36.4</v>
      </c>
      <c r="S1978">
        <v>9.1</v>
      </c>
      <c r="T1978">
        <v>18.2</v>
      </c>
      <c r="U1978">
        <v>9.1</v>
      </c>
      <c r="V1978">
        <v>27.3</v>
      </c>
    </row>
    <row r="1979" spans="1:22" x14ac:dyDescent="0.25">
      <c r="A1979" t="s">
        <v>706</v>
      </c>
      <c r="B1979" t="s">
        <v>657</v>
      </c>
      <c r="C1979">
        <v>37</v>
      </c>
      <c r="D1979" t="s">
        <v>23</v>
      </c>
      <c r="E1979" t="s">
        <v>45</v>
      </c>
      <c r="F1979" t="s">
        <v>33</v>
      </c>
      <c r="G1979">
        <v>0.56999999999999995</v>
      </c>
      <c r="H1979" t="s">
        <v>66</v>
      </c>
      <c r="I1979">
        <v>0</v>
      </c>
      <c r="J1979" s="4" t="str">
        <f>HYPERLINK("https://www.eliteprospects.com/player/701526/ludovic-perreault")</f>
        <v>https://www.eliteprospects.com/player/701526/ludovic-perreault</v>
      </c>
      <c r="K1979" t="s">
        <v>27</v>
      </c>
      <c r="L1979" t="s">
        <v>631</v>
      </c>
      <c r="M1979" t="s">
        <v>35</v>
      </c>
      <c r="N1979">
        <v>2</v>
      </c>
      <c r="O1979" t="s">
        <v>636</v>
      </c>
      <c r="P1979">
        <v>0.08</v>
      </c>
      <c r="Q1979" t="s">
        <v>1277</v>
      </c>
      <c r="R1979">
        <v>16.7</v>
      </c>
      <c r="S1979">
        <v>16.7</v>
      </c>
      <c r="T1979">
        <v>25</v>
      </c>
      <c r="U1979">
        <v>16.7</v>
      </c>
      <c r="V1979">
        <v>25</v>
      </c>
    </row>
    <row r="1980" spans="1:22" x14ac:dyDescent="0.25">
      <c r="A1980" t="s">
        <v>726</v>
      </c>
      <c r="B1980" t="s">
        <v>657</v>
      </c>
      <c r="C1980">
        <v>37</v>
      </c>
      <c r="D1980" t="s">
        <v>57</v>
      </c>
      <c r="E1980" t="s">
        <v>23</v>
      </c>
      <c r="F1980" t="s">
        <v>55</v>
      </c>
      <c r="G1980">
        <v>0.49</v>
      </c>
      <c r="H1980" t="s">
        <v>269</v>
      </c>
      <c r="I1980">
        <v>8</v>
      </c>
      <c r="J1980" s="4" t="str">
        <f>HYPERLINK("https://www.eliteprospects.com/player/801840/caleb-matthews")</f>
        <v>https://www.eliteprospects.com/player/801840/caleb-matthews</v>
      </c>
      <c r="K1980" t="s">
        <v>27</v>
      </c>
      <c r="L1980" t="s">
        <v>631</v>
      </c>
      <c r="M1980" t="s">
        <v>35</v>
      </c>
      <c r="N1980">
        <v>4</v>
      </c>
      <c r="O1980" t="s">
        <v>632</v>
      </c>
      <c r="P1980">
        <v>7.0000000000000007E-2</v>
      </c>
      <c r="Q1980" t="s">
        <v>31</v>
      </c>
      <c r="R1980">
        <v>25</v>
      </c>
      <c r="S1980">
        <v>25</v>
      </c>
      <c r="T1980">
        <v>0</v>
      </c>
      <c r="U1980">
        <v>25</v>
      </c>
      <c r="V1980">
        <v>25</v>
      </c>
    </row>
    <row r="1981" spans="1:22" x14ac:dyDescent="0.25">
      <c r="A1981" t="s">
        <v>733</v>
      </c>
      <c r="B1981" t="s">
        <v>657</v>
      </c>
      <c r="C1981">
        <v>36</v>
      </c>
      <c r="D1981" t="s">
        <v>78</v>
      </c>
      <c r="E1981" t="s">
        <v>45</v>
      </c>
      <c r="F1981" t="s">
        <v>38</v>
      </c>
      <c r="G1981">
        <v>0.44</v>
      </c>
      <c r="H1981" t="s">
        <v>38</v>
      </c>
      <c r="I1981">
        <v>-6</v>
      </c>
      <c r="J1981" s="4" t="str">
        <f>HYPERLINK("https://www.eliteprospects.com/player/739054/ashton-brown")</f>
        <v>https://www.eliteprospects.com/player/739054/ashton-brown</v>
      </c>
      <c r="K1981" t="s">
        <v>27</v>
      </c>
      <c r="L1981" t="s">
        <v>631</v>
      </c>
      <c r="M1981" t="s">
        <v>35</v>
      </c>
      <c r="N1981">
        <v>3</v>
      </c>
      <c r="O1981" t="s">
        <v>639</v>
      </c>
      <c r="P1981">
        <v>0.06</v>
      </c>
      <c r="Q1981" t="s">
        <v>245</v>
      </c>
      <c r="R1981">
        <v>0</v>
      </c>
      <c r="S1981">
        <v>15.4</v>
      </c>
      <c r="T1981">
        <v>7.7</v>
      </c>
      <c r="U1981">
        <v>30.8</v>
      </c>
      <c r="V1981">
        <v>46.2</v>
      </c>
    </row>
    <row r="1982" spans="1:22" x14ac:dyDescent="0.25">
      <c r="A1982" t="s">
        <v>774</v>
      </c>
      <c r="B1982" t="s">
        <v>657</v>
      </c>
      <c r="C1982">
        <v>34</v>
      </c>
      <c r="D1982" t="s">
        <v>66</v>
      </c>
      <c r="E1982" t="s">
        <v>79</v>
      </c>
      <c r="F1982" t="s">
        <v>57</v>
      </c>
      <c r="G1982">
        <v>0.18</v>
      </c>
      <c r="H1982" t="s">
        <v>57</v>
      </c>
      <c r="I1982">
        <v>-2</v>
      </c>
      <c r="J1982" s="4" t="str">
        <f>HYPERLINK("https://www.eliteprospects.com/player/825451/wyatt-danyleyko")</f>
        <v>https://www.eliteprospects.com/player/825451/wyatt-danyleyko</v>
      </c>
      <c r="K1982" t="s">
        <v>27</v>
      </c>
      <c r="L1982" t="s">
        <v>631</v>
      </c>
      <c r="M1982" t="s">
        <v>42</v>
      </c>
      <c r="N1982">
        <v>3</v>
      </c>
      <c r="O1982" t="s">
        <v>639</v>
      </c>
      <c r="P1982">
        <v>0.03</v>
      </c>
      <c r="Q1982" t="s">
        <v>245</v>
      </c>
      <c r="R1982">
        <v>9.1</v>
      </c>
      <c r="S1982">
        <v>18.2</v>
      </c>
      <c r="T1982">
        <v>9.1</v>
      </c>
      <c r="U1982">
        <v>13.6</v>
      </c>
      <c r="V1982">
        <v>50</v>
      </c>
    </row>
    <row r="1983" spans="1:22" x14ac:dyDescent="0.25">
      <c r="A1983" t="s">
        <v>781</v>
      </c>
      <c r="B1983" t="s">
        <v>657</v>
      </c>
      <c r="C1983">
        <v>23</v>
      </c>
      <c r="D1983" t="s">
        <v>260</v>
      </c>
      <c r="E1983" t="s">
        <v>96</v>
      </c>
      <c r="F1983" t="s">
        <v>57</v>
      </c>
      <c r="G1983">
        <v>0.26</v>
      </c>
      <c r="H1983" t="s">
        <v>79</v>
      </c>
      <c r="I1983">
        <v>-9</v>
      </c>
      <c r="J1983" s="4" t="str">
        <f>HYPERLINK("https://www.eliteprospects.com/player/878384/eli-mckamey")</f>
        <v>https://www.eliteprospects.com/player/878384/eli-mckamey</v>
      </c>
      <c r="K1983" t="s">
        <v>27</v>
      </c>
      <c r="L1983" t="s">
        <v>631</v>
      </c>
      <c r="M1983" t="s">
        <v>35</v>
      </c>
      <c r="N1983">
        <v>1</v>
      </c>
      <c r="O1983" t="s">
        <v>634</v>
      </c>
      <c r="P1983">
        <v>0.04</v>
      </c>
      <c r="Q1983" t="s">
        <v>245</v>
      </c>
      <c r="R1983">
        <v>13.3</v>
      </c>
      <c r="S1983">
        <v>13.3</v>
      </c>
      <c r="T1983">
        <v>0</v>
      </c>
      <c r="U1983">
        <v>13.3</v>
      </c>
      <c r="V1983">
        <v>60</v>
      </c>
    </row>
    <row r="1984" spans="1:22" x14ac:dyDescent="0.25">
      <c r="A1984" t="s">
        <v>794</v>
      </c>
      <c r="B1984" t="s">
        <v>657</v>
      </c>
      <c r="C1984">
        <v>27</v>
      </c>
      <c r="D1984" t="s">
        <v>79</v>
      </c>
      <c r="E1984" t="s">
        <v>260</v>
      </c>
      <c r="F1984" t="s">
        <v>140</v>
      </c>
      <c r="G1984">
        <v>0.11</v>
      </c>
      <c r="H1984" t="s">
        <v>66</v>
      </c>
      <c r="I1984">
        <v>-9</v>
      </c>
      <c r="J1984" s="4" t="str">
        <f>HYPERLINK("https://www.eliteprospects.com/player/963501/jacob-schwartz")</f>
        <v>https://www.eliteprospects.com/player/963501/jacob-schwartz</v>
      </c>
      <c r="K1984" t="s">
        <v>27</v>
      </c>
      <c r="L1984" t="s">
        <v>631</v>
      </c>
      <c r="M1984" t="s">
        <v>35</v>
      </c>
      <c r="N1984">
        <v>2</v>
      </c>
      <c r="O1984" t="s">
        <v>636</v>
      </c>
      <c r="P1984">
        <v>0.02</v>
      </c>
      <c r="Q1984" t="s">
        <v>245</v>
      </c>
      <c r="R1984">
        <v>13.3</v>
      </c>
      <c r="S1984">
        <v>13.3</v>
      </c>
      <c r="T1984">
        <v>0</v>
      </c>
      <c r="U1984">
        <v>13.3</v>
      </c>
      <c r="V1984">
        <v>60</v>
      </c>
    </row>
    <row r="1985" spans="1:22" x14ac:dyDescent="0.25">
      <c r="A1985" t="s">
        <v>795</v>
      </c>
      <c r="B1985" t="s">
        <v>657</v>
      </c>
      <c r="C1985">
        <v>11</v>
      </c>
      <c r="D1985" t="s">
        <v>260</v>
      </c>
      <c r="E1985" t="s">
        <v>79</v>
      </c>
      <c r="F1985" t="s">
        <v>140</v>
      </c>
      <c r="G1985">
        <v>0.27</v>
      </c>
      <c r="H1985" t="s">
        <v>132</v>
      </c>
      <c r="I1985">
        <v>-1</v>
      </c>
      <c r="J1985" s="4" t="str">
        <f>HYPERLINK("https://www.eliteprospects.com/player/885350/layne-schofield")</f>
        <v>https://www.eliteprospects.com/player/885350/layne-schofield</v>
      </c>
      <c r="K1985" t="s">
        <v>27</v>
      </c>
      <c r="L1985" t="s">
        <v>631</v>
      </c>
      <c r="M1985" t="s">
        <v>35</v>
      </c>
      <c r="N1985">
        <v>2</v>
      </c>
      <c r="O1985" t="s">
        <v>636</v>
      </c>
      <c r="P1985">
        <v>0.04</v>
      </c>
      <c r="Q1985" t="s">
        <v>245</v>
      </c>
      <c r="R1985">
        <v>9.1</v>
      </c>
      <c r="S1985">
        <v>18.2</v>
      </c>
      <c r="T1985">
        <v>9.1</v>
      </c>
      <c r="U1985">
        <v>13.6</v>
      </c>
      <c r="V1985">
        <v>50</v>
      </c>
    </row>
    <row r="1986" spans="1:22" x14ac:dyDescent="0.25">
      <c r="A1986" t="s">
        <v>796</v>
      </c>
      <c r="B1986" t="s">
        <v>657</v>
      </c>
      <c r="C1986">
        <v>22</v>
      </c>
      <c r="D1986" t="s">
        <v>260</v>
      </c>
      <c r="E1986" t="s">
        <v>79</v>
      </c>
      <c r="F1986" t="s">
        <v>140</v>
      </c>
      <c r="G1986">
        <v>0.14000000000000001</v>
      </c>
      <c r="H1986" t="s">
        <v>39</v>
      </c>
      <c r="I1986">
        <v>5</v>
      </c>
      <c r="J1986" s="4" t="str">
        <f>HYPERLINK("https://www.eliteprospects.com/player/879240/cruz-waltze")</f>
        <v>https://www.eliteprospects.com/player/879240/cruz-waltze</v>
      </c>
      <c r="K1986" t="s">
        <v>27</v>
      </c>
      <c r="L1986" t="s">
        <v>631</v>
      </c>
      <c r="M1986" t="s">
        <v>35</v>
      </c>
      <c r="N1986">
        <v>2</v>
      </c>
      <c r="O1986" t="s">
        <v>636</v>
      </c>
      <c r="P1986">
        <v>0.02</v>
      </c>
      <c r="Q1986" t="s">
        <v>245</v>
      </c>
      <c r="R1986">
        <v>0</v>
      </c>
      <c r="S1986">
        <v>0</v>
      </c>
      <c r="T1986">
        <v>0</v>
      </c>
      <c r="U1986">
        <v>0</v>
      </c>
      <c r="V1986">
        <v>100</v>
      </c>
    </row>
    <row r="1987" spans="1:22" x14ac:dyDescent="0.25">
      <c r="A1987" t="s">
        <v>814</v>
      </c>
      <c r="B1987" t="s">
        <v>815</v>
      </c>
      <c r="C1987">
        <v>37</v>
      </c>
      <c r="D1987" t="s">
        <v>75</v>
      </c>
      <c r="E1987" t="s">
        <v>84</v>
      </c>
      <c r="F1987" t="s">
        <v>499</v>
      </c>
      <c r="G1987">
        <v>1.3</v>
      </c>
      <c r="H1987" t="s">
        <v>81</v>
      </c>
      <c r="I1987">
        <v>-7</v>
      </c>
      <c r="J1987" s="4" t="str">
        <f>HYPERLINK("https://www.eliteprospects.com/player/896017/alexei-vlasov")</f>
        <v>https://www.eliteprospects.com/player/896017/alexei-vlasov</v>
      </c>
      <c r="K1987" t="s">
        <v>27</v>
      </c>
      <c r="L1987" t="s">
        <v>804</v>
      </c>
      <c r="M1987" t="s">
        <v>91</v>
      </c>
      <c r="N1987">
        <v>1</v>
      </c>
      <c r="O1987" t="s">
        <v>816</v>
      </c>
      <c r="P1987">
        <v>0.15</v>
      </c>
      <c r="Q1987" t="s">
        <v>31</v>
      </c>
      <c r="R1987">
        <v>50</v>
      </c>
      <c r="S1987">
        <v>0</v>
      </c>
      <c r="T1987">
        <v>0</v>
      </c>
      <c r="U1987">
        <v>0</v>
      </c>
      <c r="V1987">
        <v>50</v>
      </c>
    </row>
    <row r="1988" spans="1:22" x14ac:dyDescent="0.25">
      <c r="A1988" t="s">
        <v>817</v>
      </c>
      <c r="B1988" t="s">
        <v>815</v>
      </c>
      <c r="C1988">
        <v>36</v>
      </c>
      <c r="D1988" t="s">
        <v>24</v>
      </c>
      <c r="E1988" t="s">
        <v>52</v>
      </c>
      <c r="F1988" t="s">
        <v>499</v>
      </c>
      <c r="G1988">
        <v>1.33</v>
      </c>
      <c r="H1988" t="s">
        <v>33</v>
      </c>
      <c r="I1988">
        <v>2</v>
      </c>
      <c r="J1988" s="4" t="str">
        <f>HYPERLINK("https://www.eliteprospects.com/player/985433/yegor-shilov")</f>
        <v>https://www.eliteprospects.com/player/985433/yegor-shilov</v>
      </c>
      <c r="K1988" t="s">
        <v>27</v>
      </c>
      <c r="L1988" t="s">
        <v>804</v>
      </c>
      <c r="M1988" t="s">
        <v>42</v>
      </c>
      <c r="N1988">
        <v>1</v>
      </c>
      <c r="O1988" t="s">
        <v>816</v>
      </c>
      <c r="P1988">
        <v>0.15</v>
      </c>
      <c r="Q1988" t="s">
        <v>1277</v>
      </c>
      <c r="R1988">
        <v>0</v>
      </c>
      <c r="S1988">
        <v>33.299999999999997</v>
      </c>
      <c r="T1988">
        <v>50</v>
      </c>
      <c r="U1988">
        <v>16.7</v>
      </c>
      <c r="V1988">
        <v>0</v>
      </c>
    </row>
    <row r="1989" spans="1:22" x14ac:dyDescent="0.25">
      <c r="A1989" t="s">
        <v>837</v>
      </c>
      <c r="B1989" t="s">
        <v>815</v>
      </c>
      <c r="C1989">
        <v>35</v>
      </c>
      <c r="D1989" t="s">
        <v>23</v>
      </c>
      <c r="E1989" t="s">
        <v>60</v>
      </c>
      <c r="F1989" t="s">
        <v>46</v>
      </c>
      <c r="G1989">
        <v>0.83</v>
      </c>
      <c r="H1989" t="s">
        <v>38</v>
      </c>
      <c r="I1989">
        <v>-7</v>
      </c>
      <c r="J1989" s="4" t="str">
        <f>HYPERLINK("https://www.eliteprospects.com/player/646878/thomas-paquet")</f>
        <v>https://www.eliteprospects.com/player/646878/thomas-paquet</v>
      </c>
      <c r="K1989" t="s">
        <v>27</v>
      </c>
      <c r="L1989" t="s">
        <v>804</v>
      </c>
      <c r="M1989" t="s">
        <v>838</v>
      </c>
      <c r="N1989">
        <v>5</v>
      </c>
      <c r="O1989" t="s">
        <v>807</v>
      </c>
      <c r="P1989">
        <v>0.09</v>
      </c>
      <c r="Q1989" t="s">
        <v>31</v>
      </c>
      <c r="R1989">
        <v>36.4</v>
      </c>
      <c r="S1989">
        <v>9.1</v>
      </c>
      <c r="T1989">
        <v>18.2</v>
      </c>
      <c r="U1989">
        <v>9.1</v>
      </c>
      <c r="V1989">
        <v>27.3</v>
      </c>
    </row>
    <row r="1990" spans="1:22" x14ac:dyDescent="0.25">
      <c r="A1990" t="s">
        <v>841</v>
      </c>
      <c r="B1990" t="s">
        <v>815</v>
      </c>
      <c r="C1990">
        <v>37</v>
      </c>
      <c r="D1990" t="s">
        <v>23</v>
      </c>
      <c r="E1990" t="s">
        <v>38</v>
      </c>
      <c r="F1990" t="s">
        <v>52</v>
      </c>
      <c r="G1990">
        <v>0.76</v>
      </c>
      <c r="H1990" t="s">
        <v>23</v>
      </c>
      <c r="I1990">
        <v>-2</v>
      </c>
      <c r="J1990" s="4" t="str">
        <f>HYPERLINK("https://www.eliteprospects.com/player/648077/alexis-bourque")</f>
        <v>https://www.eliteprospects.com/player/648077/alexis-bourque</v>
      </c>
      <c r="K1990" t="s">
        <v>27</v>
      </c>
      <c r="L1990" t="s">
        <v>804</v>
      </c>
      <c r="M1990" t="s">
        <v>29</v>
      </c>
      <c r="N1990">
        <v>5</v>
      </c>
      <c r="O1990" t="s">
        <v>807</v>
      </c>
      <c r="P1990">
        <v>0.09</v>
      </c>
      <c r="Q1990" t="s">
        <v>1277</v>
      </c>
      <c r="R1990">
        <v>16.7</v>
      </c>
      <c r="S1990">
        <v>16.7</v>
      </c>
      <c r="T1990">
        <v>25</v>
      </c>
      <c r="U1990">
        <v>16.7</v>
      </c>
      <c r="V1990">
        <v>25</v>
      </c>
    </row>
    <row r="1991" spans="1:22" x14ac:dyDescent="0.25">
      <c r="A1991" t="s">
        <v>847</v>
      </c>
      <c r="B1991" t="s">
        <v>815</v>
      </c>
      <c r="C1991">
        <v>30</v>
      </c>
      <c r="D1991" t="s">
        <v>45</v>
      </c>
      <c r="E1991" t="s">
        <v>38</v>
      </c>
      <c r="F1991" t="s">
        <v>75</v>
      </c>
      <c r="G1991">
        <v>0.83</v>
      </c>
      <c r="H1991" t="s">
        <v>65</v>
      </c>
      <c r="I1991">
        <v>-17</v>
      </c>
      <c r="J1991" s="4" t="str">
        <f>HYPERLINK("https://www.eliteprospects.com/player/760893/enzo-lottin")</f>
        <v>https://www.eliteprospects.com/player/760893/enzo-lottin</v>
      </c>
      <c r="K1991" t="s">
        <v>27</v>
      </c>
      <c r="L1991" t="s">
        <v>804</v>
      </c>
      <c r="M1991" t="s">
        <v>42</v>
      </c>
      <c r="N1991">
        <v>2</v>
      </c>
      <c r="O1991" t="s">
        <v>825</v>
      </c>
      <c r="P1991">
        <v>0.09</v>
      </c>
      <c r="Q1991" t="s">
        <v>31</v>
      </c>
      <c r="R1991">
        <v>36.4</v>
      </c>
      <c r="S1991">
        <v>9.1</v>
      </c>
      <c r="T1991">
        <v>18.2</v>
      </c>
      <c r="U1991">
        <v>9.1</v>
      </c>
      <c r="V1991">
        <v>27.3</v>
      </c>
    </row>
    <row r="1992" spans="1:22" x14ac:dyDescent="0.25">
      <c r="A1992" t="s">
        <v>862</v>
      </c>
      <c r="B1992" t="s">
        <v>815</v>
      </c>
      <c r="C1992">
        <v>31</v>
      </c>
      <c r="D1992" t="s">
        <v>26</v>
      </c>
      <c r="E1992" t="s">
        <v>45</v>
      </c>
      <c r="F1992" t="s">
        <v>60</v>
      </c>
      <c r="G1992">
        <v>0.55000000000000004</v>
      </c>
      <c r="H1992" t="s">
        <v>26</v>
      </c>
      <c r="I1992">
        <v>-7</v>
      </c>
      <c r="J1992" s="4" t="str">
        <f>HYPERLINK("https://www.eliteprospects.com/player/701460/loik-gariepy")</f>
        <v>https://www.eliteprospects.com/player/701460/loik-gariepy</v>
      </c>
      <c r="K1992" t="s">
        <v>27</v>
      </c>
      <c r="L1992" t="s">
        <v>804</v>
      </c>
      <c r="M1992" t="s">
        <v>42</v>
      </c>
      <c r="N1992">
        <v>1</v>
      </c>
      <c r="O1992" t="s">
        <v>816</v>
      </c>
      <c r="P1992">
        <v>0.06</v>
      </c>
      <c r="Q1992" t="s">
        <v>245</v>
      </c>
      <c r="R1992">
        <v>0</v>
      </c>
      <c r="S1992">
        <v>15.4</v>
      </c>
      <c r="T1992">
        <v>7.7</v>
      </c>
      <c r="U1992">
        <v>30.8</v>
      </c>
      <c r="V1992">
        <v>46.2</v>
      </c>
    </row>
    <row r="1993" spans="1:22" x14ac:dyDescent="0.25">
      <c r="A1993" t="s">
        <v>885</v>
      </c>
      <c r="B1993" t="s">
        <v>815</v>
      </c>
      <c r="C1993">
        <v>33</v>
      </c>
      <c r="D1993" t="s">
        <v>66</v>
      </c>
      <c r="E1993" t="s">
        <v>66</v>
      </c>
      <c r="F1993" t="s">
        <v>26</v>
      </c>
      <c r="G1993">
        <v>0.24</v>
      </c>
      <c r="H1993" t="s">
        <v>39</v>
      </c>
      <c r="I1993">
        <v>-11</v>
      </c>
      <c r="J1993" s="4" t="str">
        <f>HYPERLINK("https://www.eliteprospects.com/player/726017/jeremy-belleau")</f>
        <v>https://www.eliteprospects.com/player/726017/jeremy-belleau</v>
      </c>
      <c r="K1993" t="s">
        <v>27</v>
      </c>
      <c r="L1993" t="s">
        <v>804</v>
      </c>
      <c r="M1993" t="s">
        <v>42</v>
      </c>
      <c r="N1993">
        <v>3</v>
      </c>
      <c r="O1993" t="s">
        <v>805</v>
      </c>
      <c r="P1993">
        <v>0.03</v>
      </c>
      <c r="Q1993" t="s">
        <v>245</v>
      </c>
      <c r="R1993">
        <v>13.3</v>
      </c>
      <c r="S1993">
        <v>13.3</v>
      </c>
      <c r="T1993">
        <v>0</v>
      </c>
      <c r="U1993">
        <v>13.3</v>
      </c>
      <c r="V1993">
        <v>60</v>
      </c>
    </row>
    <row r="1994" spans="1:22" x14ac:dyDescent="0.25">
      <c r="A1994" t="s">
        <v>897</v>
      </c>
      <c r="B1994" t="s">
        <v>815</v>
      </c>
      <c r="C1994">
        <v>32</v>
      </c>
      <c r="D1994" t="s">
        <v>66</v>
      </c>
      <c r="E1994" t="s">
        <v>132</v>
      </c>
      <c r="F1994" t="s">
        <v>66</v>
      </c>
      <c r="G1994">
        <v>0.13</v>
      </c>
      <c r="H1994" t="s">
        <v>187</v>
      </c>
      <c r="I1994">
        <v>-13</v>
      </c>
      <c r="J1994" s="4" t="str">
        <f>HYPERLINK("https://www.eliteprospects.com/player/877177/xavier-sabourin")</f>
        <v>https://www.eliteprospects.com/player/877177/xavier-sabourin</v>
      </c>
      <c r="K1994" t="s">
        <v>27</v>
      </c>
      <c r="L1994" t="s">
        <v>804</v>
      </c>
      <c r="M1994" t="s">
        <v>29</v>
      </c>
      <c r="N1994">
        <v>2</v>
      </c>
      <c r="O1994" t="s">
        <v>825</v>
      </c>
      <c r="P1994">
        <v>0.01</v>
      </c>
      <c r="Q1994" t="s">
        <v>245</v>
      </c>
      <c r="R1994">
        <v>13.3</v>
      </c>
      <c r="S1994">
        <v>13.3</v>
      </c>
      <c r="T1994">
        <v>0</v>
      </c>
      <c r="U1994">
        <v>13.3</v>
      </c>
      <c r="V1994">
        <v>60</v>
      </c>
    </row>
    <row r="1995" spans="1:22" x14ac:dyDescent="0.25">
      <c r="A1995" t="s">
        <v>899</v>
      </c>
      <c r="B1995" t="s">
        <v>815</v>
      </c>
      <c r="C1995">
        <v>28</v>
      </c>
      <c r="D1995" t="s">
        <v>79</v>
      </c>
      <c r="E1995" t="s">
        <v>79</v>
      </c>
      <c r="F1995" t="s">
        <v>66</v>
      </c>
      <c r="G1995">
        <v>0.14000000000000001</v>
      </c>
      <c r="H1995" t="s">
        <v>55</v>
      </c>
      <c r="I1995">
        <v>-9</v>
      </c>
      <c r="J1995" s="4" t="str">
        <f>HYPERLINK("https://www.eliteprospects.com/player/750495/maxime-lambert")</f>
        <v>https://www.eliteprospects.com/player/750495/maxime-lambert</v>
      </c>
      <c r="K1995" t="s">
        <v>27</v>
      </c>
      <c r="L1995" t="s">
        <v>804</v>
      </c>
      <c r="M1995" t="s">
        <v>42</v>
      </c>
      <c r="N1995">
        <v>3</v>
      </c>
      <c r="O1995" t="s">
        <v>805</v>
      </c>
      <c r="P1995">
        <v>0.02</v>
      </c>
      <c r="Q1995" t="s">
        <v>245</v>
      </c>
      <c r="R1995">
        <v>13.3</v>
      </c>
      <c r="S1995">
        <v>13.3</v>
      </c>
      <c r="T1995">
        <v>0</v>
      </c>
      <c r="U1995">
        <v>13.3</v>
      </c>
      <c r="V1995">
        <v>60</v>
      </c>
    </row>
    <row r="1996" spans="1:22" x14ac:dyDescent="0.25">
      <c r="A1996" t="s">
        <v>900</v>
      </c>
      <c r="B1996" t="s">
        <v>815</v>
      </c>
      <c r="C1996">
        <v>36</v>
      </c>
      <c r="D1996" t="s">
        <v>79</v>
      </c>
      <c r="E1996" t="s">
        <v>79</v>
      </c>
      <c r="F1996" t="s">
        <v>66</v>
      </c>
      <c r="G1996">
        <v>0.11</v>
      </c>
      <c r="H1996" t="s">
        <v>39</v>
      </c>
      <c r="I1996">
        <v>-12</v>
      </c>
      <c r="J1996" s="4" t="str">
        <f>HYPERLINK("https://www.eliteprospects.com/player/902004/deryk-lemaire")</f>
        <v>https://www.eliteprospects.com/player/902004/deryk-lemaire</v>
      </c>
      <c r="K1996" t="s">
        <v>27</v>
      </c>
      <c r="L1996" t="s">
        <v>804</v>
      </c>
      <c r="M1996" t="s">
        <v>42</v>
      </c>
      <c r="N1996">
        <v>1</v>
      </c>
      <c r="O1996" t="s">
        <v>816</v>
      </c>
      <c r="P1996">
        <v>0.01</v>
      </c>
      <c r="Q1996" t="s">
        <v>245</v>
      </c>
      <c r="R1996">
        <v>13.3</v>
      </c>
      <c r="S1996">
        <v>13.3</v>
      </c>
      <c r="T1996">
        <v>0</v>
      </c>
      <c r="U1996">
        <v>13.3</v>
      </c>
      <c r="V1996">
        <v>60</v>
      </c>
    </row>
    <row r="1997" spans="1:22" x14ac:dyDescent="0.25">
      <c r="A1997" t="s">
        <v>909</v>
      </c>
      <c r="B1997" t="s">
        <v>815</v>
      </c>
      <c r="C1997">
        <v>24</v>
      </c>
      <c r="D1997" t="s">
        <v>132</v>
      </c>
      <c r="E1997" t="s">
        <v>140</v>
      </c>
      <c r="F1997" t="s">
        <v>140</v>
      </c>
      <c r="G1997">
        <v>0.13</v>
      </c>
      <c r="H1997" t="s">
        <v>125</v>
      </c>
      <c r="I1997">
        <v>-4</v>
      </c>
      <c r="J1997" s="4" t="str">
        <f>HYPERLINK("https://www.eliteprospects.com/player/891592/zakary-savoie")</f>
        <v>https://www.eliteprospects.com/player/891592/zakary-savoie</v>
      </c>
      <c r="K1997" t="s">
        <v>27</v>
      </c>
      <c r="L1997" t="s">
        <v>804</v>
      </c>
      <c r="M1997" t="s">
        <v>29</v>
      </c>
      <c r="N1997">
        <v>1</v>
      </c>
      <c r="O1997" t="s">
        <v>816</v>
      </c>
      <c r="P1997">
        <v>0.01</v>
      </c>
      <c r="Q1997" t="s">
        <v>245</v>
      </c>
      <c r="R1997">
        <v>9.1</v>
      </c>
      <c r="S1997">
        <v>18.2</v>
      </c>
      <c r="T1997">
        <v>9.1</v>
      </c>
      <c r="U1997">
        <v>13.6</v>
      </c>
      <c r="V1997">
        <v>50</v>
      </c>
    </row>
    <row r="1998" spans="1:22" x14ac:dyDescent="0.25">
      <c r="A1998" t="s">
        <v>683</v>
      </c>
      <c r="B1998" t="s">
        <v>684</v>
      </c>
      <c r="C1998">
        <v>38</v>
      </c>
      <c r="D1998" t="s">
        <v>38</v>
      </c>
      <c r="E1998" t="s">
        <v>32</v>
      </c>
      <c r="F1998" t="s">
        <v>125</v>
      </c>
      <c r="G1998">
        <v>0.68</v>
      </c>
      <c r="H1998" t="s">
        <v>24</v>
      </c>
      <c r="I1998">
        <v>-4</v>
      </c>
      <c r="J1998" s="4" t="str">
        <f>HYPERLINK("https://www.eliteprospects.com/player/708448/luka-shcherbyna")</f>
        <v>https://www.eliteprospects.com/player/708448/luka-shcherbyna</v>
      </c>
      <c r="K1998" t="s">
        <v>27</v>
      </c>
      <c r="L1998" t="s">
        <v>631</v>
      </c>
      <c r="M1998" t="s">
        <v>35</v>
      </c>
      <c r="N1998">
        <v>5</v>
      </c>
      <c r="O1998" t="s">
        <v>645</v>
      </c>
      <c r="P1998">
        <v>0.1</v>
      </c>
      <c r="Q1998" t="s">
        <v>245</v>
      </c>
      <c r="R1998">
        <v>0</v>
      </c>
      <c r="S1998">
        <v>33.299999999999997</v>
      </c>
      <c r="T1998">
        <v>0</v>
      </c>
      <c r="U1998">
        <v>0</v>
      </c>
      <c r="V1998">
        <v>66.7</v>
      </c>
    </row>
    <row r="1999" spans="1:22" x14ac:dyDescent="0.25">
      <c r="A1999" t="s">
        <v>689</v>
      </c>
      <c r="B1999" t="s">
        <v>684</v>
      </c>
      <c r="C1999">
        <v>29</v>
      </c>
      <c r="D1999" t="s">
        <v>26</v>
      </c>
      <c r="E1999" t="s">
        <v>60</v>
      </c>
      <c r="F1999" t="s">
        <v>75</v>
      </c>
      <c r="G1999">
        <v>0.86</v>
      </c>
      <c r="H1999" t="s">
        <v>32</v>
      </c>
      <c r="I1999">
        <v>-11</v>
      </c>
      <c r="J1999" s="4" t="str">
        <f>HYPERLINK("https://www.eliteprospects.com/player/841717/mason-kraft")</f>
        <v>https://www.eliteprospects.com/player/841717/mason-kraft</v>
      </c>
      <c r="K1999" t="s">
        <v>27</v>
      </c>
      <c r="L1999" t="s">
        <v>631</v>
      </c>
      <c r="M1999" t="s">
        <v>91</v>
      </c>
      <c r="N1999">
        <v>1</v>
      </c>
      <c r="O1999" t="s">
        <v>634</v>
      </c>
      <c r="P1999">
        <v>0.12</v>
      </c>
      <c r="Q1999" t="s">
        <v>245</v>
      </c>
      <c r="R1999">
        <v>21.1</v>
      </c>
      <c r="S1999">
        <v>26.3</v>
      </c>
      <c r="T1999">
        <v>5.3</v>
      </c>
      <c r="U1999">
        <v>5.3</v>
      </c>
      <c r="V1999">
        <v>42.1</v>
      </c>
    </row>
    <row r="2000" spans="1:22" x14ac:dyDescent="0.25">
      <c r="A2000" t="s">
        <v>731</v>
      </c>
      <c r="B2000" t="s">
        <v>684</v>
      </c>
      <c r="C2000">
        <v>34</v>
      </c>
      <c r="D2000" t="s">
        <v>26</v>
      </c>
      <c r="E2000" t="s">
        <v>26</v>
      </c>
      <c r="F2000" t="s">
        <v>38</v>
      </c>
      <c r="G2000">
        <v>0.47</v>
      </c>
      <c r="H2000" t="s">
        <v>26</v>
      </c>
      <c r="I2000">
        <v>-6</v>
      </c>
      <c r="J2000" s="4" t="str">
        <f>HYPERLINK("https://www.eliteprospects.com/player/863639/aiden-grossklaus")</f>
        <v>https://www.eliteprospects.com/player/863639/aiden-grossklaus</v>
      </c>
      <c r="K2000" t="s">
        <v>27</v>
      </c>
      <c r="L2000" t="s">
        <v>631</v>
      </c>
      <c r="M2000" t="s">
        <v>35</v>
      </c>
      <c r="N2000">
        <v>1</v>
      </c>
      <c r="O2000" t="s">
        <v>634</v>
      </c>
      <c r="P2000">
        <v>7.0000000000000007E-2</v>
      </c>
      <c r="Q2000" t="s">
        <v>245</v>
      </c>
      <c r="R2000">
        <v>0</v>
      </c>
      <c r="S2000">
        <v>15.4</v>
      </c>
      <c r="T2000">
        <v>7.7</v>
      </c>
      <c r="U2000">
        <v>30.8</v>
      </c>
      <c r="V2000">
        <v>46.2</v>
      </c>
    </row>
    <row r="2001" spans="1:22" x14ac:dyDescent="0.25">
      <c r="A2001" t="s">
        <v>742</v>
      </c>
      <c r="B2001" t="s">
        <v>684</v>
      </c>
      <c r="C2001">
        <v>23</v>
      </c>
      <c r="D2001" t="s">
        <v>96</v>
      </c>
      <c r="E2001" t="s">
        <v>26</v>
      </c>
      <c r="F2001" t="s">
        <v>65</v>
      </c>
      <c r="G2001">
        <v>0.56999999999999995</v>
      </c>
      <c r="H2001" t="s">
        <v>55</v>
      </c>
      <c r="I2001">
        <v>1</v>
      </c>
      <c r="J2001" s="4" t="str">
        <f>HYPERLINK("https://www.eliteprospects.com/player/577116/rui-han")</f>
        <v>https://www.eliteprospects.com/player/577116/rui-han</v>
      </c>
      <c r="K2001" t="s">
        <v>27</v>
      </c>
      <c r="L2001" t="s">
        <v>631</v>
      </c>
      <c r="M2001" t="s">
        <v>35</v>
      </c>
      <c r="N2001">
        <v>2</v>
      </c>
      <c r="O2001" t="s">
        <v>636</v>
      </c>
      <c r="P2001">
        <v>0.08</v>
      </c>
      <c r="Q2001" t="s">
        <v>31</v>
      </c>
      <c r="R2001">
        <v>33.299999999999997</v>
      </c>
      <c r="S2001">
        <v>8.3000000000000007</v>
      </c>
      <c r="T2001">
        <v>33.299999999999997</v>
      </c>
      <c r="U2001">
        <v>8.3000000000000007</v>
      </c>
      <c r="V2001">
        <v>16.7</v>
      </c>
    </row>
    <row r="2002" spans="1:22" x14ac:dyDescent="0.25">
      <c r="A2002" t="s">
        <v>746</v>
      </c>
      <c r="B2002" t="s">
        <v>684</v>
      </c>
      <c r="C2002">
        <v>38</v>
      </c>
      <c r="D2002" t="s">
        <v>45</v>
      </c>
      <c r="E2002" t="s">
        <v>140</v>
      </c>
      <c r="F2002" t="s">
        <v>23</v>
      </c>
      <c r="G2002">
        <v>0.32</v>
      </c>
      <c r="H2002" t="s">
        <v>265</v>
      </c>
      <c r="I2002">
        <v>-9</v>
      </c>
      <c r="J2002" s="4" t="str">
        <f>HYPERLINK("https://www.eliteprospects.com/player/880389/caelan-joudrey")</f>
        <v>https://www.eliteprospects.com/player/880389/caelan-joudrey</v>
      </c>
      <c r="K2002" t="s">
        <v>27</v>
      </c>
      <c r="L2002" t="s">
        <v>631</v>
      </c>
      <c r="M2002" t="s">
        <v>35</v>
      </c>
      <c r="N2002">
        <v>3</v>
      </c>
      <c r="O2002" t="s">
        <v>639</v>
      </c>
      <c r="P2002">
        <v>0.05</v>
      </c>
      <c r="Q2002" t="s">
        <v>245</v>
      </c>
      <c r="R2002">
        <v>13.3</v>
      </c>
      <c r="S2002">
        <v>13.3</v>
      </c>
      <c r="T2002">
        <v>0</v>
      </c>
      <c r="U2002">
        <v>13.3</v>
      </c>
      <c r="V2002">
        <v>60</v>
      </c>
    </row>
    <row r="2003" spans="1:22" x14ac:dyDescent="0.25">
      <c r="A2003" t="s">
        <v>750</v>
      </c>
      <c r="B2003" t="s">
        <v>684</v>
      </c>
      <c r="C2003">
        <v>34</v>
      </c>
      <c r="D2003" t="s">
        <v>96</v>
      </c>
      <c r="E2003" t="s">
        <v>57</v>
      </c>
      <c r="F2003" t="s">
        <v>69</v>
      </c>
      <c r="G2003">
        <v>0.32</v>
      </c>
      <c r="H2003" t="s">
        <v>75</v>
      </c>
      <c r="I2003">
        <v>0</v>
      </c>
      <c r="J2003" s="4" t="str">
        <f>HYPERLINK("https://www.eliteprospects.com/player/597841/zane-saab")</f>
        <v>https://www.eliteprospects.com/player/597841/zane-saab</v>
      </c>
      <c r="K2003" t="s">
        <v>27</v>
      </c>
      <c r="L2003" t="s">
        <v>631</v>
      </c>
      <c r="M2003" t="s">
        <v>35</v>
      </c>
      <c r="N2003">
        <v>4</v>
      </c>
      <c r="O2003" t="s">
        <v>632</v>
      </c>
      <c r="P2003">
        <v>0.05</v>
      </c>
      <c r="Q2003" t="s">
        <v>245</v>
      </c>
      <c r="R2003">
        <v>9.1</v>
      </c>
      <c r="S2003">
        <v>18.2</v>
      </c>
      <c r="T2003">
        <v>9.1</v>
      </c>
      <c r="U2003">
        <v>13.6</v>
      </c>
      <c r="V2003">
        <v>50</v>
      </c>
    </row>
    <row r="2004" spans="1:22" x14ac:dyDescent="0.25">
      <c r="A2004" t="s">
        <v>752</v>
      </c>
      <c r="B2004" t="s">
        <v>684</v>
      </c>
      <c r="C2004">
        <v>22</v>
      </c>
      <c r="D2004" t="s">
        <v>66</v>
      </c>
      <c r="E2004" t="s">
        <v>78</v>
      </c>
      <c r="F2004" t="s">
        <v>69</v>
      </c>
      <c r="G2004">
        <v>0.5</v>
      </c>
      <c r="H2004" t="s">
        <v>46</v>
      </c>
      <c r="I2004">
        <v>-6</v>
      </c>
      <c r="J2004" s="4" t="str">
        <f>HYPERLINK("https://www.eliteprospects.com/player/642602/dawson-seitz")</f>
        <v>https://www.eliteprospects.com/player/642602/dawson-seitz</v>
      </c>
      <c r="K2004" t="s">
        <v>27</v>
      </c>
      <c r="L2004" t="s">
        <v>631</v>
      </c>
      <c r="M2004" t="s">
        <v>35</v>
      </c>
      <c r="N2004">
        <v>6</v>
      </c>
      <c r="O2004" t="s">
        <v>643</v>
      </c>
      <c r="P2004">
        <v>7.0000000000000007E-2</v>
      </c>
      <c r="Q2004" t="s">
        <v>245</v>
      </c>
      <c r="R2004">
        <v>0</v>
      </c>
      <c r="S2004">
        <v>15.4</v>
      </c>
      <c r="T2004">
        <v>7.7</v>
      </c>
      <c r="U2004">
        <v>30.8</v>
      </c>
      <c r="V2004">
        <v>46.2</v>
      </c>
    </row>
    <row r="2005" spans="1:22" x14ac:dyDescent="0.25">
      <c r="A2005" t="s">
        <v>758</v>
      </c>
      <c r="B2005" t="s">
        <v>684</v>
      </c>
      <c r="C2005">
        <v>23</v>
      </c>
      <c r="D2005" t="s">
        <v>140</v>
      </c>
      <c r="E2005" t="s">
        <v>57</v>
      </c>
      <c r="F2005" t="s">
        <v>45</v>
      </c>
      <c r="G2005">
        <v>0.39</v>
      </c>
      <c r="H2005" t="s">
        <v>51</v>
      </c>
      <c r="I2005">
        <v>-10</v>
      </c>
      <c r="J2005" s="4" t="str">
        <f>HYPERLINK("https://www.eliteprospects.com/player/618625/sam-elliott")</f>
        <v>https://www.eliteprospects.com/player/618625/sam-elliott</v>
      </c>
      <c r="K2005" t="s">
        <v>27</v>
      </c>
      <c r="L2005" t="s">
        <v>631</v>
      </c>
      <c r="M2005" t="s">
        <v>35</v>
      </c>
      <c r="N2005">
        <v>1</v>
      </c>
      <c r="O2005" t="s">
        <v>634</v>
      </c>
      <c r="P2005">
        <v>0.05</v>
      </c>
      <c r="Q2005" t="s">
        <v>245</v>
      </c>
      <c r="R2005">
        <v>13.3</v>
      </c>
      <c r="S2005">
        <v>13.3</v>
      </c>
      <c r="T2005">
        <v>0</v>
      </c>
      <c r="U2005">
        <v>13.3</v>
      </c>
      <c r="V2005">
        <v>60</v>
      </c>
    </row>
    <row r="2006" spans="1:22" x14ac:dyDescent="0.25">
      <c r="A2006" t="s">
        <v>765</v>
      </c>
      <c r="B2006" t="s">
        <v>684</v>
      </c>
      <c r="C2006">
        <v>20</v>
      </c>
      <c r="D2006" t="s">
        <v>66</v>
      </c>
      <c r="E2006" t="s">
        <v>140</v>
      </c>
      <c r="F2006" t="s">
        <v>78</v>
      </c>
      <c r="G2006">
        <v>0.35</v>
      </c>
      <c r="H2006" t="s">
        <v>32</v>
      </c>
      <c r="I2006">
        <v>-7</v>
      </c>
      <c r="J2006" s="4" t="str">
        <f>HYPERLINK("https://www.eliteprospects.com/player/754070/mathias-silaban")</f>
        <v>https://www.eliteprospects.com/player/754070/mathias-silaban</v>
      </c>
      <c r="K2006" t="s">
        <v>27</v>
      </c>
      <c r="L2006" t="s">
        <v>631</v>
      </c>
      <c r="M2006" t="s">
        <v>35</v>
      </c>
      <c r="N2006">
        <v>1</v>
      </c>
      <c r="O2006" t="s">
        <v>634</v>
      </c>
      <c r="P2006">
        <v>0.05</v>
      </c>
      <c r="Q2006" t="s">
        <v>245</v>
      </c>
      <c r="R2006">
        <v>13.3</v>
      </c>
      <c r="S2006">
        <v>13.3</v>
      </c>
      <c r="T2006">
        <v>0</v>
      </c>
      <c r="U2006">
        <v>13.3</v>
      </c>
      <c r="V2006">
        <v>60</v>
      </c>
    </row>
    <row r="2007" spans="1:22" x14ac:dyDescent="0.25">
      <c r="A2007" t="s">
        <v>766</v>
      </c>
      <c r="B2007" t="s">
        <v>684</v>
      </c>
      <c r="C2007">
        <v>29</v>
      </c>
      <c r="D2007" t="s">
        <v>140</v>
      </c>
      <c r="E2007" t="s">
        <v>66</v>
      </c>
      <c r="F2007" t="s">
        <v>78</v>
      </c>
      <c r="G2007">
        <v>0.24</v>
      </c>
      <c r="H2007" t="s">
        <v>69</v>
      </c>
      <c r="I2007">
        <v>2</v>
      </c>
      <c r="J2007" s="4" t="str">
        <f>HYPERLINK("https://www.eliteprospects.com/player/883075/grady-wedman")</f>
        <v>https://www.eliteprospects.com/player/883075/grady-wedman</v>
      </c>
      <c r="K2007" t="s">
        <v>27</v>
      </c>
      <c r="L2007" t="s">
        <v>631</v>
      </c>
      <c r="M2007" t="s">
        <v>35</v>
      </c>
      <c r="N2007">
        <v>2</v>
      </c>
      <c r="O2007" t="s">
        <v>636</v>
      </c>
      <c r="P2007">
        <v>0.03</v>
      </c>
      <c r="Q2007" t="s">
        <v>245</v>
      </c>
      <c r="R2007">
        <v>0</v>
      </c>
      <c r="S2007">
        <v>0</v>
      </c>
      <c r="T2007">
        <v>0</v>
      </c>
      <c r="U2007">
        <v>0</v>
      </c>
      <c r="V2007">
        <v>100</v>
      </c>
    </row>
    <row r="2008" spans="1:22" x14ac:dyDescent="0.25">
      <c r="A2008" t="s">
        <v>787</v>
      </c>
      <c r="B2008" t="s">
        <v>684</v>
      </c>
      <c r="C2008">
        <v>31</v>
      </c>
      <c r="D2008" t="s">
        <v>260</v>
      </c>
      <c r="E2008" t="s">
        <v>66</v>
      </c>
      <c r="F2008" t="s">
        <v>96</v>
      </c>
      <c r="G2008">
        <v>0.16</v>
      </c>
      <c r="H2008" t="s">
        <v>544</v>
      </c>
      <c r="I2008">
        <v>-2</v>
      </c>
      <c r="J2008" s="4" t="str">
        <f>HYPERLINK("https://www.eliteprospects.com/player/885394/alexandre-andre")</f>
        <v>https://www.eliteprospects.com/player/885394/alexandre-andre</v>
      </c>
      <c r="K2008" t="s">
        <v>27</v>
      </c>
      <c r="L2008" t="s">
        <v>631</v>
      </c>
      <c r="M2008" t="s">
        <v>35</v>
      </c>
      <c r="N2008">
        <v>1</v>
      </c>
      <c r="O2008" t="s">
        <v>634</v>
      </c>
      <c r="P2008">
        <v>0.02</v>
      </c>
      <c r="Q2008" t="s">
        <v>245</v>
      </c>
      <c r="R2008">
        <v>9.1</v>
      </c>
      <c r="S2008">
        <v>18.2</v>
      </c>
      <c r="T2008">
        <v>9.1</v>
      </c>
      <c r="U2008">
        <v>13.6</v>
      </c>
      <c r="V2008">
        <v>50</v>
      </c>
    </row>
    <row r="2009" spans="1:22" x14ac:dyDescent="0.25">
      <c r="A2009" t="s">
        <v>94</v>
      </c>
      <c r="B2009" t="s">
        <v>95</v>
      </c>
      <c r="C2009">
        <v>20</v>
      </c>
      <c r="D2009" t="s">
        <v>96</v>
      </c>
      <c r="E2009" t="s">
        <v>60</v>
      </c>
      <c r="F2009" t="s">
        <v>47</v>
      </c>
      <c r="G2009">
        <v>1.1000000000000001</v>
      </c>
      <c r="H2009" t="s">
        <v>79</v>
      </c>
      <c r="I2009">
        <v>10</v>
      </c>
      <c r="J2009" s="4" t="str">
        <f>HYPERLINK("https://www.eliteprospects.com/player/201958/grant-slukynsky")</f>
        <v>https://www.eliteprospects.com/player/201958/grant-slukynsky</v>
      </c>
      <c r="K2009" t="s">
        <v>27</v>
      </c>
      <c r="L2009" t="s">
        <v>28</v>
      </c>
      <c r="M2009" t="s">
        <v>42</v>
      </c>
      <c r="N2009">
        <v>3</v>
      </c>
      <c r="O2009" t="s">
        <v>74</v>
      </c>
      <c r="P2009">
        <v>0.21</v>
      </c>
      <c r="Q2009" t="s">
        <v>31</v>
      </c>
      <c r="R2009">
        <v>57.1</v>
      </c>
      <c r="S2009">
        <v>32.1</v>
      </c>
      <c r="T2009">
        <v>0</v>
      </c>
      <c r="U2009">
        <v>0</v>
      </c>
      <c r="V2009">
        <v>10.7</v>
      </c>
    </row>
    <row r="2010" spans="1:22" x14ac:dyDescent="0.25">
      <c r="A2010" t="s">
        <v>110</v>
      </c>
      <c r="B2010" t="s">
        <v>95</v>
      </c>
      <c r="C2010">
        <v>20</v>
      </c>
      <c r="D2010" t="s">
        <v>23</v>
      </c>
      <c r="E2010" t="s">
        <v>26</v>
      </c>
      <c r="F2010" t="s">
        <v>24</v>
      </c>
      <c r="G2010">
        <v>1</v>
      </c>
      <c r="H2010" t="s">
        <v>38</v>
      </c>
      <c r="I2010">
        <v>10</v>
      </c>
      <c r="J2010" s="4" t="str">
        <f>HYPERLINK("https://www.eliteprospects.com/player/603194/william-whitelaw")</f>
        <v>https://www.eliteprospects.com/player/603194/william-whitelaw</v>
      </c>
      <c r="K2010" t="s">
        <v>27</v>
      </c>
      <c r="L2010" t="s">
        <v>28</v>
      </c>
      <c r="M2010" t="s">
        <v>87</v>
      </c>
      <c r="N2010">
        <v>3</v>
      </c>
      <c r="O2010" t="s">
        <v>74</v>
      </c>
      <c r="P2010">
        <v>0.19</v>
      </c>
      <c r="Q2010" t="s">
        <v>31</v>
      </c>
      <c r="R2010">
        <v>57.1</v>
      </c>
      <c r="S2010">
        <v>32.1</v>
      </c>
      <c r="T2010">
        <v>0</v>
      </c>
      <c r="U2010">
        <v>0</v>
      </c>
      <c r="V2010">
        <v>10.7</v>
      </c>
    </row>
    <row r="2011" spans="1:22" x14ac:dyDescent="0.25">
      <c r="A2011" t="s">
        <v>142</v>
      </c>
      <c r="B2011" t="s">
        <v>95</v>
      </c>
      <c r="C2011">
        <v>20</v>
      </c>
      <c r="D2011" t="s">
        <v>45</v>
      </c>
      <c r="E2011" t="s">
        <v>26</v>
      </c>
      <c r="F2011" t="s">
        <v>60</v>
      </c>
      <c r="G2011">
        <v>0.85</v>
      </c>
      <c r="H2011" t="s">
        <v>26</v>
      </c>
      <c r="I2011">
        <v>5</v>
      </c>
      <c r="J2011" s="4" t="str">
        <f>HYPERLINK("https://www.eliteprospects.com/player/509899/liam-valente")</f>
        <v>https://www.eliteprospects.com/player/509899/liam-valente</v>
      </c>
      <c r="K2011" t="s">
        <v>27</v>
      </c>
      <c r="L2011" t="s">
        <v>28</v>
      </c>
      <c r="M2011" t="s">
        <v>143</v>
      </c>
      <c r="N2011">
        <v>4</v>
      </c>
      <c r="O2011" t="s">
        <v>30</v>
      </c>
      <c r="P2011">
        <v>0.16</v>
      </c>
      <c r="Q2011" t="s">
        <v>1277</v>
      </c>
      <c r="R2011">
        <v>0</v>
      </c>
      <c r="S2011">
        <v>33.299999999999997</v>
      </c>
      <c r="T2011">
        <v>50</v>
      </c>
      <c r="U2011">
        <v>16.7</v>
      </c>
      <c r="V2011">
        <v>0</v>
      </c>
    </row>
    <row r="2012" spans="1:22" x14ac:dyDescent="0.25">
      <c r="A2012" t="s">
        <v>160</v>
      </c>
      <c r="B2012" t="s">
        <v>95</v>
      </c>
      <c r="C2012">
        <v>20</v>
      </c>
      <c r="D2012" t="s">
        <v>78</v>
      </c>
      <c r="E2012" t="s">
        <v>45</v>
      </c>
      <c r="F2012" t="s">
        <v>38</v>
      </c>
      <c r="G2012">
        <v>0.8</v>
      </c>
      <c r="H2012" t="s">
        <v>34</v>
      </c>
      <c r="I2012">
        <v>3</v>
      </c>
      <c r="J2012" s="4" t="str">
        <f>HYPERLINK("https://www.eliteprospects.com/player/640302/ty-henricks")</f>
        <v>https://www.eliteprospects.com/player/640302/ty-henricks</v>
      </c>
      <c r="K2012" t="s">
        <v>27</v>
      </c>
      <c r="L2012" t="s">
        <v>28</v>
      </c>
      <c r="M2012" t="s">
        <v>91</v>
      </c>
      <c r="N2012">
        <v>2</v>
      </c>
      <c r="O2012" t="s">
        <v>43</v>
      </c>
      <c r="P2012">
        <v>0.16</v>
      </c>
      <c r="Q2012" t="s">
        <v>1277</v>
      </c>
      <c r="R2012">
        <v>0</v>
      </c>
      <c r="S2012">
        <v>33.299999999999997</v>
      </c>
      <c r="T2012">
        <v>50</v>
      </c>
      <c r="U2012">
        <v>16.7</v>
      </c>
      <c r="V2012">
        <v>0</v>
      </c>
    </row>
    <row r="2013" spans="1:22" x14ac:dyDescent="0.25">
      <c r="A2013" t="s">
        <v>185</v>
      </c>
      <c r="B2013" t="s">
        <v>95</v>
      </c>
      <c r="C2013">
        <v>20</v>
      </c>
      <c r="D2013" t="s">
        <v>96</v>
      </c>
      <c r="E2013" t="s">
        <v>32</v>
      </c>
      <c r="F2013" t="s">
        <v>41</v>
      </c>
      <c r="G2013">
        <v>0.75</v>
      </c>
      <c r="H2013" t="s">
        <v>57</v>
      </c>
      <c r="I2013">
        <v>4</v>
      </c>
      <c r="J2013" s="4" t="str">
        <f>HYPERLINK("https://www.eliteprospects.com/player/623033/zachary-nehring")</f>
        <v>https://www.eliteprospects.com/player/623033/zachary-nehring</v>
      </c>
      <c r="K2013" t="s">
        <v>27</v>
      </c>
      <c r="L2013" t="s">
        <v>28</v>
      </c>
      <c r="M2013" t="s">
        <v>29</v>
      </c>
      <c r="N2013">
        <v>2</v>
      </c>
      <c r="O2013" t="s">
        <v>43</v>
      </c>
      <c r="P2013">
        <v>0.15</v>
      </c>
      <c r="Q2013" t="s">
        <v>1277</v>
      </c>
      <c r="R2013">
        <v>0</v>
      </c>
      <c r="S2013">
        <v>33.299999999999997</v>
      </c>
      <c r="T2013">
        <v>50</v>
      </c>
      <c r="U2013">
        <v>16.7</v>
      </c>
      <c r="V2013">
        <v>0</v>
      </c>
    </row>
    <row r="2014" spans="1:22" x14ac:dyDescent="0.25">
      <c r="A2014" t="s">
        <v>188</v>
      </c>
      <c r="B2014" t="s">
        <v>95</v>
      </c>
      <c r="C2014">
        <v>20</v>
      </c>
      <c r="D2014" t="s">
        <v>45</v>
      </c>
      <c r="E2014" t="s">
        <v>96</v>
      </c>
      <c r="F2014" t="s">
        <v>39</v>
      </c>
      <c r="G2014">
        <v>0.7</v>
      </c>
      <c r="H2014" t="s">
        <v>66</v>
      </c>
      <c r="I2014">
        <v>11</v>
      </c>
      <c r="J2014" s="4" t="str">
        <f>HYPERLINK("https://www.eliteprospects.com/player/648832/zaccharya-wisdom")</f>
        <v>https://www.eliteprospects.com/player/648832/zaccharya-wisdom</v>
      </c>
      <c r="K2014" t="s">
        <v>27</v>
      </c>
      <c r="L2014" t="s">
        <v>28</v>
      </c>
      <c r="M2014" t="s">
        <v>29</v>
      </c>
      <c r="N2014">
        <v>3</v>
      </c>
      <c r="O2014" t="s">
        <v>74</v>
      </c>
      <c r="P2014">
        <v>0.14000000000000001</v>
      </c>
      <c r="Q2014" t="s">
        <v>31</v>
      </c>
      <c r="R2014">
        <v>50</v>
      </c>
      <c r="S2014">
        <v>35.700000000000003</v>
      </c>
      <c r="T2014">
        <v>0</v>
      </c>
      <c r="U2014">
        <v>0</v>
      </c>
      <c r="V2014">
        <v>14.3</v>
      </c>
    </row>
    <row r="2015" spans="1:22" x14ac:dyDescent="0.25">
      <c r="A2015" t="s">
        <v>209</v>
      </c>
      <c r="B2015" t="s">
        <v>95</v>
      </c>
      <c r="C2015">
        <v>20</v>
      </c>
      <c r="D2015" t="s">
        <v>96</v>
      </c>
      <c r="E2015" t="s">
        <v>26</v>
      </c>
      <c r="F2015" t="s">
        <v>65</v>
      </c>
      <c r="G2015">
        <v>0.65</v>
      </c>
      <c r="H2015" t="s">
        <v>79</v>
      </c>
      <c r="I2015">
        <v>5</v>
      </c>
      <c r="J2015" s="4" t="str">
        <f>HYPERLINK("https://www.eliteprospects.com/player/201769/owen-michaels")</f>
        <v>https://www.eliteprospects.com/player/201769/owen-michaels</v>
      </c>
      <c r="K2015" t="s">
        <v>27</v>
      </c>
      <c r="L2015" t="s">
        <v>28</v>
      </c>
      <c r="M2015" t="s">
        <v>35</v>
      </c>
      <c r="N2015">
        <v>3</v>
      </c>
      <c r="O2015" t="s">
        <v>74</v>
      </c>
      <c r="P2015">
        <v>0.13</v>
      </c>
      <c r="Q2015" t="s">
        <v>31</v>
      </c>
      <c r="R2015">
        <v>100</v>
      </c>
      <c r="S2015">
        <v>0</v>
      </c>
      <c r="T2015">
        <v>0</v>
      </c>
      <c r="U2015">
        <v>0</v>
      </c>
      <c r="V2015">
        <v>0</v>
      </c>
    </row>
    <row r="2016" spans="1:22" x14ac:dyDescent="0.25">
      <c r="A2016" t="s">
        <v>258</v>
      </c>
      <c r="B2016" t="s">
        <v>95</v>
      </c>
      <c r="C2016">
        <v>20</v>
      </c>
      <c r="D2016" t="s">
        <v>140</v>
      </c>
      <c r="E2016" t="s">
        <v>26</v>
      </c>
      <c r="F2016" t="s">
        <v>69</v>
      </c>
      <c r="G2016">
        <v>0.55000000000000004</v>
      </c>
      <c r="H2016" t="s">
        <v>51</v>
      </c>
      <c r="I2016">
        <v>2</v>
      </c>
      <c r="J2016" s="4" t="str">
        <f>HYPERLINK("https://www.eliteprospects.com/player/720059/bobby-cowan")</f>
        <v>https://www.eliteprospects.com/player/720059/bobby-cowan</v>
      </c>
      <c r="K2016" t="s">
        <v>27</v>
      </c>
      <c r="L2016" t="s">
        <v>28</v>
      </c>
      <c r="M2016" t="s">
        <v>35</v>
      </c>
      <c r="N2016">
        <v>1</v>
      </c>
      <c r="O2016" t="s">
        <v>71</v>
      </c>
      <c r="P2016">
        <v>0.11</v>
      </c>
      <c r="Q2016" t="s">
        <v>135</v>
      </c>
      <c r="R2016">
        <v>20</v>
      </c>
      <c r="S2016">
        <v>40</v>
      </c>
      <c r="T2016">
        <v>20</v>
      </c>
      <c r="U2016">
        <v>0</v>
      </c>
      <c r="V2016">
        <v>20</v>
      </c>
    </row>
    <row r="2017" spans="1:22" x14ac:dyDescent="0.25">
      <c r="A2017" t="s">
        <v>324</v>
      </c>
      <c r="B2017" t="s">
        <v>95</v>
      </c>
      <c r="C2017">
        <v>19</v>
      </c>
      <c r="D2017" t="s">
        <v>140</v>
      </c>
      <c r="E2017" t="s">
        <v>96</v>
      </c>
      <c r="F2017" t="s">
        <v>26</v>
      </c>
      <c r="G2017">
        <v>0.42</v>
      </c>
      <c r="H2017" t="s">
        <v>57</v>
      </c>
      <c r="I2017">
        <v>3</v>
      </c>
      <c r="J2017" s="4" t="str">
        <f>HYPERLINK("https://www.eliteprospects.com/player/668143/iiro-hakkarainen")</f>
        <v>https://www.eliteprospects.com/player/668143/iiro-hakkarainen</v>
      </c>
      <c r="K2017" t="s">
        <v>27</v>
      </c>
      <c r="L2017" t="s">
        <v>28</v>
      </c>
      <c r="M2017" t="s">
        <v>70</v>
      </c>
      <c r="N2017">
        <v>2</v>
      </c>
      <c r="O2017" t="s">
        <v>43</v>
      </c>
      <c r="P2017">
        <v>0.08</v>
      </c>
      <c r="Q2017" t="s">
        <v>31</v>
      </c>
      <c r="R2017">
        <v>33.299999999999997</v>
      </c>
      <c r="S2017">
        <v>8.3000000000000007</v>
      </c>
      <c r="T2017">
        <v>33.299999999999997</v>
      </c>
      <c r="U2017">
        <v>8.3000000000000007</v>
      </c>
      <c r="V2017">
        <v>16.7</v>
      </c>
    </row>
    <row r="2018" spans="1:22" x14ac:dyDescent="0.25">
      <c r="A2018" t="s">
        <v>381</v>
      </c>
      <c r="B2018" t="s">
        <v>95</v>
      </c>
      <c r="C2018">
        <v>11</v>
      </c>
      <c r="D2018" t="s">
        <v>79</v>
      </c>
      <c r="E2018" t="s">
        <v>140</v>
      </c>
      <c r="F2018" t="s">
        <v>96</v>
      </c>
      <c r="G2018">
        <v>0.45</v>
      </c>
      <c r="H2018" t="s">
        <v>132</v>
      </c>
      <c r="I2018">
        <v>4</v>
      </c>
      <c r="J2018" s="4" t="str">
        <f>HYPERLINK("https://www.eliteprospects.com/player/562423/samuel-huck")</f>
        <v>https://www.eliteprospects.com/player/562423/samuel-huck</v>
      </c>
      <c r="K2018" t="s">
        <v>27</v>
      </c>
      <c r="L2018" t="s">
        <v>28</v>
      </c>
      <c r="M2018" t="s">
        <v>35</v>
      </c>
      <c r="N2018">
        <v>1</v>
      </c>
      <c r="O2018" t="s">
        <v>71</v>
      </c>
      <c r="P2018">
        <v>0.09</v>
      </c>
      <c r="Q2018" t="s">
        <v>31</v>
      </c>
      <c r="R2018">
        <v>33.299999999999997</v>
      </c>
      <c r="S2018">
        <v>8.3000000000000007</v>
      </c>
      <c r="T2018">
        <v>33.299999999999997</v>
      </c>
      <c r="U2018">
        <v>8.3000000000000007</v>
      </c>
      <c r="V2018">
        <v>16.7</v>
      </c>
    </row>
    <row r="2019" spans="1:22" x14ac:dyDescent="0.25">
      <c r="A2019" t="s">
        <v>391</v>
      </c>
      <c r="B2019" t="s">
        <v>95</v>
      </c>
      <c r="C2019">
        <v>11</v>
      </c>
      <c r="D2019" t="s">
        <v>132</v>
      </c>
      <c r="E2019" t="s">
        <v>96</v>
      </c>
      <c r="F2019" t="s">
        <v>96</v>
      </c>
      <c r="G2019">
        <v>0.45</v>
      </c>
      <c r="H2019" t="s">
        <v>79</v>
      </c>
      <c r="I2019">
        <v>4</v>
      </c>
      <c r="J2019" s="4" t="str">
        <f>HYPERLINK("https://www.eliteprospects.com/player/511937/ryan-kusler")</f>
        <v>https://www.eliteprospects.com/player/511937/ryan-kusler</v>
      </c>
      <c r="K2019" t="s">
        <v>27</v>
      </c>
      <c r="L2019" t="s">
        <v>28</v>
      </c>
      <c r="M2019" t="s">
        <v>35</v>
      </c>
      <c r="N2019">
        <v>2</v>
      </c>
      <c r="O2019" t="s">
        <v>43</v>
      </c>
      <c r="P2019">
        <v>0.09</v>
      </c>
      <c r="Q2019" t="s">
        <v>31</v>
      </c>
      <c r="R2019">
        <v>33.299999999999997</v>
      </c>
      <c r="S2019">
        <v>8.3000000000000007</v>
      </c>
      <c r="T2019">
        <v>33.299999999999997</v>
      </c>
      <c r="U2019">
        <v>8.3000000000000007</v>
      </c>
      <c r="V2019">
        <v>16.7</v>
      </c>
    </row>
    <row r="2020" spans="1:22" x14ac:dyDescent="0.25">
      <c r="A2020" t="s">
        <v>415</v>
      </c>
      <c r="B2020" t="s">
        <v>95</v>
      </c>
      <c r="C2020">
        <v>20</v>
      </c>
      <c r="D2020" t="s">
        <v>260</v>
      </c>
      <c r="E2020" t="s">
        <v>140</v>
      </c>
      <c r="F2020" t="s">
        <v>66</v>
      </c>
      <c r="G2020">
        <v>0.2</v>
      </c>
      <c r="H2020" t="s">
        <v>57</v>
      </c>
      <c r="I2020">
        <v>1</v>
      </c>
      <c r="J2020" s="4" t="str">
        <f>HYPERLINK("https://www.eliteprospects.com/player/201775/garrett-szydlowski")</f>
        <v>https://www.eliteprospects.com/player/201775/garrett-szydlowski</v>
      </c>
      <c r="K2020" t="s">
        <v>27</v>
      </c>
      <c r="L2020" t="s">
        <v>28</v>
      </c>
      <c r="M2020" t="s">
        <v>29</v>
      </c>
      <c r="N2020">
        <v>3</v>
      </c>
      <c r="O2020" t="s">
        <v>74</v>
      </c>
      <c r="P2020">
        <v>0.04</v>
      </c>
      <c r="Q2020" t="s">
        <v>245</v>
      </c>
      <c r="R2020">
        <v>0</v>
      </c>
      <c r="S2020">
        <v>0</v>
      </c>
      <c r="T2020">
        <v>0</v>
      </c>
      <c r="U2020">
        <v>0</v>
      </c>
      <c r="V2020">
        <v>100</v>
      </c>
    </row>
    <row r="2021" spans="1:22" x14ac:dyDescent="0.25">
      <c r="A2021" t="s">
        <v>450</v>
      </c>
      <c r="B2021" t="s">
        <v>95</v>
      </c>
      <c r="C2021">
        <v>12</v>
      </c>
      <c r="D2021" t="s">
        <v>260</v>
      </c>
      <c r="E2021" t="s">
        <v>260</v>
      </c>
      <c r="F2021" t="s">
        <v>79</v>
      </c>
      <c r="G2021">
        <v>0.17</v>
      </c>
      <c r="H2021" t="s">
        <v>66</v>
      </c>
      <c r="I2021">
        <v>0</v>
      </c>
      <c r="J2021" s="4" t="str">
        <f>HYPERLINK("https://www.eliteprospects.com/player/705306/jamison-sluys")</f>
        <v>https://www.eliteprospects.com/player/705306/jamison-sluys</v>
      </c>
      <c r="K2021" t="s">
        <v>27</v>
      </c>
      <c r="L2021" t="s">
        <v>28</v>
      </c>
      <c r="M2021" t="s">
        <v>35</v>
      </c>
      <c r="N2021">
        <v>1</v>
      </c>
      <c r="O2021" t="s">
        <v>71</v>
      </c>
      <c r="P2021">
        <v>0.03</v>
      </c>
      <c r="Q2021" t="s">
        <v>245</v>
      </c>
      <c r="R2021">
        <v>9.1</v>
      </c>
      <c r="S2021">
        <v>18.2</v>
      </c>
      <c r="T2021">
        <v>9.1</v>
      </c>
      <c r="U2021">
        <v>13.6</v>
      </c>
      <c r="V2021">
        <v>50</v>
      </c>
    </row>
    <row r="2022" spans="1:22" x14ac:dyDescent="0.25">
      <c r="A2022" t="s">
        <v>458</v>
      </c>
      <c r="B2022" t="s">
        <v>95</v>
      </c>
      <c r="C2022">
        <v>13</v>
      </c>
      <c r="D2022" t="s">
        <v>132</v>
      </c>
      <c r="E2022" t="s">
        <v>79</v>
      </c>
      <c r="F2022" t="s">
        <v>79</v>
      </c>
      <c r="G2022">
        <v>0.15</v>
      </c>
      <c r="H2022" t="s">
        <v>79</v>
      </c>
      <c r="I2022">
        <v>0</v>
      </c>
      <c r="J2022" s="4" t="str">
        <f>HYPERLINK("https://www.eliteprospects.com/player/505859/tyler-mackenzie")</f>
        <v>https://www.eliteprospects.com/player/505859/tyler-mackenzie</v>
      </c>
      <c r="K2022" t="s">
        <v>27</v>
      </c>
      <c r="L2022" t="s">
        <v>28</v>
      </c>
      <c r="M2022" t="s">
        <v>35</v>
      </c>
      <c r="N2022">
        <v>6</v>
      </c>
      <c r="O2022" t="s">
        <v>193</v>
      </c>
      <c r="P2022">
        <v>0.03</v>
      </c>
      <c r="Q2022" t="s">
        <v>245</v>
      </c>
      <c r="R2022">
        <v>9.1</v>
      </c>
      <c r="S2022">
        <v>18.2</v>
      </c>
      <c r="T2022">
        <v>9.1</v>
      </c>
      <c r="U2022">
        <v>13.6</v>
      </c>
      <c r="V2022">
        <v>50</v>
      </c>
    </row>
    <row r="2023" spans="1:22" x14ac:dyDescent="0.25">
      <c r="A2023" t="s">
        <v>985</v>
      </c>
      <c r="B2023" t="s">
        <v>986</v>
      </c>
      <c r="C2023">
        <v>15</v>
      </c>
      <c r="D2023" t="s">
        <v>57</v>
      </c>
      <c r="E2023" t="s">
        <v>23</v>
      </c>
      <c r="F2023" t="s">
        <v>55</v>
      </c>
      <c r="G2023">
        <v>1.2</v>
      </c>
      <c r="H2023" t="s">
        <v>132</v>
      </c>
      <c r="I2023">
        <v>0</v>
      </c>
      <c r="J2023" s="4" t="str">
        <f>HYPERLINK("https://www.eliteprospects.com/player/746530/lucas-chard")</f>
        <v>https://www.eliteprospects.com/player/746530/lucas-chard</v>
      </c>
      <c r="K2023" t="s">
        <v>27</v>
      </c>
      <c r="L2023" t="s">
        <v>918</v>
      </c>
      <c r="M2023" t="s">
        <v>143</v>
      </c>
      <c r="N2023">
        <v>1</v>
      </c>
      <c r="O2023" t="s">
        <v>984</v>
      </c>
      <c r="P2023">
        <v>0.15</v>
      </c>
      <c r="Q2023" t="s">
        <v>135</v>
      </c>
      <c r="R2023">
        <v>20</v>
      </c>
      <c r="S2023">
        <v>40</v>
      </c>
      <c r="T2023">
        <v>0</v>
      </c>
      <c r="U2023">
        <v>20</v>
      </c>
      <c r="V2023">
        <v>20</v>
      </c>
    </row>
    <row r="2024" spans="1:22" x14ac:dyDescent="0.25">
      <c r="A2024" t="s">
        <v>1026</v>
      </c>
      <c r="B2024" t="s">
        <v>986</v>
      </c>
      <c r="C2024">
        <v>16</v>
      </c>
      <c r="D2024" t="s">
        <v>32</v>
      </c>
      <c r="E2024" t="s">
        <v>96</v>
      </c>
      <c r="F2024" t="s">
        <v>41</v>
      </c>
      <c r="G2024">
        <v>0.94</v>
      </c>
      <c r="H2024" t="s">
        <v>55</v>
      </c>
      <c r="I2024">
        <v>0</v>
      </c>
      <c r="J2024" s="4" t="str">
        <f>HYPERLINK("https://www.eliteprospects.com/player/295839/max-antoine-melancon")</f>
        <v>https://www.eliteprospects.com/player/295839/max-antoine-melancon</v>
      </c>
      <c r="K2024" t="s">
        <v>27</v>
      </c>
      <c r="L2024" t="s">
        <v>918</v>
      </c>
      <c r="M2024" t="s">
        <v>91</v>
      </c>
      <c r="N2024">
        <v>5</v>
      </c>
      <c r="O2024" t="s">
        <v>973</v>
      </c>
      <c r="P2024">
        <v>0.12</v>
      </c>
      <c r="Q2024" t="s">
        <v>135</v>
      </c>
      <c r="R2024">
        <v>11.1</v>
      </c>
      <c r="S2024">
        <v>44.4</v>
      </c>
      <c r="T2024">
        <v>11.1</v>
      </c>
      <c r="U2024">
        <v>11.1</v>
      </c>
      <c r="V2024">
        <v>22.2</v>
      </c>
    </row>
    <row r="2025" spans="1:22" x14ac:dyDescent="0.25">
      <c r="A2025" t="s">
        <v>1029</v>
      </c>
      <c r="B2025" t="s">
        <v>986</v>
      </c>
      <c r="C2025">
        <v>14</v>
      </c>
      <c r="D2025" t="s">
        <v>78</v>
      </c>
      <c r="E2025" t="s">
        <v>26</v>
      </c>
      <c r="F2025" t="s">
        <v>41</v>
      </c>
      <c r="G2025">
        <v>1.07</v>
      </c>
      <c r="H2025" t="s">
        <v>47</v>
      </c>
      <c r="I2025">
        <v>0</v>
      </c>
      <c r="J2025" s="4" t="str">
        <f>HYPERLINK("https://www.eliteprospects.com/player/505258/thomas-lenart")</f>
        <v>https://www.eliteprospects.com/player/505258/thomas-lenart</v>
      </c>
      <c r="K2025" t="s">
        <v>27</v>
      </c>
      <c r="L2025" t="s">
        <v>918</v>
      </c>
      <c r="M2025" t="s">
        <v>42</v>
      </c>
      <c r="N2025">
        <v>2</v>
      </c>
      <c r="O2025" t="s">
        <v>1021</v>
      </c>
      <c r="P2025">
        <v>0.13</v>
      </c>
      <c r="Q2025" t="s">
        <v>135</v>
      </c>
      <c r="R2025">
        <v>11.1</v>
      </c>
      <c r="S2025">
        <v>44.4</v>
      </c>
      <c r="T2025">
        <v>11.1</v>
      </c>
      <c r="U2025">
        <v>11.1</v>
      </c>
      <c r="V2025">
        <v>22.2</v>
      </c>
    </row>
    <row r="2026" spans="1:22" x14ac:dyDescent="0.25">
      <c r="A2026" t="s">
        <v>1061</v>
      </c>
      <c r="B2026" t="s">
        <v>986</v>
      </c>
      <c r="C2026">
        <v>15</v>
      </c>
      <c r="D2026" t="s">
        <v>66</v>
      </c>
      <c r="E2026" t="s">
        <v>45</v>
      </c>
      <c r="F2026" t="s">
        <v>65</v>
      </c>
      <c r="G2026">
        <v>0.87</v>
      </c>
      <c r="H2026" t="s">
        <v>32</v>
      </c>
      <c r="I2026">
        <v>0</v>
      </c>
      <c r="J2026" s="4" t="str">
        <f>HYPERLINK("https://www.eliteprospects.com/player/526092/travis-verbeek")</f>
        <v>https://www.eliteprospects.com/player/526092/travis-verbeek</v>
      </c>
      <c r="K2026" t="s">
        <v>27</v>
      </c>
      <c r="L2026" t="s">
        <v>918</v>
      </c>
      <c r="M2026" t="s">
        <v>91</v>
      </c>
      <c r="N2026">
        <v>1</v>
      </c>
      <c r="O2026" t="s">
        <v>984</v>
      </c>
      <c r="P2026">
        <v>0.11</v>
      </c>
      <c r="Q2026" t="s">
        <v>135</v>
      </c>
      <c r="R2026">
        <v>20</v>
      </c>
      <c r="S2026">
        <v>40</v>
      </c>
      <c r="T2026">
        <v>0</v>
      </c>
      <c r="U2026">
        <v>20</v>
      </c>
      <c r="V2026">
        <v>20</v>
      </c>
    </row>
    <row r="2027" spans="1:22" x14ac:dyDescent="0.25">
      <c r="A2027" t="s">
        <v>1126</v>
      </c>
      <c r="B2027" t="s">
        <v>986</v>
      </c>
      <c r="C2027">
        <v>15</v>
      </c>
      <c r="D2027" t="s">
        <v>260</v>
      </c>
      <c r="E2027" t="s">
        <v>26</v>
      </c>
      <c r="F2027" t="s">
        <v>45</v>
      </c>
      <c r="G2027">
        <v>0.6</v>
      </c>
      <c r="H2027" t="s">
        <v>132</v>
      </c>
      <c r="I2027">
        <v>0</v>
      </c>
      <c r="J2027" s="4" t="str">
        <f>HYPERLINK("https://www.eliteprospects.com/player/726377/luke-della-croce")</f>
        <v>https://www.eliteprospects.com/player/726377/luke-della-croce</v>
      </c>
      <c r="K2027" t="s">
        <v>27</v>
      </c>
      <c r="L2027" t="s">
        <v>918</v>
      </c>
      <c r="M2027" t="s">
        <v>35</v>
      </c>
      <c r="N2027">
        <v>1</v>
      </c>
      <c r="O2027" t="s">
        <v>984</v>
      </c>
      <c r="P2027">
        <v>0.08</v>
      </c>
      <c r="Q2027" t="s">
        <v>1277</v>
      </c>
      <c r="R2027">
        <v>16.7</v>
      </c>
      <c r="S2027">
        <v>16.7</v>
      </c>
      <c r="T2027">
        <v>25</v>
      </c>
      <c r="U2027">
        <v>16.7</v>
      </c>
      <c r="V2027">
        <v>25</v>
      </c>
    </row>
    <row r="2028" spans="1:22" x14ac:dyDescent="0.25">
      <c r="A2028" t="s">
        <v>1127</v>
      </c>
      <c r="B2028" t="s">
        <v>986</v>
      </c>
      <c r="C2028">
        <v>14</v>
      </c>
      <c r="D2028" t="s">
        <v>57</v>
      </c>
      <c r="E2028" t="s">
        <v>79</v>
      </c>
      <c r="F2028" t="s">
        <v>26</v>
      </c>
      <c r="G2028">
        <v>0.56999999999999995</v>
      </c>
      <c r="H2028" t="s">
        <v>57</v>
      </c>
      <c r="I2028">
        <v>0</v>
      </c>
      <c r="J2028" s="4" t="str">
        <f>HYPERLINK("https://www.eliteprospects.com/player/504280/bryce-sutherland")</f>
        <v>https://www.eliteprospects.com/player/504280/bryce-sutherland</v>
      </c>
      <c r="K2028" t="s">
        <v>27</v>
      </c>
      <c r="L2028" t="s">
        <v>918</v>
      </c>
      <c r="M2028" t="s">
        <v>42</v>
      </c>
      <c r="N2028">
        <v>2</v>
      </c>
      <c r="O2028" t="s">
        <v>1021</v>
      </c>
      <c r="P2028">
        <v>7.0000000000000007E-2</v>
      </c>
      <c r="Q2028" t="s">
        <v>135</v>
      </c>
      <c r="R2028">
        <v>0</v>
      </c>
      <c r="S2028">
        <v>33.299999999999997</v>
      </c>
      <c r="T2028">
        <v>23.8</v>
      </c>
      <c r="U2028">
        <v>9.5</v>
      </c>
      <c r="V2028">
        <v>33.299999999999997</v>
      </c>
    </row>
    <row r="2029" spans="1:22" x14ac:dyDescent="0.25">
      <c r="A2029" t="s">
        <v>1161</v>
      </c>
      <c r="B2029" t="s">
        <v>986</v>
      </c>
      <c r="C2029">
        <v>14</v>
      </c>
      <c r="D2029" t="s">
        <v>140</v>
      </c>
      <c r="E2029" t="s">
        <v>140</v>
      </c>
      <c r="F2029" t="s">
        <v>57</v>
      </c>
      <c r="G2029">
        <v>0.43</v>
      </c>
      <c r="H2029" t="s">
        <v>280</v>
      </c>
      <c r="I2029">
        <v>0</v>
      </c>
      <c r="J2029" s="4" t="str">
        <f>HYPERLINK("https://www.eliteprospects.com/player/614368/tyler-hunt")</f>
        <v>https://www.eliteprospects.com/player/614368/tyler-hunt</v>
      </c>
      <c r="K2029" t="s">
        <v>27</v>
      </c>
      <c r="L2029" t="s">
        <v>918</v>
      </c>
      <c r="M2029" t="s">
        <v>42</v>
      </c>
      <c r="N2029">
        <v>1</v>
      </c>
      <c r="O2029" t="s">
        <v>984</v>
      </c>
      <c r="P2029">
        <v>0.05</v>
      </c>
      <c r="Q2029" t="s">
        <v>245</v>
      </c>
      <c r="R2029">
        <v>9.1</v>
      </c>
      <c r="S2029">
        <v>18.2</v>
      </c>
      <c r="T2029">
        <v>9.1</v>
      </c>
      <c r="U2029">
        <v>13.6</v>
      </c>
      <c r="V2029">
        <v>50</v>
      </c>
    </row>
    <row r="2030" spans="1:22" x14ac:dyDescent="0.25">
      <c r="A2030" t="s">
        <v>1162</v>
      </c>
      <c r="B2030" t="s">
        <v>986</v>
      </c>
      <c r="C2030">
        <v>15</v>
      </c>
      <c r="D2030" t="s">
        <v>140</v>
      </c>
      <c r="E2030" t="s">
        <v>140</v>
      </c>
      <c r="F2030" t="s">
        <v>57</v>
      </c>
      <c r="G2030">
        <v>0.4</v>
      </c>
      <c r="H2030" t="s">
        <v>26</v>
      </c>
      <c r="I2030">
        <v>0</v>
      </c>
      <c r="J2030" s="4" t="str">
        <f>HYPERLINK("https://www.eliteprospects.com/player/614375/justin-o-donnell")</f>
        <v>https://www.eliteprospects.com/player/614375/justin-o-donnell</v>
      </c>
      <c r="K2030" t="s">
        <v>27</v>
      </c>
      <c r="L2030" t="s">
        <v>918</v>
      </c>
      <c r="M2030" t="s">
        <v>42</v>
      </c>
      <c r="N2030">
        <v>4</v>
      </c>
      <c r="O2030" t="s">
        <v>1025</v>
      </c>
      <c r="P2030">
        <v>0.05</v>
      </c>
      <c r="Q2030" t="s">
        <v>245</v>
      </c>
      <c r="R2030">
        <v>9.1</v>
      </c>
      <c r="S2030">
        <v>18.2</v>
      </c>
      <c r="T2030">
        <v>9.1</v>
      </c>
      <c r="U2030">
        <v>13.6</v>
      </c>
      <c r="V2030">
        <v>50</v>
      </c>
    </row>
    <row r="2031" spans="1:22" x14ac:dyDescent="0.25">
      <c r="A2031" t="s">
        <v>1181</v>
      </c>
      <c r="B2031" t="s">
        <v>986</v>
      </c>
      <c r="C2031">
        <v>12</v>
      </c>
      <c r="D2031" t="s">
        <v>140</v>
      </c>
      <c r="E2031" t="s">
        <v>79</v>
      </c>
      <c r="F2031" t="s">
        <v>96</v>
      </c>
      <c r="G2031">
        <v>0.42</v>
      </c>
      <c r="H2031" t="s">
        <v>66</v>
      </c>
      <c r="I2031">
        <v>0</v>
      </c>
      <c r="J2031" s="4" t="str">
        <f>HYPERLINK("https://www.eliteprospects.com/player/537560/kallaway-mercer")</f>
        <v>https://www.eliteprospects.com/player/537560/kallaway-mercer</v>
      </c>
      <c r="K2031" t="s">
        <v>27</v>
      </c>
      <c r="L2031" t="s">
        <v>918</v>
      </c>
      <c r="M2031" t="s">
        <v>91</v>
      </c>
      <c r="N2031">
        <v>5</v>
      </c>
      <c r="O2031" t="s">
        <v>1064</v>
      </c>
      <c r="P2031">
        <v>0.05</v>
      </c>
      <c r="Q2031" t="s">
        <v>245</v>
      </c>
      <c r="R2031">
        <v>9.1</v>
      </c>
      <c r="S2031">
        <v>18.2</v>
      </c>
      <c r="T2031">
        <v>9.1</v>
      </c>
      <c r="U2031">
        <v>13.6</v>
      </c>
      <c r="V2031">
        <v>50</v>
      </c>
    </row>
    <row r="2032" spans="1:22" x14ac:dyDescent="0.25">
      <c r="A2032" t="s">
        <v>1210</v>
      </c>
      <c r="B2032" t="s">
        <v>986</v>
      </c>
      <c r="C2032">
        <v>12</v>
      </c>
      <c r="D2032" t="s">
        <v>260</v>
      </c>
      <c r="E2032" t="s">
        <v>140</v>
      </c>
      <c r="F2032" t="s">
        <v>66</v>
      </c>
      <c r="G2032">
        <v>0.33</v>
      </c>
      <c r="H2032" t="s">
        <v>23</v>
      </c>
      <c r="I2032">
        <v>0</v>
      </c>
      <c r="J2032" s="4" t="str">
        <f>HYPERLINK("https://www.eliteprospects.com/player/603780/ty-petrou")</f>
        <v>https://www.eliteprospects.com/player/603780/ty-petrou</v>
      </c>
      <c r="K2032" t="s">
        <v>27</v>
      </c>
      <c r="L2032" t="s">
        <v>918</v>
      </c>
      <c r="M2032" t="s">
        <v>42</v>
      </c>
      <c r="N2032">
        <v>3</v>
      </c>
      <c r="O2032" t="s">
        <v>1211</v>
      </c>
      <c r="P2032">
        <v>0.04</v>
      </c>
      <c r="Q2032" t="s">
        <v>245</v>
      </c>
      <c r="R2032">
        <v>9.1</v>
      </c>
      <c r="S2032">
        <v>18.2</v>
      </c>
      <c r="T2032">
        <v>9.1</v>
      </c>
      <c r="U2032">
        <v>13.6</v>
      </c>
      <c r="V2032">
        <v>50</v>
      </c>
    </row>
    <row r="2033" spans="1:22" x14ac:dyDescent="0.25">
      <c r="A2033" t="s">
        <v>1231</v>
      </c>
      <c r="B2033" t="s">
        <v>986</v>
      </c>
      <c r="C2033">
        <v>12</v>
      </c>
      <c r="D2033" t="s">
        <v>260</v>
      </c>
      <c r="E2033" t="s">
        <v>79</v>
      </c>
      <c r="F2033" t="s">
        <v>140</v>
      </c>
      <c r="G2033">
        <v>0.25</v>
      </c>
      <c r="H2033" t="s">
        <v>57</v>
      </c>
      <c r="I2033">
        <v>0</v>
      </c>
      <c r="J2033" s="4" t="str">
        <f>HYPERLINK("https://www.eliteprospects.com/player/415618/caleb-petrie")</f>
        <v>https://www.eliteprospects.com/player/415618/caleb-petrie</v>
      </c>
      <c r="K2033" t="s">
        <v>27</v>
      </c>
      <c r="L2033" t="s">
        <v>918</v>
      </c>
      <c r="M2033" t="s">
        <v>35</v>
      </c>
      <c r="N2033">
        <v>2</v>
      </c>
      <c r="O2033" t="s">
        <v>1021</v>
      </c>
      <c r="P2033">
        <v>0.03</v>
      </c>
      <c r="Q2033" t="s">
        <v>245</v>
      </c>
      <c r="R2033">
        <v>9.1</v>
      </c>
      <c r="S2033">
        <v>18.2</v>
      </c>
      <c r="T2033">
        <v>9.1</v>
      </c>
      <c r="U2033">
        <v>13.6</v>
      </c>
      <c r="V2033">
        <v>50</v>
      </c>
    </row>
    <row r="2034" spans="1:22" x14ac:dyDescent="0.25">
      <c r="A2034" t="s">
        <v>1234</v>
      </c>
      <c r="B2034" t="s">
        <v>986</v>
      </c>
      <c r="C2034">
        <v>14</v>
      </c>
      <c r="D2034" t="s">
        <v>260</v>
      </c>
      <c r="E2034" t="s">
        <v>79</v>
      </c>
      <c r="F2034" t="s">
        <v>140</v>
      </c>
      <c r="G2034">
        <v>0.21</v>
      </c>
      <c r="H2034" t="s">
        <v>132</v>
      </c>
      <c r="I2034">
        <v>0</v>
      </c>
      <c r="J2034" s="4" t="str">
        <f>HYPERLINK("https://www.eliteprospects.com/player/704282/ryan-schaap")</f>
        <v>https://www.eliteprospects.com/player/704282/ryan-schaap</v>
      </c>
      <c r="K2034" t="s">
        <v>27</v>
      </c>
      <c r="L2034" t="s">
        <v>918</v>
      </c>
      <c r="M2034" t="s">
        <v>91</v>
      </c>
      <c r="N2034">
        <v>1</v>
      </c>
      <c r="O2034" t="s">
        <v>984</v>
      </c>
      <c r="P2034">
        <v>0.03</v>
      </c>
      <c r="Q2034" t="s">
        <v>245</v>
      </c>
      <c r="R2034">
        <v>9.1</v>
      </c>
      <c r="S2034">
        <v>18.2</v>
      </c>
      <c r="T2034">
        <v>9.1</v>
      </c>
      <c r="U2034">
        <v>13.6</v>
      </c>
      <c r="V2034">
        <v>50</v>
      </c>
    </row>
    <row r="2035" spans="1:22" x14ac:dyDescent="0.25">
      <c r="A2035" t="s">
        <v>519</v>
      </c>
      <c r="B2035" t="s">
        <v>520</v>
      </c>
      <c r="C2035">
        <v>35</v>
      </c>
      <c r="D2035" t="s">
        <v>47</v>
      </c>
      <c r="E2035" t="s">
        <v>41</v>
      </c>
      <c r="F2035" t="s">
        <v>518</v>
      </c>
      <c r="G2035">
        <v>1.06</v>
      </c>
      <c r="H2035" t="s">
        <v>125</v>
      </c>
      <c r="I2035">
        <v>15</v>
      </c>
      <c r="J2035" s="4" t="str">
        <f>HYPERLINK("https://www.eliteprospects.com/player/887868/ethan-belchetz")</f>
        <v>https://www.eliteprospects.com/player/887868/ethan-belchetz</v>
      </c>
      <c r="K2035" t="s">
        <v>27</v>
      </c>
      <c r="L2035" t="s">
        <v>485</v>
      </c>
      <c r="M2035" t="s">
        <v>91</v>
      </c>
      <c r="N2035">
        <v>2</v>
      </c>
      <c r="O2035" t="s">
        <v>501</v>
      </c>
      <c r="P2035">
        <v>0.15</v>
      </c>
      <c r="Q2035" t="s">
        <v>31</v>
      </c>
      <c r="R2035">
        <v>36.700000000000003</v>
      </c>
      <c r="S2035">
        <v>36.700000000000003</v>
      </c>
      <c r="T2035">
        <v>0</v>
      </c>
      <c r="U2035">
        <v>0</v>
      </c>
      <c r="V2035">
        <v>26.7</v>
      </c>
    </row>
    <row r="2036" spans="1:22" x14ac:dyDescent="0.25">
      <c r="A2036" t="s">
        <v>533</v>
      </c>
      <c r="B2036" t="s">
        <v>520</v>
      </c>
      <c r="C2036">
        <v>23</v>
      </c>
      <c r="D2036" t="s">
        <v>38</v>
      </c>
      <c r="E2036" t="s">
        <v>38</v>
      </c>
      <c r="F2036" t="s">
        <v>25</v>
      </c>
      <c r="G2036">
        <v>1.39</v>
      </c>
      <c r="H2036" t="s">
        <v>46</v>
      </c>
      <c r="I2036">
        <v>4</v>
      </c>
      <c r="J2036" s="4" t="str">
        <f>HYPERLINK("https://www.eliteprospects.com/player/577205/liam-greentree")</f>
        <v>https://www.eliteprospects.com/player/577205/liam-greentree</v>
      </c>
      <c r="K2036" t="s">
        <v>27</v>
      </c>
      <c r="L2036" t="s">
        <v>485</v>
      </c>
      <c r="M2036" t="s">
        <v>29</v>
      </c>
      <c r="N2036">
        <v>4</v>
      </c>
      <c r="O2036" t="s">
        <v>486</v>
      </c>
      <c r="P2036">
        <v>0.2</v>
      </c>
      <c r="Q2036" t="s">
        <v>135</v>
      </c>
      <c r="R2036">
        <v>25</v>
      </c>
      <c r="S2036">
        <v>50</v>
      </c>
      <c r="T2036">
        <v>0</v>
      </c>
      <c r="U2036">
        <v>0</v>
      </c>
      <c r="V2036">
        <v>25</v>
      </c>
    </row>
    <row r="2037" spans="1:22" x14ac:dyDescent="0.25">
      <c r="A2037" t="s">
        <v>534</v>
      </c>
      <c r="B2037" t="s">
        <v>520</v>
      </c>
      <c r="C2037">
        <v>29</v>
      </c>
      <c r="D2037" t="s">
        <v>69</v>
      </c>
      <c r="E2037" t="s">
        <v>24</v>
      </c>
      <c r="F2037" t="s">
        <v>34</v>
      </c>
      <c r="G2037">
        <v>1.07</v>
      </c>
      <c r="H2037" t="s">
        <v>53</v>
      </c>
      <c r="I2037">
        <v>16</v>
      </c>
      <c r="J2037" s="4" t="str">
        <f>HYPERLINK("https://www.eliteprospects.com/player/881091/jack-nesbitt")</f>
        <v>https://www.eliteprospects.com/player/881091/jack-nesbitt</v>
      </c>
      <c r="K2037" t="s">
        <v>27</v>
      </c>
      <c r="L2037" t="s">
        <v>485</v>
      </c>
      <c r="M2037" t="s">
        <v>42</v>
      </c>
      <c r="N2037">
        <v>3</v>
      </c>
      <c r="O2037" t="s">
        <v>492</v>
      </c>
      <c r="P2037">
        <v>0.15</v>
      </c>
      <c r="Q2037" t="s">
        <v>31</v>
      </c>
      <c r="R2037">
        <v>36.700000000000003</v>
      </c>
      <c r="S2037">
        <v>36.700000000000003</v>
      </c>
      <c r="T2037">
        <v>0</v>
      </c>
      <c r="U2037">
        <v>0</v>
      </c>
      <c r="V2037">
        <v>26.7</v>
      </c>
    </row>
    <row r="2038" spans="1:22" x14ac:dyDescent="0.25">
      <c r="A2038" t="s">
        <v>543</v>
      </c>
      <c r="B2038" t="s">
        <v>520</v>
      </c>
      <c r="C2038">
        <v>35</v>
      </c>
      <c r="D2038" t="s">
        <v>32</v>
      </c>
      <c r="E2038" t="s">
        <v>60</v>
      </c>
      <c r="F2038" t="s">
        <v>61</v>
      </c>
      <c r="G2038">
        <v>0.77</v>
      </c>
      <c r="H2038" t="s">
        <v>23</v>
      </c>
      <c r="I2038">
        <v>9</v>
      </c>
      <c r="J2038" s="4" t="str">
        <f>HYPERLINK("https://www.eliteprospects.com/player/617437/ethan-garden")</f>
        <v>https://www.eliteprospects.com/player/617437/ethan-garden</v>
      </c>
      <c r="K2038" t="s">
        <v>27</v>
      </c>
      <c r="L2038" t="s">
        <v>485</v>
      </c>
      <c r="M2038" t="s">
        <v>42</v>
      </c>
      <c r="N2038">
        <v>2</v>
      </c>
      <c r="O2038" t="s">
        <v>501</v>
      </c>
      <c r="P2038">
        <v>0.11</v>
      </c>
      <c r="Q2038" t="s">
        <v>245</v>
      </c>
      <c r="R2038">
        <v>25</v>
      </c>
      <c r="S2038">
        <v>25</v>
      </c>
      <c r="T2038">
        <v>0</v>
      </c>
      <c r="U2038">
        <v>0</v>
      </c>
      <c r="V2038">
        <v>50</v>
      </c>
    </row>
    <row r="2039" spans="1:22" x14ac:dyDescent="0.25">
      <c r="A2039" t="s">
        <v>548</v>
      </c>
      <c r="B2039" t="s">
        <v>520</v>
      </c>
      <c r="C2039">
        <v>34</v>
      </c>
      <c r="D2039" t="s">
        <v>39</v>
      </c>
      <c r="E2039" t="s">
        <v>69</v>
      </c>
      <c r="F2039" t="s">
        <v>75</v>
      </c>
      <c r="G2039">
        <v>0.74</v>
      </c>
      <c r="H2039" t="s">
        <v>25</v>
      </c>
      <c r="I2039">
        <v>6</v>
      </c>
      <c r="J2039" s="4" t="str">
        <f>HYPERLINK("https://www.eliteprospects.com/player/882735/cole-davis")</f>
        <v>https://www.eliteprospects.com/player/882735/cole-davis</v>
      </c>
      <c r="K2039" t="s">
        <v>27</v>
      </c>
      <c r="L2039" t="s">
        <v>485</v>
      </c>
      <c r="M2039" t="s">
        <v>91</v>
      </c>
      <c r="N2039">
        <v>4</v>
      </c>
      <c r="O2039" t="s">
        <v>486</v>
      </c>
      <c r="P2039">
        <v>0.11</v>
      </c>
      <c r="Q2039" t="s">
        <v>245</v>
      </c>
      <c r="R2039">
        <v>25</v>
      </c>
      <c r="S2039">
        <v>25</v>
      </c>
      <c r="T2039">
        <v>0</v>
      </c>
      <c r="U2039">
        <v>0</v>
      </c>
      <c r="V2039">
        <v>50</v>
      </c>
    </row>
    <row r="2040" spans="1:22" x14ac:dyDescent="0.25">
      <c r="A2040" t="s">
        <v>554</v>
      </c>
      <c r="B2040" t="s">
        <v>520</v>
      </c>
      <c r="C2040">
        <v>38</v>
      </c>
      <c r="D2040" t="s">
        <v>45</v>
      </c>
      <c r="E2040" t="s">
        <v>41</v>
      </c>
      <c r="F2040" t="s">
        <v>81</v>
      </c>
      <c r="G2040">
        <v>0.63</v>
      </c>
      <c r="H2040" t="s">
        <v>23</v>
      </c>
      <c r="I2040">
        <v>16</v>
      </c>
      <c r="J2040" s="4" t="str">
        <f>HYPERLINK("https://www.eliteprospects.com/player/1011260/beksultan-makysh")</f>
        <v>https://www.eliteprospects.com/player/1011260/beksultan-makysh</v>
      </c>
      <c r="K2040" t="s">
        <v>27</v>
      </c>
      <c r="L2040" t="s">
        <v>485</v>
      </c>
      <c r="M2040" t="s">
        <v>35</v>
      </c>
      <c r="N2040">
        <v>1</v>
      </c>
      <c r="O2040" t="s">
        <v>494</v>
      </c>
      <c r="P2040">
        <v>0.09</v>
      </c>
      <c r="Q2040" t="s">
        <v>135</v>
      </c>
      <c r="R2040">
        <v>11.1</v>
      </c>
      <c r="S2040">
        <v>55.6</v>
      </c>
      <c r="T2040">
        <v>11.1</v>
      </c>
      <c r="U2040">
        <v>11.1</v>
      </c>
      <c r="V2040">
        <v>11.1</v>
      </c>
    </row>
    <row r="2041" spans="1:22" x14ac:dyDescent="0.25">
      <c r="A2041" t="s">
        <v>577</v>
      </c>
      <c r="B2041" t="s">
        <v>520</v>
      </c>
      <c r="C2041">
        <v>27</v>
      </c>
      <c r="D2041" t="s">
        <v>45</v>
      </c>
      <c r="E2041" t="s">
        <v>26</v>
      </c>
      <c r="F2041" t="s">
        <v>60</v>
      </c>
      <c r="G2041">
        <v>0.63</v>
      </c>
      <c r="H2041" t="s">
        <v>269</v>
      </c>
      <c r="I2041">
        <v>-5</v>
      </c>
      <c r="J2041" s="4" t="str">
        <f>HYPERLINK("https://www.eliteprospects.com/player/790498/a.j.-spellacy")</f>
        <v>https://www.eliteprospects.com/player/790498/a.j.-spellacy</v>
      </c>
      <c r="K2041" t="s">
        <v>27</v>
      </c>
      <c r="L2041" t="s">
        <v>485</v>
      </c>
      <c r="M2041" t="s">
        <v>129</v>
      </c>
      <c r="N2041">
        <v>4</v>
      </c>
      <c r="O2041" t="s">
        <v>486</v>
      </c>
      <c r="P2041">
        <v>0.09</v>
      </c>
      <c r="Q2041" t="s">
        <v>1277</v>
      </c>
      <c r="R2041">
        <v>16.7</v>
      </c>
      <c r="S2041">
        <v>16.7</v>
      </c>
      <c r="T2041">
        <v>25</v>
      </c>
      <c r="U2041">
        <v>16.7</v>
      </c>
      <c r="V2041">
        <v>25</v>
      </c>
    </row>
    <row r="2042" spans="1:22" x14ac:dyDescent="0.25">
      <c r="A2042" t="s">
        <v>579</v>
      </c>
      <c r="B2042" t="s">
        <v>520</v>
      </c>
      <c r="C2042">
        <v>38</v>
      </c>
      <c r="D2042" t="s">
        <v>96</v>
      </c>
      <c r="E2042" t="s">
        <v>23</v>
      </c>
      <c r="F2042" t="s">
        <v>60</v>
      </c>
      <c r="G2042">
        <v>0.45</v>
      </c>
      <c r="H2042" t="s">
        <v>79</v>
      </c>
      <c r="I2042">
        <v>12</v>
      </c>
      <c r="J2042" s="4" t="str">
        <f>HYPERLINK("https://www.eliteprospects.com/player/617422/caden-harvey")</f>
        <v>https://www.eliteprospects.com/player/617422/caden-harvey</v>
      </c>
      <c r="K2042" t="s">
        <v>27</v>
      </c>
      <c r="L2042" t="s">
        <v>485</v>
      </c>
      <c r="M2042" t="s">
        <v>35</v>
      </c>
      <c r="N2042">
        <v>1</v>
      </c>
      <c r="O2042" t="s">
        <v>494</v>
      </c>
      <c r="P2042">
        <v>0.06</v>
      </c>
      <c r="Q2042" t="s">
        <v>31</v>
      </c>
      <c r="R2042">
        <v>25</v>
      </c>
      <c r="S2042">
        <v>25</v>
      </c>
      <c r="T2042">
        <v>0</v>
      </c>
      <c r="U2042">
        <v>25</v>
      </c>
      <c r="V2042">
        <v>25</v>
      </c>
    </row>
    <row r="2043" spans="1:22" x14ac:dyDescent="0.25">
      <c r="A2043" t="s">
        <v>599</v>
      </c>
      <c r="B2043" t="s">
        <v>520</v>
      </c>
      <c r="C2043">
        <v>25</v>
      </c>
      <c r="D2043" t="s">
        <v>66</v>
      </c>
      <c r="E2043" t="s">
        <v>140</v>
      </c>
      <c r="F2043" t="s">
        <v>78</v>
      </c>
      <c r="G2043">
        <v>0.28000000000000003</v>
      </c>
      <c r="H2043" t="s">
        <v>33</v>
      </c>
      <c r="I2043">
        <v>8</v>
      </c>
      <c r="J2043" s="4" t="str">
        <f>HYPERLINK("https://www.eliteprospects.com/player/968256/johnny-mclaughlin")</f>
        <v>https://www.eliteprospects.com/player/968256/johnny-mclaughlin</v>
      </c>
      <c r="K2043" t="s">
        <v>27</v>
      </c>
      <c r="L2043" t="s">
        <v>485</v>
      </c>
      <c r="M2043" t="s">
        <v>35</v>
      </c>
      <c r="N2043">
        <v>1</v>
      </c>
      <c r="O2043" t="s">
        <v>494</v>
      </c>
      <c r="P2043">
        <v>0.04</v>
      </c>
      <c r="Q2043" t="s">
        <v>245</v>
      </c>
      <c r="R2043">
        <v>0</v>
      </c>
      <c r="S2043">
        <v>25</v>
      </c>
      <c r="T2043">
        <v>0</v>
      </c>
      <c r="U2043">
        <v>25</v>
      </c>
      <c r="V2043">
        <v>50</v>
      </c>
    </row>
    <row r="2044" spans="1:22" x14ac:dyDescent="0.25">
      <c r="A2044" t="s">
        <v>608</v>
      </c>
      <c r="B2044" t="s">
        <v>520</v>
      </c>
      <c r="C2044">
        <v>26</v>
      </c>
      <c r="D2044" t="s">
        <v>79</v>
      </c>
      <c r="E2044" t="s">
        <v>140</v>
      </c>
      <c r="F2044" t="s">
        <v>96</v>
      </c>
      <c r="G2044">
        <v>0.19</v>
      </c>
      <c r="H2044" t="s">
        <v>66</v>
      </c>
      <c r="I2044">
        <v>-3</v>
      </c>
      <c r="J2044" s="4" t="str">
        <f>HYPERLINK("https://www.eliteprospects.com/player/876259/max-brocklehurst")</f>
        <v>https://www.eliteprospects.com/player/876259/max-brocklehurst</v>
      </c>
      <c r="K2044" t="s">
        <v>27</v>
      </c>
      <c r="L2044" t="s">
        <v>485</v>
      </c>
      <c r="M2044" t="s">
        <v>91</v>
      </c>
      <c r="N2044">
        <v>2</v>
      </c>
      <c r="O2044" t="s">
        <v>501</v>
      </c>
      <c r="P2044">
        <v>0.03</v>
      </c>
      <c r="Q2044" t="s">
        <v>245</v>
      </c>
      <c r="R2044">
        <v>9.1</v>
      </c>
      <c r="S2044">
        <v>18.2</v>
      </c>
      <c r="T2044">
        <v>9.1</v>
      </c>
      <c r="U2044">
        <v>13.6</v>
      </c>
      <c r="V2044">
        <v>50</v>
      </c>
    </row>
    <row r="2045" spans="1:22" x14ac:dyDescent="0.25">
      <c r="A2045" t="s">
        <v>613</v>
      </c>
      <c r="B2045" t="s">
        <v>520</v>
      </c>
      <c r="C2045">
        <v>32</v>
      </c>
      <c r="D2045" t="s">
        <v>260</v>
      </c>
      <c r="E2045" t="s">
        <v>140</v>
      </c>
      <c r="F2045" t="s">
        <v>66</v>
      </c>
      <c r="G2045">
        <v>0.13</v>
      </c>
      <c r="H2045" t="s">
        <v>300</v>
      </c>
      <c r="I2045">
        <v>-2</v>
      </c>
      <c r="J2045" s="4" t="str">
        <f>HYPERLINK("https://www.eliteprospects.com/player/800022/nathan-gaymes")</f>
        <v>https://www.eliteprospects.com/player/800022/nathan-gaymes</v>
      </c>
      <c r="K2045" t="s">
        <v>27</v>
      </c>
      <c r="L2045" t="s">
        <v>485</v>
      </c>
      <c r="M2045" t="s">
        <v>29</v>
      </c>
      <c r="N2045">
        <v>3</v>
      </c>
      <c r="O2045" t="s">
        <v>492</v>
      </c>
      <c r="P2045">
        <v>0.02</v>
      </c>
      <c r="Q2045" t="s">
        <v>245</v>
      </c>
      <c r="R2045">
        <v>9.1</v>
      </c>
      <c r="S2045">
        <v>18.2</v>
      </c>
      <c r="T2045">
        <v>9.1</v>
      </c>
      <c r="U2045">
        <v>13.6</v>
      </c>
      <c r="V2045">
        <v>50</v>
      </c>
    </row>
    <row r="2046" spans="1:22" x14ac:dyDescent="0.25">
      <c r="A2046" t="s">
        <v>621</v>
      </c>
      <c r="B2046" t="s">
        <v>520</v>
      </c>
      <c r="C2046">
        <v>21</v>
      </c>
      <c r="D2046" t="s">
        <v>260</v>
      </c>
      <c r="E2046" t="s">
        <v>260</v>
      </c>
      <c r="F2046" t="s">
        <v>79</v>
      </c>
      <c r="G2046">
        <v>0.1</v>
      </c>
      <c r="H2046" t="s">
        <v>23</v>
      </c>
      <c r="I2046">
        <v>-1</v>
      </c>
      <c r="J2046" s="4" t="str">
        <f>HYPERLINK("https://www.eliteprospects.com/player/689890/shawn-costello")</f>
        <v>https://www.eliteprospects.com/player/689890/shawn-costello</v>
      </c>
      <c r="K2046" t="s">
        <v>27</v>
      </c>
      <c r="L2046" t="s">
        <v>485</v>
      </c>
      <c r="M2046" t="s">
        <v>42</v>
      </c>
      <c r="N2046">
        <v>3</v>
      </c>
      <c r="O2046" t="s">
        <v>492</v>
      </c>
      <c r="P2046">
        <v>0.01</v>
      </c>
      <c r="Q2046" t="s">
        <v>245</v>
      </c>
      <c r="R2046">
        <v>9.1</v>
      </c>
      <c r="S2046">
        <v>18.2</v>
      </c>
      <c r="T2046">
        <v>9.1</v>
      </c>
      <c r="U2046">
        <v>13.6</v>
      </c>
      <c r="V2046">
        <v>50</v>
      </c>
    </row>
    <row r="2047" spans="1:22" x14ac:dyDescent="0.25">
      <c r="A2047" t="s">
        <v>622</v>
      </c>
      <c r="B2047" t="s">
        <v>520</v>
      </c>
      <c r="C2047">
        <v>21</v>
      </c>
      <c r="D2047" t="s">
        <v>260</v>
      </c>
      <c r="E2047" t="s">
        <v>260</v>
      </c>
      <c r="F2047" t="s">
        <v>79</v>
      </c>
      <c r="G2047">
        <v>0.1</v>
      </c>
      <c r="H2047" t="s">
        <v>38</v>
      </c>
      <c r="I2047">
        <v>-4</v>
      </c>
      <c r="J2047" s="4" t="str">
        <f>HYPERLINK("https://www.eliteprospects.com/player/897248/cole-dubowsky")</f>
        <v>https://www.eliteprospects.com/player/897248/cole-dubowsky</v>
      </c>
      <c r="K2047" t="s">
        <v>27</v>
      </c>
      <c r="L2047" t="s">
        <v>485</v>
      </c>
      <c r="M2047" t="s">
        <v>91</v>
      </c>
      <c r="N2047">
        <v>3</v>
      </c>
      <c r="O2047" t="s">
        <v>492</v>
      </c>
      <c r="P2047">
        <v>0.01</v>
      </c>
      <c r="Q2047" t="s">
        <v>245</v>
      </c>
      <c r="R2047">
        <v>9.1</v>
      </c>
      <c r="S2047">
        <v>18.2</v>
      </c>
      <c r="T2047">
        <v>9.1</v>
      </c>
      <c r="U2047">
        <v>13.6</v>
      </c>
      <c r="V2047">
        <v>50</v>
      </c>
    </row>
    <row r="2048" spans="1:22" x14ac:dyDescent="0.25">
      <c r="A2048" t="s">
        <v>221</v>
      </c>
      <c r="B2048" t="s">
        <v>222</v>
      </c>
      <c r="C2048">
        <v>14</v>
      </c>
      <c r="D2048" t="s">
        <v>57</v>
      </c>
      <c r="E2048" t="s">
        <v>57</v>
      </c>
      <c r="F2048" t="s">
        <v>23</v>
      </c>
      <c r="G2048">
        <v>0.86</v>
      </c>
      <c r="H2048" t="s">
        <v>79</v>
      </c>
      <c r="I2048">
        <v>-3</v>
      </c>
      <c r="J2048" s="4" t="str">
        <f>HYPERLINK("https://www.eliteprospects.com/player/595453/ronan-o-donnell")</f>
        <v>https://www.eliteprospects.com/player/595453/ronan-o-donnell</v>
      </c>
      <c r="K2048" t="s">
        <v>27</v>
      </c>
      <c r="L2048" t="s">
        <v>28</v>
      </c>
      <c r="M2048" t="s">
        <v>29</v>
      </c>
      <c r="N2048">
        <v>2</v>
      </c>
      <c r="O2048" t="s">
        <v>43</v>
      </c>
      <c r="P2048">
        <v>0.17</v>
      </c>
      <c r="Q2048" t="s">
        <v>135</v>
      </c>
      <c r="R2048">
        <v>27.3</v>
      </c>
      <c r="S2048">
        <v>36.4</v>
      </c>
      <c r="T2048">
        <v>0</v>
      </c>
      <c r="U2048">
        <v>0</v>
      </c>
      <c r="V2048">
        <v>36.4</v>
      </c>
    </row>
    <row r="2049" spans="1:22" x14ac:dyDescent="0.25">
      <c r="A2049" t="s">
        <v>294</v>
      </c>
      <c r="B2049" t="s">
        <v>222</v>
      </c>
      <c r="C2049">
        <v>14</v>
      </c>
      <c r="D2049" t="s">
        <v>96</v>
      </c>
      <c r="E2049" t="s">
        <v>66</v>
      </c>
      <c r="F2049" t="s">
        <v>45</v>
      </c>
      <c r="G2049">
        <v>0.64</v>
      </c>
      <c r="H2049" t="s">
        <v>32</v>
      </c>
      <c r="I2049">
        <v>-2</v>
      </c>
      <c r="J2049" s="4" t="str">
        <f>HYPERLINK("https://www.eliteprospects.com/player/478441/david-chen")</f>
        <v>https://www.eliteprospects.com/player/478441/david-chen</v>
      </c>
      <c r="K2049" t="s">
        <v>27</v>
      </c>
      <c r="L2049" t="s">
        <v>28</v>
      </c>
      <c r="M2049" t="s">
        <v>35</v>
      </c>
      <c r="N2049">
        <v>4</v>
      </c>
      <c r="O2049" t="s">
        <v>30</v>
      </c>
      <c r="P2049">
        <v>0.12</v>
      </c>
      <c r="Q2049" t="s">
        <v>135</v>
      </c>
      <c r="R2049">
        <v>11.1</v>
      </c>
      <c r="S2049">
        <v>44.4</v>
      </c>
      <c r="T2049">
        <v>11.1</v>
      </c>
      <c r="U2049">
        <v>11.1</v>
      </c>
      <c r="V2049">
        <v>22.2</v>
      </c>
    </row>
    <row r="2050" spans="1:22" x14ac:dyDescent="0.25">
      <c r="A2050" t="s">
        <v>350</v>
      </c>
      <c r="B2050" t="s">
        <v>222</v>
      </c>
      <c r="C2050">
        <v>14</v>
      </c>
      <c r="D2050" t="s">
        <v>66</v>
      </c>
      <c r="E2050" t="s">
        <v>79</v>
      </c>
      <c r="F2050" t="s">
        <v>57</v>
      </c>
      <c r="G2050">
        <v>0.43</v>
      </c>
      <c r="H2050" t="s">
        <v>79</v>
      </c>
      <c r="I2050">
        <v>0</v>
      </c>
      <c r="J2050" s="4" t="str">
        <f>HYPERLINK("https://www.eliteprospects.com/player/694395/donovan-frias")</f>
        <v>https://www.eliteprospects.com/player/694395/donovan-frias</v>
      </c>
      <c r="K2050" t="s">
        <v>27</v>
      </c>
      <c r="L2050" t="s">
        <v>28</v>
      </c>
      <c r="M2050" t="s">
        <v>91</v>
      </c>
      <c r="N2050">
        <v>2</v>
      </c>
      <c r="O2050" t="s">
        <v>43</v>
      </c>
      <c r="P2050">
        <v>0.08</v>
      </c>
      <c r="Q2050" t="s">
        <v>1277</v>
      </c>
      <c r="R2050">
        <v>16.7</v>
      </c>
      <c r="S2050">
        <v>16.7</v>
      </c>
      <c r="T2050">
        <v>25</v>
      </c>
      <c r="U2050">
        <v>16.7</v>
      </c>
      <c r="V2050">
        <v>25</v>
      </c>
    </row>
    <row r="2051" spans="1:22" x14ac:dyDescent="0.25">
      <c r="A2051" t="s">
        <v>357</v>
      </c>
      <c r="B2051" t="s">
        <v>222</v>
      </c>
      <c r="C2051">
        <v>14</v>
      </c>
      <c r="D2051" t="s">
        <v>140</v>
      </c>
      <c r="E2051" t="s">
        <v>140</v>
      </c>
      <c r="F2051" t="s">
        <v>57</v>
      </c>
      <c r="G2051">
        <v>0.43</v>
      </c>
      <c r="H2051" t="s">
        <v>66</v>
      </c>
      <c r="I2051">
        <v>-1</v>
      </c>
      <c r="J2051" s="4" t="str">
        <f>HYPERLINK("https://www.eliteprospects.com/player/609488/micah-berger")</f>
        <v>https://www.eliteprospects.com/player/609488/micah-berger</v>
      </c>
      <c r="K2051" t="s">
        <v>27</v>
      </c>
      <c r="L2051" t="s">
        <v>28</v>
      </c>
      <c r="M2051" t="s">
        <v>91</v>
      </c>
      <c r="N2051">
        <v>2</v>
      </c>
      <c r="O2051" t="s">
        <v>43</v>
      </c>
      <c r="P2051">
        <v>0.08</v>
      </c>
      <c r="Q2051" t="s">
        <v>1277</v>
      </c>
      <c r="R2051">
        <v>16.7</v>
      </c>
      <c r="S2051">
        <v>16.7</v>
      </c>
      <c r="T2051">
        <v>25</v>
      </c>
      <c r="U2051">
        <v>16.7</v>
      </c>
      <c r="V2051">
        <v>25</v>
      </c>
    </row>
    <row r="2052" spans="1:22" x14ac:dyDescent="0.25">
      <c r="A2052" t="s">
        <v>395</v>
      </c>
      <c r="B2052" t="s">
        <v>222</v>
      </c>
      <c r="C2052">
        <v>14</v>
      </c>
      <c r="D2052" t="s">
        <v>140</v>
      </c>
      <c r="E2052" t="s">
        <v>260</v>
      </c>
      <c r="F2052" t="s">
        <v>66</v>
      </c>
      <c r="G2052">
        <v>0.28999999999999998</v>
      </c>
      <c r="H2052" t="s">
        <v>57</v>
      </c>
      <c r="I2052">
        <v>-10</v>
      </c>
      <c r="J2052" s="4" t="str">
        <f>HYPERLINK("https://www.eliteprospects.com/player/634452/zachary-wagnon")</f>
        <v>https://www.eliteprospects.com/player/634452/zachary-wagnon</v>
      </c>
      <c r="K2052" t="s">
        <v>27</v>
      </c>
      <c r="L2052" t="s">
        <v>28</v>
      </c>
      <c r="M2052" t="s">
        <v>35</v>
      </c>
      <c r="N2052">
        <v>2</v>
      </c>
      <c r="O2052" t="s">
        <v>43</v>
      </c>
      <c r="P2052">
        <v>0.06</v>
      </c>
      <c r="Q2052" t="s">
        <v>245</v>
      </c>
      <c r="R2052">
        <v>0</v>
      </c>
      <c r="S2052">
        <v>15.4</v>
      </c>
      <c r="T2052">
        <v>7.7</v>
      </c>
      <c r="U2052">
        <v>30.8</v>
      </c>
      <c r="V2052">
        <v>46.2</v>
      </c>
    </row>
    <row r="2053" spans="1:22" x14ac:dyDescent="0.25">
      <c r="A2053" t="s">
        <v>404</v>
      </c>
      <c r="B2053" t="s">
        <v>222</v>
      </c>
      <c r="C2053">
        <v>13</v>
      </c>
      <c r="D2053" t="s">
        <v>79</v>
      </c>
      <c r="E2053" t="s">
        <v>79</v>
      </c>
      <c r="F2053" t="s">
        <v>66</v>
      </c>
      <c r="G2053">
        <v>0.31</v>
      </c>
      <c r="H2053" t="s">
        <v>79</v>
      </c>
      <c r="I2053">
        <v>-4</v>
      </c>
      <c r="J2053" s="4" t="str">
        <f>HYPERLINK("https://www.eliteprospects.com/player/526027/james-shannon")</f>
        <v>https://www.eliteprospects.com/player/526027/james-shannon</v>
      </c>
      <c r="K2053" t="s">
        <v>27</v>
      </c>
      <c r="L2053" t="s">
        <v>28</v>
      </c>
      <c r="M2053" t="s">
        <v>35</v>
      </c>
      <c r="N2053">
        <v>1</v>
      </c>
      <c r="O2053" t="s">
        <v>71</v>
      </c>
      <c r="P2053">
        <v>0.06</v>
      </c>
      <c r="Q2053" t="s">
        <v>135</v>
      </c>
      <c r="R2053">
        <v>0</v>
      </c>
      <c r="S2053">
        <v>33.299999999999997</v>
      </c>
      <c r="T2053">
        <v>23.8</v>
      </c>
      <c r="U2053">
        <v>9.5</v>
      </c>
      <c r="V2053">
        <v>33.299999999999997</v>
      </c>
    </row>
    <row r="2054" spans="1:22" x14ac:dyDescent="0.25">
      <c r="A2054" t="s">
        <v>417</v>
      </c>
      <c r="B2054" t="s">
        <v>222</v>
      </c>
      <c r="C2054">
        <v>14</v>
      </c>
      <c r="D2054" t="s">
        <v>132</v>
      </c>
      <c r="E2054" t="s">
        <v>66</v>
      </c>
      <c r="F2054" t="s">
        <v>66</v>
      </c>
      <c r="G2054">
        <v>0.28999999999999998</v>
      </c>
      <c r="H2054" t="s">
        <v>26</v>
      </c>
      <c r="I2054">
        <v>0</v>
      </c>
      <c r="J2054" s="4" t="str">
        <f>HYPERLINK("https://www.eliteprospects.com/player/535842/iisai-pesonen")</f>
        <v>https://www.eliteprospects.com/player/535842/iisai-pesonen</v>
      </c>
      <c r="K2054" t="s">
        <v>27</v>
      </c>
      <c r="L2054" t="s">
        <v>28</v>
      </c>
      <c r="M2054" t="s">
        <v>42</v>
      </c>
      <c r="N2054">
        <v>3</v>
      </c>
      <c r="O2054" t="s">
        <v>74</v>
      </c>
      <c r="P2054">
        <v>0.06</v>
      </c>
      <c r="Q2054" t="s">
        <v>135</v>
      </c>
      <c r="R2054">
        <v>0</v>
      </c>
      <c r="S2054">
        <v>33.299999999999997</v>
      </c>
      <c r="T2054">
        <v>23.8</v>
      </c>
      <c r="U2054">
        <v>9.5</v>
      </c>
      <c r="V2054">
        <v>33.299999999999997</v>
      </c>
    </row>
    <row r="2055" spans="1:22" x14ac:dyDescent="0.25">
      <c r="A2055" t="s">
        <v>422</v>
      </c>
      <c r="B2055" t="s">
        <v>222</v>
      </c>
      <c r="C2055">
        <v>14</v>
      </c>
      <c r="D2055" t="s">
        <v>79</v>
      </c>
      <c r="E2055" t="s">
        <v>260</v>
      </c>
      <c r="F2055" t="s">
        <v>140</v>
      </c>
      <c r="G2055">
        <v>0.21</v>
      </c>
      <c r="H2055" t="s">
        <v>57</v>
      </c>
      <c r="I2055">
        <v>-3</v>
      </c>
      <c r="J2055" s="4" t="str">
        <f>HYPERLINK("https://www.eliteprospects.com/player/478696/david-andreychuk")</f>
        <v>https://www.eliteprospects.com/player/478696/david-andreychuk</v>
      </c>
      <c r="K2055" t="s">
        <v>27</v>
      </c>
      <c r="L2055" t="s">
        <v>28</v>
      </c>
      <c r="M2055" t="s">
        <v>76</v>
      </c>
      <c r="N2055">
        <v>3</v>
      </c>
      <c r="O2055" t="s">
        <v>74</v>
      </c>
      <c r="P2055">
        <v>0.04</v>
      </c>
      <c r="Q2055" t="s">
        <v>245</v>
      </c>
      <c r="R2055">
        <v>9.1</v>
      </c>
      <c r="S2055">
        <v>18.2</v>
      </c>
      <c r="T2055">
        <v>9.1</v>
      </c>
      <c r="U2055">
        <v>13.6</v>
      </c>
      <c r="V2055">
        <v>50</v>
      </c>
    </row>
    <row r="2056" spans="1:22" x14ac:dyDescent="0.25">
      <c r="A2056" t="s">
        <v>430</v>
      </c>
      <c r="B2056" t="s">
        <v>222</v>
      </c>
      <c r="C2056">
        <v>14</v>
      </c>
      <c r="D2056" t="s">
        <v>260</v>
      </c>
      <c r="E2056" t="s">
        <v>79</v>
      </c>
      <c r="F2056" t="s">
        <v>140</v>
      </c>
      <c r="G2056">
        <v>0.21</v>
      </c>
      <c r="H2056" t="s">
        <v>79</v>
      </c>
      <c r="I2056">
        <v>-8</v>
      </c>
      <c r="J2056" s="4" t="str">
        <f>HYPERLINK("https://www.eliteprospects.com/player/535826/beanie-richter")</f>
        <v>https://www.eliteprospects.com/player/535826/beanie-richter</v>
      </c>
      <c r="K2056" t="s">
        <v>27</v>
      </c>
      <c r="L2056" t="s">
        <v>28</v>
      </c>
      <c r="M2056" t="s">
        <v>35</v>
      </c>
      <c r="N2056">
        <v>3</v>
      </c>
      <c r="O2056" t="s">
        <v>74</v>
      </c>
      <c r="P2056">
        <v>0.04</v>
      </c>
      <c r="Q2056" t="s">
        <v>245</v>
      </c>
      <c r="R2056">
        <v>13.3</v>
      </c>
      <c r="S2056">
        <v>13.3</v>
      </c>
      <c r="T2056">
        <v>0</v>
      </c>
      <c r="U2056">
        <v>13.3</v>
      </c>
      <c r="V2056">
        <v>60</v>
      </c>
    </row>
    <row r="2057" spans="1:22" x14ac:dyDescent="0.25">
      <c r="A2057" t="s">
        <v>456</v>
      </c>
      <c r="B2057" t="s">
        <v>222</v>
      </c>
      <c r="C2057">
        <v>10</v>
      </c>
      <c r="D2057" t="s">
        <v>132</v>
      </c>
      <c r="E2057" t="s">
        <v>79</v>
      </c>
      <c r="F2057" t="s">
        <v>79</v>
      </c>
      <c r="G2057">
        <v>0.2</v>
      </c>
      <c r="H2057" t="s">
        <v>79</v>
      </c>
      <c r="I2057">
        <v>-9</v>
      </c>
      <c r="J2057" s="4" t="str">
        <f>HYPERLINK("https://www.eliteprospects.com/player/646100/tom-molson")</f>
        <v>https://www.eliteprospects.com/player/646100/tom-molson</v>
      </c>
      <c r="K2057" t="s">
        <v>27</v>
      </c>
      <c r="L2057" t="s">
        <v>28</v>
      </c>
      <c r="M2057" t="s">
        <v>35</v>
      </c>
      <c r="N2057">
        <v>1</v>
      </c>
      <c r="O2057" t="s">
        <v>71</v>
      </c>
      <c r="P2057">
        <v>0.04</v>
      </c>
      <c r="Q2057" t="s">
        <v>245</v>
      </c>
      <c r="R2057">
        <v>13.3</v>
      </c>
      <c r="S2057">
        <v>13.3</v>
      </c>
      <c r="T2057">
        <v>0</v>
      </c>
      <c r="U2057">
        <v>13.3</v>
      </c>
      <c r="V2057">
        <v>60</v>
      </c>
    </row>
    <row r="2058" spans="1:22" x14ac:dyDescent="0.25">
      <c r="A2058" t="s">
        <v>481</v>
      </c>
      <c r="B2058" t="s">
        <v>222</v>
      </c>
      <c r="C2058">
        <v>14</v>
      </c>
      <c r="D2058" t="s">
        <v>132</v>
      </c>
      <c r="E2058" t="s">
        <v>132</v>
      </c>
      <c r="F2058" t="s">
        <v>132</v>
      </c>
      <c r="G2058">
        <v>0</v>
      </c>
      <c r="H2058" t="s">
        <v>66</v>
      </c>
      <c r="I2058">
        <v>-5</v>
      </c>
      <c r="J2058" s="4" t="str">
        <f>HYPERLINK("https://www.eliteprospects.com/player/201808/kalen-szeto")</f>
        <v>https://www.eliteprospects.com/player/201808/kalen-szeto</v>
      </c>
      <c r="K2058" t="s">
        <v>27</v>
      </c>
      <c r="L2058" t="s">
        <v>28</v>
      </c>
      <c r="M2058" t="s">
        <v>35</v>
      </c>
      <c r="N2058">
        <v>4</v>
      </c>
      <c r="O2058" t="s">
        <v>30</v>
      </c>
      <c r="P2058">
        <v>0</v>
      </c>
      <c r="Q2058" t="s">
        <v>245</v>
      </c>
      <c r="R2058">
        <v>9.1</v>
      </c>
      <c r="S2058">
        <v>18.2</v>
      </c>
      <c r="T2058">
        <v>9.1</v>
      </c>
      <c r="U2058">
        <v>13.6</v>
      </c>
      <c r="V2058">
        <v>50</v>
      </c>
    </row>
    <row r="2059" spans="1:22" x14ac:dyDescent="0.25">
      <c r="A2059" t="s">
        <v>1052</v>
      </c>
      <c r="B2059" t="s">
        <v>1053</v>
      </c>
      <c r="C2059">
        <v>15</v>
      </c>
      <c r="D2059" t="s">
        <v>26</v>
      </c>
      <c r="E2059" t="s">
        <v>96</v>
      </c>
      <c r="F2059" t="s">
        <v>65</v>
      </c>
      <c r="G2059">
        <v>0.87</v>
      </c>
      <c r="H2059" t="s">
        <v>39</v>
      </c>
      <c r="I2059">
        <v>0</v>
      </c>
      <c r="J2059" s="4" t="str">
        <f>HYPERLINK("https://www.eliteprospects.com/player/475300/harry-clark")</f>
        <v>https://www.eliteprospects.com/player/475300/harry-clark</v>
      </c>
      <c r="K2059" t="s">
        <v>27</v>
      </c>
      <c r="L2059" t="s">
        <v>918</v>
      </c>
      <c r="M2059" t="s">
        <v>35</v>
      </c>
      <c r="N2059">
        <v>1</v>
      </c>
      <c r="O2059" t="s">
        <v>984</v>
      </c>
      <c r="P2059">
        <v>0.11</v>
      </c>
      <c r="Q2059" t="s">
        <v>135</v>
      </c>
      <c r="R2059">
        <v>20</v>
      </c>
      <c r="S2059">
        <v>40</v>
      </c>
      <c r="T2059">
        <v>0</v>
      </c>
      <c r="U2059">
        <v>20</v>
      </c>
      <c r="V2059">
        <v>20</v>
      </c>
    </row>
    <row r="2060" spans="1:22" x14ac:dyDescent="0.25">
      <c r="A2060" t="s">
        <v>1063</v>
      </c>
      <c r="B2060" t="s">
        <v>1053</v>
      </c>
      <c r="C2060">
        <v>13</v>
      </c>
      <c r="D2060" t="s">
        <v>79</v>
      </c>
      <c r="E2060" t="s">
        <v>69</v>
      </c>
      <c r="F2060" t="s">
        <v>65</v>
      </c>
      <c r="G2060">
        <v>1</v>
      </c>
      <c r="H2060" t="s">
        <v>39</v>
      </c>
      <c r="I2060">
        <v>0</v>
      </c>
      <c r="J2060" s="4" t="str">
        <f>HYPERLINK("https://www.eliteprospects.com/player/632542/olivier-lamothe")</f>
        <v>https://www.eliteprospects.com/player/632542/olivier-lamothe</v>
      </c>
      <c r="K2060" t="s">
        <v>27</v>
      </c>
      <c r="L2060" t="s">
        <v>918</v>
      </c>
      <c r="M2060" t="s">
        <v>42</v>
      </c>
      <c r="N2060">
        <v>1</v>
      </c>
      <c r="O2060" t="s">
        <v>984</v>
      </c>
      <c r="P2060">
        <v>0.12</v>
      </c>
      <c r="Q2060" t="s">
        <v>135</v>
      </c>
      <c r="R2060">
        <v>11.1</v>
      </c>
      <c r="S2060">
        <v>44.4</v>
      </c>
      <c r="T2060">
        <v>11.1</v>
      </c>
      <c r="U2060">
        <v>11.1</v>
      </c>
      <c r="V2060">
        <v>22.2</v>
      </c>
    </row>
    <row r="2061" spans="1:22" x14ac:dyDescent="0.25">
      <c r="A2061" t="s">
        <v>1083</v>
      </c>
      <c r="B2061" t="s">
        <v>1053</v>
      </c>
      <c r="C2061">
        <v>13</v>
      </c>
      <c r="D2061" t="s">
        <v>45</v>
      </c>
      <c r="E2061" t="s">
        <v>79</v>
      </c>
      <c r="F2061" t="s">
        <v>69</v>
      </c>
      <c r="G2061">
        <v>0.85</v>
      </c>
      <c r="H2061" t="s">
        <v>79</v>
      </c>
      <c r="I2061">
        <v>0</v>
      </c>
      <c r="J2061" s="4" t="str">
        <f>HYPERLINK("https://www.eliteprospects.com/player/361036/owen-gilhula")</f>
        <v>https://www.eliteprospects.com/player/361036/owen-gilhula</v>
      </c>
      <c r="K2061" t="s">
        <v>27</v>
      </c>
      <c r="L2061" t="s">
        <v>918</v>
      </c>
      <c r="M2061" t="s">
        <v>42</v>
      </c>
      <c r="N2061">
        <v>5</v>
      </c>
      <c r="O2061" t="s">
        <v>955</v>
      </c>
      <c r="P2061">
        <v>0.11</v>
      </c>
      <c r="Q2061" t="s">
        <v>135</v>
      </c>
      <c r="R2061">
        <v>20</v>
      </c>
      <c r="S2061">
        <v>40</v>
      </c>
      <c r="T2061">
        <v>0</v>
      </c>
      <c r="U2061">
        <v>20</v>
      </c>
      <c r="V2061">
        <v>20</v>
      </c>
    </row>
    <row r="2062" spans="1:22" x14ac:dyDescent="0.25">
      <c r="A2062" t="s">
        <v>1113</v>
      </c>
      <c r="B2062" t="s">
        <v>1053</v>
      </c>
      <c r="C2062">
        <v>14</v>
      </c>
      <c r="D2062" t="s">
        <v>79</v>
      </c>
      <c r="E2062" t="s">
        <v>26</v>
      </c>
      <c r="F2062" t="s">
        <v>32</v>
      </c>
      <c r="G2062">
        <v>0.71</v>
      </c>
      <c r="H2062" t="s">
        <v>66</v>
      </c>
      <c r="I2062">
        <v>0</v>
      </c>
      <c r="J2062" s="4" t="str">
        <f>HYPERLINK("https://www.eliteprospects.com/player/556526/keaton-oakley")</f>
        <v>https://www.eliteprospects.com/player/556526/keaton-oakley</v>
      </c>
      <c r="K2062" t="s">
        <v>27</v>
      </c>
      <c r="L2062" t="s">
        <v>918</v>
      </c>
      <c r="M2062" t="s">
        <v>35</v>
      </c>
      <c r="N2062">
        <v>2</v>
      </c>
      <c r="O2062" t="s">
        <v>1021</v>
      </c>
      <c r="P2062">
        <v>0.09</v>
      </c>
      <c r="Q2062" t="s">
        <v>1277</v>
      </c>
      <c r="R2062">
        <v>16.7</v>
      </c>
      <c r="S2062">
        <v>16.7</v>
      </c>
      <c r="T2062">
        <v>25</v>
      </c>
      <c r="U2062">
        <v>16.7</v>
      </c>
      <c r="V2062">
        <v>25</v>
      </c>
    </row>
    <row r="2063" spans="1:22" x14ac:dyDescent="0.25">
      <c r="A2063" t="s">
        <v>1129</v>
      </c>
      <c r="B2063" t="s">
        <v>1053</v>
      </c>
      <c r="C2063">
        <v>15</v>
      </c>
      <c r="D2063" t="s">
        <v>66</v>
      </c>
      <c r="E2063" t="s">
        <v>66</v>
      </c>
      <c r="F2063" t="s">
        <v>26</v>
      </c>
      <c r="G2063">
        <v>0.53</v>
      </c>
      <c r="H2063" t="s">
        <v>33</v>
      </c>
      <c r="I2063">
        <v>0</v>
      </c>
      <c r="J2063" s="4" t="str">
        <f>HYPERLINK("https://www.eliteprospects.com/player/670939/ethan-strik")</f>
        <v>https://www.eliteprospects.com/player/670939/ethan-strik</v>
      </c>
      <c r="K2063" t="s">
        <v>27</v>
      </c>
      <c r="L2063" t="s">
        <v>918</v>
      </c>
      <c r="M2063" t="s">
        <v>35</v>
      </c>
      <c r="N2063">
        <v>2</v>
      </c>
      <c r="O2063" t="s">
        <v>1021</v>
      </c>
      <c r="P2063">
        <v>7.0000000000000007E-2</v>
      </c>
      <c r="Q2063" t="s">
        <v>135</v>
      </c>
      <c r="R2063">
        <v>0</v>
      </c>
      <c r="S2063">
        <v>33.299999999999997</v>
      </c>
      <c r="T2063">
        <v>23.8</v>
      </c>
      <c r="U2063">
        <v>9.5</v>
      </c>
      <c r="V2063">
        <v>33.299999999999997</v>
      </c>
    </row>
    <row r="2064" spans="1:22" x14ac:dyDescent="0.25">
      <c r="A2064" t="s">
        <v>1130</v>
      </c>
      <c r="B2064" t="s">
        <v>1053</v>
      </c>
      <c r="C2064">
        <v>16</v>
      </c>
      <c r="D2064" t="s">
        <v>66</v>
      </c>
      <c r="E2064" t="s">
        <v>66</v>
      </c>
      <c r="F2064" t="s">
        <v>26</v>
      </c>
      <c r="G2064">
        <v>0.5</v>
      </c>
      <c r="H2064" t="s">
        <v>79</v>
      </c>
      <c r="I2064">
        <v>0</v>
      </c>
      <c r="J2064" s="4" t="str">
        <f>HYPERLINK("https://www.eliteprospects.com/player/320286/aiden-macintosh")</f>
        <v>https://www.eliteprospects.com/player/320286/aiden-macintosh</v>
      </c>
      <c r="K2064" t="s">
        <v>27</v>
      </c>
      <c r="L2064" t="s">
        <v>918</v>
      </c>
      <c r="M2064" t="s">
        <v>42</v>
      </c>
      <c r="N2064">
        <v>4</v>
      </c>
      <c r="O2064" t="s">
        <v>1006</v>
      </c>
      <c r="P2064">
        <v>0.06</v>
      </c>
      <c r="Q2064" t="s">
        <v>135</v>
      </c>
      <c r="R2064">
        <v>0</v>
      </c>
      <c r="S2064">
        <v>33.299999999999997</v>
      </c>
      <c r="T2064">
        <v>23.8</v>
      </c>
      <c r="U2064">
        <v>9.5</v>
      </c>
      <c r="V2064">
        <v>33.299999999999997</v>
      </c>
    </row>
    <row r="2065" spans="1:22" x14ac:dyDescent="0.25">
      <c r="A2065" t="s">
        <v>1155</v>
      </c>
      <c r="B2065" t="s">
        <v>1053</v>
      </c>
      <c r="C2065">
        <v>14</v>
      </c>
      <c r="D2065" t="s">
        <v>132</v>
      </c>
      <c r="E2065" t="s">
        <v>78</v>
      </c>
      <c r="F2065" t="s">
        <v>78</v>
      </c>
      <c r="G2065">
        <v>0.5</v>
      </c>
      <c r="H2065" t="s">
        <v>57</v>
      </c>
      <c r="I2065">
        <v>0</v>
      </c>
      <c r="J2065" s="4" t="str">
        <f>HYPERLINK("https://www.eliteprospects.com/player/506596/hunter-brown")</f>
        <v>https://www.eliteprospects.com/player/506596/hunter-brown</v>
      </c>
      <c r="K2065" t="s">
        <v>27</v>
      </c>
      <c r="L2065" t="s">
        <v>918</v>
      </c>
      <c r="M2065" t="s">
        <v>35</v>
      </c>
      <c r="N2065">
        <v>1</v>
      </c>
      <c r="O2065" t="s">
        <v>984</v>
      </c>
      <c r="P2065">
        <v>0.06</v>
      </c>
      <c r="Q2065" t="s">
        <v>135</v>
      </c>
      <c r="R2065">
        <v>0</v>
      </c>
      <c r="S2065">
        <v>33.299999999999997</v>
      </c>
      <c r="T2065">
        <v>23.8</v>
      </c>
      <c r="U2065">
        <v>9.5</v>
      </c>
      <c r="V2065">
        <v>33.299999999999997</v>
      </c>
    </row>
    <row r="2066" spans="1:22" x14ac:dyDescent="0.25">
      <c r="A2066" t="s">
        <v>1186</v>
      </c>
      <c r="B2066" t="s">
        <v>1053</v>
      </c>
      <c r="C2066">
        <v>14</v>
      </c>
      <c r="D2066" t="s">
        <v>140</v>
      </c>
      <c r="E2066" t="s">
        <v>79</v>
      </c>
      <c r="F2066" t="s">
        <v>96</v>
      </c>
      <c r="G2066">
        <v>0.36</v>
      </c>
      <c r="H2066" t="s">
        <v>81</v>
      </c>
      <c r="I2066">
        <v>0</v>
      </c>
      <c r="J2066" s="4" t="str">
        <f>HYPERLINK("https://www.eliteprospects.com/player/320304/brendan-mccarthy")</f>
        <v>https://www.eliteprospects.com/player/320304/brendan-mccarthy</v>
      </c>
      <c r="K2066" t="s">
        <v>27</v>
      </c>
      <c r="L2066" t="s">
        <v>918</v>
      </c>
      <c r="M2066" t="s">
        <v>42</v>
      </c>
      <c r="N2066">
        <v>4</v>
      </c>
      <c r="O2066" t="s">
        <v>1006</v>
      </c>
      <c r="P2066">
        <v>0.04</v>
      </c>
      <c r="Q2066" t="s">
        <v>245</v>
      </c>
      <c r="R2066">
        <v>9.1</v>
      </c>
      <c r="S2066">
        <v>18.2</v>
      </c>
      <c r="T2066">
        <v>9.1</v>
      </c>
      <c r="U2066">
        <v>13.6</v>
      </c>
      <c r="V2066">
        <v>50</v>
      </c>
    </row>
    <row r="2067" spans="1:22" x14ac:dyDescent="0.25">
      <c r="A2067" t="s">
        <v>1188</v>
      </c>
      <c r="B2067" t="s">
        <v>1053</v>
      </c>
      <c r="C2067">
        <v>10</v>
      </c>
      <c r="D2067" t="s">
        <v>79</v>
      </c>
      <c r="E2067" t="s">
        <v>140</v>
      </c>
      <c r="F2067" t="s">
        <v>96</v>
      </c>
      <c r="G2067">
        <v>0.5</v>
      </c>
      <c r="H2067" t="s">
        <v>79</v>
      </c>
      <c r="I2067">
        <v>0</v>
      </c>
      <c r="J2067" s="4" t="str">
        <f>HYPERLINK("https://www.eliteprospects.com/player/643363/jagjeevan-phangura")</f>
        <v>https://www.eliteprospects.com/player/643363/jagjeevan-phangura</v>
      </c>
      <c r="K2067" t="s">
        <v>27</v>
      </c>
      <c r="L2067" t="s">
        <v>918</v>
      </c>
      <c r="M2067" t="s">
        <v>35</v>
      </c>
      <c r="N2067">
        <v>1</v>
      </c>
      <c r="O2067" t="s">
        <v>984</v>
      </c>
      <c r="P2067">
        <v>0.06</v>
      </c>
      <c r="Q2067" t="s">
        <v>135</v>
      </c>
      <c r="R2067">
        <v>0</v>
      </c>
      <c r="S2067">
        <v>33.299999999999997</v>
      </c>
      <c r="T2067">
        <v>23.8</v>
      </c>
      <c r="U2067">
        <v>9.5</v>
      </c>
      <c r="V2067">
        <v>33.299999999999997</v>
      </c>
    </row>
    <row r="2068" spans="1:22" x14ac:dyDescent="0.25">
      <c r="A2068" t="s">
        <v>1219</v>
      </c>
      <c r="B2068" t="s">
        <v>1053</v>
      </c>
      <c r="C2068">
        <v>14</v>
      </c>
      <c r="D2068" t="s">
        <v>140</v>
      </c>
      <c r="E2068" t="s">
        <v>132</v>
      </c>
      <c r="F2068" t="s">
        <v>140</v>
      </c>
      <c r="G2068">
        <v>0.21</v>
      </c>
      <c r="H2068" t="s">
        <v>66</v>
      </c>
      <c r="I2068">
        <v>0</v>
      </c>
      <c r="J2068" s="4" t="str">
        <f>HYPERLINK("https://www.eliteprospects.com/player/506831/mason-svarich")</f>
        <v>https://www.eliteprospects.com/player/506831/mason-svarich</v>
      </c>
      <c r="K2068" t="s">
        <v>27</v>
      </c>
      <c r="L2068" t="s">
        <v>918</v>
      </c>
      <c r="M2068" t="s">
        <v>35</v>
      </c>
      <c r="N2068">
        <v>1</v>
      </c>
      <c r="O2068" t="s">
        <v>984</v>
      </c>
      <c r="P2068">
        <v>0.03</v>
      </c>
      <c r="Q2068" t="s">
        <v>245</v>
      </c>
      <c r="R2068">
        <v>9.1</v>
      </c>
      <c r="S2068">
        <v>18.2</v>
      </c>
      <c r="T2068">
        <v>9.1</v>
      </c>
      <c r="U2068">
        <v>13.6</v>
      </c>
      <c r="V2068">
        <v>50</v>
      </c>
    </row>
    <row r="2069" spans="1:22" x14ac:dyDescent="0.25">
      <c r="A2069" t="s">
        <v>1260</v>
      </c>
      <c r="B2069" t="s">
        <v>1053</v>
      </c>
      <c r="C2069">
        <v>13</v>
      </c>
      <c r="D2069" t="s">
        <v>260</v>
      </c>
      <c r="E2069" t="s">
        <v>260</v>
      </c>
      <c r="F2069" t="s">
        <v>79</v>
      </c>
      <c r="G2069">
        <v>0.15</v>
      </c>
      <c r="H2069" t="s">
        <v>24</v>
      </c>
      <c r="I2069">
        <v>0</v>
      </c>
      <c r="J2069" s="4" t="str">
        <f>HYPERLINK("https://www.eliteprospects.com/player/581934/thomas-johnston")</f>
        <v>https://www.eliteprospects.com/player/581934/thomas-johnston</v>
      </c>
      <c r="K2069" t="s">
        <v>27</v>
      </c>
      <c r="L2069" t="s">
        <v>918</v>
      </c>
      <c r="M2069" t="s">
        <v>91</v>
      </c>
      <c r="N2069">
        <v>5</v>
      </c>
      <c r="O2069" t="s">
        <v>1008</v>
      </c>
      <c r="P2069">
        <v>0.02</v>
      </c>
      <c r="Q2069" t="s">
        <v>245</v>
      </c>
      <c r="R2069">
        <v>9.1</v>
      </c>
      <c r="S2069">
        <v>18.2</v>
      </c>
      <c r="T2069">
        <v>9.1</v>
      </c>
      <c r="U2069">
        <v>13.6</v>
      </c>
      <c r="V2069">
        <v>50</v>
      </c>
    </row>
    <row r="2070" spans="1:22" x14ac:dyDescent="0.25">
      <c r="A2070" t="s">
        <v>1261</v>
      </c>
      <c r="B2070" t="s">
        <v>1053</v>
      </c>
      <c r="C2070">
        <v>14</v>
      </c>
      <c r="D2070" t="s">
        <v>260</v>
      </c>
      <c r="E2070" t="s">
        <v>260</v>
      </c>
      <c r="F2070" t="s">
        <v>79</v>
      </c>
      <c r="G2070">
        <v>0.14000000000000001</v>
      </c>
      <c r="H2070" t="s">
        <v>132</v>
      </c>
      <c r="I2070">
        <v>0</v>
      </c>
      <c r="J2070" s="4" t="str">
        <f>HYPERLINK("https://www.eliteprospects.com/player/572095/ryder-ringor")</f>
        <v>https://www.eliteprospects.com/player/572095/ryder-ringor</v>
      </c>
      <c r="K2070" t="s">
        <v>27</v>
      </c>
      <c r="L2070" t="s">
        <v>918</v>
      </c>
      <c r="M2070" t="s">
        <v>42</v>
      </c>
      <c r="N2070">
        <v>1</v>
      </c>
      <c r="O2070" t="s">
        <v>984</v>
      </c>
      <c r="P2070">
        <v>0.02</v>
      </c>
      <c r="Q2070" t="s">
        <v>245</v>
      </c>
      <c r="R2070">
        <v>9.1</v>
      </c>
      <c r="S2070">
        <v>18.2</v>
      </c>
      <c r="T2070">
        <v>9.1</v>
      </c>
      <c r="U2070">
        <v>13.6</v>
      </c>
      <c r="V2070">
        <v>50</v>
      </c>
    </row>
    <row r="2071" spans="1:22" x14ac:dyDescent="0.25">
      <c r="A2071" t="s">
        <v>1264</v>
      </c>
      <c r="B2071" t="s">
        <v>1053</v>
      </c>
      <c r="C2071">
        <v>13</v>
      </c>
      <c r="D2071" t="s">
        <v>132</v>
      </c>
      <c r="E2071" t="s">
        <v>79</v>
      </c>
      <c r="F2071" t="s">
        <v>79</v>
      </c>
      <c r="G2071">
        <v>0.15</v>
      </c>
      <c r="H2071" t="s">
        <v>38</v>
      </c>
      <c r="I2071">
        <v>0</v>
      </c>
      <c r="J2071" s="4" t="str">
        <f>HYPERLINK("https://www.eliteprospects.com/player/551571/chase-sandhu")</f>
        <v>https://www.eliteprospects.com/player/551571/chase-sandhu</v>
      </c>
      <c r="K2071" t="s">
        <v>27</v>
      </c>
      <c r="L2071" t="s">
        <v>918</v>
      </c>
      <c r="M2071" t="s">
        <v>35</v>
      </c>
      <c r="N2071">
        <v>1</v>
      </c>
      <c r="O2071" t="s">
        <v>984</v>
      </c>
      <c r="P2071">
        <v>0.02</v>
      </c>
      <c r="Q2071" t="s">
        <v>245</v>
      </c>
      <c r="R2071">
        <v>9.1</v>
      </c>
      <c r="S2071">
        <v>18.2</v>
      </c>
      <c r="T2071">
        <v>9.1</v>
      </c>
      <c r="U2071">
        <v>13.6</v>
      </c>
      <c r="V2071">
        <v>50</v>
      </c>
    </row>
  </sheetData>
  <pageMargins left="0.75" right="0.75" top="1" bottom="1" header="0.5" footer="0.5"/>
  <headerFooter>
    <oddHeader>&amp;C&amp;G</oddHeader>
  </headerFooter>
  <drawing r:id="rId1"/>
  <legacyDrawingHF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56"/>
  <sheetViews>
    <sheetView workbookViewId="0">
      <pane xSplit="2" ySplit="1" topLeftCell="C2" activePane="bottomRight" state="frozen"/>
      <selection activeCell="B6" sqref="B6"/>
      <selection pane="topRight" activeCell="B6" sqref="B6"/>
      <selection pane="bottomLeft" activeCell="B6" sqref="B6"/>
      <selection pane="bottomRight" activeCell="F15" sqref="F15"/>
    </sheetView>
  </sheetViews>
  <sheetFormatPr defaultRowHeight="15" x14ac:dyDescent="0.25"/>
  <cols>
    <col min="1" max="1" width="33" bestFit="1" customWidth="1"/>
    <col min="2" max="2" width="30.7109375" bestFit="1" customWidth="1"/>
    <col min="3" max="3" width="7.7109375" bestFit="1" customWidth="1"/>
    <col min="4" max="5" width="6.5703125" bestFit="1" customWidth="1"/>
    <col min="6" max="6" width="7.42578125" bestFit="1" customWidth="1"/>
    <col min="7" max="7" width="8.85546875" bestFit="1" customWidth="1"/>
    <col min="8" max="8" width="9" bestFit="1" customWidth="1"/>
    <col min="9" max="9" width="8.140625" bestFit="1" customWidth="1"/>
    <col min="10" max="10" width="71.140625" bestFit="1" customWidth="1"/>
    <col min="11" max="11" width="11.7109375" bestFit="1" customWidth="1"/>
    <col min="12" max="12" width="11.5703125" bestFit="1" customWidth="1"/>
    <col min="13" max="13" width="12.85546875" bestFit="1" customWidth="1"/>
    <col min="14" max="14" width="11.7109375" bestFit="1" customWidth="1"/>
    <col min="15" max="15" width="25.140625" bestFit="1" customWidth="1"/>
    <col min="16" max="16" width="13.85546875" bestFit="1" customWidth="1"/>
    <col min="17" max="17" width="19.5703125" bestFit="1" customWidth="1"/>
    <col min="18" max="18" width="18.5703125" bestFit="1" customWidth="1"/>
    <col min="19" max="19" width="19.28515625" bestFit="1" customWidth="1"/>
    <col min="20" max="20" width="30.28515625" bestFit="1" customWidth="1"/>
    <col min="21" max="21" width="18.5703125" bestFit="1" customWidth="1"/>
    <col min="22" max="22" width="16" bestFit="1"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3" t="s">
        <v>17</v>
      </c>
      <c r="S1" s="3" t="s">
        <v>18</v>
      </c>
      <c r="T1" s="3" t="s">
        <v>19</v>
      </c>
      <c r="U1" s="3" t="s">
        <v>20</v>
      </c>
      <c r="V1" s="3" t="s">
        <v>21</v>
      </c>
    </row>
    <row r="2" spans="1:22" x14ac:dyDescent="0.25">
      <c r="A2" t="s">
        <v>1295</v>
      </c>
      <c r="B2" t="s">
        <v>145</v>
      </c>
      <c r="C2">
        <v>23</v>
      </c>
      <c r="D2" t="s">
        <v>65</v>
      </c>
      <c r="E2" t="s">
        <v>69</v>
      </c>
      <c r="F2" t="s">
        <v>81</v>
      </c>
      <c r="G2">
        <v>1.04</v>
      </c>
      <c r="H2" t="s">
        <v>84</v>
      </c>
      <c r="I2">
        <v>12</v>
      </c>
      <c r="J2" t="str">
        <f>HYPERLINK("https://www.eliteprospects.com/player/656832/eric-pohlkamp")</f>
        <v>https://www.eliteprospects.com/player/656832/eric-pohlkamp</v>
      </c>
      <c r="K2" t="s">
        <v>27</v>
      </c>
      <c r="L2" t="s">
        <v>28</v>
      </c>
      <c r="M2" t="s">
        <v>1296</v>
      </c>
      <c r="N2">
        <v>3</v>
      </c>
      <c r="O2" t="s">
        <v>74</v>
      </c>
      <c r="P2">
        <v>0.2</v>
      </c>
      <c r="Q2" t="s">
        <v>2471</v>
      </c>
      <c r="R2">
        <v>30.8</v>
      </c>
      <c r="S2">
        <v>20.5</v>
      </c>
      <c r="T2">
        <v>10.3</v>
      </c>
      <c r="U2">
        <v>10.3</v>
      </c>
      <c r="V2">
        <v>28.2</v>
      </c>
    </row>
    <row r="3" spans="1:22" x14ac:dyDescent="0.25">
      <c r="A3" t="s">
        <v>1297</v>
      </c>
      <c r="B3" t="s">
        <v>37</v>
      </c>
      <c r="C3">
        <v>22</v>
      </c>
      <c r="D3" t="s">
        <v>57</v>
      </c>
      <c r="E3" t="s">
        <v>55</v>
      </c>
      <c r="F3" t="s">
        <v>81</v>
      </c>
      <c r="G3">
        <v>1.0900000000000001</v>
      </c>
      <c r="H3" t="s">
        <v>26</v>
      </c>
      <c r="I3">
        <v>17</v>
      </c>
      <c r="J3" t="str">
        <f>HYPERLINK("https://www.eliteprospects.com/player/603191/ty-hanson")</f>
        <v>https://www.eliteprospects.com/player/603191/ty-hanson</v>
      </c>
      <c r="K3" t="s">
        <v>27</v>
      </c>
      <c r="L3" t="s">
        <v>28</v>
      </c>
      <c r="M3" t="s">
        <v>1296</v>
      </c>
      <c r="N3">
        <v>2</v>
      </c>
      <c r="O3" t="s">
        <v>43</v>
      </c>
      <c r="P3">
        <v>0.21</v>
      </c>
      <c r="Q3" t="s">
        <v>2471</v>
      </c>
      <c r="R3">
        <v>0</v>
      </c>
      <c r="S3">
        <v>0</v>
      </c>
      <c r="T3">
        <v>0</v>
      </c>
      <c r="U3">
        <v>0</v>
      </c>
      <c r="V3">
        <v>0</v>
      </c>
    </row>
    <row r="4" spans="1:22" x14ac:dyDescent="0.25">
      <c r="A4" t="s">
        <v>1298</v>
      </c>
      <c r="B4" t="s">
        <v>98</v>
      </c>
      <c r="C4">
        <v>21</v>
      </c>
      <c r="D4" t="s">
        <v>45</v>
      </c>
      <c r="E4" t="s">
        <v>39</v>
      </c>
      <c r="F4" t="s">
        <v>84</v>
      </c>
      <c r="G4">
        <v>1.1000000000000001</v>
      </c>
      <c r="H4" t="s">
        <v>75</v>
      </c>
      <c r="I4">
        <v>17</v>
      </c>
      <c r="J4" t="str">
        <f>HYPERLINK("https://www.eliteprospects.com/player/476039/tyler-dunbar")</f>
        <v>https://www.eliteprospects.com/player/476039/tyler-dunbar</v>
      </c>
      <c r="K4" t="s">
        <v>27</v>
      </c>
      <c r="L4" t="s">
        <v>28</v>
      </c>
      <c r="M4" t="s">
        <v>1296</v>
      </c>
      <c r="N4">
        <v>3</v>
      </c>
      <c r="O4" t="s">
        <v>74</v>
      </c>
      <c r="P4">
        <v>0.21</v>
      </c>
      <c r="Q4" t="s">
        <v>2471</v>
      </c>
      <c r="R4">
        <v>0</v>
      </c>
      <c r="S4">
        <v>0</v>
      </c>
      <c r="T4">
        <v>0</v>
      </c>
      <c r="U4">
        <v>0</v>
      </c>
      <c r="V4">
        <v>0</v>
      </c>
    </row>
    <row r="5" spans="1:22" x14ac:dyDescent="0.25">
      <c r="A5" t="s">
        <v>1299</v>
      </c>
      <c r="B5" t="s">
        <v>88</v>
      </c>
      <c r="C5">
        <v>22</v>
      </c>
      <c r="D5" t="s">
        <v>32</v>
      </c>
      <c r="E5" t="s">
        <v>69</v>
      </c>
      <c r="F5" t="s">
        <v>33</v>
      </c>
      <c r="G5">
        <v>0.95</v>
      </c>
      <c r="H5" t="s">
        <v>32</v>
      </c>
      <c r="I5">
        <v>3</v>
      </c>
      <c r="J5" t="str">
        <f>HYPERLINK("https://www.eliteprospects.com/player/417512/chris-hedden")</f>
        <v>https://www.eliteprospects.com/player/417512/chris-hedden</v>
      </c>
      <c r="K5" t="s">
        <v>27</v>
      </c>
      <c r="L5" t="s">
        <v>28</v>
      </c>
      <c r="M5" t="s">
        <v>1296</v>
      </c>
      <c r="N5">
        <v>4</v>
      </c>
      <c r="O5" t="s">
        <v>30</v>
      </c>
      <c r="P5">
        <v>0.18</v>
      </c>
      <c r="Q5" t="s">
        <v>1300</v>
      </c>
      <c r="R5">
        <v>30.8</v>
      </c>
      <c r="S5">
        <v>20.5</v>
      </c>
      <c r="T5">
        <v>10.3</v>
      </c>
      <c r="U5">
        <v>10.3</v>
      </c>
      <c r="V5">
        <v>28.2</v>
      </c>
    </row>
    <row r="6" spans="1:22" x14ac:dyDescent="0.25">
      <c r="A6" t="s">
        <v>1301</v>
      </c>
      <c r="B6" t="s">
        <v>195</v>
      </c>
      <c r="C6">
        <v>19</v>
      </c>
      <c r="D6" t="s">
        <v>78</v>
      </c>
      <c r="E6" t="s">
        <v>65</v>
      </c>
      <c r="F6" t="s">
        <v>24</v>
      </c>
      <c r="G6">
        <v>1.05</v>
      </c>
      <c r="H6" t="s">
        <v>23</v>
      </c>
      <c r="I6">
        <v>8</v>
      </c>
      <c r="J6" t="str">
        <f>HYPERLINK("https://www.eliteprospects.com/player/597819/cole-hutson")</f>
        <v>https://www.eliteprospects.com/player/597819/cole-hutson</v>
      </c>
      <c r="K6" t="s">
        <v>27</v>
      </c>
      <c r="L6" t="s">
        <v>28</v>
      </c>
      <c r="M6" t="s">
        <v>1296</v>
      </c>
      <c r="N6">
        <v>2</v>
      </c>
      <c r="O6" t="s">
        <v>43</v>
      </c>
      <c r="P6">
        <v>0.2</v>
      </c>
      <c r="Q6" t="s">
        <v>2471</v>
      </c>
      <c r="R6">
        <v>30.8</v>
      </c>
      <c r="S6">
        <v>20.5</v>
      </c>
      <c r="T6">
        <v>10.3</v>
      </c>
      <c r="U6">
        <v>10.3</v>
      </c>
      <c r="V6">
        <v>28.2</v>
      </c>
    </row>
    <row r="7" spans="1:22" x14ac:dyDescent="0.25">
      <c r="A7" t="s">
        <v>1302</v>
      </c>
      <c r="B7" t="s">
        <v>145</v>
      </c>
      <c r="C7">
        <v>23</v>
      </c>
      <c r="D7" t="s">
        <v>78</v>
      </c>
      <c r="E7" t="s">
        <v>65</v>
      </c>
      <c r="F7" t="s">
        <v>24</v>
      </c>
      <c r="G7">
        <v>0.87</v>
      </c>
      <c r="H7" t="s">
        <v>23</v>
      </c>
      <c r="I7">
        <v>15</v>
      </c>
      <c r="J7" t="str">
        <f>HYPERLINK("https://www.eliteprospects.com/player/486534/boston-buckberger")</f>
        <v>https://www.eliteprospects.com/player/486534/boston-buckberger</v>
      </c>
      <c r="K7" t="s">
        <v>27</v>
      </c>
      <c r="L7" t="s">
        <v>28</v>
      </c>
      <c r="M7" t="s">
        <v>1296</v>
      </c>
      <c r="N7">
        <v>3</v>
      </c>
      <c r="O7" t="s">
        <v>74</v>
      </c>
      <c r="P7">
        <v>0.17</v>
      </c>
      <c r="Q7" t="s">
        <v>1300</v>
      </c>
      <c r="R7">
        <v>30.8</v>
      </c>
      <c r="S7">
        <v>20.5</v>
      </c>
      <c r="T7">
        <v>10.3</v>
      </c>
      <c r="U7">
        <v>10.3</v>
      </c>
      <c r="V7">
        <v>28.2</v>
      </c>
    </row>
    <row r="8" spans="1:22" x14ac:dyDescent="0.25">
      <c r="A8" t="s">
        <v>1303</v>
      </c>
      <c r="B8" t="s">
        <v>113</v>
      </c>
      <c r="C8">
        <v>23</v>
      </c>
      <c r="D8" t="s">
        <v>57</v>
      </c>
      <c r="E8" t="s">
        <v>39</v>
      </c>
      <c r="F8" t="s">
        <v>24</v>
      </c>
      <c r="G8">
        <v>0.87</v>
      </c>
      <c r="H8" t="s">
        <v>132</v>
      </c>
      <c r="I8">
        <v>12</v>
      </c>
      <c r="J8" t="str">
        <f>HYPERLINK("https://www.eliteprospects.com/player/658220/evan-murr")</f>
        <v>https://www.eliteprospects.com/player/658220/evan-murr</v>
      </c>
      <c r="K8" t="s">
        <v>27</v>
      </c>
      <c r="L8" t="s">
        <v>28</v>
      </c>
      <c r="M8" t="s">
        <v>1296</v>
      </c>
      <c r="N8">
        <v>3</v>
      </c>
      <c r="O8" t="s">
        <v>74</v>
      </c>
      <c r="P8">
        <v>0.17</v>
      </c>
      <c r="Q8" t="s">
        <v>1300</v>
      </c>
      <c r="R8">
        <v>30.8</v>
      </c>
      <c r="S8">
        <v>20.5</v>
      </c>
      <c r="T8">
        <v>10.3</v>
      </c>
      <c r="U8">
        <v>10.3</v>
      </c>
      <c r="V8">
        <v>28.2</v>
      </c>
    </row>
    <row r="9" spans="1:22" x14ac:dyDescent="0.25">
      <c r="A9" t="s">
        <v>1304</v>
      </c>
      <c r="B9" t="s">
        <v>59</v>
      </c>
      <c r="C9">
        <v>23</v>
      </c>
      <c r="D9" t="s">
        <v>96</v>
      </c>
      <c r="E9" t="s">
        <v>41</v>
      </c>
      <c r="F9" t="s">
        <v>24</v>
      </c>
      <c r="G9">
        <v>0.87</v>
      </c>
      <c r="H9" t="s">
        <v>66</v>
      </c>
      <c r="I9">
        <v>14</v>
      </c>
      <c r="J9" t="str">
        <f>HYPERLINK("https://www.eliteprospects.com/player/508078/brandon-holt")</f>
        <v>https://www.eliteprospects.com/player/508078/brandon-holt</v>
      </c>
      <c r="K9" t="s">
        <v>27</v>
      </c>
      <c r="L9" t="s">
        <v>28</v>
      </c>
      <c r="M9" t="s">
        <v>1296</v>
      </c>
      <c r="N9">
        <v>4</v>
      </c>
      <c r="O9" t="s">
        <v>30</v>
      </c>
      <c r="P9">
        <v>0.17</v>
      </c>
      <c r="Q9" t="s">
        <v>1300</v>
      </c>
      <c r="R9">
        <v>30.8</v>
      </c>
      <c r="S9">
        <v>20.5</v>
      </c>
      <c r="T9">
        <v>10.3</v>
      </c>
      <c r="U9">
        <v>10.3</v>
      </c>
      <c r="V9">
        <v>28.2</v>
      </c>
    </row>
    <row r="10" spans="1:22" x14ac:dyDescent="0.25">
      <c r="A10" t="s">
        <v>1305</v>
      </c>
      <c r="B10" t="s">
        <v>109</v>
      </c>
      <c r="C10">
        <v>22</v>
      </c>
      <c r="D10" t="s">
        <v>140</v>
      </c>
      <c r="E10" t="s">
        <v>60</v>
      </c>
      <c r="F10" t="s">
        <v>24</v>
      </c>
      <c r="G10">
        <v>0.91</v>
      </c>
      <c r="H10" t="s">
        <v>26</v>
      </c>
      <c r="I10">
        <v>11</v>
      </c>
      <c r="J10" t="str">
        <f>HYPERLINK("https://www.eliteprospects.com/player/571946/jake-livanavage")</f>
        <v>https://www.eliteprospects.com/player/571946/jake-livanavage</v>
      </c>
      <c r="K10" t="s">
        <v>27</v>
      </c>
      <c r="L10" t="s">
        <v>28</v>
      </c>
      <c r="M10" t="s">
        <v>1296</v>
      </c>
      <c r="N10">
        <v>3</v>
      </c>
      <c r="O10" t="s">
        <v>74</v>
      </c>
      <c r="P10">
        <v>0.18</v>
      </c>
      <c r="Q10" t="s">
        <v>1300</v>
      </c>
      <c r="R10">
        <v>30.8</v>
      </c>
      <c r="S10">
        <v>20.5</v>
      </c>
      <c r="T10">
        <v>10.3</v>
      </c>
      <c r="U10">
        <v>10.3</v>
      </c>
      <c r="V10">
        <v>28.2</v>
      </c>
    </row>
    <row r="11" spans="1:22" x14ac:dyDescent="0.25">
      <c r="A11" t="s">
        <v>1306</v>
      </c>
      <c r="B11" t="s">
        <v>139</v>
      </c>
      <c r="C11">
        <v>20</v>
      </c>
      <c r="D11" t="s">
        <v>96</v>
      </c>
      <c r="E11" t="s">
        <v>65</v>
      </c>
      <c r="F11" t="s">
        <v>55</v>
      </c>
      <c r="G11">
        <v>0.9</v>
      </c>
      <c r="H11" t="s">
        <v>66</v>
      </c>
      <c r="I11">
        <v>1</v>
      </c>
      <c r="J11" t="str">
        <f>HYPERLINK("https://www.eliteprospects.com/player/201850/ben-dexheimer")</f>
        <v>https://www.eliteprospects.com/player/201850/ben-dexheimer</v>
      </c>
      <c r="K11" t="s">
        <v>27</v>
      </c>
      <c r="L11" t="s">
        <v>28</v>
      </c>
      <c r="M11" t="s">
        <v>1296</v>
      </c>
      <c r="N11">
        <v>4</v>
      </c>
      <c r="O11" t="s">
        <v>30</v>
      </c>
      <c r="P11">
        <v>0.17</v>
      </c>
      <c r="Q11" t="s">
        <v>1300</v>
      </c>
      <c r="R11">
        <v>30.8</v>
      </c>
      <c r="S11">
        <v>20.5</v>
      </c>
      <c r="T11">
        <v>10.3</v>
      </c>
      <c r="U11">
        <v>10.3</v>
      </c>
      <c r="V11">
        <v>28.2</v>
      </c>
    </row>
    <row r="12" spans="1:22" x14ac:dyDescent="0.25">
      <c r="A12" t="s">
        <v>1307</v>
      </c>
      <c r="B12" t="s">
        <v>128</v>
      </c>
      <c r="C12">
        <v>20</v>
      </c>
      <c r="D12" t="s">
        <v>79</v>
      </c>
      <c r="E12" t="s">
        <v>38</v>
      </c>
      <c r="F12" t="s">
        <v>55</v>
      </c>
      <c r="G12">
        <v>0.9</v>
      </c>
      <c r="H12" t="s">
        <v>23</v>
      </c>
      <c r="I12">
        <v>11</v>
      </c>
      <c r="J12" t="str">
        <f>HYPERLINK("https://www.eliteprospects.com/player/507286/breck-mckinley")</f>
        <v>https://www.eliteprospects.com/player/507286/breck-mckinley</v>
      </c>
      <c r="K12" t="s">
        <v>27</v>
      </c>
      <c r="L12" t="s">
        <v>28</v>
      </c>
      <c r="M12" t="s">
        <v>1296</v>
      </c>
      <c r="N12">
        <v>3</v>
      </c>
      <c r="O12" t="s">
        <v>74</v>
      </c>
      <c r="P12">
        <v>0.17</v>
      </c>
      <c r="Q12" t="s">
        <v>1300</v>
      </c>
      <c r="R12">
        <v>30.8</v>
      </c>
      <c r="S12">
        <v>20.5</v>
      </c>
      <c r="T12">
        <v>10.3</v>
      </c>
      <c r="U12">
        <v>10.3</v>
      </c>
      <c r="V12">
        <v>28.2</v>
      </c>
    </row>
    <row r="13" spans="1:22" x14ac:dyDescent="0.25">
      <c r="A13" t="s">
        <v>1308</v>
      </c>
      <c r="B13" t="s">
        <v>124</v>
      </c>
      <c r="C13">
        <v>22</v>
      </c>
      <c r="D13" t="s">
        <v>79</v>
      </c>
      <c r="E13" t="s">
        <v>41</v>
      </c>
      <c r="F13" t="s">
        <v>60</v>
      </c>
      <c r="G13">
        <v>0.77</v>
      </c>
      <c r="H13" t="s">
        <v>38</v>
      </c>
      <c r="I13">
        <v>8</v>
      </c>
      <c r="J13" t="str">
        <f>HYPERLINK("https://www.eliteprospects.com/player/697964/vladislav-lukashevich")</f>
        <v>https://www.eliteprospects.com/player/697964/vladislav-lukashevich</v>
      </c>
      <c r="K13" t="s">
        <v>27</v>
      </c>
      <c r="L13" t="s">
        <v>28</v>
      </c>
      <c r="M13" t="s">
        <v>1296</v>
      </c>
      <c r="N13">
        <v>2</v>
      </c>
      <c r="O13" t="s">
        <v>43</v>
      </c>
      <c r="P13">
        <v>0.15</v>
      </c>
      <c r="Q13" t="s">
        <v>1300</v>
      </c>
      <c r="R13">
        <v>30.8</v>
      </c>
      <c r="S13">
        <v>20.5</v>
      </c>
      <c r="T13">
        <v>10.3</v>
      </c>
      <c r="U13">
        <v>10.3</v>
      </c>
      <c r="V13">
        <v>28.2</v>
      </c>
    </row>
    <row r="14" spans="1:22" x14ac:dyDescent="0.25">
      <c r="A14" t="s">
        <v>1310</v>
      </c>
      <c r="B14" t="s">
        <v>64</v>
      </c>
      <c r="C14">
        <v>22</v>
      </c>
      <c r="D14" t="s">
        <v>132</v>
      </c>
      <c r="E14" t="s">
        <v>60</v>
      </c>
      <c r="F14" t="s">
        <v>60</v>
      </c>
      <c r="G14">
        <v>0.77</v>
      </c>
      <c r="H14" t="s">
        <v>57</v>
      </c>
      <c r="I14">
        <v>6</v>
      </c>
      <c r="J14" t="str">
        <f>HYPERLINK("https://www.eliteprospects.com/player/689570/chase-cheslock")</f>
        <v>https://www.eliteprospects.com/player/689570/chase-cheslock</v>
      </c>
      <c r="K14" t="s">
        <v>27</v>
      </c>
      <c r="L14" t="s">
        <v>28</v>
      </c>
      <c r="M14" t="s">
        <v>1296</v>
      </c>
      <c r="N14">
        <v>3</v>
      </c>
      <c r="O14" t="s">
        <v>74</v>
      </c>
      <c r="P14">
        <v>0.15</v>
      </c>
      <c r="Q14" t="s">
        <v>1300</v>
      </c>
      <c r="R14">
        <v>30.8</v>
      </c>
      <c r="S14">
        <v>20.5</v>
      </c>
      <c r="T14">
        <v>10.3</v>
      </c>
      <c r="U14">
        <v>10.3</v>
      </c>
      <c r="V14">
        <v>28.2</v>
      </c>
    </row>
    <row r="15" spans="1:22" x14ac:dyDescent="0.25">
      <c r="A15" t="s">
        <v>1311</v>
      </c>
      <c r="B15" t="s">
        <v>180</v>
      </c>
      <c r="C15">
        <v>20</v>
      </c>
      <c r="D15" t="s">
        <v>96</v>
      </c>
      <c r="E15" t="s">
        <v>69</v>
      </c>
      <c r="F15" t="s">
        <v>38</v>
      </c>
      <c r="G15">
        <v>0.8</v>
      </c>
      <c r="H15" t="s">
        <v>265</v>
      </c>
      <c r="I15">
        <v>-12</v>
      </c>
      <c r="J15" t="str">
        <f>HYPERLINK("https://www.eliteprospects.com/player/637620/paul-fischer")</f>
        <v>https://www.eliteprospects.com/player/637620/paul-fischer</v>
      </c>
      <c r="K15" t="s">
        <v>27</v>
      </c>
      <c r="L15" t="s">
        <v>28</v>
      </c>
      <c r="M15" t="s">
        <v>1296</v>
      </c>
      <c r="N15">
        <v>3</v>
      </c>
      <c r="O15" t="s">
        <v>74</v>
      </c>
      <c r="P15">
        <v>0.16</v>
      </c>
      <c r="Q15" t="s">
        <v>1300</v>
      </c>
      <c r="R15">
        <v>30.8</v>
      </c>
      <c r="S15">
        <v>20.5</v>
      </c>
      <c r="T15">
        <v>10.3</v>
      </c>
      <c r="U15">
        <v>10.3</v>
      </c>
      <c r="V15">
        <v>28.2</v>
      </c>
    </row>
    <row r="16" spans="1:22" x14ac:dyDescent="0.25">
      <c r="A16" t="s">
        <v>1312</v>
      </c>
      <c r="B16" t="s">
        <v>165</v>
      </c>
      <c r="C16">
        <v>20</v>
      </c>
      <c r="D16" t="s">
        <v>66</v>
      </c>
      <c r="E16" t="s">
        <v>23</v>
      </c>
      <c r="F16" t="s">
        <v>38</v>
      </c>
      <c r="G16">
        <v>0.8</v>
      </c>
      <c r="H16" t="s">
        <v>32</v>
      </c>
      <c r="I16">
        <v>-3</v>
      </c>
      <c r="J16" t="str">
        <f>HYPERLINK("https://www.eliteprospects.com/player/655508/isaiah-norlin")</f>
        <v>https://www.eliteprospects.com/player/655508/isaiah-norlin</v>
      </c>
      <c r="K16" t="s">
        <v>27</v>
      </c>
      <c r="L16" t="s">
        <v>28</v>
      </c>
      <c r="M16" t="s">
        <v>1296</v>
      </c>
      <c r="N16">
        <v>2</v>
      </c>
      <c r="O16" t="s">
        <v>43</v>
      </c>
      <c r="P16">
        <v>0.16</v>
      </c>
      <c r="Q16" t="s">
        <v>1300</v>
      </c>
      <c r="R16">
        <v>30.8</v>
      </c>
      <c r="S16">
        <v>20.5</v>
      </c>
      <c r="T16">
        <v>10.3</v>
      </c>
      <c r="U16">
        <v>10.3</v>
      </c>
      <c r="V16">
        <v>28.2</v>
      </c>
    </row>
    <row r="17" spans="1:22" x14ac:dyDescent="0.25">
      <c r="A17" t="s">
        <v>1313</v>
      </c>
      <c r="B17" t="s">
        <v>88</v>
      </c>
      <c r="C17">
        <v>22</v>
      </c>
      <c r="D17" t="s">
        <v>96</v>
      </c>
      <c r="E17" t="s">
        <v>32</v>
      </c>
      <c r="F17" t="s">
        <v>41</v>
      </c>
      <c r="G17">
        <v>0.68</v>
      </c>
      <c r="H17" t="s">
        <v>75</v>
      </c>
      <c r="I17">
        <v>-2</v>
      </c>
      <c r="J17" t="str">
        <f>HYPERLINK("https://www.eliteprospects.com/player/478395/will-staring")</f>
        <v>https://www.eliteprospects.com/player/478395/will-staring</v>
      </c>
      <c r="K17" t="s">
        <v>27</v>
      </c>
      <c r="L17" t="s">
        <v>28</v>
      </c>
      <c r="M17" t="s">
        <v>1296</v>
      </c>
      <c r="N17">
        <v>3</v>
      </c>
      <c r="O17" t="s">
        <v>74</v>
      </c>
      <c r="P17">
        <v>0.13</v>
      </c>
      <c r="Q17" t="s">
        <v>1300</v>
      </c>
      <c r="R17">
        <v>30.8</v>
      </c>
      <c r="S17">
        <v>20.5</v>
      </c>
      <c r="T17">
        <v>10.3</v>
      </c>
      <c r="U17">
        <v>10.3</v>
      </c>
      <c r="V17">
        <v>28.2</v>
      </c>
    </row>
    <row r="18" spans="1:22" x14ac:dyDescent="0.25">
      <c r="A18" t="s">
        <v>1314</v>
      </c>
      <c r="B18" t="s">
        <v>101</v>
      </c>
      <c r="C18">
        <v>19</v>
      </c>
      <c r="D18" t="s">
        <v>66</v>
      </c>
      <c r="E18" t="s">
        <v>69</v>
      </c>
      <c r="F18" t="s">
        <v>41</v>
      </c>
      <c r="G18">
        <v>0.79</v>
      </c>
      <c r="H18" t="s">
        <v>26</v>
      </c>
      <c r="I18">
        <v>-3</v>
      </c>
      <c r="J18" t="str">
        <f>HYPERLINK("https://www.eliteprospects.com/player/478377/vincent-borgesi")</f>
        <v>https://www.eliteprospects.com/player/478377/vincent-borgesi</v>
      </c>
      <c r="K18" t="s">
        <v>27</v>
      </c>
      <c r="L18" t="s">
        <v>28</v>
      </c>
      <c r="M18" t="s">
        <v>1296</v>
      </c>
      <c r="N18">
        <v>4</v>
      </c>
      <c r="O18" t="s">
        <v>30</v>
      </c>
      <c r="P18">
        <v>0.15</v>
      </c>
      <c r="Q18" t="s">
        <v>1300</v>
      </c>
      <c r="R18">
        <v>30.8</v>
      </c>
      <c r="S18">
        <v>20.5</v>
      </c>
      <c r="T18">
        <v>10.3</v>
      </c>
      <c r="U18">
        <v>10.3</v>
      </c>
      <c r="V18">
        <v>28.2</v>
      </c>
    </row>
    <row r="19" spans="1:22" x14ac:dyDescent="0.25">
      <c r="A19" t="s">
        <v>1315</v>
      </c>
      <c r="B19" t="s">
        <v>90</v>
      </c>
      <c r="C19">
        <v>20</v>
      </c>
      <c r="D19" t="s">
        <v>140</v>
      </c>
      <c r="E19" t="s">
        <v>23</v>
      </c>
      <c r="F19" t="s">
        <v>41</v>
      </c>
      <c r="G19">
        <v>0.75</v>
      </c>
      <c r="H19" t="s">
        <v>23</v>
      </c>
      <c r="I19">
        <v>-6</v>
      </c>
      <c r="J19" t="str">
        <f>HYPERLINK("https://www.eliteprospects.com/player/540571/mikey-adamson")</f>
        <v>https://www.eliteprospects.com/player/540571/mikey-adamson</v>
      </c>
      <c r="K19" t="s">
        <v>27</v>
      </c>
      <c r="L19" t="s">
        <v>28</v>
      </c>
      <c r="M19" t="s">
        <v>1296</v>
      </c>
      <c r="N19">
        <v>4</v>
      </c>
      <c r="O19" t="s">
        <v>30</v>
      </c>
      <c r="P19">
        <v>0.15</v>
      </c>
      <c r="Q19" t="s">
        <v>1300</v>
      </c>
      <c r="R19">
        <v>30.8</v>
      </c>
      <c r="S19">
        <v>20.5</v>
      </c>
      <c r="T19">
        <v>10.3</v>
      </c>
      <c r="U19">
        <v>10.3</v>
      </c>
      <c r="V19">
        <v>28.2</v>
      </c>
    </row>
    <row r="20" spans="1:22" x14ac:dyDescent="0.25">
      <c r="A20" t="s">
        <v>1316</v>
      </c>
      <c r="B20" t="s">
        <v>50</v>
      </c>
      <c r="C20">
        <v>22</v>
      </c>
      <c r="D20" t="s">
        <v>132</v>
      </c>
      <c r="E20" t="s">
        <v>41</v>
      </c>
      <c r="F20" t="s">
        <v>41</v>
      </c>
      <c r="G20">
        <v>0.68</v>
      </c>
      <c r="H20" t="s">
        <v>39</v>
      </c>
      <c r="I20">
        <v>15</v>
      </c>
      <c r="J20" t="str">
        <f>HYPERLINK("https://www.eliteprospects.com/player/609495/ben-robertson")</f>
        <v>https://www.eliteprospects.com/player/609495/ben-robertson</v>
      </c>
      <c r="K20" t="s">
        <v>27</v>
      </c>
      <c r="L20" t="s">
        <v>28</v>
      </c>
      <c r="M20" t="s">
        <v>1296</v>
      </c>
      <c r="N20">
        <v>3</v>
      </c>
      <c r="O20" t="s">
        <v>74</v>
      </c>
      <c r="P20">
        <v>0.13</v>
      </c>
      <c r="Q20" t="s">
        <v>1300</v>
      </c>
      <c r="R20">
        <v>30.8</v>
      </c>
      <c r="S20">
        <v>20.5</v>
      </c>
      <c r="T20">
        <v>10.3</v>
      </c>
      <c r="U20">
        <v>10.3</v>
      </c>
      <c r="V20">
        <v>28.2</v>
      </c>
    </row>
    <row r="21" spans="1:22" x14ac:dyDescent="0.25">
      <c r="A21" t="s">
        <v>1317</v>
      </c>
      <c r="B21" t="s">
        <v>124</v>
      </c>
      <c r="C21">
        <v>22</v>
      </c>
      <c r="D21" t="s">
        <v>66</v>
      </c>
      <c r="E21" t="s">
        <v>32</v>
      </c>
      <c r="F21" t="s">
        <v>39</v>
      </c>
      <c r="G21">
        <v>0.64</v>
      </c>
      <c r="H21" t="s">
        <v>26</v>
      </c>
      <c r="I21">
        <v>10</v>
      </c>
      <c r="J21" t="str">
        <f>HYPERLINK("https://www.eliteprospects.com/player/511976/michael-quinn")</f>
        <v>https://www.eliteprospects.com/player/511976/michael-quinn</v>
      </c>
      <c r="K21" t="s">
        <v>27</v>
      </c>
      <c r="L21" t="s">
        <v>28</v>
      </c>
      <c r="M21" t="s">
        <v>1296</v>
      </c>
      <c r="N21">
        <v>2</v>
      </c>
      <c r="O21" t="s">
        <v>43</v>
      </c>
      <c r="P21">
        <v>0.12</v>
      </c>
      <c r="Q21" t="s">
        <v>1300</v>
      </c>
      <c r="R21">
        <v>30.8</v>
      </c>
      <c r="S21">
        <v>20.5</v>
      </c>
      <c r="T21">
        <v>10.3</v>
      </c>
      <c r="U21">
        <v>10.3</v>
      </c>
      <c r="V21">
        <v>28.2</v>
      </c>
    </row>
    <row r="22" spans="1:22" x14ac:dyDescent="0.25">
      <c r="A22" t="s">
        <v>1318</v>
      </c>
      <c r="B22" t="s">
        <v>95</v>
      </c>
      <c r="C22">
        <v>22</v>
      </c>
      <c r="D22" t="s">
        <v>66</v>
      </c>
      <c r="E22" t="s">
        <v>32</v>
      </c>
      <c r="F22" t="s">
        <v>39</v>
      </c>
      <c r="G22">
        <v>0.64</v>
      </c>
      <c r="H22" t="s">
        <v>32</v>
      </c>
      <c r="I22">
        <v>8</v>
      </c>
      <c r="J22" t="str">
        <f>HYPERLINK("https://www.eliteprospects.com/player/381262/samuel-sjolund")</f>
        <v>https://www.eliteprospects.com/player/381262/samuel-sjolund</v>
      </c>
      <c r="K22" t="s">
        <v>27</v>
      </c>
      <c r="L22" t="s">
        <v>28</v>
      </c>
      <c r="M22" t="s">
        <v>1296</v>
      </c>
      <c r="N22">
        <v>4</v>
      </c>
      <c r="O22" t="s">
        <v>30</v>
      </c>
      <c r="P22">
        <v>0.12</v>
      </c>
      <c r="Q22" t="s">
        <v>1300</v>
      </c>
      <c r="R22">
        <v>30.8</v>
      </c>
      <c r="S22">
        <v>20.5</v>
      </c>
      <c r="T22">
        <v>10.3</v>
      </c>
      <c r="U22">
        <v>10.3</v>
      </c>
      <c r="V22">
        <v>28.2</v>
      </c>
    </row>
    <row r="23" spans="1:22" x14ac:dyDescent="0.25">
      <c r="A23" t="s">
        <v>1319</v>
      </c>
      <c r="B23" t="s">
        <v>68</v>
      </c>
      <c r="C23">
        <v>19</v>
      </c>
      <c r="D23" t="s">
        <v>140</v>
      </c>
      <c r="E23" t="s">
        <v>69</v>
      </c>
      <c r="F23" t="s">
        <v>39</v>
      </c>
      <c r="G23">
        <v>0.74</v>
      </c>
      <c r="H23" t="s">
        <v>26</v>
      </c>
      <c r="I23">
        <v>4</v>
      </c>
      <c r="J23" t="str">
        <f>HYPERLINK("https://www.eliteprospects.com/player/424457/will-gilson")</f>
        <v>https://www.eliteprospects.com/player/424457/will-gilson</v>
      </c>
      <c r="K23" t="s">
        <v>27</v>
      </c>
      <c r="L23" t="s">
        <v>28</v>
      </c>
      <c r="M23" t="s">
        <v>1296</v>
      </c>
      <c r="N23">
        <v>4</v>
      </c>
      <c r="O23" t="s">
        <v>30</v>
      </c>
      <c r="P23">
        <v>0.14000000000000001</v>
      </c>
      <c r="Q23" t="s">
        <v>1300</v>
      </c>
      <c r="R23">
        <v>30.8</v>
      </c>
      <c r="S23">
        <v>20.5</v>
      </c>
      <c r="T23">
        <v>10.3</v>
      </c>
      <c r="U23">
        <v>10.3</v>
      </c>
      <c r="V23">
        <v>28.2</v>
      </c>
    </row>
    <row r="24" spans="1:22" x14ac:dyDescent="0.25">
      <c r="A24" t="s">
        <v>1320</v>
      </c>
      <c r="B24" t="s">
        <v>130</v>
      </c>
      <c r="C24">
        <v>20</v>
      </c>
      <c r="D24" t="s">
        <v>140</v>
      </c>
      <c r="E24" t="s">
        <v>69</v>
      </c>
      <c r="F24" t="s">
        <v>39</v>
      </c>
      <c r="G24">
        <v>0.7</v>
      </c>
      <c r="H24" t="s">
        <v>79</v>
      </c>
      <c r="I24">
        <v>-6</v>
      </c>
      <c r="J24" t="str">
        <f>HYPERLINK("https://www.eliteprospects.com/player/626521/seamus-powell")</f>
        <v>https://www.eliteprospects.com/player/626521/seamus-powell</v>
      </c>
      <c r="K24" t="s">
        <v>27</v>
      </c>
      <c r="L24" t="s">
        <v>28</v>
      </c>
      <c r="M24" t="s">
        <v>1296</v>
      </c>
      <c r="N24">
        <v>3</v>
      </c>
      <c r="O24" t="s">
        <v>74</v>
      </c>
      <c r="P24">
        <v>0.14000000000000001</v>
      </c>
      <c r="Q24" t="s">
        <v>1300</v>
      </c>
      <c r="R24">
        <v>30.8</v>
      </c>
      <c r="S24">
        <v>20.5</v>
      </c>
      <c r="T24">
        <v>10.3</v>
      </c>
      <c r="U24">
        <v>10.3</v>
      </c>
      <c r="V24">
        <v>28.2</v>
      </c>
    </row>
    <row r="25" spans="1:22" x14ac:dyDescent="0.25">
      <c r="A25" t="s">
        <v>1321</v>
      </c>
      <c r="B25" t="s">
        <v>109</v>
      </c>
      <c r="C25">
        <v>22</v>
      </c>
      <c r="D25" t="s">
        <v>140</v>
      </c>
      <c r="E25" t="s">
        <v>69</v>
      </c>
      <c r="F25" t="s">
        <v>39</v>
      </c>
      <c r="G25">
        <v>0.64</v>
      </c>
      <c r="H25" t="s">
        <v>66</v>
      </c>
      <c r="I25">
        <v>1</v>
      </c>
      <c r="J25" t="str">
        <f>HYPERLINK("https://www.eliteprospects.com/player/579149/abram-wiebe")</f>
        <v>https://www.eliteprospects.com/player/579149/abram-wiebe</v>
      </c>
      <c r="K25" t="s">
        <v>27</v>
      </c>
      <c r="L25" t="s">
        <v>28</v>
      </c>
      <c r="M25" t="s">
        <v>1296</v>
      </c>
      <c r="N25">
        <v>3</v>
      </c>
      <c r="O25" t="s">
        <v>74</v>
      </c>
      <c r="P25">
        <v>0.12</v>
      </c>
      <c r="Q25" t="s">
        <v>1300</v>
      </c>
      <c r="R25">
        <v>30.8</v>
      </c>
      <c r="S25">
        <v>20.5</v>
      </c>
      <c r="T25">
        <v>10.3</v>
      </c>
      <c r="U25">
        <v>10.3</v>
      </c>
      <c r="V25">
        <v>28.2</v>
      </c>
    </row>
    <row r="26" spans="1:22" x14ac:dyDescent="0.25">
      <c r="A26" t="s">
        <v>1322</v>
      </c>
      <c r="B26" t="s">
        <v>146</v>
      </c>
      <c r="C26">
        <v>22</v>
      </c>
      <c r="D26" t="s">
        <v>79</v>
      </c>
      <c r="E26" t="s">
        <v>23</v>
      </c>
      <c r="F26" t="s">
        <v>39</v>
      </c>
      <c r="G26">
        <v>0.64</v>
      </c>
      <c r="H26" t="s">
        <v>55</v>
      </c>
      <c r="I26">
        <v>0</v>
      </c>
      <c r="J26" t="str">
        <f>HYPERLINK("https://www.eliteprospects.com/player/645227/adam-barone")</f>
        <v>https://www.eliteprospects.com/player/645227/adam-barone</v>
      </c>
      <c r="K26" t="s">
        <v>27</v>
      </c>
      <c r="L26" t="s">
        <v>28</v>
      </c>
      <c r="M26" t="s">
        <v>1296</v>
      </c>
      <c r="N26">
        <v>2</v>
      </c>
      <c r="O26" t="s">
        <v>43</v>
      </c>
      <c r="P26">
        <v>0.12</v>
      </c>
      <c r="Q26" t="s">
        <v>1300</v>
      </c>
      <c r="R26">
        <v>30.8</v>
      </c>
      <c r="S26">
        <v>20.5</v>
      </c>
      <c r="T26">
        <v>10.3</v>
      </c>
      <c r="U26">
        <v>10.3</v>
      </c>
      <c r="V26">
        <v>28.2</v>
      </c>
    </row>
    <row r="27" spans="1:22" x14ac:dyDescent="0.25">
      <c r="A27" t="s">
        <v>1323</v>
      </c>
      <c r="B27" t="s">
        <v>145</v>
      </c>
      <c r="C27">
        <v>23</v>
      </c>
      <c r="D27" t="s">
        <v>57</v>
      </c>
      <c r="E27" t="s">
        <v>78</v>
      </c>
      <c r="F27" t="s">
        <v>65</v>
      </c>
      <c r="G27">
        <v>0.56999999999999995</v>
      </c>
      <c r="H27" t="s">
        <v>518</v>
      </c>
      <c r="I27">
        <v>5</v>
      </c>
      <c r="J27" t="str">
        <f>HYPERLINK("https://www.eliteprospects.com/player/670790/eric-jamieson")</f>
        <v>https://www.eliteprospects.com/player/670790/eric-jamieson</v>
      </c>
      <c r="K27" t="s">
        <v>27</v>
      </c>
      <c r="L27" t="s">
        <v>28</v>
      </c>
      <c r="M27" t="s">
        <v>1296</v>
      </c>
      <c r="N27">
        <v>5</v>
      </c>
      <c r="O27" t="s">
        <v>152</v>
      </c>
      <c r="P27">
        <v>0.11</v>
      </c>
      <c r="Q27" t="s">
        <v>1325</v>
      </c>
      <c r="R27">
        <v>27.3</v>
      </c>
      <c r="S27">
        <v>22.7</v>
      </c>
      <c r="T27">
        <v>27.3</v>
      </c>
      <c r="U27">
        <v>4.5</v>
      </c>
      <c r="V27">
        <v>18.2</v>
      </c>
    </row>
    <row r="28" spans="1:22" x14ac:dyDescent="0.25">
      <c r="A28" t="s">
        <v>1324</v>
      </c>
      <c r="B28" t="s">
        <v>64</v>
      </c>
      <c r="C28">
        <v>22</v>
      </c>
      <c r="D28" t="s">
        <v>96</v>
      </c>
      <c r="E28" t="s">
        <v>26</v>
      </c>
      <c r="F28" t="s">
        <v>65</v>
      </c>
      <c r="G28">
        <v>0.59</v>
      </c>
      <c r="H28" t="s">
        <v>57</v>
      </c>
      <c r="I28">
        <v>3</v>
      </c>
      <c r="J28" t="str">
        <f>HYPERLINK("https://www.eliteprospects.com/player/574929/nick-williams")</f>
        <v>https://www.eliteprospects.com/player/574929/nick-williams</v>
      </c>
      <c r="K28" t="s">
        <v>27</v>
      </c>
      <c r="L28" t="s">
        <v>28</v>
      </c>
      <c r="M28" t="s">
        <v>1296</v>
      </c>
      <c r="N28">
        <v>3</v>
      </c>
      <c r="O28" t="s">
        <v>74</v>
      </c>
      <c r="P28">
        <v>0.11</v>
      </c>
      <c r="Q28" t="s">
        <v>1325</v>
      </c>
      <c r="R28">
        <v>27.3</v>
      </c>
      <c r="S28">
        <v>22.7</v>
      </c>
      <c r="T28">
        <v>27.3</v>
      </c>
      <c r="U28">
        <v>4.5</v>
      </c>
      <c r="V28">
        <v>18.2</v>
      </c>
    </row>
    <row r="29" spans="1:22" x14ac:dyDescent="0.25">
      <c r="A29" t="s">
        <v>1326</v>
      </c>
      <c r="B29" t="s">
        <v>88</v>
      </c>
      <c r="C29">
        <v>22</v>
      </c>
      <c r="D29" t="s">
        <v>96</v>
      </c>
      <c r="E29" t="s">
        <v>26</v>
      </c>
      <c r="F29" t="s">
        <v>65</v>
      </c>
      <c r="G29">
        <v>0.59</v>
      </c>
      <c r="H29" t="s">
        <v>23</v>
      </c>
      <c r="I29">
        <v>-3</v>
      </c>
      <c r="J29" t="str">
        <f>HYPERLINK("https://www.eliteprospects.com/player/351311/nolan-cunningham")</f>
        <v>https://www.eliteprospects.com/player/351311/nolan-cunningham</v>
      </c>
      <c r="K29" t="s">
        <v>27</v>
      </c>
      <c r="L29" t="s">
        <v>28</v>
      </c>
      <c r="M29" t="s">
        <v>1296</v>
      </c>
      <c r="N29">
        <v>4</v>
      </c>
      <c r="O29" t="s">
        <v>30</v>
      </c>
      <c r="P29">
        <v>0.11</v>
      </c>
      <c r="Q29" t="s">
        <v>1325</v>
      </c>
      <c r="R29">
        <v>27.3</v>
      </c>
      <c r="S29">
        <v>22.7</v>
      </c>
      <c r="T29">
        <v>27.3</v>
      </c>
      <c r="U29">
        <v>4.5</v>
      </c>
      <c r="V29">
        <v>18.2</v>
      </c>
    </row>
    <row r="30" spans="1:22" x14ac:dyDescent="0.25">
      <c r="A30" t="s">
        <v>1327</v>
      </c>
      <c r="B30" t="s">
        <v>50</v>
      </c>
      <c r="C30">
        <v>22</v>
      </c>
      <c r="D30" t="s">
        <v>66</v>
      </c>
      <c r="E30" t="s">
        <v>45</v>
      </c>
      <c r="F30" t="s">
        <v>65</v>
      </c>
      <c r="G30">
        <v>0.59</v>
      </c>
      <c r="H30" t="s">
        <v>39</v>
      </c>
      <c r="I30">
        <v>9</v>
      </c>
      <c r="J30" t="str">
        <f>HYPERLINK("https://www.eliteprospects.com/player/597856/dakoda-rheaume-mullen")</f>
        <v>https://www.eliteprospects.com/player/597856/dakoda-rheaume-mullen</v>
      </c>
      <c r="K30" t="s">
        <v>27</v>
      </c>
      <c r="L30" t="s">
        <v>28</v>
      </c>
      <c r="M30" t="s">
        <v>1296</v>
      </c>
      <c r="N30">
        <v>2</v>
      </c>
      <c r="O30" t="s">
        <v>43</v>
      </c>
      <c r="P30">
        <v>0.11</v>
      </c>
      <c r="Q30" t="s">
        <v>1325</v>
      </c>
      <c r="R30">
        <v>27.3</v>
      </c>
      <c r="S30">
        <v>22.7</v>
      </c>
      <c r="T30">
        <v>27.3</v>
      </c>
      <c r="U30">
        <v>4.5</v>
      </c>
      <c r="V30">
        <v>18.2</v>
      </c>
    </row>
    <row r="31" spans="1:22" x14ac:dyDescent="0.25">
      <c r="A31" t="s">
        <v>1328</v>
      </c>
      <c r="B31" t="s">
        <v>189</v>
      </c>
      <c r="C31">
        <v>24</v>
      </c>
      <c r="D31" t="s">
        <v>66</v>
      </c>
      <c r="E31" t="s">
        <v>45</v>
      </c>
      <c r="F31" t="s">
        <v>65</v>
      </c>
      <c r="G31">
        <v>0.54</v>
      </c>
      <c r="H31" t="s">
        <v>60</v>
      </c>
      <c r="I31">
        <v>-5</v>
      </c>
      <c r="J31" t="str">
        <f>HYPERLINK("https://www.eliteprospects.com/player/632451/xavier-alexandre-jean-louis")</f>
        <v>https://www.eliteprospects.com/player/632451/xavier-alexandre-jean-louis</v>
      </c>
      <c r="K31" t="s">
        <v>27</v>
      </c>
      <c r="L31" t="s">
        <v>28</v>
      </c>
      <c r="M31" t="s">
        <v>1296</v>
      </c>
      <c r="N31">
        <v>4</v>
      </c>
      <c r="O31" t="s">
        <v>30</v>
      </c>
      <c r="P31">
        <v>0.1</v>
      </c>
      <c r="Q31" t="s">
        <v>1325</v>
      </c>
      <c r="R31">
        <v>27.3</v>
      </c>
      <c r="S31">
        <v>22.7</v>
      </c>
      <c r="T31">
        <v>27.3</v>
      </c>
      <c r="U31">
        <v>4.5</v>
      </c>
      <c r="V31">
        <v>18.2</v>
      </c>
    </row>
    <row r="32" spans="1:22" x14ac:dyDescent="0.25">
      <c r="A32" t="s">
        <v>1329</v>
      </c>
      <c r="B32" t="s">
        <v>103</v>
      </c>
      <c r="C32">
        <v>20</v>
      </c>
      <c r="D32" t="s">
        <v>140</v>
      </c>
      <c r="E32" t="s">
        <v>32</v>
      </c>
      <c r="F32" t="s">
        <v>65</v>
      </c>
      <c r="G32">
        <v>0.65</v>
      </c>
      <c r="H32" t="s">
        <v>26</v>
      </c>
      <c r="I32">
        <v>-1</v>
      </c>
      <c r="J32" t="str">
        <f>HYPERLINK("https://www.eliteprospects.com/player/723401/francesco-dell-elce")</f>
        <v>https://www.eliteprospects.com/player/723401/francesco-dell-elce</v>
      </c>
      <c r="K32" t="s">
        <v>27</v>
      </c>
      <c r="L32" t="s">
        <v>28</v>
      </c>
      <c r="M32" t="s">
        <v>1296</v>
      </c>
      <c r="N32">
        <v>2</v>
      </c>
      <c r="O32" t="s">
        <v>43</v>
      </c>
      <c r="P32">
        <v>0.13</v>
      </c>
      <c r="Q32" t="s">
        <v>1300</v>
      </c>
      <c r="R32">
        <v>30.8</v>
      </c>
      <c r="S32">
        <v>20.5</v>
      </c>
      <c r="T32">
        <v>10.3</v>
      </c>
      <c r="U32">
        <v>10.3</v>
      </c>
      <c r="V32">
        <v>28.2</v>
      </c>
    </row>
    <row r="33" spans="1:22" x14ac:dyDescent="0.25">
      <c r="A33" t="s">
        <v>1330</v>
      </c>
      <c r="B33" t="s">
        <v>114</v>
      </c>
      <c r="C33">
        <v>20</v>
      </c>
      <c r="D33" t="s">
        <v>140</v>
      </c>
      <c r="E33" t="s">
        <v>32</v>
      </c>
      <c r="F33" t="s">
        <v>65</v>
      </c>
      <c r="G33">
        <v>0.65</v>
      </c>
      <c r="H33" t="s">
        <v>23</v>
      </c>
      <c r="I33">
        <v>2</v>
      </c>
      <c r="J33" t="str">
        <f>HYPERLINK("https://www.eliteprospects.com/player/413833/nolan-seed")</f>
        <v>https://www.eliteprospects.com/player/413833/nolan-seed</v>
      </c>
      <c r="K33" t="s">
        <v>27</v>
      </c>
      <c r="L33" t="s">
        <v>28</v>
      </c>
      <c r="M33" t="s">
        <v>1296</v>
      </c>
      <c r="N33">
        <v>5</v>
      </c>
      <c r="O33" t="s">
        <v>182</v>
      </c>
      <c r="P33">
        <v>0.13</v>
      </c>
      <c r="Q33" t="s">
        <v>1300</v>
      </c>
      <c r="R33">
        <v>30.8</v>
      </c>
      <c r="S33">
        <v>20.5</v>
      </c>
      <c r="T33">
        <v>10.3</v>
      </c>
      <c r="U33">
        <v>10.3</v>
      </c>
      <c r="V33">
        <v>28.2</v>
      </c>
    </row>
    <row r="34" spans="1:22" x14ac:dyDescent="0.25">
      <c r="A34" t="s">
        <v>1331</v>
      </c>
      <c r="B34" t="s">
        <v>148</v>
      </c>
      <c r="C34">
        <v>20</v>
      </c>
      <c r="D34" t="s">
        <v>140</v>
      </c>
      <c r="E34" t="s">
        <v>32</v>
      </c>
      <c r="F34" t="s">
        <v>65</v>
      </c>
      <c r="G34">
        <v>0.65</v>
      </c>
      <c r="H34" t="s">
        <v>38</v>
      </c>
      <c r="I34">
        <v>3</v>
      </c>
      <c r="J34" t="str">
        <f>HYPERLINK("https://www.eliteprospects.com/player/424078/owen-baumgartner")</f>
        <v>https://www.eliteprospects.com/player/424078/owen-baumgartner</v>
      </c>
      <c r="K34" t="s">
        <v>27</v>
      </c>
      <c r="L34" t="s">
        <v>28</v>
      </c>
      <c r="M34" t="s">
        <v>1296</v>
      </c>
      <c r="N34">
        <v>3</v>
      </c>
      <c r="O34" t="s">
        <v>74</v>
      </c>
      <c r="P34">
        <v>0.13</v>
      </c>
      <c r="Q34" t="s">
        <v>1300</v>
      </c>
      <c r="R34">
        <v>30.8</v>
      </c>
      <c r="S34">
        <v>20.5</v>
      </c>
      <c r="T34">
        <v>10.3</v>
      </c>
      <c r="U34">
        <v>10.3</v>
      </c>
      <c r="V34">
        <v>28.2</v>
      </c>
    </row>
    <row r="35" spans="1:22" x14ac:dyDescent="0.25">
      <c r="A35" t="s">
        <v>1332</v>
      </c>
      <c r="B35" t="s">
        <v>86</v>
      </c>
      <c r="C35">
        <v>20</v>
      </c>
      <c r="D35" t="s">
        <v>79</v>
      </c>
      <c r="E35" t="s">
        <v>69</v>
      </c>
      <c r="F35" t="s">
        <v>65</v>
      </c>
      <c r="G35">
        <v>0.65</v>
      </c>
      <c r="H35" t="s">
        <v>132</v>
      </c>
      <c r="I35">
        <v>17</v>
      </c>
      <c r="J35" t="str">
        <f>HYPERLINK("https://www.eliteprospects.com/player/418236/matt-basgall")</f>
        <v>https://www.eliteprospects.com/player/418236/matt-basgall</v>
      </c>
      <c r="K35" t="s">
        <v>27</v>
      </c>
      <c r="L35" t="s">
        <v>28</v>
      </c>
      <c r="M35" t="s">
        <v>1296</v>
      </c>
      <c r="N35">
        <v>4</v>
      </c>
      <c r="O35" t="s">
        <v>30</v>
      </c>
      <c r="P35">
        <v>0.13</v>
      </c>
      <c r="Q35" t="s">
        <v>1300</v>
      </c>
      <c r="R35">
        <v>30.8</v>
      </c>
      <c r="S35">
        <v>20.5</v>
      </c>
      <c r="T35">
        <v>10.3</v>
      </c>
      <c r="U35">
        <v>10.3</v>
      </c>
      <c r="V35">
        <v>28.2</v>
      </c>
    </row>
    <row r="36" spans="1:22" x14ac:dyDescent="0.25">
      <c r="A36" t="s">
        <v>1333</v>
      </c>
      <c r="B36" t="s">
        <v>82</v>
      </c>
      <c r="C36">
        <v>22</v>
      </c>
      <c r="D36" t="s">
        <v>79</v>
      </c>
      <c r="E36" t="s">
        <v>69</v>
      </c>
      <c r="F36" t="s">
        <v>65</v>
      </c>
      <c r="G36">
        <v>0.59</v>
      </c>
      <c r="H36" t="s">
        <v>81</v>
      </c>
      <c r="I36">
        <v>1</v>
      </c>
      <c r="J36" t="str">
        <f>HYPERLINK("https://www.eliteprospects.com/player/483418/hudson-thornton")</f>
        <v>https://www.eliteprospects.com/player/483418/hudson-thornton</v>
      </c>
      <c r="K36" t="s">
        <v>27</v>
      </c>
      <c r="L36" t="s">
        <v>28</v>
      </c>
      <c r="M36" t="s">
        <v>1296</v>
      </c>
      <c r="N36">
        <v>5</v>
      </c>
      <c r="O36" t="s">
        <v>152</v>
      </c>
      <c r="P36">
        <v>0.11</v>
      </c>
      <c r="Q36" t="s">
        <v>1325</v>
      </c>
      <c r="R36">
        <v>27.3</v>
      </c>
      <c r="S36">
        <v>22.7</v>
      </c>
      <c r="T36">
        <v>27.3</v>
      </c>
      <c r="U36">
        <v>4.5</v>
      </c>
      <c r="V36">
        <v>18.2</v>
      </c>
    </row>
    <row r="37" spans="1:22" x14ac:dyDescent="0.25">
      <c r="A37" t="s">
        <v>1334</v>
      </c>
      <c r="B37" t="s">
        <v>127</v>
      </c>
      <c r="C37">
        <v>20</v>
      </c>
      <c r="D37" t="s">
        <v>96</v>
      </c>
      <c r="E37" t="s">
        <v>78</v>
      </c>
      <c r="F37" t="s">
        <v>23</v>
      </c>
      <c r="G37">
        <v>0.6</v>
      </c>
      <c r="H37" t="s">
        <v>66</v>
      </c>
      <c r="I37">
        <v>6</v>
      </c>
      <c r="J37" t="str">
        <f>HYPERLINK("https://www.eliteprospects.com/player/542863/mack-oliphant")</f>
        <v>https://www.eliteprospects.com/player/542863/mack-oliphant</v>
      </c>
      <c r="K37" t="s">
        <v>27</v>
      </c>
      <c r="L37" t="s">
        <v>28</v>
      </c>
      <c r="M37" t="s">
        <v>1296</v>
      </c>
      <c r="N37">
        <v>4</v>
      </c>
      <c r="O37" t="s">
        <v>30</v>
      </c>
      <c r="P37">
        <v>0.12</v>
      </c>
      <c r="Q37" t="s">
        <v>1300</v>
      </c>
      <c r="R37">
        <v>30.8</v>
      </c>
      <c r="S37">
        <v>20.5</v>
      </c>
      <c r="T37">
        <v>10.3</v>
      </c>
      <c r="U37">
        <v>10.3</v>
      </c>
      <c r="V37">
        <v>28.2</v>
      </c>
    </row>
    <row r="38" spans="1:22" x14ac:dyDescent="0.25">
      <c r="A38" t="s">
        <v>1335</v>
      </c>
      <c r="B38" t="s">
        <v>200</v>
      </c>
      <c r="C38">
        <v>15</v>
      </c>
      <c r="D38" t="s">
        <v>66</v>
      </c>
      <c r="E38" t="s">
        <v>26</v>
      </c>
      <c r="F38" t="s">
        <v>23</v>
      </c>
      <c r="G38">
        <v>0.8</v>
      </c>
      <c r="H38" t="s">
        <v>79</v>
      </c>
      <c r="I38">
        <v>0</v>
      </c>
      <c r="J38" t="str">
        <f>HYPERLINK("https://www.eliteprospects.com/player/719775/xavier-veilleux")</f>
        <v>https://www.eliteprospects.com/player/719775/xavier-veilleux</v>
      </c>
      <c r="K38" t="s">
        <v>27</v>
      </c>
      <c r="L38" t="s">
        <v>28</v>
      </c>
      <c r="M38" t="s">
        <v>1296</v>
      </c>
      <c r="N38">
        <v>1</v>
      </c>
      <c r="O38" t="s">
        <v>71</v>
      </c>
      <c r="P38">
        <v>0.16</v>
      </c>
      <c r="Q38" t="s">
        <v>1300</v>
      </c>
      <c r="R38">
        <v>30.8</v>
      </c>
      <c r="S38">
        <v>20.5</v>
      </c>
      <c r="T38">
        <v>10.3</v>
      </c>
      <c r="U38">
        <v>10.3</v>
      </c>
      <c r="V38">
        <v>28.2</v>
      </c>
    </row>
    <row r="39" spans="1:22" x14ac:dyDescent="0.25">
      <c r="A39" t="s">
        <v>1336</v>
      </c>
      <c r="B39" t="s">
        <v>109</v>
      </c>
      <c r="C39">
        <v>18</v>
      </c>
      <c r="D39" t="s">
        <v>66</v>
      </c>
      <c r="E39" t="s">
        <v>26</v>
      </c>
      <c r="F39" t="s">
        <v>23</v>
      </c>
      <c r="G39">
        <v>0.67</v>
      </c>
      <c r="H39" t="s">
        <v>33</v>
      </c>
      <c r="I39">
        <v>7</v>
      </c>
      <c r="J39" t="str">
        <f>HYPERLINK("https://www.eliteprospects.com/player/878326/keaton-verhoeff")</f>
        <v>https://www.eliteprospects.com/player/878326/keaton-verhoeff</v>
      </c>
      <c r="K39" t="s">
        <v>27</v>
      </c>
      <c r="L39" t="s">
        <v>28</v>
      </c>
      <c r="M39" t="s">
        <v>1296</v>
      </c>
      <c r="N39">
        <v>3</v>
      </c>
      <c r="O39" t="s">
        <v>1337</v>
      </c>
      <c r="P39">
        <v>0.13</v>
      </c>
      <c r="Q39" t="s">
        <v>1300</v>
      </c>
      <c r="R39">
        <v>30.8</v>
      </c>
      <c r="S39">
        <v>20.5</v>
      </c>
      <c r="T39">
        <v>10.3</v>
      </c>
      <c r="U39">
        <v>10.3</v>
      </c>
      <c r="V39">
        <v>28.2</v>
      </c>
    </row>
    <row r="40" spans="1:22" x14ac:dyDescent="0.25">
      <c r="A40" t="s">
        <v>1338</v>
      </c>
      <c r="B40" t="s">
        <v>83</v>
      </c>
      <c r="C40">
        <v>17</v>
      </c>
      <c r="D40" t="s">
        <v>140</v>
      </c>
      <c r="E40" t="s">
        <v>45</v>
      </c>
      <c r="F40" t="s">
        <v>23</v>
      </c>
      <c r="G40">
        <v>0.71</v>
      </c>
      <c r="H40" t="s">
        <v>57</v>
      </c>
      <c r="I40">
        <v>4</v>
      </c>
      <c r="J40" t="str">
        <f>HYPERLINK("https://www.eliteprospects.com/player/603641/c.j.-foley")</f>
        <v>https://www.eliteprospects.com/player/603641/c.j.-foley</v>
      </c>
      <c r="K40" t="s">
        <v>27</v>
      </c>
      <c r="L40" t="s">
        <v>28</v>
      </c>
      <c r="M40" t="s">
        <v>1296</v>
      </c>
      <c r="N40">
        <v>3</v>
      </c>
      <c r="O40" t="s">
        <v>74</v>
      </c>
      <c r="P40">
        <v>0.14000000000000001</v>
      </c>
      <c r="Q40" t="s">
        <v>1300</v>
      </c>
      <c r="R40">
        <v>30.8</v>
      </c>
      <c r="S40">
        <v>20.5</v>
      </c>
      <c r="T40">
        <v>10.3</v>
      </c>
      <c r="U40">
        <v>10.3</v>
      </c>
      <c r="V40">
        <v>28.2</v>
      </c>
    </row>
    <row r="41" spans="1:22" x14ac:dyDescent="0.25">
      <c r="A41" t="s">
        <v>1339</v>
      </c>
      <c r="B41" t="s">
        <v>95</v>
      </c>
      <c r="C41">
        <v>20</v>
      </c>
      <c r="D41" t="s">
        <v>140</v>
      </c>
      <c r="E41" t="s">
        <v>45</v>
      </c>
      <c r="F41" t="s">
        <v>23</v>
      </c>
      <c r="G41">
        <v>0.6</v>
      </c>
      <c r="H41" t="s">
        <v>32</v>
      </c>
      <c r="I41">
        <v>13</v>
      </c>
      <c r="J41" t="str">
        <f>HYPERLINK("https://www.eliteprospects.com/player/674722/zack-sharp")</f>
        <v>https://www.eliteprospects.com/player/674722/zack-sharp</v>
      </c>
      <c r="K41" t="s">
        <v>27</v>
      </c>
      <c r="L41" t="s">
        <v>28</v>
      </c>
      <c r="M41" t="s">
        <v>1296</v>
      </c>
      <c r="N41">
        <v>2</v>
      </c>
      <c r="O41" t="s">
        <v>43</v>
      </c>
      <c r="P41">
        <v>0.12</v>
      </c>
      <c r="Q41" t="s">
        <v>1300</v>
      </c>
      <c r="R41">
        <v>30.8</v>
      </c>
      <c r="S41">
        <v>20.5</v>
      </c>
      <c r="T41">
        <v>10.3</v>
      </c>
      <c r="U41">
        <v>10.3</v>
      </c>
      <c r="V41">
        <v>28.2</v>
      </c>
    </row>
    <row r="42" spans="1:22" x14ac:dyDescent="0.25">
      <c r="A42" t="s">
        <v>1340</v>
      </c>
      <c r="B42" t="s">
        <v>205</v>
      </c>
      <c r="C42">
        <v>21</v>
      </c>
      <c r="D42" t="s">
        <v>140</v>
      </c>
      <c r="E42" t="s">
        <v>45</v>
      </c>
      <c r="F42" t="s">
        <v>23</v>
      </c>
      <c r="G42">
        <v>0.56999999999999995</v>
      </c>
      <c r="H42" t="s">
        <v>57</v>
      </c>
      <c r="I42">
        <v>4</v>
      </c>
      <c r="J42" t="str">
        <f>HYPERLINK("https://www.eliteprospects.com/player/502982/ben-roger")</f>
        <v>https://www.eliteprospects.com/player/502982/ben-roger</v>
      </c>
      <c r="K42" t="s">
        <v>27</v>
      </c>
      <c r="L42" t="s">
        <v>28</v>
      </c>
      <c r="M42" t="s">
        <v>1296</v>
      </c>
      <c r="N42">
        <v>6</v>
      </c>
      <c r="O42" t="s">
        <v>460</v>
      </c>
      <c r="P42">
        <v>0.11</v>
      </c>
      <c r="Q42" t="s">
        <v>1325</v>
      </c>
      <c r="R42">
        <v>27.3</v>
      </c>
      <c r="S42">
        <v>22.7</v>
      </c>
      <c r="T42">
        <v>27.3</v>
      </c>
      <c r="U42">
        <v>4.5</v>
      </c>
      <c r="V42">
        <v>18.2</v>
      </c>
    </row>
    <row r="43" spans="1:22" x14ac:dyDescent="0.25">
      <c r="A43" t="s">
        <v>1341</v>
      </c>
      <c r="B43" t="s">
        <v>73</v>
      </c>
      <c r="C43">
        <v>22</v>
      </c>
      <c r="D43" t="s">
        <v>140</v>
      </c>
      <c r="E43" t="s">
        <v>45</v>
      </c>
      <c r="F43" t="s">
        <v>23</v>
      </c>
      <c r="G43">
        <v>0.55000000000000004</v>
      </c>
      <c r="H43" t="s">
        <v>79</v>
      </c>
      <c r="I43">
        <v>-3</v>
      </c>
      <c r="J43" t="str">
        <f>HYPERLINK("https://www.eliteprospects.com/player/494613/max-smolinski")</f>
        <v>https://www.eliteprospects.com/player/494613/max-smolinski</v>
      </c>
      <c r="K43" t="s">
        <v>27</v>
      </c>
      <c r="L43" t="s">
        <v>28</v>
      </c>
      <c r="M43" t="s">
        <v>1296</v>
      </c>
      <c r="N43">
        <v>4</v>
      </c>
      <c r="O43" t="s">
        <v>30</v>
      </c>
      <c r="P43">
        <v>0.11</v>
      </c>
      <c r="Q43" t="s">
        <v>1325</v>
      </c>
      <c r="R43">
        <v>27.3</v>
      </c>
      <c r="S43">
        <v>22.7</v>
      </c>
      <c r="T43">
        <v>27.3</v>
      </c>
      <c r="U43">
        <v>4.5</v>
      </c>
      <c r="V43">
        <v>18.2</v>
      </c>
    </row>
    <row r="44" spans="1:22" x14ac:dyDescent="0.25">
      <c r="A44" t="s">
        <v>1342</v>
      </c>
      <c r="B44" t="s">
        <v>255</v>
      </c>
      <c r="C44">
        <v>20</v>
      </c>
      <c r="D44" t="s">
        <v>79</v>
      </c>
      <c r="E44" t="s">
        <v>32</v>
      </c>
      <c r="F44" t="s">
        <v>23</v>
      </c>
      <c r="G44">
        <v>0.6</v>
      </c>
      <c r="H44" t="s">
        <v>66</v>
      </c>
      <c r="I44">
        <v>-6</v>
      </c>
      <c r="J44" t="str">
        <f>HYPERLINK("https://www.eliteprospects.com/player/359532/evan-orr")</f>
        <v>https://www.eliteprospects.com/player/359532/evan-orr</v>
      </c>
      <c r="K44" t="s">
        <v>27</v>
      </c>
      <c r="L44" t="s">
        <v>28</v>
      </c>
      <c r="M44" t="s">
        <v>1296</v>
      </c>
      <c r="N44">
        <v>4</v>
      </c>
      <c r="O44" t="s">
        <v>30</v>
      </c>
      <c r="P44">
        <v>0.12</v>
      </c>
      <c r="Q44" t="s">
        <v>1300</v>
      </c>
      <c r="R44">
        <v>30.8</v>
      </c>
      <c r="S44">
        <v>20.5</v>
      </c>
      <c r="T44">
        <v>10.3</v>
      </c>
      <c r="U44">
        <v>10.3</v>
      </c>
      <c r="V44">
        <v>28.2</v>
      </c>
    </row>
    <row r="45" spans="1:22" x14ac:dyDescent="0.25">
      <c r="A45" t="s">
        <v>1343</v>
      </c>
      <c r="B45" t="s">
        <v>113</v>
      </c>
      <c r="C45">
        <v>23</v>
      </c>
      <c r="D45" t="s">
        <v>79</v>
      </c>
      <c r="E45" t="s">
        <v>32</v>
      </c>
      <c r="F45" t="s">
        <v>23</v>
      </c>
      <c r="G45">
        <v>0.52</v>
      </c>
      <c r="H45" t="s">
        <v>55</v>
      </c>
      <c r="I45">
        <v>1</v>
      </c>
      <c r="J45" t="str">
        <f>HYPERLINK("https://www.eliteprospects.com/player/534187/ralfs-bergmanis")</f>
        <v>https://www.eliteprospects.com/player/534187/ralfs-bergmanis</v>
      </c>
      <c r="K45" t="s">
        <v>27</v>
      </c>
      <c r="L45" t="s">
        <v>28</v>
      </c>
      <c r="M45" t="s">
        <v>1296</v>
      </c>
      <c r="N45">
        <v>4</v>
      </c>
      <c r="O45" t="s">
        <v>30</v>
      </c>
      <c r="P45">
        <v>0.1</v>
      </c>
      <c r="Q45" t="s">
        <v>1325</v>
      </c>
      <c r="R45">
        <v>27.3</v>
      </c>
      <c r="S45">
        <v>22.7</v>
      </c>
      <c r="T45">
        <v>27.3</v>
      </c>
      <c r="U45">
        <v>4.5</v>
      </c>
      <c r="V45">
        <v>18.2</v>
      </c>
    </row>
    <row r="46" spans="1:22" x14ac:dyDescent="0.25">
      <c r="A46" t="s">
        <v>1344</v>
      </c>
      <c r="B46" t="s">
        <v>127</v>
      </c>
      <c r="C46">
        <v>20</v>
      </c>
      <c r="D46" t="s">
        <v>260</v>
      </c>
      <c r="E46" t="s">
        <v>69</v>
      </c>
      <c r="F46" t="s">
        <v>23</v>
      </c>
      <c r="G46">
        <v>0.6</v>
      </c>
      <c r="H46" t="s">
        <v>66</v>
      </c>
      <c r="I46">
        <v>6</v>
      </c>
      <c r="J46" t="str">
        <f>HYPERLINK("https://www.eliteprospects.com/player/617528/william-elias")</f>
        <v>https://www.eliteprospects.com/player/617528/william-elias</v>
      </c>
      <c r="K46" t="s">
        <v>27</v>
      </c>
      <c r="L46" t="s">
        <v>28</v>
      </c>
      <c r="M46" t="s">
        <v>1296</v>
      </c>
      <c r="N46">
        <v>3</v>
      </c>
      <c r="O46" t="s">
        <v>74</v>
      </c>
      <c r="P46">
        <v>0.12</v>
      </c>
      <c r="Q46" t="s">
        <v>1300</v>
      </c>
      <c r="R46">
        <v>30.8</v>
      </c>
      <c r="S46">
        <v>20.5</v>
      </c>
      <c r="T46">
        <v>10.3</v>
      </c>
      <c r="U46">
        <v>10.3</v>
      </c>
      <c r="V46">
        <v>28.2</v>
      </c>
    </row>
    <row r="47" spans="1:22" x14ac:dyDescent="0.25">
      <c r="A47" t="s">
        <v>1345</v>
      </c>
      <c r="B47" t="s">
        <v>119</v>
      </c>
      <c r="C47">
        <v>21</v>
      </c>
      <c r="D47" t="s">
        <v>260</v>
      </c>
      <c r="E47" t="s">
        <v>69</v>
      </c>
      <c r="F47" t="s">
        <v>23</v>
      </c>
      <c r="G47">
        <v>0.56999999999999995</v>
      </c>
      <c r="H47" t="s">
        <v>23</v>
      </c>
      <c r="I47">
        <v>-3</v>
      </c>
      <c r="J47" t="str">
        <f>HYPERLINK("https://www.eliteprospects.com/player/559036/luke-mittelstadt")</f>
        <v>https://www.eliteprospects.com/player/559036/luke-mittelstadt</v>
      </c>
      <c r="K47" t="s">
        <v>27</v>
      </c>
      <c r="L47" t="s">
        <v>28</v>
      </c>
      <c r="M47" t="s">
        <v>1296</v>
      </c>
      <c r="N47">
        <v>4</v>
      </c>
      <c r="O47" t="s">
        <v>30</v>
      </c>
      <c r="P47">
        <v>0.11</v>
      </c>
      <c r="Q47" t="s">
        <v>1325</v>
      </c>
      <c r="R47">
        <v>27.3</v>
      </c>
      <c r="S47">
        <v>22.7</v>
      </c>
      <c r="T47">
        <v>27.3</v>
      </c>
      <c r="U47">
        <v>4.5</v>
      </c>
      <c r="V47">
        <v>18.2</v>
      </c>
    </row>
    <row r="48" spans="1:22" x14ac:dyDescent="0.25">
      <c r="A48" t="s">
        <v>1346</v>
      </c>
      <c r="B48" t="s">
        <v>80</v>
      </c>
      <c r="C48">
        <v>18</v>
      </c>
      <c r="D48" t="s">
        <v>96</v>
      </c>
      <c r="E48" t="s">
        <v>57</v>
      </c>
      <c r="F48" t="s">
        <v>69</v>
      </c>
      <c r="G48">
        <v>0.61</v>
      </c>
      <c r="H48" t="s">
        <v>39</v>
      </c>
      <c r="I48">
        <v>3</v>
      </c>
      <c r="J48" t="str">
        <f>HYPERLINK("https://www.eliteprospects.com/player/689872/jackson-smith")</f>
        <v>https://www.eliteprospects.com/player/689872/jackson-smith</v>
      </c>
      <c r="K48" t="s">
        <v>27</v>
      </c>
      <c r="L48" t="s">
        <v>28</v>
      </c>
      <c r="M48" t="s">
        <v>1296</v>
      </c>
      <c r="N48">
        <v>4</v>
      </c>
      <c r="O48" t="s">
        <v>137</v>
      </c>
      <c r="P48">
        <v>0.12</v>
      </c>
      <c r="Q48" t="s">
        <v>1300</v>
      </c>
      <c r="R48">
        <v>30.8</v>
      </c>
      <c r="S48">
        <v>20.5</v>
      </c>
      <c r="T48">
        <v>10.3</v>
      </c>
      <c r="U48">
        <v>10.3</v>
      </c>
      <c r="V48">
        <v>28.2</v>
      </c>
    </row>
    <row r="49" spans="1:22" x14ac:dyDescent="0.25">
      <c r="A49" t="s">
        <v>1347</v>
      </c>
      <c r="B49" t="s">
        <v>44</v>
      </c>
      <c r="C49">
        <v>24</v>
      </c>
      <c r="D49" t="s">
        <v>96</v>
      </c>
      <c r="E49" t="s">
        <v>57</v>
      </c>
      <c r="F49" t="s">
        <v>69</v>
      </c>
      <c r="G49">
        <v>0.46</v>
      </c>
      <c r="H49" t="s">
        <v>269</v>
      </c>
      <c r="I49">
        <v>9</v>
      </c>
      <c r="J49" t="str">
        <f>HYPERLINK("https://www.eliteprospects.com/player/341010/jack-anderson")</f>
        <v>https://www.eliteprospects.com/player/341010/jack-anderson</v>
      </c>
      <c r="K49" t="s">
        <v>27</v>
      </c>
      <c r="L49" t="s">
        <v>28</v>
      </c>
      <c r="M49" t="s">
        <v>1296</v>
      </c>
      <c r="N49">
        <v>4</v>
      </c>
      <c r="O49" t="s">
        <v>30</v>
      </c>
      <c r="P49">
        <v>0.09</v>
      </c>
      <c r="Q49" t="s">
        <v>1325</v>
      </c>
      <c r="R49">
        <v>27.3</v>
      </c>
      <c r="S49">
        <v>22.7</v>
      </c>
      <c r="T49">
        <v>27.3</v>
      </c>
      <c r="U49">
        <v>4.5</v>
      </c>
      <c r="V49">
        <v>18.2</v>
      </c>
    </row>
    <row r="50" spans="1:22" x14ac:dyDescent="0.25">
      <c r="A50" t="s">
        <v>1348</v>
      </c>
      <c r="B50" t="s">
        <v>83</v>
      </c>
      <c r="C50">
        <v>17</v>
      </c>
      <c r="D50" t="s">
        <v>66</v>
      </c>
      <c r="E50" t="s">
        <v>78</v>
      </c>
      <c r="F50" t="s">
        <v>69</v>
      </c>
      <c r="G50">
        <v>0.65</v>
      </c>
      <c r="H50" t="s">
        <v>79</v>
      </c>
      <c r="I50">
        <v>20</v>
      </c>
      <c r="J50" t="str">
        <f>HYPERLINK("https://www.eliteprospects.com/player/548701/eric-charpentier")</f>
        <v>https://www.eliteprospects.com/player/548701/eric-charpentier</v>
      </c>
      <c r="K50" t="s">
        <v>27</v>
      </c>
      <c r="L50" t="s">
        <v>28</v>
      </c>
      <c r="M50" t="s">
        <v>1296</v>
      </c>
      <c r="N50">
        <v>3</v>
      </c>
      <c r="O50" t="s">
        <v>74</v>
      </c>
      <c r="P50">
        <v>0.13</v>
      </c>
      <c r="Q50" t="s">
        <v>1300</v>
      </c>
      <c r="R50">
        <v>30.8</v>
      </c>
      <c r="S50">
        <v>20.5</v>
      </c>
      <c r="T50">
        <v>10.3</v>
      </c>
      <c r="U50">
        <v>10.3</v>
      </c>
      <c r="V50">
        <v>28.2</v>
      </c>
    </row>
    <row r="51" spans="1:22" x14ac:dyDescent="0.25">
      <c r="A51" t="s">
        <v>1349</v>
      </c>
      <c r="B51" t="s">
        <v>88</v>
      </c>
      <c r="C51">
        <v>22</v>
      </c>
      <c r="D51" t="s">
        <v>66</v>
      </c>
      <c r="E51" t="s">
        <v>78</v>
      </c>
      <c r="F51" t="s">
        <v>69</v>
      </c>
      <c r="G51">
        <v>0.5</v>
      </c>
      <c r="H51" t="s">
        <v>57</v>
      </c>
      <c r="I51">
        <v>2</v>
      </c>
      <c r="J51" t="str">
        <f>HYPERLINK("https://www.eliteprospects.com/player/623762/jake-peterson")</f>
        <v>https://www.eliteprospects.com/player/623762/jake-peterson</v>
      </c>
      <c r="K51" t="s">
        <v>27</v>
      </c>
      <c r="L51" t="s">
        <v>28</v>
      </c>
      <c r="M51" t="s">
        <v>1296</v>
      </c>
      <c r="N51">
        <v>2</v>
      </c>
      <c r="O51" t="s">
        <v>43</v>
      </c>
      <c r="P51">
        <v>0.1</v>
      </c>
      <c r="Q51" t="s">
        <v>1325</v>
      </c>
      <c r="R51">
        <v>27.3</v>
      </c>
      <c r="S51">
        <v>22.7</v>
      </c>
      <c r="T51">
        <v>27.3</v>
      </c>
      <c r="U51">
        <v>4.5</v>
      </c>
      <c r="V51">
        <v>18.2</v>
      </c>
    </row>
    <row r="52" spans="1:22" x14ac:dyDescent="0.25">
      <c r="A52" t="s">
        <v>1350</v>
      </c>
      <c r="B52" t="s">
        <v>120</v>
      </c>
      <c r="C52">
        <v>18</v>
      </c>
      <c r="D52" t="s">
        <v>140</v>
      </c>
      <c r="E52" t="s">
        <v>26</v>
      </c>
      <c r="F52" t="s">
        <v>69</v>
      </c>
      <c r="G52">
        <v>0.61</v>
      </c>
      <c r="H52" t="s">
        <v>46</v>
      </c>
      <c r="I52">
        <v>6</v>
      </c>
      <c r="J52" t="str">
        <f>HYPERLINK("https://www.eliteprospects.com/player/599415/drew-fortescue")</f>
        <v>https://www.eliteprospects.com/player/599415/drew-fortescue</v>
      </c>
      <c r="K52" t="s">
        <v>27</v>
      </c>
      <c r="L52" t="s">
        <v>28</v>
      </c>
      <c r="M52" t="s">
        <v>1296</v>
      </c>
      <c r="N52">
        <v>3</v>
      </c>
      <c r="O52" t="s">
        <v>74</v>
      </c>
      <c r="P52">
        <v>0.12</v>
      </c>
      <c r="Q52" t="s">
        <v>1300</v>
      </c>
      <c r="R52">
        <v>30.8</v>
      </c>
      <c r="S52">
        <v>20.5</v>
      </c>
      <c r="T52">
        <v>10.3</v>
      </c>
      <c r="U52">
        <v>10.3</v>
      </c>
      <c r="V52">
        <v>28.2</v>
      </c>
    </row>
    <row r="53" spans="1:22" x14ac:dyDescent="0.25">
      <c r="A53" t="s">
        <v>1351</v>
      </c>
      <c r="B53" t="s">
        <v>98</v>
      </c>
      <c r="C53">
        <v>21</v>
      </c>
      <c r="D53" t="s">
        <v>140</v>
      </c>
      <c r="E53" t="s">
        <v>26</v>
      </c>
      <c r="F53" t="s">
        <v>69</v>
      </c>
      <c r="G53">
        <v>0.52</v>
      </c>
      <c r="H53" t="s">
        <v>125</v>
      </c>
      <c r="I53">
        <v>7</v>
      </c>
      <c r="J53" t="str">
        <f>HYPERLINK("https://www.eliteprospects.com/player/591976/etienne-lessard")</f>
        <v>https://www.eliteprospects.com/player/591976/etienne-lessard</v>
      </c>
      <c r="K53" t="s">
        <v>27</v>
      </c>
      <c r="L53" t="s">
        <v>28</v>
      </c>
      <c r="M53" t="s">
        <v>1296</v>
      </c>
      <c r="N53">
        <v>1</v>
      </c>
      <c r="O53" t="s">
        <v>71</v>
      </c>
      <c r="P53">
        <v>0.1</v>
      </c>
      <c r="Q53" t="s">
        <v>1325</v>
      </c>
      <c r="R53">
        <v>27.3</v>
      </c>
      <c r="S53">
        <v>22.7</v>
      </c>
      <c r="T53">
        <v>27.3</v>
      </c>
      <c r="U53">
        <v>4.5</v>
      </c>
      <c r="V53">
        <v>18.2</v>
      </c>
    </row>
    <row r="54" spans="1:22" x14ac:dyDescent="0.25">
      <c r="A54" t="s">
        <v>1352</v>
      </c>
      <c r="B54" t="s">
        <v>59</v>
      </c>
      <c r="C54">
        <v>22</v>
      </c>
      <c r="D54" t="s">
        <v>140</v>
      </c>
      <c r="E54" t="s">
        <v>26</v>
      </c>
      <c r="F54" t="s">
        <v>69</v>
      </c>
      <c r="G54">
        <v>0.5</v>
      </c>
      <c r="H54" t="s">
        <v>66</v>
      </c>
      <c r="I54">
        <v>14</v>
      </c>
      <c r="J54" t="str">
        <f>HYPERLINK("https://www.eliteprospects.com/player/737982/lukas-peterson")</f>
        <v>https://www.eliteprospects.com/player/737982/lukas-peterson</v>
      </c>
      <c r="K54" t="s">
        <v>27</v>
      </c>
      <c r="L54" t="s">
        <v>28</v>
      </c>
      <c r="M54" t="s">
        <v>1296</v>
      </c>
      <c r="N54">
        <v>1</v>
      </c>
      <c r="O54" t="s">
        <v>71</v>
      </c>
      <c r="P54">
        <v>0.1</v>
      </c>
      <c r="Q54" t="s">
        <v>1325</v>
      </c>
      <c r="R54">
        <v>27.3</v>
      </c>
      <c r="S54">
        <v>22.7</v>
      </c>
      <c r="T54">
        <v>27.3</v>
      </c>
      <c r="U54">
        <v>4.5</v>
      </c>
      <c r="V54">
        <v>18.2</v>
      </c>
    </row>
    <row r="55" spans="1:22" x14ac:dyDescent="0.25">
      <c r="A55" t="s">
        <v>1353</v>
      </c>
      <c r="B55" t="s">
        <v>165</v>
      </c>
      <c r="C55">
        <v>20</v>
      </c>
      <c r="D55" t="s">
        <v>79</v>
      </c>
      <c r="E55" t="s">
        <v>45</v>
      </c>
      <c r="F55" t="s">
        <v>69</v>
      </c>
      <c r="G55">
        <v>0.55000000000000004</v>
      </c>
      <c r="H55" t="s">
        <v>26</v>
      </c>
      <c r="I55">
        <v>-15</v>
      </c>
      <c r="J55" t="str">
        <f>HYPERLINK("https://www.eliteprospects.com/player/403420/michael-neumeier")</f>
        <v>https://www.eliteprospects.com/player/403420/michael-neumeier</v>
      </c>
      <c r="K55" t="s">
        <v>27</v>
      </c>
      <c r="L55" t="s">
        <v>28</v>
      </c>
      <c r="M55" t="s">
        <v>1296</v>
      </c>
      <c r="N55">
        <v>2</v>
      </c>
      <c r="O55" t="s">
        <v>43</v>
      </c>
      <c r="P55">
        <v>0.11</v>
      </c>
      <c r="Q55" t="s">
        <v>1325</v>
      </c>
      <c r="R55">
        <v>27.3</v>
      </c>
      <c r="S55">
        <v>22.7</v>
      </c>
      <c r="T55">
        <v>27.3</v>
      </c>
      <c r="U55">
        <v>4.5</v>
      </c>
      <c r="V55">
        <v>18.2</v>
      </c>
    </row>
    <row r="56" spans="1:22" x14ac:dyDescent="0.25">
      <c r="A56" t="s">
        <v>1354</v>
      </c>
      <c r="B56" t="s">
        <v>68</v>
      </c>
      <c r="C56">
        <v>22</v>
      </c>
      <c r="D56" t="s">
        <v>79</v>
      </c>
      <c r="E56" t="s">
        <v>45</v>
      </c>
      <c r="F56" t="s">
        <v>69</v>
      </c>
      <c r="G56">
        <v>0.5</v>
      </c>
      <c r="H56" t="s">
        <v>23</v>
      </c>
      <c r="I56">
        <v>23</v>
      </c>
      <c r="J56" t="str">
        <f>HYPERLINK("https://www.eliteprospects.com/player/619045/elliott-groenewold")</f>
        <v>https://www.eliteprospects.com/player/619045/elliott-groenewold</v>
      </c>
      <c r="K56" t="s">
        <v>27</v>
      </c>
      <c r="L56" t="s">
        <v>28</v>
      </c>
      <c r="M56" t="s">
        <v>1296</v>
      </c>
      <c r="N56">
        <v>2</v>
      </c>
      <c r="O56" t="s">
        <v>43</v>
      </c>
      <c r="P56">
        <v>0.1</v>
      </c>
      <c r="Q56" t="s">
        <v>1325</v>
      </c>
      <c r="R56">
        <v>27.3</v>
      </c>
      <c r="S56">
        <v>22.7</v>
      </c>
      <c r="T56">
        <v>27.3</v>
      </c>
      <c r="U56">
        <v>4.5</v>
      </c>
      <c r="V56">
        <v>18.2</v>
      </c>
    </row>
    <row r="57" spans="1:22" x14ac:dyDescent="0.25">
      <c r="A57" t="s">
        <v>1355</v>
      </c>
      <c r="B57" t="s">
        <v>85</v>
      </c>
      <c r="C57">
        <v>16</v>
      </c>
      <c r="D57" t="s">
        <v>260</v>
      </c>
      <c r="E57" t="s">
        <v>32</v>
      </c>
      <c r="F57" t="s">
        <v>69</v>
      </c>
      <c r="G57">
        <v>0.69</v>
      </c>
      <c r="H57" t="s">
        <v>79</v>
      </c>
      <c r="I57">
        <v>11</v>
      </c>
      <c r="J57" t="str">
        <f>HYPERLINK("https://www.eliteprospects.com/player/617532/tyler-rubin")</f>
        <v>https://www.eliteprospects.com/player/617532/tyler-rubin</v>
      </c>
      <c r="K57" t="s">
        <v>27</v>
      </c>
      <c r="L57" t="s">
        <v>28</v>
      </c>
      <c r="M57" t="s">
        <v>1296</v>
      </c>
      <c r="N57">
        <v>4</v>
      </c>
      <c r="O57" t="s">
        <v>30</v>
      </c>
      <c r="P57">
        <v>0.13</v>
      </c>
      <c r="Q57" t="s">
        <v>1300</v>
      </c>
      <c r="R57">
        <v>30.8</v>
      </c>
      <c r="S57">
        <v>20.5</v>
      </c>
      <c r="T57">
        <v>10.3</v>
      </c>
      <c r="U57">
        <v>10.3</v>
      </c>
      <c r="V57">
        <v>28.2</v>
      </c>
    </row>
    <row r="58" spans="1:22" x14ac:dyDescent="0.25">
      <c r="A58" t="s">
        <v>1356</v>
      </c>
      <c r="B58" t="s">
        <v>174</v>
      </c>
      <c r="C58">
        <v>19</v>
      </c>
      <c r="D58" t="s">
        <v>260</v>
      </c>
      <c r="E58" t="s">
        <v>32</v>
      </c>
      <c r="F58" t="s">
        <v>69</v>
      </c>
      <c r="G58">
        <v>0.57999999999999996</v>
      </c>
      <c r="H58" t="s">
        <v>26</v>
      </c>
      <c r="I58">
        <v>0</v>
      </c>
      <c r="J58" t="str">
        <f>HYPERLINK("https://www.eliteprospects.com/player/622327/brendan-fitzgerald")</f>
        <v>https://www.eliteprospects.com/player/622327/brendan-fitzgerald</v>
      </c>
      <c r="K58" t="s">
        <v>27</v>
      </c>
      <c r="L58" t="s">
        <v>28</v>
      </c>
      <c r="M58" t="s">
        <v>1296</v>
      </c>
      <c r="N58">
        <v>3</v>
      </c>
      <c r="O58" t="s">
        <v>74</v>
      </c>
      <c r="P58">
        <v>0.11</v>
      </c>
      <c r="Q58" t="s">
        <v>1325</v>
      </c>
      <c r="R58">
        <v>27.3</v>
      </c>
      <c r="S58">
        <v>22.7</v>
      </c>
      <c r="T58">
        <v>27.3</v>
      </c>
      <c r="U58">
        <v>4.5</v>
      </c>
      <c r="V58">
        <v>18.2</v>
      </c>
    </row>
    <row r="59" spans="1:22" x14ac:dyDescent="0.25">
      <c r="A59" t="s">
        <v>1357</v>
      </c>
      <c r="B59" t="s">
        <v>128</v>
      </c>
      <c r="C59">
        <v>20</v>
      </c>
      <c r="D59" t="s">
        <v>260</v>
      </c>
      <c r="E59" t="s">
        <v>32</v>
      </c>
      <c r="F59" t="s">
        <v>69</v>
      </c>
      <c r="G59">
        <v>0.55000000000000004</v>
      </c>
      <c r="H59" t="s">
        <v>39</v>
      </c>
      <c r="I59">
        <v>-1</v>
      </c>
      <c r="J59" t="str">
        <f>HYPERLINK("https://www.eliteprospects.com/player/337000/dalton-norris")</f>
        <v>https://www.eliteprospects.com/player/337000/dalton-norris</v>
      </c>
      <c r="K59" t="s">
        <v>27</v>
      </c>
      <c r="L59" t="s">
        <v>28</v>
      </c>
      <c r="M59" t="s">
        <v>1296</v>
      </c>
      <c r="N59">
        <v>4</v>
      </c>
      <c r="O59" t="s">
        <v>30</v>
      </c>
      <c r="P59">
        <v>0.11</v>
      </c>
      <c r="Q59" t="s">
        <v>1325</v>
      </c>
      <c r="R59">
        <v>27.3</v>
      </c>
      <c r="S59">
        <v>22.7</v>
      </c>
      <c r="T59">
        <v>27.3</v>
      </c>
      <c r="U59">
        <v>4.5</v>
      </c>
      <c r="V59">
        <v>18.2</v>
      </c>
    </row>
    <row r="60" spans="1:22" x14ac:dyDescent="0.25">
      <c r="A60" t="s">
        <v>1358</v>
      </c>
      <c r="B60" t="s">
        <v>202</v>
      </c>
      <c r="C60">
        <v>22</v>
      </c>
      <c r="D60" t="s">
        <v>132</v>
      </c>
      <c r="E60" t="s">
        <v>69</v>
      </c>
      <c r="F60" t="s">
        <v>69</v>
      </c>
      <c r="G60">
        <v>0.5</v>
      </c>
      <c r="H60" t="s">
        <v>55</v>
      </c>
      <c r="I60">
        <v>5</v>
      </c>
      <c r="J60" t="str">
        <f>HYPERLINK("https://www.eliteprospects.com/player/588162/griffin-ludtke")</f>
        <v>https://www.eliteprospects.com/player/588162/griffin-ludtke</v>
      </c>
      <c r="K60" t="s">
        <v>27</v>
      </c>
      <c r="L60" t="s">
        <v>28</v>
      </c>
      <c r="M60" t="s">
        <v>1296</v>
      </c>
      <c r="N60">
        <v>4</v>
      </c>
      <c r="O60" t="s">
        <v>30</v>
      </c>
      <c r="P60">
        <v>0.1</v>
      </c>
      <c r="Q60" t="s">
        <v>1325</v>
      </c>
      <c r="R60">
        <v>27.3</v>
      </c>
      <c r="S60">
        <v>22.7</v>
      </c>
      <c r="T60">
        <v>27.3</v>
      </c>
      <c r="U60">
        <v>4.5</v>
      </c>
      <c r="V60">
        <v>18.2</v>
      </c>
    </row>
    <row r="61" spans="1:22" x14ac:dyDescent="0.25">
      <c r="A61" t="s">
        <v>1359</v>
      </c>
      <c r="B61" t="s">
        <v>59</v>
      </c>
      <c r="C61">
        <v>22</v>
      </c>
      <c r="D61" t="s">
        <v>132</v>
      </c>
      <c r="E61" t="s">
        <v>69</v>
      </c>
      <c r="F61" t="s">
        <v>69</v>
      </c>
      <c r="G61">
        <v>0.5</v>
      </c>
      <c r="H61" t="s">
        <v>33</v>
      </c>
      <c r="I61">
        <v>10</v>
      </c>
      <c r="J61" t="str">
        <f>HYPERLINK("https://www.eliteprospects.com/player/436384/brandon-chabrier")</f>
        <v>https://www.eliteprospects.com/player/436384/brandon-chabrier</v>
      </c>
      <c r="K61" t="s">
        <v>27</v>
      </c>
      <c r="L61" t="s">
        <v>28</v>
      </c>
      <c r="M61" t="s">
        <v>1296</v>
      </c>
      <c r="N61">
        <v>4</v>
      </c>
      <c r="O61" t="s">
        <v>30</v>
      </c>
      <c r="P61">
        <v>0.1</v>
      </c>
      <c r="Q61" t="s">
        <v>1325</v>
      </c>
      <c r="R61">
        <v>27.3</v>
      </c>
      <c r="S61">
        <v>22.7</v>
      </c>
      <c r="T61">
        <v>27.3</v>
      </c>
      <c r="U61">
        <v>4.5</v>
      </c>
      <c r="V61">
        <v>18.2</v>
      </c>
    </row>
    <row r="62" spans="1:22" x14ac:dyDescent="0.25">
      <c r="A62" t="s">
        <v>1360</v>
      </c>
      <c r="B62" t="s">
        <v>121</v>
      </c>
      <c r="C62">
        <v>18</v>
      </c>
      <c r="D62" t="s">
        <v>96</v>
      </c>
      <c r="E62" t="s">
        <v>96</v>
      </c>
      <c r="F62" t="s">
        <v>32</v>
      </c>
      <c r="G62">
        <v>0.56000000000000005</v>
      </c>
      <c r="H62" t="s">
        <v>23</v>
      </c>
      <c r="I62">
        <v>0</v>
      </c>
      <c r="J62" t="str">
        <f>HYPERLINK("https://www.eliteprospects.com/player/639808/nicholas-bernardo")</f>
        <v>https://www.eliteprospects.com/player/639808/nicholas-bernardo</v>
      </c>
      <c r="K62" t="s">
        <v>27</v>
      </c>
      <c r="L62" t="s">
        <v>28</v>
      </c>
      <c r="M62" t="s">
        <v>1296</v>
      </c>
      <c r="N62">
        <v>2</v>
      </c>
      <c r="O62" t="s">
        <v>43</v>
      </c>
      <c r="P62">
        <v>0.11</v>
      </c>
      <c r="Q62" t="s">
        <v>1325</v>
      </c>
      <c r="R62">
        <v>27.3</v>
      </c>
      <c r="S62">
        <v>22.7</v>
      </c>
      <c r="T62">
        <v>27.3</v>
      </c>
      <c r="U62">
        <v>4.5</v>
      </c>
      <c r="V62">
        <v>18.2</v>
      </c>
    </row>
    <row r="63" spans="1:22" x14ac:dyDescent="0.25">
      <c r="A63" t="s">
        <v>1361</v>
      </c>
      <c r="B63" t="s">
        <v>37</v>
      </c>
      <c r="C63">
        <v>21</v>
      </c>
      <c r="D63" t="s">
        <v>96</v>
      </c>
      <c r="E63" t="s">
        <v>96</v>
      </c>
      <c r="F63" t="s">
        <v>32</v>
      </c>
      <c r="G63">
        <v>0.48</v>
      </c>
      <c r="H63" t="s">
        <v>79</v>
      </c>
      <c r="I63">
        <v>0</v>
      </c>
      <c r="J63" t="str">
        <f>HYPERLINK("https://www.eliteprospects.com/player/556516/grayden-siepmann")</f>
        <v>https://www.eliteprospects.com/player/556516/grayden-siepmann</v>
      </c>
      <c r="K63" t="s">
        <v>27</v>
      </c>
      <c r="L63" t="s">
        <v>28</v>
      </c>
      <c r="M63" t="s">
        <v>1296</v>
      </c>
      <c r="N63">
        <v>6</v>
      </c>
      <c r="O63" t="s">
        <v>193</v>
      </c>
      <c r="P63">
        <v>0.09</v>
      </c>
      <c r="Q63" t="s">
        <v>1325</v>
      </c>
      <c r="R63">
        <v>27.3</v>
      </c>
      <c r="S63">
        <v>22.7</v>
      </c>
      <c r="T63">
        <v>27.3</v>
      </c>
      <c r="U63">
        <v>4.5</v>
      </c>
      <c r="V63">
        <v>18.2</v>
      </c>
    </row>
    <row r="64" spans="1:22" x14ac:dyDescent="0.25">
      <c r="A64" t="s">
        <v>1362</v>
      </c>
      <c r="B64" t="s">
        <v>106</v>
      </c>
      <c r="C64">
        <v>21</v>
      </c>
      <c r="D64" t="s">
        <v>96</v>
      </c>
      <c r="E64" t="s">
        <v>96</v>
      </c>
      <c r="F64" t="s">
        <v>32</v>
      </c>
      <c r="G64">
        <v>0.48</v>
      </c>
      <c r="H64" t="s">
        <v>57</v>
      </c>
      <c r="I64">
        <v>-4</v>
      </c>
      <c r="J64" t="str">
        <f>HYPERLINK("https://www.eliteprospects.com/player/692443/tate-taylor")</f>
        <v>https://www.eliteprospects.com/player/692443/tate-taylor</v>
      </c>
      <c r="K64" t="s">
        <v>27</v>
      </c>
      <c r="L64" t="s">
        <v>28</v>
      </c>
      <c r="M64" t="s">
        <v>1296</v>
      </c>
      <c r="N64">
        <v>2</v>
      </c>
      <c r="O64" t="s">
        <v>43</v>
      </c>
      <c r="P64">
        <v>0.09</v>
      </c>
      <c r="Q64" t="s">
        <v>1325</v>
      </c>
      <c r="R64">
        <v>27.3</v>
      </c>
      <c r="S64">
        <v>22.7</v>
      </c>
      <c r="T64">
        <v>27.3</v>
      </c>
      <c r="U64">
        <v>4.5</v>
      </c>
      <c r="V64">
        <v>18.2</v>
      </c>
    </row>
    <row r="65" spans="1:22" x14ac:dyDescent="0.25">
      <c r="A65" t="s">
        <v>1363</v>
      </c>
      <c r="B65" t="s">
        <v>202</v>
      </c>
      <c r="C65">
        <v>22</v>
      </c>
      <c r="D65" t="s">
        <v>96</v>
      </c>
      <c r="E65" t="s">
        <v>96</v>
      </c>
      <c r="F65" t="s">
        <v>32</v>
      </c>
      <c r="G65">
        <v>0.45</v>
      </c>
      <c r="H65" t="s">
        <v>38</v>
      </c>
      <c r="I65">
        <v>-2</v>
      </c>
      <c r="J65" t="str">
        <f>HYPERLINK("https://www.eliteprospects.com/player/476026/marc-lajoie")</f>
        <v>https://www.eliteprospects.com/player/476026/marc-lajoie</v>
      </c>
      <c r="K65" t="s">
        <v>27</v>
      </c>
      <c r="L65" t="s">
        <v>28</v>
      </c>
      <c r="M65" t="s">
        <v>1296</v>
      </c>
      <c r="N65">
        <v>6</v>
      </c>
      <c r="O65" t="s">
        <v>193</v>
      </c>
      <c r="P65">
        <v>0.09</v>
      </c>
      <c r="Q65" t="s">
        <v>1325</v>
      </c>
      <c r="R65">
        <v>27.3</v>
      </c>
      <c r="S65">
        <v>22.7</v>
      </c>
      <c r="T65">
        <v>27.3</v>
      </c>
      <c r="U65">
        <v>4.5</v>
      </c>
      <c r="V65">
        <v>18.2</v>
      </c>
    </row>
    <row r="66" spans="1:22" x14ac:dyDescent="0.25">
      <c r="A66" t="s">
        <v>1364</v>
      </c>
      <c r="B66" t="s">
        <v>83</v>
      </c>
      <c r="C66">
        <v>17</v>
      </c>
      <c r="D66" t="s">
        <v>66</v>
      </c>
      <c r="E66" t="s">
        <v>57</v>
      </c>
      <c r="F66" t="s">
        <v>32</v>
      </c>
      <c r="G66">
        <v>0.59</v>
      </c>
      <c r="H66" t="s">
        <v>32</v>
      </c>
      <c r="I66">
        <v>18</v>
      </c>
      <c r="J66" t="str">
        <f>HYPERLINK("https://www.eliteprospects.com/player/553204/colin-grable")</f>
        <v>https://www.eliteprospects.com/player/553204/colin-grable</v>
      </c>
      <c r="K66" t="s">
        <v>27</v>
      </c>
      <c r="L66" t="s">
        <v>28</v>
      </c>
      <c r="M66" t="s">
        <v>1296</v>
      </c>
      <c r="N66">
        <v>2</v>
      </c>
      <c r="O66" t="s">
        <v>43</v>
      </c>
      <c r="P66">
        <v>0.11</v>
      </c>
      <c r="Q66" t="s">
        <v>1325</v>
      </c>
      <c r="R66">
        <v>27.3</v>
      </c>
      <c r="S66">
        <v>22.7</v>
      </c>
      <c r="T66">
        <v>27.3</v>
      </c>
      <c r="U66">
        <v>4.5</v>
      </c>
      <c r="V66">
        <v>18.2</v>
      </c>
    </row>
    <row r="67" spans="1:22" x14ac:dyDescent="0.25">
      <c r="A67" t="s">
        <v>1365</v>
      </c>
      <c r="B67" t="s">
        <v>238</v>
      </c>
      <c r="C67">
        <v>21</v>
      </c>
      <c r="D67" t="s">
        <v>66</v>
      </c>
      <c r="E67" t="s">
        <v>57</v>
      </c>
      <c r="F67" t="s">
        <v>32</v>
      </c>
      <c r="G67">
        <v>0.48</v>
      </c>
      <c r="H67" t="s">
        <v>26</v>
      </c>
      <c r="I67">
        <v>-13</v>
      </c>
      <c r="J67" t="str">
        <f>HYPERLINK("https://www.eliteprospects.com/player/640301/kazimier-sobieski")</f>
        <v>https://www.eliteprospects.com/player/640301/kazimier-sobieski</v>
      </c>
      <c r="K67" t="s">
        <v>27</v>
      </c>
      <c r="L67" t="s">
        <v>28</v>
      </c>
      <c r="M67" t="s">
        <v>1296</v>
      </c>
      <c r="N67">
        <v>2</v>
      </c>
      <c r="O67" t="s">
        <v>43</v>
      </c>
      <c r="P67">
        <v>0.09</v>
      </c>
      <c r="Q67" t="s">
        <v>1325</v>
      </c>
      <c r="R67">
        <v>27.3</v>
      </c>
      <c r="S67">
        <v>22.7</v>
      </c>
      <c r="T67">
        <v>27.3</v>
      </c>
      <c r="U67">
        <v>4.5</v>
      </c>
      <c r="V67">
        <v>18.2</v>
      </c>
    </row>
    <row r="68" spans="1:22" x14ac:dyDescent="0.25">
      <c r="A68" t="s">
        <v>1366</v>
      </c>
      <c r="B68" t="s">
        <v>139</v>
      </c>
      <c r="C68">
        <v>14</v>
      </c>
      <c r="D68" t="s">
        <v>140</v>
      </c>
      <c r="E68" t="s">
        <v>78</v>
      </c>
      <c r="F68" t="s">
        <v>32</v>
      </c>
      <c r="G68">
        <v>0.71</v>
      </c>
      <c r="H68" t="s">
        <v>26</v>
      </c>
      <c r="I68">
        <v>4</v>
      </c>
      <c r="J68" t="str">
        <f>HYPERLINK("https://www.eliteprospects.com/player/807168/luke-osburn")</f>
        <v>https://www.eliteprospects.com/player/807168/luke-osburn</v>
      </c>
      <c r="K68" t="s">
        <v>27</v>
      </c>
      <c r="L68" t="s">
        <v>28</v>
      </c>
      <c r="M68" t="s">
        <v>1296</v>
      </c>
      <c r="N68">
        <v>1</v>
      </c>
      <c r="O68" t="s">
        <v>71</v>
      </c>
      <c r="P68">
        <v>0.14000000000000001</v>
      </c>
      <c r="Q68" t="s">
        <v>1300</v>
      </c>
      <c r="R68">
        <v>30.8</v>
      </c>
      <c r="S68">
        <v>20.5</v>
      </c>
      <c r="T68">
        <v>10.3</v>
      </c>
      <c r="U68">
        <v>10.3</v>
      </c>
      <c r="V68">
        <v>28.2</v>
      </c>
    </row>
    <row r="69" spans="1:22" x14ac:dyDescent="0.25">
      <c r="A69" t="s">
        <v>1367</v>
      </c>
      <c r="B69" t="s">
        <v>139</v>
      </c>
      <c r="C69">
        <v>17</v>
      </c>
      <c r="D69" t="s">
        <v>140</v>
      </c>
      <c r="E69" t="s">
        <v>78</v>
      </c>
      <c r="F69" t="s">
        <v>32</v>
      </c>
      <c r="G69">
        <v>0.59</v>
      </c>
      <c r="H69" t="s">
        <v>66</v>
      </c>
      <c r="I69">
        <v>9</v>
      </c>
      <c r="J69" t="str">
        <f>HYPERLINK("https://www.eliteprospects.com/player/616256/joe-palodichuk")</f>
        <v>https://www.eliteprospects.com/player/616256/joe-palodichuk</v>
      </c>
      <c r="K69" t="s">
        <v>27</v>
      </c>
      <c r="L69" t="s">
        <v>28</v>
      </c>
      <c r="M69" t="s">
        <v>1296</v>
      </c>
      <c r="N69">
        <v>3</v>
      </c>
      <c r="O69" t="s">
        <v>74</v>
      </c>
      <c r="P69">
        <v>0.11</v>
      </c>
      <c r="Q69" t="s">
        <v>1325</v>
      </c>
      <c r="R69">
        <v>27.3</v>
      </c>
      <c r="S69">
        <v>22.7</v>
      </c>
      <c r="T69">
        <v>27.3</v>
      </c>
      <c r="U69">
        <v>4.5</v>
      </c>
      <c r="V69">
        <v>18.2</v>
      </c>
    </row>
    <row r="70" spans="1:22" x14ac:dyDescent="0.25">
      <c r="A70" t="s">
        <v>1368</v>
      </c>
      <c r="B70" t="s">
        <v>234</v>
      </c>
      <c r="C70">
        <v>17</v>
      </c>
      <c r="D70" t="s">
        <v>140</v>
      </c>
      <c r="E70" t="s">
        <v>78</v>
      </c>
      <c r="F70" t="s">
        <v>32</v>
      </c>
      <c r="G70">
        <v>0.59</v>
      </c>
      <c r="H70" t="s">
        <v>39</v>
      </c>
      <c r="I70">
        <v>-5</v>
      </c>
      <c r="J70" t="str">
        <f>HYPERLINK("https://www.eliteprospects.com/player/535645/matthew-desiderio")</f>
        <v>https://www.eliteprospects.com/player/535645/matthew-desiderio</v>
      </c>
      <c r="K70" t="s">
        <v>27</v>
      </c>
      <c r="L70" t="s">
        <v>28</v>
      </c>
      <c r="M70" t="s">
        <v>1296</v>
      </c>
      <c r="N70">
        <v>1</v>
      </c>
      <c r="O70" t="s">
        <v>71</v>
      </c>
      <c r="P70">
        <v>0.11</v>
      </c>
      <c r="Q70" t="s">
        <v>1325</v>
      </c>
      <c r="R70">
        <v>27.3</v>
      </c>
      <c r="S70">
        <v>22.7</v>
      </c>
      <c r="T70">
        <v>27.3</v>
      </c>
      <c r="U70">
        <v>4.5</v>
      </c>
      <c r="V70">
        <v>18.2</v>
      </c>
    </row>
    <row r="71" spans="1:22" x14ac:dyDescent="0.25">
      <c r="A71" t="s">
        <v>1369</v>
      </c>
      <c r="B71" t="s">
        <v>177</v>
      </c>
      <c r="C71">
        <v>19</v>
      </c>
      <c r="D71" t="s">
        <v>140</v>
      </c>
      <c r="E71" t="s">
        <v>78</v>
      </c>
      <c r="F71" t="s">
        <v>32</v>
      </c>
      <c r="G71">
        <v>0.53</v>
      </c>
      <c r="H71" t="s">
        <v>84</v>
      </c>
      <c r="I71">
        <v>8</v>
      </c>
      <c r="J71" t="str">
        <f>HYPERLINK("https://www.eliteprospects.com/player/325955/lane-brockhoff")</f>
        <v>https://www.eliteprospects.com/player/325955/lane-brockhoff</v>
      </c>
      <c r="K71" t="s">
        <v>27</v>
      </c>
      <c r="L71" t="s">
        <v>28</v>
      </c>
      <c r="M71" t="s">
        <v>1296</v>
      </c>
      <c r="N71">
        <v>4</v>
      </c>
      <c r="O71" t="s">
        <v>30</v>
      </c>
      <c r="P71">
        <v>0.1</v>
      </c>
      <c r="Q71" t="s">
        <v>1325</v>
      </c>
      <c r="R71">
        <v>27.3</v>
      </c>
      <c r="S71">
        <v>22.7</v>
      </c>
      <c r="T71">
        <v>27.3</v>
      </c>
      <c r="U71">
        <v>4.5</v>
      </c>
      <c r="V71">
        <v>18.2</v>
      </c>
    </row>
    <row r="72" spans="1:22" x14ac:dyDescent="0.25">
      <c r="A72" t="s">
        <v>1370</v>
      </c>
      <c r="B72" t="s">
        <v>73</v>
      </c>
      <c r="C72">
        <v>22</v>
      </c>
      <c r="D72" t="s">
        <v>140</v>
      </c>
      <c r="E72" t="s">
        <v>78</v>
      </c>
      <c r="F72" t="s">
        <v>32</v>
      </c>
      <c r="G72">
        <v>0.45</v>
      </c>
      <c r="H72" t="s">
        <v>79</v>
      </c>
      <c r="I72">
        <v>2</v>
      </c>
      <c r="J72" t="str">
        <f>HYPERLINK("https://www.eliteprospects.com/player/603702/finn-loftus")</f>
        <v>https://www.eliteprospects.com/player/603702/finn-loftus</v>
      </c>
      <c r="K72" t="s">
        <v>27</v>
      </c>
      <c r="L72" t="s">
        <v>28</v>
      </c>
      <c r="M72" t="s">
        <v>1296</v>
      </c>
      <c r="N72">
        <v>2</v>
      </c>
      <c r="O72" t="s">
        <v>43</v>
      </c>
      <c r="P72">
        <v>0.09</v>
      </c>
      <c r="Q72" t="s">
        <v>1325</v>
      </c>
      <c r="R72">
        <v>27.3</v>
      </c>
      <c r="S72">
        <v>22.7</v>
      </c>
      <c r="T72">
        <v>27.3</v>
      </c>
      <c r="U72">
        <v>4.5</v>
      </c>
      <c r="V72">
        <v>18.2</v>
      </c>
    </row>
    <row r="73" spans="1:22" x14ac:dyDescent="0.25">
      <c r="A73" t="s">
        <v>1371</v>
      </c>
      <c r="B73" t="s">
        <v>148</v>
      </c>
      <c r="C73">
        <v>23</v>
      </c>
      <c r="D73" t="s">
        <v>140</v>
      </c>
      <c r="E73" t="s">
        <v>78</v>
      </c>
      <c r="F73" t="s">
        <v>32</v>
      </c>
      <c r="G73">
        <v>0.43</v>
      </c>
      <c r="H73" t="s">
        <v>125</v>
      </c>
      <c r="I73">
        <v>3</v>
      </c>
      <c r="J73" t="str">
        <f>HYPERLINK("https://www.eliteprospects.com/player/499372/hayden-hennen")</f>
        <v>https://www.eliteprospects.com/player/499372/hayden-hennen</v>
      </c>
      <c r="K73" t="s">
        <v>27</v>
      </c>
      <c r="L73" t="s">
        <v>28</v>
      </c>
      <c r="M73" t="s">
        <v>1296</v>
      </c>
      <c r="N73">
        <v>3</v>
      </c>
      <c r="O73" t="s">
        <v>74</v>
      </c>
      <c r="P73">
        <v>0.08</v>
      </c>
      <c r="Q73" t="s">
        <v>1325</v>
      </c>
      <c r="R73">
        <v>30</v>
      </c>
      <c r="S73">
        <v>25</v>
      </c>
      <c r="T73">
        <v>32.5</v>
      </c>
      <c r="U73">
        <v>5</v>
      </c>
      <c r="V73">
        <v>7.5</v>
      </c>
    </row>
    <row r="74" spans="1:22" x14ac:dyDescent="0.25">
      <c r="A74" t="s">
        <v>1372</v>
      </c>
      <c r="B74" t="s">
        <v>44</v>
      </c>
      <c r="C74">
        <v>24</v>
      </c>
      <c r="D74" t="s">
        <v>140</v>
      </c>
      <c r="E74" t="s">
        <v>78</v>
      </c>
      <c r="F74" t="s">
        <v>32</v>
      </c>
      <c r="G74">
        <v>0.42</v>
      </c>
      <c r="H74" t="s">
        <v>79</v>
      </c>
      <c r="I74">
        <v>-2</v>
      </c>
      <c r="J74" t="str">
        <f>HYPERLINK("https://www.eliteprospects.com/player/603574/reid-andresen")</f>
        <v>https://www.eliteprospects.com/player/603574/reid-andresen</v>
      </c>
      <c r="K74" t="s">
        <v>27</v>
      </c>
      <c r="L74" t="s">
        <v>28</v>
      </c>
      <c r="M74" t="s">
        <v>1296</v>
      </c>
      <c r="N74">
        <v>6</v>
      </c>
      <c r="O74" t="s">
        <v>193</v>
      </c>
      <c r="P74">
        <v>0.08</v>
      </c>
      <c r="Q74" t="s">
        <v>1325</v>
      </c>
      <c r="R74">
        <v>30</v>
      </c>
      <c r="S74">
        <v>25</v>
      </c>
      <c r="T74">
        <v>32.5</v>
      </c>
      <c r="U74">
        <v>5</v>
      </c>
      <c r="V74">
        <v>7.5</v>
      </c>
    </row>
    <row r="75" spans="1:22" x14ac:dyDescent="0.25">
      <c r="A75" t="s">
        <v>1373</v>
      </c>
      <c r="B75" t="s">
        <v>177</v>
      </c>
      <c r="C75">
        <v>17</v>
      </c>
      <c r="D75" t="s">
        <v>79</v>
      </c>
      <c r="E75" t="s">
        <v>26</v>
      </c>
      <c r="F75" t="s">
        <v>32</v>
      </c>
      <c r="G75">
        <v>0.59</v>
      </c>
      <c r="H75" t="s">
        <v>79</v>
      </c>
      <c r="I75">
        <v>-3</v>
      </c>
      <c r="J75" t="str">
        <f>HYPERLINK("https://www.eliteprospects.com/player/538400/nathan-oickle")</f>
        <v>https://www.eliteprospects.com/player/538400/nathan-oickle</v>
      </c>
      <c r="K75" t="s">
        <v>27</v>
      </c>
      <c r="L75" t="s">
        <v>28</v>
      </c>
      <c r="M75" t="s">
        <v>1296</v>
      </c>
      <c r="N75">
        <v>2</v>
      </c>
      <c r="O75" t="s">
        <v>43</v>
      </c>
      <c r="P75">
        <v>0.11</v>
      </c>
      <c r="Q75" t="s">
        <v>1325</v>
      </c>
      <c r="R75">
        <v>27.3</v>
      </c>
      <c r="S75">
        <v>22.7</v>
      </c>
      <c r="T75">
        <v>27.3</v>
      </c>
      <c r="U75">
        <v>4.5</v>
      </c>
      <c r="V75">
        <v>18.2</v>
      </c>
    </row>
    <row r="76" spans="1:22" x14ac:dyDescent="0.25">
      <c r="A76" t="s">
        <v>1374</v>
      </c>
      <c r="B76" t="s">
        <v>195</v>
      </c>
      <c r="C76">
        <v>20</v>
      </c>
      <c r="D76" t="s">
        <v>79</v>
      </c>
      <c r="E76" t="s">
        <v>26</v>
      </c>
      <c r="F76" t="s">
        <v>32</v>
      </c>
      <c r="G76">
        <v>0.5</v>
      </c>
      <c r="H76" t="s">
        <v>47</v>
      </c>
      <c r="I76">
        <v>7</v>
      </c>
      <c r="J76" t="str">
        <f>HYPERLINK("https://www.eliteprospects.com/player/685705/gavin-mccarthy")</f>
        <v>https://www.eliteprospects.com/player/685705/gavin-mccarthy</v>
      </c>
      <c r="K76" t="s">
        <v>27</v>
      </c>
      <c r="L76" t="s">
        <v>28</v>
      </c>
      <c r="M76" t="s">
        <v>1296</v>
      </c>
      <c r="N76">
        <v>3</v>
      </c>
      <c r="O76" t="s">
        <v>74</v>
      </c>
      <c r="P76">
        <v>0.1</v>
      </c>
      <c r="Q76" t="s">
        <v>1325</v>
      </c>
      <c r="R76">
        <v>27.3</v>
      </c>
      <c r="S76">
        <v>22.7</v>
      </c>
      <c r="T76">
        <v>27.3</v>
      </c>
      <c r="U76">
        <v>4.5</v>
      </c>
      <c r="V76">
        <v>18.2</v>
      </c>
    </row>
    <row r="77" spans="1:22" x14ac:dyDescent="0.25">
      <c r="A77" t="s">
        <v>1375</v>
      </c>
      <c r="B77" t="s">
        <v>171</v>
      </c>
      <c r="C77">
        <v>21</v>
      </c>
      <c r="D77" t="s">
        <v>79</v>
      </c>
      <c r="E77" t="s">
        <v>26</v>
      </c>
      <c r="F77" t="s">
        <v>32</v>
      </c>
      <c r="G77">
        <v>0.48</v>
      </c>
      <c r="H77" t="s">
        <v>66</v>
      </c>
      <c r="I77">
        <v>-3</v>
      </c>
      <c r="J77" t="str">
        <f>HYPERLINK("https://www.eliteprospects.com/player/473038/t.j.-schweighardt")</f>
        <v>https://www.eliteprospects.com/player/473038/t.j.-schweighardt</v>
      </c>
      <c r="K77" t="s">
        <v>27</v>
      </c>
      <c r="L77" t="s">
        <v>28</v>
      </c>
      <c r="M77" t="s">
        <v>1296</v>
      </c>
      <c r="N77">
        <v>4</v>
      </c>
      <c r="O77" t="s">
        <v>30</v>
      </c>
      <c r="P77">
        <v>0.09</v>
      </c>
      <c r="Q77" t="s">
        <v>1325</v>
      </c>
      <c r="R77">
        <v>27.3</v>
      </c>
      <c r="S77">
        <v>22.7</v>
      </c>
      <c r="T77">
        <v>27.3</v>
      </c>
      <c r="U77">
        <v>4.5</v>
      </c>
      <c r="V77">
        <v>18.2</v>
      </c>
    </row>
    <row r="78" spans="1:22" x14ac:dyDescent="0.25">
      <c r="A78" t="s">
        <v>1376</v>
      </c>
      <c r="B78" t="s">
        <v>171</v>
      </c>
      <c r="C78">
        <v>21</v>
      </c>
      <c r="D78" t="s">
        <v>79</v>
      </c>
      <c r="E78" t="s">
        <v>26</v>
      </c>
      <c r="F78" t="s">
        <v>32</v>
      </c>
      <c r="G78">
        <v>0.48</v>
      </c>
      <c r="H78" t="s">
        <v>46</v>
      </c>
      <c r="I78">
        <v>-2</v>
      </c>
      <c r="J78" t="str">
        <f>HYPERLINK("https://www.eliteprospects.com/player/641137/luke-shipley")</f>
        <v>https://www.eliteprospects.com/player/641137/luke-shipley</v>
      </c>
      <c r="K78" t="s">
        <v>27</v>
      </c>
      <c r="L78" t="s">
        <v>28</v>
      </c>
      <c r="M78" t="s">
        <v>1296</v>
      </c>
      <c r="N78">
        <v>6</v>
      </c>
      <c r="O78" t="s">
        <v>193</v>
      </c>
      <c r="P78">
        <v>0.09</v>
      </c>
      <c r="Q78" t="s">
        <v>1325</v>
      </c>
      <c r="R78">
        <v>27.3</v>
      </c>
      <c r="S78">
        <v>22.7</v>
      </c>
      <c r="T78">
        <v>27.3</v>
      </c>
      <c r="U78">
        <v>4.5</v>
      </c>
      <c r="V78">
        <v>18.2</v>
      </c>
    </row>
    <row r="79" spans="1:22" x14ac:dyDescent="0.25">
      <c r="A79" t="s">
        <v>1377</v>
      </c>
      <c r="B79" t="s">
        <v>150</v>
      </c>
      <c r="C79">
        <v>19</v>
      </c>
      <c r="D79" t="s">
        <v>260</v>
      </c>
      <c r="E79" t="s">
        <v>45</v>
      </c>
      <c r="F79" t="s">
        <v>32</v>
      </c>
      <c r="G79">
        <v>0.53</v>
      </c>
      <c r="H79" t="s">
        <v>61</v>
      </c>
      <c r="I79">
        <v>-5</v>
      </c>
      <c r="J79" t="str">
        <f>HYPERLINK("https://www.eliteprospects.com/player/658972/broten-sabo")</f>
        <v>https://www.eliteprospects.com/player/658972/broten-sabo</v>
      </c>
      <c r="K79" t="s">
        <v>27</v>
      </c>
      <c r="L79" t="s">
        <v>28</v>
      </c>
      <c r="M79" t="s">
        <v>1296</v>
      </c>
      <c r="N79">
        <v>3</v>
      </c>
      <c r="O79" t="s">
        <v>74</v>
      </c>
      <c r="P79">
        <v>0.1</v>
      </c>
      <c r="Q79" t="s">
        <v>1325</v>
      </c>
      <c r="R79">
        <v>27.3</v>
      </c>
      <c r="S79">
        <v>22.7</v>
      </c>
      <c r="T79">
        <v>27.3</v>
      </c>
      <c r="U79">
        <v>4.5</v>
      </c>
      <c r="V79">
        <v>18.2</v>
      </c>
    </row>
    <row r="80" spans="1:22" x14ac:dyDescent="0.25">
      <c r="A80" t="s">
        <v>1378</v>
      </c>
      <c r="B80" t="s">
        <v>95</v>
      </c>
      <c r="C80">
        <v>20</v>
      </c>
      <c r="D80" t="s">
        <v>260</v>
      </c>
      <c r="E80" t="s">
        <v>45</v>
      </c>
      <c r="F80" t="s">
        <v>32</v>
      </c>
      <c r="G80">
        <v>0.5</v>
      </c>
      <c r="H80" t="s">
        <v>39</v>
      </c>
      <c r="I80">
        <v>12</v>
      </c>
      <c r="J80" t="str">
        <f>HYPERLINK("https://www.eliteprospects.com/player/588623/theo-wallberg")</f>
        <v>https://www.eliteprospects.com/player/588623/theo-wallberg</v>
      </c>
      <c r="K80" t="s">
        <v>27</v>
      </c>
      <c r="L80" t="s">
        <v>28</v>
      </c>
      <c r="M80" t="s">
        <v>1296</v>
      </c>
      <c r="N80">
        <v>3</v>
      </c>
      <c r="O80" t="s">
        <v>74</v>
      </c>
      <c r="P80">
        <v>0.1</v>
      </c>
      <c r="Q80" t="s">
        <v>1325</v>
      </c>
      <c r="R80">
        <v>27.3</v>
      </c>
      <c r="S80">
        <v>22.7</v>
      </c>
      <c r="T80">
        <v>27.3</v>
      </c>
      <c r="U80">
        <v>4.5</v>
      </c>
      <c r="V80">
        <v>18.2</v>
      </c>
    </row>
    <row r="81" spans="1:22" x14ac:dyDescent="0.25">
      <c r="A81" t="s">
        <v>1379</v>
      </c>
      <c r="B81" t="s">
        <v>146</v>
      </c>
      <c r="C81">
        <v>22</v>
      </c>
      <c r="D81" t="s">
        <v>260</v>
      </c>
      <c r="E81" t="s">
        <v>45</v>
      </c>
      <c r="F81" t="s">
        <v>32</v>
      </c>
      <c r="G81">
        <v>0.45</v>
      </c>
      <c r="H81" t="s">
        <v>66</v>
      </c>
      <c r="I81">
        <v>-8</v>
      </c>
      <c r="J81" t="str">
        <f>HYPERLINK("https://www.eliteprospects.com/player/497327/evan-bushy")</f>
        <v>https://www.eliteprospects.com/player/497327/evan-bushy</v>
      </c>
      <c r="K81" t="s">
        <v>27</v>
      </c>
      <c r="L81" t="s">
        <v>28</v>
      </c>
      <c r="M81" t="s">
        <v>1296</v>
      </c>
      <c r="N81">
        <v>3</v>
      </c>
      <c r="O81" t="s">
        <v>74</v>
      </c>
      <c r="P81">
        <v>0.09</v>
      </c>
      <c r="Q81" t="s">
        <v>1325</v>
      </c>
      <c r="R81">
        <v>27.3</v>
      </c>
      <c r="S81">
        <v>22.7</v>
      </c>
      <c r="T81">
        <v>27.3</v>
      </c>
      <c r="U81">
        <v>4.5</v>
      </c>
      <c r="V81">
        <v>18.2</v>
      </c>
    </row>
    <row r="82" spans="1:22" x14ac:dyDescent="0.25">
      <c r="A82" t="s">
        <v>1380</v>
      </c>
      <c r="B82" t="s">
        <v>50</v>
      </c>
      <c r="C82">
        <v>22</v>
      </c>
      <c r="D82" t="s">
        <v>260</v>
      </c>
      <c r="E82" t="s">
        <v>45</v>
      </c>
      <c r="F82" t="s">
        <v>32</v>
      </c>
      <c r="G82">
        <v>0.45</v>
      </c>
      <c r="H82" t="s">
        <v>26</v>
      </c>
      <c r="I82">
        <v>20</v>
      </c>
      <c r="J82" t="str">
        <f>HYPERLINK("https://www.eliteprospects.com/player/577011/asher-barnett")</f>
        <v>https://www.eliteprospects.com/player/577011/asher-barnett</v>
      </c>
      <c r="K82" t="s">
        <v>27</v>
      </c>
      <c r="L82" t="s">
        <v>28</v>
      </c>
      <c r="M82" t="s">
        <v>1296</v>
      </c>
      <c r="N82">
        <v>1</v>
      </c>
      <c r="O82" t="s">
        <v>71</v>
      </c>
      <c r="P82">
        <v>0.09</v>
      </c>
      <c r="Q82" t="s">
        <v>1325</v>
      </c>
      <c r="R82">
        <v>27.3</v>
      </c>
      <c r="S82">
        <v>22.7</v>
      </c>
      <c r="T82">
        <v>27.3</v>
      </c>
      <c r="U82">
        <v>4.5</v>
      </c>
      <c r="V82">
        <v>18.2</v>
      </c>
    </row>
    <row r="83" spans="1:22" x14ac:dyDescent="0.25">
      <c r="A83" t="s">
        <v>1381</v>
      </c>
      <c r="B83" t="s">
        <v>73</v>
      </c>
      <c r="C83">
        <v>22</v>
      </c>
      <c r="D83" t="s">
        <v>260</v>
      </c>
      <c r="E83" t="s">
        <v>45</v>
      </c>
      <c r="F83" t="s">
        <v>32</v>
      </c>
      <c r="G83">
        <v>0.45</v>
      </c>
      <c r="H83" t="s">
        <v>26</v>
      </c>
      <c r="I83">
        <v>0</v>
      </c>
      <c r="J83" t="str">
        <f>HYPERLINK("https://www.eliteprospects.com/player/600494/cooper-wylie")</f>
        <v>https://www.eliteprospects.com/player/600494/cooper-wylie</v>
      </c>
      <c r="K83" t="s">
        <v>27</v>
      </c>
      <c r="L83" t="s">
        <v>28</v>
      </c>
      <c r="M83" t="s">
        <v>1296</v>
      </c>
      <c r="N83">
        <v>4</v>
      </c>
      <c r="O83" t="s">
        <v>30</v>
      </c>
      <c r="P83">
        <v>0.09</v>
      </c>
      <c r="Q83" t="s">
        <v>1325</v>
      </c>
      <c r="R83">
        <v>27.3</v>
      </c>
      <c r="S83">
        <v>22.7</v>
      </c>
      <c r="T83">
        <v>27.3</v>
      </c>
      <c r="U83">
        <v>4.5</v>
      </c>
      <c r="V83">
        <v>18.2</v>
      </c>
    </row>
    <row r="84" spans="1:22" x14ac:dyDescent="0.25">
      <c r="A84" t="s">
        <v>1382</v>
      </c>
      <c r="B84" t="s">
        <v>148</v>
      </c>
      <c r="C84">
        <v>23</v>
      </c>
      <c r="D84" t="s">
        <v>260</v>
      </c>
      <c r="E84" t="s">
        <v>45</v>
      </c>
      <c r="F84" t="s">
        <v>32</v>
      </c>
      <c r="G84">
        <v>0.43</v>
      </c>
      <c r="H84" t="s">
        <v>32</v>
      </c>
      <c r="I84">
        <v>3</v>
      </c>
      <c r="J84" t="str">
        <f>HYPERLINK("https://www.eliteprospects.com/player/623774/easton-young")</f>
        <v>https://www.eliteprospects.com/player/623774/easton-young</v>
      </c>
      <c r="K84" t="s">
        <v>27</v>
      </c>
      <c r="L84" t="s">
        <v>28</v>
      </c>
      <c r="M84" t="s">
        <v>1296</v>
      </c>
      <c r="N84">
        <v>2</v>
      </c>
      <c r="O84" t="s">
        <v>43</v>
      </c>
      <c r="P84">
        <v>0.08</v>
      </c>
      <c r="Q84" t="s">
        <v>1325</v>
      </c>
      <c r="R84">
        <v>30</v>
      </c>
      <c r="S84">
        <v>25</v>
      </c>
      <c r="T84">
        <v>32.5</v>
      </c>
      <c r="U84">
        <v>5</v>
      </c>
      <c r="V84">
        <v>7.5</v>
      </c>
    </row>
    <row r="85" spans="1:22" x14ac:dyDescent="0.25">
      <c r="A85" t="s">
        <v>1383</v>
      </c>
      <c r="B85" t="s">
        <v>85</v>
      </c>
      <c r="C85">
        <v>16</v>
      </c>
      <c r="D85" t="s">
        <v>132</v>
      </c>
      <c r="E85" t="s">
        <v>32</v>
      </c>
      <c r="F85" t="s">
        <v>32</v>
      </c>
      <c r="G85">
        <v>0.63</v>
      </c>
      <c r="H85" t="s">
        <v>66</v>
      </c>
      <c r="I85">
        <v>8</v>
      </c>
      <c r="J85" t="str">
        <f>HYPERLINK("https://www.eliteprospects.com/player/582587/kai-greaves")</f>
        <v>https://www.eliteprospects.com/player/582587/kai-greaves</v>
      </c>
      <c r="K85" t="s">
        <v>27</v>
      </c>
      <c r="L85" t="s">
        <v>28</v>
      </c>
      <c r="M85" t="s">
        <v>1296</v>
      </c>
      <c r="N85">
        <v>2</v>
      </c>
      <c r="O85" t="s">
        <v>43</v>
      </c>
      <c r="P85">
        <v>0.12</v>
      </c>
      <c r="Q85" t="s">
        <v>1300</v>
      </c>
      <c r="R85">
        <v>30.8</v>
      </c>
      <c r="S85">
        <v>20.5</v>
      </c>
      <c r="T85">
        <v>10.3</v>
      </c>
      <c r="U85">
        <v>10.3</v>
      </c>
      <c r="V85">
        <v>28.2</v>
      </c>
    </row>
    <row r="86" spans="1:22" x14ac:dyDescent="0.25">
      <c r="A86" t="s">
        <v>1384</v>
      </c>
      <c r="B86" t="s">
        <v>205</v>
      </c>
      <c r="C86">
        <v>22</v>
      </c>
      <c r="D86" t="s">
        <v>132</v>
      </c>
      <c r="E86" t="s">
        <v>32</v>
      </c>
      <c r="F86" t="s">
        <v>32</v>
      </c>
      <c r="G86">
        <v>0.45</v>
      </c>
      <c r="H86" t="s">
        <v>47</v>
      </c>
      <c r="I86">
        <v>4</v>
      </c>
      <c r="J86" t="str">
        <f>HYPERLINK("https://www.eliteprospects.com/player/539096/tristan-allen")</f>
        <v>https://www.eliteprospects.com/player/539096/tristan-allen</v>
      </c>
      <c r="K86" t="s">
        <v>27</v>
      </c>
      <c r="L86" t="s">
        <v>28</v>
      </c>
      <c r="M86" t="s">
        <v>1296</v>
      </c>
      <c r="N86">
        <v>2</v>
      </c>
      <c r="O86" t="s">
        <v>43</v>
      </c>
      <c r="P86">
        <v>0.09</v>
      </c>
      <c r="Q86" t="s">
        <v>1325</v>
      </c>
      <c r="R86">
        <v>27.3</v>
      </c>
      <c r="S86">
        <v>22.7</v>
      </c>
      <c r="T86">
        <v>27.3</v>
      </c>
      <c r="U86">
        <v>4.5</v>
      </c>
      <c r="V86">
        <v>18.2</v>
      </c>
    </row>
    <row r="87" spans="1:22" x14ac:dyDescent="0.25">
      <c r="A87" t="s">
        <v>1385</v>
      </c>
      <c r="B87" t="s">
        <v>189</v>
      </c>
      <c r="C87">
        <v>24</v>
      </c>
      <c r="D87" t="s">
        <v>132</v>
      </c>
      <c r="E87" t="s">
        <v>32</v>
      </c>
      <c r="F87" t="s">
        <v>32</v>
      </c>
      <c r="G87">
        <v>0.42</v>
      </c>
      <c r="H87" t="s">
        <v>66</v>
      </c>
      <c r="I87">
        <v>-7</v>
      </c>
      <c r="J87" t="str">
        <f>HYPERLINK("https://www.eliteprospects.com/player/619179/christopher-lie")</f>
        <v>https://www.eliteprospects.com/player/619179/christopher-lie</v>
      </c>
      <c r="K87" t="s">
        <v>27</v>
      </c>
      <c r="L87" t="s">
        <v>28</v>
      </c>
      <c r="M87" t="s">
        <v>1296</v>
      </c>
      <c r="N87">
        <v>2</v>
      </c>
      <c r="O87" t="s">
        <v>43</v>
      </c>
      <c r="P87">
        <v>0.08</v>
      </c>
      <c r="Q87" t="s">
        <v>1325</v>
      </c>
      <c r="R87">
        <v>30</v>
      </c>
      <c r="S87">
        <v>25</v>
      </c>
      <c r="T87">
        <v>32.5</v>
      </c>
      <c r="U87">
        <v>5</v>
      </c>
      <c r="V87">
        <v>7.5</v>
      </c>
    </row>
    <row r="88" spans="1:22" x14ac:dyDescent="0.25">
      <c r="A88" t="s">
        <v>1386</v>
      </c>
      <c r="B88" t="s">
        <v>114</v>
      </c>
      <c r="C88">
        <v>18</v>
      </c>
      <c r="D88" t="s">
        <v>96</v>
      </c>
      <c r="E88" t="s">
        <v>66</v>
      </c>
      <c r="F88" t="s">
        <v>45</v>
      </c>
      <c r="G88">
        <v>0.5</v>
      </c>
      <c r="H88" t="s">
        <v>79</v>
      </c>
      <c r="I88">
        <v>4</v>
      </c>
      <c r="J88" t="str">
        <f>HYPERLINK("https://www.eliteprospects.com/player/417298/michael-bevilacqua")</f>
        <v>https://www.eliteprospects.com/player/417298/michael-bevilacqua</v>
      </c>
      <c r="K88" t="s">
        <v>27</v>
      </c>
      <c r="L88" t="s">
        <v>28</v>
      </c>
      <c r="M88" t="s">
        <v>1296</v>
      </c>
      <c r="N88">
        <v>6</v>
      </c>
      <c r="O88" t="s">
        <v>1387</v>
      </c>
      <c r="P88">
        <v>0.1</v>
      </c>
      <c r="Q88" t="s">
        <v>1325</v>
      </c>
      <c r="R88">
        <v>27.3</v>
      </c>
      <c r="S88">
        <v>22.7</v>
      </c>
      <c r="T88">
        <v>27.3</v>
      </c>
      <c r="U88">
        <v>4.5</v>
      </c>
      <c r="V88">
        <v>18.2</v>
      </c>
    </row>
    <row r="89" spans="1:22" x14ac:dyDescent="0.25">
      <c r="A89" t="s">
        <v>1388</v>
      </c>
      <c r="B89" t="s">
        <v>312</v>
      </c>
      <c r="C89">
        <v>18</v>
      </c>
      <c r="D89" t="s">
        <v>66</v>
      </c>
      <c r="E89" t="s">
        <v>96</v>
      </c>
      <c r="F89" t="s">
        <v>45</v>
      </c>
      <c r="G89">
        <v>0.5</v>
      </c>
      <c r="H89" t="s">
        <v>39</v>
      </c>
      <c r="I89">
        <v>-15</v>
      </c>
      <c r="J89" t="str">
        <f>HYPERLINK("https://www.eliteprospects.com/player/420054/joey-potter")</f>
        <v>https://www.eliteprospects.com/player/420054/joey-potter</v>
      </c>
      <c r="K89" t="s">
        <v>27</v>
      </c>
      <c r="L89" t="s">
        <v>28</v>
      </c>
      <c r="M89" t="s">
        <v>1296</v>
      </c>
      <c r="N89">
        <v>3</v>
      </c>
      <c r="O89" t="s">
        <v>74</v>
      </c>
      <c r="P89">
        <v>0.1</v>
      </c>
      <c r="Q89" t="s">
        <v>1325</v>
      </c>
      <c r="R89">
        <v>27.3</v>
      </c>
      <c r="S89">
        <v>22.7</v>
      </c>
      <c r="T89">
        <v>27.3</v>
      </c>
      <c r="U89">
        <v>4.5</v>
      </c>
      <c r="V89">
        <v>18.2</v>
      </c>
    </row>
    <row r="90" spans="1:22" x14ac:dyDescent="0.25">
      <c r="A90" t="s">
        <v>1389</v>
      </c>
      <c r="B90" t="s">
        <v>80</v>
      </c>
      <c r="C90">
        <v>20</v>
      </c>
      <c r="D90" t="s">
        <v>66</v>
      </c>
      <c r="E90" t="s">
        <v>96</v>
      </c>
      <c r="F90" t="s">
        <v>45</v>
      </c>
      <c r="G90">
        <v>0.45</v>
      </c>
      <c r="H90" t="s">
        <v>25</v>
      </c>
      <c r="I90">
        <v>7</v>
      </c>
      <c r="J90" t="str">
        <f>HYPERLINK("https://www.eliteprospects.com/player/397847/jarod-crespo")</f>
        <v>https://www.eliteprospects.com/player/397847/jarod-crespo</v>
      </c>
      <c r="K90" t="s">
        <v>27</v>
      </c>
      <c r="L90" t="s">
        <v>28</v>
      </c>
      <c r="M90" t="s">
        <v>1296</v>
      </c>
      <c r="N90">
        <v>4</v>
      </c>
      <c r="O90" t="s">
        <v>30</v>
      </c>
      <c r="P90">
        <v>0.09</v>
      </c>
      <c r="Q90" t="s">
        <v>1325</v>
      </c>
      <c r="R90">
        <v>27.3</v>
      </c>
      <c r="S90">
        <v>22.7</v>
      </c>
      <c r="T90">
        <v>27.3</v>
      </c>
      <c r="U90">
        <v>4.5</v>
      </c>
      <c r="V90">
        <v>18.2</v>
      </c>
    </row>
    <row r="91" spans="1:22" x14ac:dyDescent="0.25">
      <c r="A91" t="s">
        <v>1390</v>
      </c>
      <c r="B91" t="s">
        <v>139</v>
      </c>
      <c r="C91">
        <v>17</v>
      </c>
      <c r="D91" t="s">
        <v>140</v>
      </c>
      <c r="E91" t="s">
        <v>57</v>
      </c>
      <c r="F91" t="s">
        <v>45</v>
      </c>
      <c r="G91">
        <v>0.53</v>
      </c>
      <c r="H91" t="s">
        <v>32</v>
      </c>
      <c r="I91">
        <v>9</v>
      </c>
      <c r="J91" t="str">
        <f>HYPERLINK("https://www.eliteprospects.com/player/703251/logan-hensler")</f>
        <v>https://www.eliteprospects.com/player/703251/logan-hensler</v>
      </c>
      <c r="K91" t="s">
        <v>27</v>
      </c>
      <c r="L91" t="s">
        <v>28</v>
      </c>
      <c r="M91" t="s">
        <v>1296</v>
      </c>
      <c r="N91">
        <v>2</v>
      </c>
      <c r="O91" t="s">
        <v>43</v>
      </c>
      <c r="P91">
        <v>0.1</v>
      </c>
      <c r="Q91" t="s">
        <v>1325</v>
      </c>
      <c r="R91">
        <v>27.3</v>
      </c>
      <c r="S91">
        <v>22.7</v>
      </c>
      <c r="T91">
        <v>27.3</v>
      </c>
      <c r="U91">
        <v>4.5</v>
      </c>
      <c r="V91">
        <v>18.2</v>
      </c>
    </row>
    <row r="92" spans="1:22" x14ac:dyDescent="0.25">
      <c r="A92" t="s">
        <v>1391</v>
      </c>
      <c r="B92" t="s">
        <v>224</v>
      </c>
      <c r="C92">
        <v>18</v>
      </c>
      <c r="D92" t="s">
        <v>140</v>
      </c>
      <c r="E92" t="s">
        <v>57</v>
      </c>
      <c r="F92" t="s">
        <v>45</v>
      </c>
      <c r="G92">
        <v>0.5</v>
      </c>
      <c r="H92" t="s">
        <v>66</v>
      </c>
      <c r="I92">
        <v>-10</v>
      </c>
      <c r="J92" t="str">
        <f>HYPERLINK("https://www.eliteprospects.com/player/504014/michael-craig")</f>
        <v>https://www.eliteprospects.com/player/504014/michael-craig</v>
      </c>
      <c r="K92" t="s">
        <v>27</v>
      </c>
      <c r="L92" t="s">
        <v>28</v>
      </c>
      <c r="M92" t="s">
        <v>1296</v>
      </c>
      <c r="N92">
        <v>3</v>
      </c>
      <c r="O92" t="s">
        <v>74</v>
      </c>
      <c r="P92">
        <v>0.1</v>
      </c>
      <c r="Q92" t="s">
        <v>1325</v>
      </c>
      <c r="R92">
        <v>27.3</v>
      </c>
      <c r="S92">
        <v>22.7</v>
      </c>
      <c r="T92">
        <v>27.3</v>
      </c>
      <c r="U92">
        <v>4.5</v>
      </c>
      <c r="V92">
        <v>18.2</v>
      </c>
    </row>
    <row r="93" spans="1:22" x14ac:dyDescent="0.25">
      <c r="A93" t="s">
        <v>1392</v>
      </c>
      <c r="B93" t="s">
        <v>288</v>
      </c>
      <c r="C93">
        <v>19</v>
      </c>
      <c r="D93" t="s">
        <v>140</v>
      </c>
      <c r="E93" t="s">
        <v>57</v>
      </c>
      <c r="F93" t="s">
        <v>45</v>
      </c>
      <c r="G93">
        <v>0.47</v>
      </c>
      <c r="H93" t="s">
        <v>79</v>
      </c>
      <c r="I93">
        <v>-4</v>
      </c>
      <c r="J93" t="str">
        <f>HYPERLINK("https://www.eliteprospects.com/player/473495/sebastian-tornqvist")</f>
        <v>https://www.eliteprospects.com/player/473495/sebastian-tornqvist</v>
      </c>
      <c r="K93" t="s">
        <v>27</v>
      </c>
      <c r="L93" t="s">
        <v>28</v>
      </c>
      <c r="M93" t="s">
        <v>1296</v>
      </c>
      <c r="N93">
        <v>3</v>
      </c>
      <c r="O93" t="s">
        <v>74</v>
      </c>
      <c r="P93">
        <v>0.09</v>
      </c>
      <c r="Q93" t="s">
        <v>1325</v>
      </c>
      <c r="R93">
        <v>27.3</v>
      </c>
      <c r="S93">
        <v>22.7</v>
      </c>
      <c r="T93">
        <v>27.3</v>
      </c>
      <c r="U93">
        <v>4.5</v>
      </c>
      <c r="V93">
        <v>18.2</v>
      </c>
    </row>
    <row r="94" spans="1:22" x14ac:dyDescent="0.25">
      <c r="A94" t="s">
        <v>1393</v>
      </c>
      <c r="B94" t="s">
        <v>50</v>
      </c>
      <c r="C94">
        <v>22</v>
      </c>
      <c r="D94" t="s">
        <v>140</v>
      </c>
      <c r="E94" t="s">
        <v>57</v>
      </c>
      <c r="F94" t="s">
        <v>45</v>
      </c>
      <c r="G94">
        <v>0.41</v>
      </c>
      <c r="H94" t="s">
        <v>66</v>
      </c>
      <c r="I94">
        <v>18</v>
      </c>
      <c r="J94" t="str">
        <f>HYPERLINK("https://www.eliteprospects.com/player/582775/luca-fantilli")</f>
        <v>https://www.eliteprospects.com/player/582775/luca-fantilli</v>
      </c>
      <c r="K94" t="s">
        <v>27</v>
      </c>
      <c r="L94" t="s">
        <v>28</v>
      </c>
      <c r="M94" t="s">
        <v>1296</v>
      </c>
      <c r="N94">
        <v>4</v>
      </c>
      <c r="O94" t="s">
        <v>30</v>
      </c>
      <c r="P94">
        <v>0.08</v>
      </c>
      <c r="Q94" t="s">
        <v>1325</v>
      </c>
      <c r="R94">
        <v>30</v>
      </c>
      <c r="S94">
        <v>25</v>
      </c>
      <c r="T94">
        <v>32.5</v>
      </c>
      <c r="U94">
        <v>5</v>
      </c>
      <c r="V94">
        <v>7.5</v>
      </c>
    </row>
    <row r="95" spans="1:22" x14ac:dyDescent="0.25">
      <c r="A95" t="s">
        <v>1394</v>
      </c>
      <c r="B95" t="s">
        <v>68</v>
      </c>
      <c r="C95">
        <v>22</v>
      </c>
      <c r="D95" t="s">
        <v>140</v>
      </c>
      <c r="E95" t="s">
        <v>57</v>
      </c>
      <c r="F95" t="s">
        <v>45</v>
      </c>
      <c r="G95">
        <v>0.41</v>
      </c>
      <c r="H95" t="s">
        <v>26</v>
      </c>
      <c r="I95">
        <v>6</v>
      </c>
      <c r="J95" t="str">
        <f>HYPERLINK("https://www.eliteprospects.com/player/477345/graham-sward")</f>
        <v>https://www.eliteprospects.com/player/477345/graham-sward</v>
      </c>
      <c r="K95" t="s">
        <v>27</v>
      </c>
      <c r="L95" t="s">
        <v>28</v>
      </c>
      <c r="M95" t="s">
        <v>1296</v>
      </c>
      <c r="N95">
        <v>6</v>
      </c>
      <c r="O95" t="s">
        <v>193</v>
      </c>
      <c r="P95">
        <v>0.08</v>
      </c>
      <c r="Q95" t="s">
        <v>1325</v>
      </c>
      <c r="R95">
        <v>30</v>
      </c>
      <c r="S95">
        <v>25</v>
      </c>
      <c r="T95">
        <v>32.5</v>
      </c>
      <c r="U95">
        <v>5</v>
      </c>
      <c r="V95">
        <v>7.5</v>
      </c>
    </row>
    <row r="96" spans="1:22" x14ac:dyDescent="0.25">
      <c r="A96" t="s">
        <v>1395</v>
      </c>
      <c r="B96" t="s">
        <v>131</v>
      </c>
      <c r="C96">
        <v>22</v>
      </c>
      <c r="D96" t="s">
        <v>140</v>
      </c>
      <c r="E96" t="s">
        <v>57</v>
      </c>
      <c r="F96" t="s">
        <v>45</v>
      </c>
      <c r="G96">
        <v>0.41</v>
      </c>
      <c r="H96" t="s">
        <v>24</v>
      </c>
      <c r="I96">
        <v>-4</v>
      </c>
      <c r="J96" t="str">
        <f>HYPERLINK("https://www.eliteprospects.com/player/543780/jude-brower")</f>
        <v>https://www.eliteprospects.com/player/543780/jude-brower</v>
      </c>
      <c r="K96" t="s">
        <v>27</v>
      </c>
      <c r="L96" t="s">
        <v>28</v>
      </c>
      <c r="M96" t="s">
        <v>1296</v>
      </c>
      <c r="N96">
        <v>4</v>
      </c>
      <c r="O96" t="s">
        <v>30</v>
      </c>
      <c r="P96">
        <v>0.08</v>
      </c>
      <c r="Q96" t="s">
        <v>1325</v>
      </c>
      <c r="R96">
        <v>30</v>
      </c>
      <c r="S96">
        <v>25</v>
      </c>
      <c r="T96">
        <v>32.5</v>
      </c>
      <c r="U96">
        <v>5</v>
      </c>
      <c r="V96">
        <v>7.5</v>
      </c>
    </row>
    <row r="97" spans="1:22" x14ac:dyDescent="0.25">
      <c r="A97" t="s">
        <v>1396</v>
      </c>
      <c r="B97" t="s">
        <v>120</v>
      </c>
      <c r="C97">
        <v>18</v>
      </c>
      <c r="D97" t="s">
        <v>79</v>
      </c>
      <c r="E97" t="s">
        <v>78</v>
      </c>
      <c r="F97" t="s">
        <v>45</v>
      </c>
      <c r="G97">
        <v>0.5</v>
      </c>
      <c r="H97" t="s">
        <v>269</v>
      </c>
      <c r="I97">
        <v>1</v>
      </c>
      <c r="J97" t="str">
        <f>HYPERLINK("https://www.eliteprospects.com/player/551973/lukas-gustafsson")</f>
        <v>https://www.eliteprospects.com/player/551973/lukas-gustafsson</v>
      </c>
      <c r="K97" t="s">
        <v>27</v>
      </c>
      <c r="L97" t="s">
        <v>28</v>
      </c>
      <c r="M97" t="s">
        <v>1296</v>
      </c>
      <c r="N97">
        <v>4</v>
      </c>
      <c r="O97" t="s">
        <v>30</v>
      </c>
      <c r="P97">
        <v>0.1</v>
      </c>
      <c r="Q97" t="s">
        <v>1325</v>
      </c>
      <c r="R97">
        <v>27.3</v>
      </c>
      <c r="S97">
        <v>22.7</v>
      </c>
      <c r="T97">
        <v>27.3</v>
      </c>
      <c r="U97">
        <v>4.5</v>
      </c>
      <c r="V97">
        <v>18.2</v>
      </c>
    </row>
    <row r="98" spans="1:22" x14ac:dyDescent="0.25">
      <c r="A98" t="s">
        <v>1397</v>
      </c>
      <c r="B98" t="s">
        <v>158</v>
      </c>
      <c r="C98">
        <v>19</v>
      </c>
      <c r="D98" t="s">
        <v>79</v>
      </c>
      <c r="E98" t="s">
        <v>78</v>
      </c>
      <c r="F98" t="s">
        <v>45</v>
      </c>
      <c r="G98">
        <v>0.47</v>
      </c>
      <c r="H98" t="s">
        <v>132</v>
      </c>
      <c r="I98">
        <v>-4</v>
      </c>
      <c r="J98" t="str">
        <f>HYPERLINK("https://www.eliteprospects.com/player/512126/nathan-rickey")</f>
        <v>https://www.eliteprospects.com/player/512126/nathan-rickey</v>
      </c>
      <c r="K98" t="s">
        <v>27</v>
      </c>
      <c r="L98" t="s">
        <v>28</v>
      </c>
      <c r="M98" t="s">
        <v>1296</v>
      </c>
      <c r="N98">
        <v>2</v>
      </c>
      <c r="O98" t="s">
        <v>43</v>
      </c>
      <c r="P98">
        <v>0.09</v>
      </c>
      <c r="Q98" t="s">
        <v>1325</v>
      </c>
      <c r="R98">
        <v>27.3</v>
      </c>
      <c r="S98">
        <v>22.7</v>
      </c>
      <c r="T98">
        <v>27.3</v>
      </c>
      <c r="U98">
        <v>4.5</v>
      </c>
      <c r="V98">
        <v>18.2</v>
      </c>
    </row>
    <row r="99" spans="1:22" x14ac:dyDescent="0.25">
      <c r="A99" t="s">
        <v>1398</v>
      </c>
      <c r="B99" t="s">
        <v>128</v>
      </c>
      <c r="C99">
        <v>20</v>
      </c>
      <c r="D99" t="s">
        <v>79</v>
      </c>
      <c r="E99" t="s">
        <v>78</v>
      </c>
      <c r="F99" t="s">
        <v>45</v>
      </c>
      <c r="G99">
        <v>0.45</v>
      </c>
      <c r="H99" t="s">
        <v>57</v>
      </c>
      <c r="I99">
        <v>1</v>
      </c>
      <c r="J99" t="str">
        <f>HYPERLINK("https://www.eliteprospects.com/player/715347/brayden-crampton")</f>
        <v>https://www.eliteprospects.com/player/715347/brayden-crampton</v>
      </c>
      <c r="K99" t="s">
        <v>27</v>
      </c>
      <c r="L99" t="s">
        <v>28</v>
      </c>
      <c r="M99" t="s">
        <v>1296</v>
      </c>
      <c r="N99">
        <v>5</v>
      </c>
      <c r="O99" t="s">
        <v>152</v>
      </c>
      <c r="P99">
        <v>0.09</v>
      </c>
      <c r="Q99" t="s">
        <v>1325</v>
      </c>
      <c r="R99">
        <v>27.3</v>
      </c>
      <c r="S99">
        <v>22.7</v>
      </c>
      <c r="T99">
        <v>27.3</v>
      </c>
      <c r="U99">
        <v>4.5</v>
      </c>
      <c r="V99">
        <v>18.2</v>
      </c>
    </row>
    <row r="100" spans="1:22" x14ac:dyDescent="0.25">
      <c r="A100" t="s">
        <v>1399</v>
      </c>
      <c r="B100" t="s">
        <v>163</v>
      </c>
      <c r="C100">
        <v>20</v>
      </c>
      <c r="D100" t="s">
        <v>79</v>
      </c>
      <c r="E100" t="s">
        <v>78</v>
      </c>
      <c r="F100" t="s">
        <v>45</v>
      </c>
      <c r="G100">
        <v>0.45</v>
      </c>
      <c r="H100" t="s">
        <v>23</v>
      </c>
      <c r="I100">
        <v>5</v>
      </c>
      <c r="J100" t="str">
        <f>HYPERLINK("https://www.eliteprospects.com/player/603753/andrew-centrella")</f>
        <v>https://www.eliteprospects.com/player/603753/andrew-centrella</v>
      </c>
      <c r="K100" t="s">
        <v>27</v>
      </c>
      <c r="L100" t="s">
        <v>28</v>
      </c>
      <c r="M100" t="s">
        <v>1296</v>
      </c>
      <c r="N100">
        <v>3</v>
      </c>
      <c r="O100" t="s">
        <v>74</v>
      </c>
      <c r="P100">
        <v>0.09</v>
      </c>
      <c r="Q100" t="s">
        <v>1325</v>
      </c>
      <c r="R100">
        <v>27.3</v>
      </c>
      <c r="S100">
        <v>22.7</v>
      </c>
      <c r="T100">
        <v>27.3</v>
      </c>
      <c r="U100">
        <v>4.5</v>
      </c>
      <c r="V100">
        <v>18.2</v>
      </c>
    </row>
    <row r="101" spans="1:22" x14ac:dyDescent="0.25">
      <c r="A101" t="s">
        <v>1400</v>
      </c>
      <c r="B101" t="s">
        <v>180</v>
      </c>
      <c r="C101">
        <v>20</v>
      </c>
      <c r="D101" t="s">
        <v>79</v>
      </c>
      <c r="E101" t="s">
        <v>78</v>
      </c>
      <c r="F101" t="s">
        <v>45</v>
      </c>
      <c r="G101">
        <v>0.45</v>
      </c>
      <c r="H101" t="s">
        <v>46</v>
      </c>
      <c r="I101">
        <v>-11</v>
      </c>
      <c r="J101" t="str">
        <f>HYPERLINK("https://www.eliteprospects.com/player/346981/axel-kumlin")</f>
        <v>https://www.eliteprospects.com/player/346981/axel-kumlin</v>
      </c>
      <c r="K101" t="s">
        <v>27</v>
      </c>
      <c r="L101" t="s">
        <v>28</v>
      </c>
      <c r="M101" t="s">
        <v>1296</v>
      </c>
      <c r="N101">
        <v>4</v>
      </c>
      <c r="O101" t="s">
        <v>30</v>
      </c>
      <c r="P101">
        <v>0.09</v>
      </c>
      <c r="Q101" t="s">
        <v>1325</v>
      </c>
      <c r="R101">
        <v>27.3</v>
      </c>
      <c r="S101">
        <v>22.7</v>
      </c>
      <c r="T101">
        <v>27.3</v>
      </c>
      <c r="U101">
        <v>4.5</v>
      </c>
      <c r="V101">
        <v>18.2</v>
      </c>
    </row>
    <row r="102" spans="1:22" x14ac:dyDescent="0.25">
      <c r="A102" t="s">
        <v>1401</v>
      </c>
      <c r="B102" t="s">
        <v>59</v>
      </c>
      <c r="C102">
        <v>22</v>
      </c>
      <c r="D102" t="s">
        <v>79</v>
      </c>
      <c r="E102" t="s">
        <v>78</v>
      </c>
      <c r="F102" t="s">
        <v>45</v>
      </c>
      <c r="G102">
        <v>0.41</v>
      </c>
      <c r="H102" t="s">
        <v>38</v>
      </c>
      <c r="I102">
        <v>4</v>
      </c>
      <c r="J102" t="str">
        <f>HYPERLINK("https://www.eliteprospects.com/player/481501/frank-djurasevic")</f>
        <v>https://www.eliteprospects.com/player/481501/frank-djurasevic</v>
      </c>
      <c r="K102" t="s">
        <v>27</v>
      </c>
      <c r="L102" t="s">
        <v>28</v>
      </c>
      <c r="M102" t="s">
        <v>1296</v>
      </c>
      <c r="N102">
        <v>3</v>
      </c>
      <c r="O102" t="s">
        <v>74</v>
      </c>
      <c r="P102">
        <v>0.08</v>
      </c>
      <c r="Q102" t="s">
        <v>1325</v>
      </c>
      <c r="R102">
        <v>30</v>
      </c>
      <c r="S102">
        <v>25</v>
      </c>
      <c r="T102">
        <v>32.5</v>
      </c>
      <c r="U102">
        <v>5</v>
      </c>
      <c r="V102">
        <v>7.5</v>
      </c>
    </row>
    <row r="103" spans="1:22" x14ac:dyDescent="0.25">
      <c r="A103" t="s">
        <v>1402</v>
      </c>
      <c r="B103" t="s">
        <v>22</v>
      </c>
      <c r="C103">
        <v>23</v>
      </c>
      <c r="D103" t="s">
        <v>79</v>
      </c>
      <c r="E103" t="s">
        <v>78</v>
      </c>
      <c r="F103" t="s">
        <v>45</v>
      </c>
      <c r="G103">
        <v>0.39</v>
      </c>
      <c r="H103" t="s">
        <v>57</v>
      </c>
      <c r="I103">
        <v>-5</v>
      </c>
      <c r="J103" t="str">
        <f>HYPERLINK("https://www.eliteprospects.com/player/535603/justin-kipkie")</f>
        <v>https://www.eliteprospects.com/player/535603/justin-kipkie</v>
      </c>
      <c r="K103" t="s">
        <v>27</v>
      </c>
      <c r="L103" t="s">
        <v>28</v>
      </c>
      <c r="M103" t="s">
        <v>1296</v>
      </c>
      <c r="N103">
        <v>5</v>
      </c>
      <c r="O103" t="s">
        <v>152</v>
      </c>
      <c r="P103">
        <v>0.08</v>
      </c>
      <c r="Q103" t="s">
        <v>1325</v>
      </c>
      <c r="R103">
        <v>30</v>
      </c>
      <c r="S103">
        <v>25</v>
      </c>
      <c r="T103">
        <v>32.5</v>
      </c>
      <c r="U103">
        <v>5</v>
      </c>
      <c r="V103">
        <v>7.5</v>
      </c>
    </row>
    <row r="104" spans="1:22" x14ac:dyDescent="0.25">
      <c r="A104" t="s">
        <v>1403</v>
      </c>
      <c r="B104" t="s">
        <v>200</v>
      </c>
      <c r="C104">
        <v>15</v>
      </c>
      <c r="D104" t="s">
        <v>260</v>
      </c>
      <c r="E104" t="s">
        <v>26</v>
      </c>
      <c r="F104" t="s">
        <v>45</v>
      </c>
      <c r="G104">
        <v>0.6</v>
      </c>
      <c r="H104" t="s">
        <v>47</v>
      </c>
      <c r="I104">
        <v>10</v>
      </c>
      <c r="J104" t="str">
        <f>HYPERLINK("https://www.eliteprospects.com/player/626551/george-fegaras")</f>
        <v>https://www.eliteprospects.com/player/626551/george-fegaras</v>
      </c>
      <c r="K104" t="s">
        <v>27</v>
      </c>
      <c r="L104" t="s">
        <v>28</v>
      </c>
      <c r="M104" t="s">
        <v>1296</v>
      </c>
      <c r="N104">
        <v>3</v>
      </c>
      <c r="O104" t="s">
        <v>74</v>
      </c>
      <c r="P104">
        <v>0.12</v>
      </c>
      <c r="Q104" t="s">
        <v>1300</v>
      </c>
      <c r="R104">
        <v>30.8</v>
      </c>
      <c r="S104">
        <v>20.5</v>
      </c>
      <c r="T104">
        <v>10.3</v>
      </c>
      <c r="U104">
        <v>10.3</v>
      </c>
      <c r="V104">
        <v>28.2</v>
      </c>
    </row>
    <row r="105" spans="1:22" x14ac:dyDescent="0.25">
      <c r="A105" t="s">
        <v>1404</v>
      </c>
      <c r="B105" t="s">
        <v>162</v>
      </c>
      <c r="C105">
        <v>20</v>
      </c>
      <c r="D105" t="s">
        <v>260</v>
      </c>
      <c r="E105" t="s">
        <v>26</v>
      </c>
      <c r="F105" t="s">
        <v>45</v>
      </c>
      <c r="G105">
        <v>0.45</v>
      </c>
      <c r="H105" t="s">
        <v>39</v>
      </c>
      <c r="I105">
        <v>2</v>
      </c>
      <c r="J105" t="str">
        <f>HYPERLINK("https://www.eliteprospects.com/player/551342/john-dalton")</f>
        <v>https://www.eliteprospects.com/player/551342/john-dalton</v>
      </c>
      <c r="K105" t="s">
        <v>27</v>
      </c>
      <c r="L105" t="s">
        <v>28</v>
      </c>
      <c r="M105" t="s">
        <v>1296</v>
      </c>
      <c r="N105">
        <v>3</v>
      </c>
      <c r="O105" t="s">
        <v>74</v>
      </c>
      <c r="P105">
        <v>0.09</v>
      </c>
      <c r="Q105" t="s">
        <v>1325</v>
      </c>
      <c r="R105">
        <v>27.3</v>
      </c>
      <c r="S105">
        <v>22.7</v>
      </c>
      <c r="T105">
        <v>27.3</v>
      </c>
      <c r="U105">
        <v>4.5</v>
      </c>
      <c r="V105">
        <v>18.2</v>
      </c>
    </row>
    <row r="106" spans="1:22" x14ac:dyDescent="0.25">
      <c r="A106" t="s">
        <v>1405</v>
      </c>
      <c r="B106" t="s">
        <v>205</v>
      </c>
      <c r="C106">
        <v>21</v>
      </c>
      <c r="D106" t="s">
        <v>260</v>
      </c>
      <c r="E106" t="s">
        <v>26</v>
      </c>
      <c r="F106" t="s">
        <v>45</v>
      </c>
      <c r="G106">
        <v>0.43</v>
      </c>
      <c r="H106" t="s">
        <v>57</v>
      </c>
      <c r="I106">
        <v>-1</v>
      </c>
      <c r="J106" t="str">
        <f>HYPERLINK("https://www.eliteprospects.com/player/201845/crossley-stewart")</f>
        <v>https://www.eliteprospects.com/player/201845/crossley-stewart</v>
      </c>
      <c r="K106" t="s">
        <v>27</v>
      </c>
      <c r="L106" t="s">
        <v>28</v>
      </c>
      <c r="M106" t="s">
        <v>1296</v>
      </c>
      <c r="N106">
        <v>3</v>
      </c>
      <c r="O106" t="s">
        <v>74</v>
      </c>
      <c r="P106">
        <v>0.08</v>
      </c>
      <c r="Q106" t="s">
        <v>1325</v>
      </c>
      <c r="R106">
        <v>30</v>
      </c>
      <c r="S106">
        <v>25</v>
      </c>
      <c r="T106">
        <v>32.5</v>
      </c>
      <c r="U106">
        <v>5</v>
      </c>
      <c r="V106">
        <v>7.5</v>
      </c>
    </row>
    <row r="107" spans="1:22" x14ac:dyDescent="0.25">
      <c r="A107" t="s">
        <v>1406</v>
      </c>
      <c r="B107" t="s">
        <v>50</v>
      </c>
      <c r="C107">
        <v>10</v>
      </c>
      <c r="D107" t="s">
        <v>132</v>
      </c>
      <c r="E107" t="s">
        <v>45</v>
      </c>
      <c r="F107" t="s">
        <v>45</v>
      </c>
      <c r="G107">
        <v>0.9</v>
      </c>
      <c r="H107" t="s">
        <v>57</v>
      </c>
      <c r="I107">
        <v>5</v>
      </c>
      <c r="J107" t="str">
        <f>HYPERLINK("https://www.eliteprospects.com/player/577193/henry-mews")</f>
        <v>https://www.eliteprospects.com/player/577193/henry-mews</v>
      </c>
      <c r="K107" t="s">
        <v>27</v>
      </c>
      <c r="L107" t="s">
        <v>28</v>
      </c>
      <c r="M107" t="s">
        <v>1296</v>
      </c>
      <c r="N107">
        <v>4</v>
      </c>
      <c r="O107" t="s">
        <v>100</v>
      </c>
      <c r="P107">
        <v>0.17</v>
      </c>
      <c r="Q107" t="s">
        <v>1300</v>
      </c>
      <c r="R107">
        <v>30.8</v>
      </c>
      <c r="S107">
        <v>20.5</v>
      </c>
      <c r="T107">
        <v>10.3</v>
      </c>
      <c r="U107">
        <v>10.3</v>
      </c>
      <c r="V107">
        <v>28.2</v>
      </c>
    </row>
    <row r="108" spans="1:22" x14ac:dyDescent="0.25">
      <c r="A108" t="s">
        <v>1407</v>
      </c>
      <c r="B108" t="s">
        <v>120</v>
      </c>
      <c r="C108">
        <v>16</v>
      </c>
      <c r="D108" t="s">
        <v>132</v>
      </c>
      <c r="E108" t="s">
        <v>45</v>
      </c>
      <c r="F108" t="s">
        <v>45</v>
      </c>
      <c r="G108">
        <v>0.56000000000000005</v>
      </c>
      <c r="H108" t="s">
        <v>66</v>
      </c>
      <c r="I108">
        <v>13</v>
      </c>
      <c r="J108" t="str">
        <f>HYPERLINK("https://www.eliteprospects.com/player/690461/luka-radivojevic")</f>
        <v>https://www.eliteprospects.com/player/690461/luka-radivojevic</v>
      </c>
      <c r="K108" t="s">
        <v>27</v>
      </c>
      <c r="L108" t="s">
        <v>28</v>
      </c>
      <c r="M108" t="s">
        <v>1296</v>
      </c>
      <c r="N108">
        <v>1</v>
      </c>
      <c r="O108" t="s">
        <v>71</v>
      </c>
      <c r="P108">
        <v>0.11</v>
      </c>
      <c r="Q108" t="s">
        <v>1325</v>
      </c>
      <c r="R108">
        <v>27.3</v>
      </c>
      <c r="S108">
        <v>22.7</v>
      </c>
      <c r="T108">
        <v>27.3</v>
      </c>
      <c r="U108">
        <v>4.5</v>
      </c>
      <c r="V108">
        <v>18.2</v>
      </c>
    </row>
    <row r="109" spans="1:22" x14ac:dyDescent="0.25">
      <c r="A109" t="s">
        <v>1408</v>
      </c>
      <c r="B109" t="s">
        <v>50</v>
      </c>
      <c r="C109">
        <v>22</v>
      </c>
      <c r="D109" t="s">
        <v>132</v>
      </c>
      <c r="E109" t="s">
        <v>45</v>
      </c>
      <c r="F109" t="s">
        <v>45</v>
      </c>
      <c r="G109">
        <v>0.41</v>
      </c>
      <c r="H109" t="s">
        <v>564</v>
      </c>
      <c r="I109">
        <v>19</v>
      </c>
      <c r="J109" t="str">
        <f>HYPERLINK("https://www.eliteprospects.com/player/512172/tyler-duke")</f>
        <v>https://www.eliteprospects.com/player/512172/tyler-duke</v>
      </c>
      <c r="K109" t="s">
        <v>27</v>
      </c>
      <c r="L109" t="s">
        <v>28</v>
      </c>
      <c r="M109" t="s">
        <v>1296</v>
      </c>
      <c r="N109">
        <v>4</v>
      </c>
      <c r="O109" t="s">
        <v>30</v>
      </c>
      <c r="P109">
        <v>0.08</v>
      </c>
      <c r="Q109" t="s">
        <v>1325</v>
      </c>
      <c r="R109">
        <v>30</v>
      </c>
      <c r="S109">
        <v>25</v>
      </c>
      <c r="T109">
        <v>32.5</v>
      </c>
      <c r="U109">
        <v>5</v>
      </c>
      <c r="V109">
        <v>7.5</v>
      </c>
    </row>
    <row r="110" spans="1:22" x14ac:dyDescent="0.25">
      <c r="A110" t="s">
        <v>1409</v>
      </c>
      <c r="B110" t="s">
        <v>44</v>
      </c>
      <c r="C110">
        <v>24</v>
      </c>
      <c r="D110" t="s">
        <v>140</v>
      </c>
      <c r="E110" t="s">
        <v>96</v>
      </c>
      <c r="F110" t="s">
        <v>26</v>
      </c>
      <c r="G110">
        <v>0.33</v>
      </c>
      <c r="H110" t="s">
        <v>23</v>
      </c>
      <c r="I110">
        <v>13</v>
      </c>
      <c r="J110" t="str">
        <f>HYPERLINK("https://www.eliteprospects.com/player/562925/tyler-miller")</f>
        <v>https://www.eliteprospects.com/player/562925/tyler-miller</v>
      </c>
      <c r="K110" t="s">
        <v>27</v>
      </c>
      <c r="L110" t="s">
        <v>28</v>
      </c>
      <c r="M110" t="s">
        <v>1296</v>
      </c>
      <c r="N110">
        <v>2</v>
      </c>
      <c r="O110" t="s">
        <v>43</v>
      </c>
      <c r="P110">
        <v>0.06</v>
      </c>
      <c r="Q110" t="s">
        <v>1325</v>
      </c>
      <c r="R110">
        <v>26.3</v>
      </c>
      <c r="S110">
        <v>23.7</v>
      </c>
      <c r="T110">
        <v>28.9</v>
      </c>
      <c r="U110">
        <v>5.3</v>
      </c>
      <c r="V110">
        <v>15.8</v>
      </c>
    </row>
    <row r="111" spans="1:22" x14ac:dyDescent="0.25">
      <c r="A111" t="s">
        <v>1410</v>
      </c>
      <c r="B111" t="s">
        <v>165</v>
      </c>
      <c r="C111">
        <v>18</v>
      </c>
      <c r="D111" t="s">
        <v>79</v>
      </c>
      <c r="E111" t="s">
        <v>57</v>
      </c>
      <c r="F111" t="s">
        <v>26</v>
      </c>
      <c r="G111">
        <v>0.44</v>
      </c>
      <c r="H111" t="s">
        <v>66</v>
      </c>
      <c r="I111">
        <v>-1</v>
      </c>
      <c r="J111" t="str">
        <f>HYPERLINK("https://www.eliteprospects.com/player/505291/joshua-niedermayer")</f>
        <v>https://www.eliteprospects.com/player/505291/joshua-niedermayer</v>
      </c>
      <c r="K111" t="s">
        <v>27</v>
      </c>
      <c r="L111" t="s">
        <v>28</v>
      </c>
      <c r="M111" t="s">
        <v>1296</v>
      </c>
      <c r="N111">
        <v>2</v>
      </c>
      <c r="O111" t="s">
        <v>43</v>
      </c>
      <c r="P111">
        <v>0.09</v>
      </c>
      <c r="Q111" t="s">
        <v>1325</v>
      </c>
      <c r="R111">
        <v>27.3</v>
      </c>
      <c r="S111">
        <v>22.7</v>
      </c>
      <c r="T111">
        <v>27.3</v>
      </c>
      <c r="U111">
        <v>4.5</v>
      </c>
      <c r="V111">
        <v>18.2</v>
      </c>
    </row>
    <row r="112" spans="1:22" x14ac:dyDescent="0.25">
      <c r="A112" t="s">
        <v>1411</v>
      </c>
      <c r="B112" t="s">
        <v>59</v>
      </c>
      <c r="C112">
        <v>18</v>
      </c>
      <c r="D112" t="s">
        <v>79</v>
      </c>
      <c r="E112" t="s">
        <v>57</v>
      </c>
      <c r="F112" t="s">
        <v>26</v>
      </c>
      <c r="G112">
        <v>0.44</v>
      </c>
      <c r="H112" t="s">
        <v>38</v>
      </c>
      <c r="I112">
        <v>10</v>
      </c>
      <c r="J112" t="str">
        <f>HYPERLINK("https://www.eliteprospects.com/player/485737/jeremy-langlois")</f>
        <v>https://www.eliteprospects.com/player/485737/jeremy-langlois</v>
      </c>
      <c r="K112" t="s">
        <v>27</v>
      </c>
      <c r="L112" t="s">
        <v>28</v>
      </c>
      <c r="M112" t="s">
        <v>1296</v>
      </c>
      <c r="N112">
        <v>6</v>
      </c>
      <c r="O112" t="s">
        <v>99</v>
      </c>
      <c r="P112">
        <v>0.09</v>
      </c>
      <c r="Q112" t="s">
        <v>1325</v>
      </c>
      <c r="R112">
        <v>27.3</v>
      </c>
      <c r="S112">
        <v>22.7</v>
      </c>
      <c r="T112">
        <v>27.3</v>
      </c>
      <c r="U112">
        <v>4.5</v>
      </c>
      <c r="V112">
        <v>18.2</v>
      </c>
    </row>
    <row r="113" spans="1:22" x14ac:dyDescent="0.25">
      <c r="A113" t="s">
        <v>1412</v>
      </c>
      <c r="B113" t="s">
        <v>161</v>
      </c>
      <c r="C113">
        <v>20</v>
      </c>
      <c r="D113" t="s">
        <v>79</v>
      </c>
      <c r="E113" t="s">
        <v>57</v>
      </c>
      <c r="F113" t="s">
        <v>26</v>
      </c>
      <c r="G113">
        <v>0.4</v>
      </c>
      <c r="H113" t="s">
        <v>39</v>
      </c>
      <c r="I113">
        <v>-3</v>
      </c>
      <c r="J113" t="str">
        <f>HYPERLINK("https://www.eliteprospects.com/player/671535/colton-roberts")</f>
        <v>https://www.eliteprospects.com/player/671535/colton-roberts</v>
      </c>
      <c r="K113" t="s">
        <v>27</v>
      </c>
      <c r="L113" t="s">
        <v>28</v>
      </c>
      <c r="M113" t="s">
        <v>1296</v>
      </c>
      <c r="N113">
        <v>5</v>
      </c>
      <c r="O113" t="s">
        <v>152</v>
      </c>
      <c r="P113">
        <v>0.08</v>
      </c>
      <c r="Q113" t="s">
        <v>1325</v>
      </c>
      <c r="R113">
        <v>30</v>
      </c>
      <c r="S113">
        <v>25</v>
      </c>
      <c r="T113">
        <v>32.5</v>
      </c>
      <c r="U113">
        <v>5</v>
      </c>
      <c r="V113">
        <v>7.5</v>
      </c>
    </row>
    <row r="114" spans="1:22" x14ac:dyDescent="0.25">
      <c r="A114" t="s">
        <v>1413</v>
      </c>
      <c r="B114" t="s">
        <v>106</v>
      </c>
      <c r="C114">
        <v>22</v>
      </c>
      <c r="D114" t="s">
        <v>79</v>
      </c>
      <c r="E114" t="s">
        <v>57</v>
      </c>
      <c r="F114" t="s">
        <v>26</v>
      </c>
      <c r="G114">
        <v>0.36</v>
      </c>
      <c r="H114" t="s">
        <v>55</v>
      </c>
      <c r="I114">
        <v>-2</v>
      </c>
      <c r="J114" t="str">
        <f>HYPERLINK("https://www.eliteprospects.com/player/623765/tristan-sarsland")</f>
        <v>https://www.eliteprospects.com/player/623765/tristan-sarsland</v>
      </c>
      <c r="K114" t="s">
        <v>27</v>
      </c>
      <c r="L114" t="s">
        <v>28</v>
      </c>
      <c r="M114" t="s">
        <v>1296</v>
      </c>
      <c r="N114">
        <v>4</v>
      </c>
      <c r="O114" t="s">
        <v>30</v>
      </c>
      <c r="P114">
        <v>7.0000000000000007E-2</v>
      </c>
      <c r="Q114" t="s">
        <v>1325</v>
      </c>
      <c r="R114">
        <v>30</v>
      </c>
      <c r="S114">
        <v>25</v>
      </c>
      <c r="T114">
        <v>32.5</v>
      </c>
      <c r="U114">
        <v>5</v>
      </c>
      <c r="V114">
        <v>7.5</v>
      </c>
    </row>
    <row r="115" spans="1:22" x14ac:dyDescent="0.25">
      <c r="A115" t="s">
        <v>1414</v>
      </c>
      <c r="B115" t="s">
        <v>202</v>
      </c>
      <c r="C115">
        <v>22</v>
      </c>
      <c r="D115" t="s">
        <v>79</v>
      </c>
      <c r="E115" t="s">
        <v>57</v>
      </c>
      <c r="F115" t="s">
        <v>26</v>
      </c>
      <c r="G115">
        <v>0.36</v>
      </c>
      <c r="H115" t="s">
        <v>33</v>
      </c>
      <c r="I115">
        <v>-4</v>
      </c>
      <c r="J115" t="str">
        <f>HYPERLINK("https://www.eliteprospects.com/player/526087/spencer-sova")</f>
        <v>https://www.eliteprospects.com/player/526087/spencer-sova</v>
      </c>
      <c r="K115" t="s">
        <v>27</v>
      </c>
      <c r="L115" t="s">
        <v>28</v>
      </c>
      <c r="M115" t="s">
        <v>1296</v>
      </c>
      <c r="N115">
        <v>5</v>
      </c>
      <c r="O115" t="s">
        <v>147</v>
      </c>
      <c r="P115">
        <v>7.0000000000000007E-2</v>
      </c>
      <c r="Q115" t="s">
        <v>1325</v>
      </c>
      <c r="R115">
        <v>30</v>
      </c>
      <c r="S115">
        <v>25</v>
      </c>
      <c r="T115">
        <v>32.5</v>
      </c>
      <c r="U115">
        <v>5</v>
      </c>
      <c r="V115">
        <v>7.5</v>
      </c>
    </row>
    <row r="116" spans="1:22" x14ac:dyDescent="0.25">
      <c r="A116" t="s">
        <v>1415</v>
      </c>
      <c r="B116" t="s">
        <v>106</v>
      </c>
      <c r="C116">
        <v>22</v>
      </c>
      <c r="D116" t="s">
        <v>79</v>
      </c>
      <c r="E116" t="s">
        <v>57</v>
      </c>
      <c r="F116" t="s">
        <v>26</v>
      </c>
      <c r="G116">
        <v>0.36</v>
      </c>
      <c r="H116" t="s">
        <v>40</v>
      </c>
      <c r="I116">
        <v>-4</v>
      </c>
      <c r="J116" t="str">
        <f>HYPERLINK("https://www.eliteprospects.com/player/559022/ty-brassington")</f>
        <v>https://www.eliteprospects.com/player/559022/ty-brassington</v>
      </c>
      <c r="K116" t="s">
        <v>27</v>
      </c>
      <c r="L116" t="s">
        <v>28</v>
      </c>
      <c r="M116" t="s">
        <v>1296</v>
      </c>
      <c r="N116">
        <v>2</v>
      </c>
      <c r="O116" t="s">
        <v>43</v>
      </c>
      <c r="P116">
        <v>7.0000000000000007E-2</v>
      </c>
      <c r="Q116" t="s">
        <v>1325</v>
      </c>
      <c r="R116">
        <v>30</v>
      </c>
      <c r="S116">
        <v>25</v>
      </c>
      <c r="T116">
        <v>32.5</v>
      </c>
      <c r="U116">
        <v>5</v>
      </c>
      <c r="V116">
        <v>7.5</v>
      </c>
    </row>
    <row r="117" spans="1:22" x14ac:dyDescent="0.25">
      <c r="A117" t="s">
        <v>1416</v>
      </c>
      <c r="B117" t="s">
        <v>121</v>
      </c>
      <c r="C117">
        <v>18</v>
      </c>
      <c r="D117" t="s">
        <v>260</v>
      </c>
      <c r="E117" t="s">
        <v>78</v>
      </c>
      <c r="F117" t="s">
        <v>26</v>
      </c>
      <c r="G117">
        <v>0.44</v>
      </c>
      <c r="H117" t="s">
        <v>32</v>
      </c>
      <c r="I117">
        <v>0</v>
      </c>
      <c r="J117" t="str">
        <f>HYPERLINK("https://www.eliteprospects.com/player/296824/trevor-griebel")</f>
        <v>https://www.eliteprospects.com/player/296824/trevor-griebel</v>
      </c>
      <c r="K117" t="s">
        <v>27</v>
      </c>
      <c r="L117" t="s">
        <v>28</v>
      </c>
      <c r="M117" t="s">
        <v>1417</v>
      </c>
      <c r="N117">
        <v>4</v>
      </c>
      <c r="O117" t="s">
        <v>30</v>
      </c>
      <c r="P117">
        <v>0.09</v>
      </c>
      <c r="Q117" t="s">
        <v>1325</v>
      </c>
      <c r="R117">
        <v>27.3</v>
      </c>
      <c r="S117">
        <v>22.7</v>
      </c>
      <c r="T117">
        <v>27.3</v>
      </c>
      <c r="U117">
        <v>4.5</v>
      </c>
      <c r="V117">
        <v>18.2</v>
      </c>
    </row>
    <row r="118" spans="1:22" x14ac:dyDescent="0.25">
      <c r="A118" t="s">
        <v>1418</v>
      </c>
      <c r="B118" t="s">
        <v>86</v>
      </c>
      <c r="C118">
        <v>20</v>
      </c>
      <c r="D118" t="s">
        <v>260</v>
      </c>
      <c r="E118" t="s">
        <v>78</v>
      </c>
      <c r="F118" t="s">
        <v>26</v>
      </c>
      <c r="G118">
        <v>0.4</v>
      </c>
      <c r="H118" t="s">
        <v>26</v>
      </c>
      <c r="I118">
        <v>12</v>
      </c>
      <c r="J118" t="str">
        <f>HYPERLINK("https://www.eliteprospects.com/player/595301/maxim-strbak")</f>
        <v>https://www.eliteprospects.com/player/595301/maxim-strbak</v>
      </c>
      <c r="K118" t="s">
        <v>27</v>
      </c>
      <c r="L118" t="s">
        <v>28</v>
      </c>
      <c r="M118" t="s">
        <v>1296</v>
      </c>
      <c r="N118">
        <v>3</v>
      </c>
      <c r="O118" t="s">
        <v>74</v>
      </c>
      <c r="P118">
        <v>0.08</v>
      </c>
      <c r="Q118" t="s">
        <v>1325</v>
      </c>
      <c r="R118">
        <v>30</v>
      </c>
      <c r="S118">
        <v>25</v>
      </c>
      <c r="T118">
        <v>32.5</v>
      </c>
      <c r="U118">
        <v>5</v>
      </c>
      <c r="V118">
        <v>7.5</v>
      </c>
    </row>
    <row r="119" spans="1:22" x14ac:dyDescent="0.25">
      <c r="A119" t="s">
        <v>1419</v>
      </c>
      <c r="B119" t="s">
        <v>124</v>
      </c>
      <c r="C119">
        <v>20</v>
      </c>
      <c r="D119" t="s">
        <v>260</v>
      </c>
      <c r="E119" t="s">
        <v>78</v>
      </c>
      <c r="F119" t="s">
        <v>26</v>
      </c>
      <c r="G119">
        <v>0.4</v>
      </c>
      <c r="H119" t="s">
        <v>32</v>
      </c>
      <c r="I119">
        <v>4</v>
      </c>
      <c r="J119" t="str">
        <f>HYPERLINK("https://www.eliteprospects.com/player/568966/ryder-thompson")</f>
        <v>https://www.eliteprospects.com/player/568966/ryder-thompson</v>
      </c>
      <c r="K119" t="s">
        <v>27</v>
      </c>
      <c r="L119" t="s">
        <v>28</v>
      </c>
      <c r="M119" t="s">
        <v>1296</v>
      </c>
      <c r="N119">
        <v>7</v>
      </c>
      <c r="O119" t="s">
        <v>250</v>
      </c>
      <c r="P119">
        <v>0.08</v>
      </c>
      <c r="Q119" t="s">
        <v>1325</v>
      </c>
      <c r="R119">
        <v>30</v>
      </c>
      <c r="S119">
        <v>25</v>
      </c>
      <c r="T119">
        <v>32.5</v>
      </c>
      <c r="U119">
        <v>5</v>
      </c>
      <c r="V119">
        <v>7.5</v>
      </c>
    </row>
    <row r="120" spans="1:22" x14ac:dyDescent="0.25">
      <c r="A120" t="s">
        <v>1420</v>
      </c>
      <c r="B120" t="s">
        <v>86</v>
      </c>
      <c r="C120">
        <v>20</v>
      </c>
      <c r="D120" t="s">
        <v>260</v>
      </c>
      <c r="E120" t="s">
        <v>78</v>
      </c>
      <c r="F120" t="s">
        <v>26</v>
      </c>
      <c r="G120">
        <v>0.4</v>
      </c>
      <c r="H120" t="s">
        <v>32</v>
      </c>
      <c r="I120">
        <v>15</v>
      </c>
      <c r="J120" t="str">
        <f>HYPERLINK("https://www.eliteprospects.com/player/634896/colin-ralph")</f>
        <v>https://www.eliteprospects.com/player/634896/colin-ralph</v>
      </c>
      <c r="K120" t="s">
        <v>27</v>
      </c>
      <c r="L120" t="s">
        <v>28</v>
      </c>
      <c r="M120" t="s">
        <v>1296</v>
      </c>
      <c r="N120">
        <v>2</v>
      </c>
      <c r="O120" t="s">
        <v>43</v>
      </c>
      <c r="P120">
        <v>0.08</v>
      </c>
      <c r="Q120" t="s">
        <v>1325</v>
      </c>
      <c r="R120">
        <v>30</v>
      </c>
      <c r="S120">
        <v>25</v>
      </c>
      <c r="T120">
        <v>32.5</v>
      </c>
      <c r="U120">
        <v>5</v>
      </c>
      <c r="V120">
        <v>7.5</v>
      </c>
    </row>
    <row r="121" spans="1:22" x14ac:dyDescent="0.25">
      <c r="A121" t="s">
        <v>1421</v>
      </c>
      <c r="B121" t="s">
        <v>145</v>
      </c>
      <c r="C121">
        <v>21</v>
      </c>
      <c r="D121" t="s">
        <v>260</v>
      </c>
      <c r="E121" t="s">
        <v>78</v>
      </c>
      <c r="F121" t="s">
        <v>26</v>
      </c>
      <c r="G121">
        <v>0.38</v>
      </c>
      <c r="H121" t="s">
        <v>32</v>
      </c>
      <c r="I121">
        <v>1</v>
      </c>
      <c r="J121" t="str">
        <f>HYPERLINK("https://www.eliteprospects.com/player/571957/garrett-brown")</f>
        <v>https://www.eliteprospects.com/player/571957/garrett-brown</v>
      </c>
      <c r="K121" t="s">
        <v>27</v>
      </c>
      <c r="L121" t="s">
        <v>28</v>
      </c>
      <c r="M121" t="s">
        <v>1296</v>
      </c>
      <c r="N121">
        <v>3</v>
      </c>
      <c r="O121" t="s">
        <v>74</v>
      </c>
      <c r="P121">
        <v>7.0000000000000007E-2</v>
      </c>
      <c r="Q121" t="s">
        <v>1325</v>
      </c>
      <c r="R121">
        <v>30</v>
      </c>
      <c r="S121">
        <v>25</v>
      </c>
      <c r="T121">
        <v>32.5</v>
      </c>
      <c r="U121">
        <v>5</v>
      </c>
      <c r="V121">
        <v>7.5</v>
      </c>
    </row>
    <row r="122" spans="1:22" x14ac:dyDescent="0.25">
      <c r="A122" t="s">
        <v>1422</v>
      </c>
      <c r="B122" t="s">
        <v>161</v>
      </c>
      <c r="C122">
        <v>22</v>
      </c>
      <c r="D122" t="s">
        <v>260</v>
      </c>
      <c r="E122" t="s">
        <v>78</v>
      </c>
      <c r="F122" t="s">
        <v>26</v>
      </c>
      <c r="G122">
        <v>0.36</v>
      </c>
      <c r="H122" t="s">
        <v>55</v>
      </c>
      <c r="I122">
        <v>0</v>
      </c>
      <c r="J122" t="str">
        <f>HYPERLINK("https://www.eliteprospects.com/player/702620/fisher-scott")</f>
        <v>https://www.eliteprospects.com/player/702620/fisher-scott</v>
      </c>
      <c r="K122" t="s">
        <v>27</v>
      </c>
      <c r="L122" t="s">
        <v>28</v>
      </c>
      <c r="M122" t="s">
        <v>1296</v>
      </c>
      <c r="N122">
        <v>2</v>
      </c>
      <c r="O122" t="s">
        <v>43</v>
      </c>
      <c r="P122">
        <v>7.0000000000000007E-2</v>
      </c>
      <c r="Q122" t="s">
        <v>1325</v>
      </c>
      <c r="R122">
        <v>30</v>
      </c>
      <c r="S122">
        <v>25</v>
      </c>
      <c r="T122">
        <v>32.5</v>
      </c>
      <c r="U122">
        <v>5</v>
      </c>
      <c r="V122">
        <v>7.5</v>
      </c>
    </row>
    <row r="123" spans="1:22" x14ac:dyDescent="0.25">
      <c r="A123" t="s">
        <v>1423</v>
      </c>
      <c r="B123" t="s">
        <v>44</v>
      </c>
      <c r="C123">
        <v>24</v>
      </c>
      <c r="D123" t="s">
        <v>260</v>
      </c>
      <c r="E123" t="s">
        <v>78</v>
      </c>
      <c r="F123" t="s">
        <v>26</v>
      </c>
      <c r="G123">
        <v>0.33</v>
      </c>
      <c r="H123" t="s">
        <v>55</v>
      </c>
      <c r="I123">
        <v>3</v>
      </c>
      <c r="J123" t="str">
        <f>HYPERLINK("https://www.eliteprospects.com/player/587803/joe-prouty")</f>
        <v>https://www.eliteprospects.com/player/587803/joe-prouty</v>
      </c>
      <c r="K123" t="s">
        <v>27</v>
      </c>
      <c r="L123" t="s">
        <v>28</v>
      </c>
      <c r="M123" t="s">
        <v>1296</v>
      </c>
      <c r="N123">
        <v>4</v>
      </c>
      <c r="O123" t="s">
        <v>30</v>
      </c>
      <c r="P123">
        <v>0.06</v>
      </c>
      <c r="Q123" t="s">
        <v>1325</v>
      </c>
      <c r="R123">
        <v>26.3</v>
      </c>
      <c r="S123">
        <v>23.7</v>
      </c>
      <c r="T123">
        <v>28.9</v>
      </c>
      <c r="U123">
        <v>5.3</v>
      </c>
      <c r="V123">
        <v>15.8</v>
      </c>
    </row>
    <row r="124" spans="1:22" x14ac:dyDescent="0.25">
      <c r="A124" t="s">
        <v>1424</v>
      </c>
      <c r="B124" t="s">
        <v>200</v>
      </c>
      <c r="C124">
        <v>15</v>
      </c>
      <c r="D124" t="s">
        <v>132</v>
      </c>
      <c r="E124" t="s">
        <v>26</v>
      </c>
      <c r="F124" t="s">
        <v>26</v>
      </c>
      <c r="G124">
        <v>0.53</v>
      </c>
      <c r="H124" t="s">
        <v>26</v>
      </c>
      <c r="I124">
        <v>-1</v>
      </c>
      <c r="J124" t="str">
        <f>HYPERLINK("https://www.eliteprospects.com/player/535577/hoyt-stanley")</f>
        <v>https://www.eliteprospects.com/player/535577/hoyt-stanley</v>
      </c>
      <c r="K124" t="s">
        <v>27</v>
      </c>
      <c r="L124" t="s">
        <v>28</v>
      </c>
      <c r="M124" t="s">
        <v>1296</v>
      </c>
      <c r="N124">
        <v>3</v>
      </c>
      <c r="O124" t="s">
        <v>74</v>
      </c>
      <c r="P124">
        <v>0.1</v>
      </c>
      <c r="Q124" t="s">
        <v>1325</v>
      </c>
      <c r="R124">
        <v>27.3</v>
      </c>
      <c r="S124">
        <v>22.7</v>
      </c>
      <c r="T124">
        <v>27.3</v>
      </c>
      <c r="U124">
        <v>4.5</v>
      </c>
      <c r="V124">
        <v>18.2</v>
      </c>
    </row>
    <row r="125" spans="1:22" x14ac:dyDescent="0.25">
      <c r="A125" t="s">
        <v>1425</v>
      </c>
      <c r="B125" t="s">
        <v>101</v>
      </c>
      <c r="C125">
        <v>19</v>
      </c>
      <c r="D125" t="s">
        <v>132</v>
      </c>
      <c r="E125" t="s">
        <v>26</v>
      </c>
      <c r="F125" t="s">
        <v>26</v>
      </c>
      <c r="G125">
        <v>0.42</v>
      </c>
      <c r="H125" t="s">
        <v>32</v>
      </c>
      <c r="I125">
        <v>4</v>
      </c>
      <c r="J125" t="str">
        <f>HYPERLINK("https://www.eliteprospects.com/player/410642/dylan-finlay")</f>
        <v>https://www.eliteprospects.com/player/410642/dylan-finlay</v>
      </c>
      <c r="K125" t="s">
        <v>27</v>
      </c>
      <c r="L125" t="s">
        <v>28</v>
      </c>
      <c r="M125" t="s">
        <v>1296</v>
      </c>
      <c r="N125">
        <v>4</v>
      </c>
      <c r="O125" t="s">
        <v>30</v>
      </c>
      <c r="P125">
        <v>0.08</v>
      </c>
      <c r="Q125" t="s">
        <v>1325</v>
      </c>
      <c r="R125">
        <v>30</v>
      </c>
      <c r="S125">
        <v>25</v>
      </c>
      <c r="T125">
        <v>32.5</v>
      </c>
      <c r="U125">
        <v>5</v>
      </c>
      <c r="V125">
        <v>7.5</v>
      </c>
    </row>
    <row r="126" spans="1:22" x14ac:dyDescent="0.25">
      <c r="A126" t="s">
        <v>1426</v>
      </c>
      <c r="B126" t="s">
        <v>114</v>
      </c>
      <c r="C126">
        <v>20</v>
      </c>
      <c r="D126" t="s">
        <v>132</v>
      </c>
      <c r="E126" t="s">
        <v>26</v>
      </c>
      <c r="F126" t="s">
        <v>26</v>
      </c>
      <c r="G126">
        <v>0.4</v>
      </c>
      <c r="H126" t="s">
        <v>32</v>
      </c>
      <c r="I126">
        <v>-5</v>
      </c>
      <c r="J126" t="str">
        <f>HYPERLINK("https://www.eliteprospects.com/player/616252/ethan-elias")</f>
        <v>https://www.eliteprospects.com/player/616252/ethan-elias</v>
      </c>
      <c r="K126" t="s">
        <v>27</v>
      </c>
      <c r="L126" t="s">
        <v>28</v>
      </c>
      <c r="M126" t="s">
        <v>1296</v>
      </c>
      <c r="N126">
        <v>2</v>
      </c>
      <c r="O126" t="s">
        <v>43</v>
      </c>
      <c r="P126">
        <v>0.08</v>
      </c>
      <c r="Q126" t="s">
        <v>1325</v>
      </c>
      <c r="R126">
        <v>30</v>
      </c>
      <c r="S126">
        <v>25</v>
      </c>
      <c r="T126">
        <v>32.5</v>
      </c>
      <c r="U126">
        <v>5</v>
      </c>
      <c r="V126">
        <v>7.5</v>
      </c>
    </row>
    <row r="127" spans="1:22" x14ac:dyDescent="0.25">
      <c r="A127" t="s">
        <v>1427</v>
      </c>
      <c r="B127" t="s">
        <v>184</v>
      </c>
      <c r="C127">
        <v>21</v>
      </c>
      <c r="D127" t="s">
        <v>132</v>
      </c>
      <c r="E127" t="s">
        <v>26</v>
      </c>
      <c r="F127" t="s">
        <v>26</v>
      </c>
      <c r="G127">
        <v>0.38</v>
      </c>
      <c r="H127" t="s">
        <v>57</v>
      </c>
      <c r="I127">
        <v>13</v>
      </c>
      <c r="J127" t="str">
        <f>HYPERLINK("https://www.eliteprospects.com/player/535572/kai-janviriya")</f>
        <v>https://www.eliteprospects.com/player/535572/kai-janviriya</v>
      </c>
      <c r="K127" t="s">
        <v>27</v>
      </c>
      <c r="L127" t="s">
        <v>28</v>
      </c>
      <c r="M127" t="s">
        <v>1296</v>
      </c>
      <c r="N127">
        <v>2</v>
      </c>
      <c r="O127" t="s">
        <v>43</v>
      </c>
      <c r="P127">
        <v>7.0000000000000007E-2</v>
      </c>
      <c r="Q127" t="s">
        <v>1325</v>
      </c>
      <c r="R127">
        <v>30</v>
      </c>
      <c r="S127">
        <v>25</v>
      </c>
      <c r="T127">
        <v>32.5</v>
      </c>
      <c r="U127">
        <v>5</v>
      </c>
      <c r="V127">
        <v>7.5</v>
      </c>
    </row>
    <row r="128" spans="1:22" x14ac:dyDescent="0.25">
      <c r="A128" t="s">
        <v>1428</v>
      </c>
      <c r="B128" t="s">
        <v>121</v>
      </c>
      <c r="C128">
        <v>21</v>
      </c>
      <c r="D128" t="s">
        <v>132</v>
      </c>
      <c r="E128" t="s">
        <v>26</v>
      </c>
      <c r="F128" t="s">
        <v>26</v>
      </c>
      <c r="G128">
        <v>0.38</v>
      </c>
      <c r="H128" t="s">
        <v>39</v>
      </c>
      <c r="I128">
        <v>-1</v>
      </c>
      <c r="J128" t="str">
        <f>HYPERLINK("https://www.eliteprospects.com/player/558797/trenton-powell")</f>
        <v>https://www.eliteprospects.com/player/558797/trenton-powell</v>
      </c>
      <c r="K128" t="s">
        <v>27</v>
      </c>
      <c r="L128" t="s">
        <v>28</v>
      </c>
      <c r="M128" t="s">
        <v>1296</v>
      </c>
      <c r="N128">
        <v>2</v>
      </c>
      <c r="O128" t="s">
        <v>43</v>
      </c>
      <c r="P128">
        <v>7.0000000000000007E-2</v>
      </c>
      <c r="Q128" t="s">
        <v>1325</v>
      </c>
      <c r="R128">
        <v>30</v>
      </c>
      <c r="S128">
        <v>25</v>
      </c>
      <c r="T128">
        <v>32.5</v>
      </c>
      <c r="U128">
        <v>5</v>
      </c>
      <c r="V128">
        <v>7.5</v>
      </c>
    </row>
    <row r="129" spans="1:22" x14ac:dyDescent="0.25">
      <c r="A129" t="s">
        <v>1429</v>
      </c>
      <c r="B129" t="s">
        <v>64</v>
      </c>
      <c r="C129">
        <v>22</v>
      </c>
      <c r="D129" t="s">
        <v>96</v>
      </c>
      <c r="E129" t="s">
        <v>79</v>
      </c>
      <c r="F129" t="s">
        <v>78</v>
      </c>
      <c r="G129">
        <v>0.32</v>
      </c>
      <c r="H129" t="s">
        <v>57</v>
      </c>
      <c r="I129">
        <v>11</v>
      </c>
      <c r="J129" t="str">
        <f>HYPERLINK("https://www.eliteprospects.com/player/676848/hayes-hundley")</f>
        <v>https://www.eliteprospects.com/player/676848/hayes-hundley</v>
      </c>
      <c r="K129" t="s">
        <v>27</v>
      </c>
      <c r="L129" t="s">
        <v>28</v>
      </c>
      <c r="M129" t="s">
        <v>1296</v>
      </c>
      <c r="N129">
        <v>1</v>
      </c>
      <c r="O129" t="s">
        <v>71</v>
      </c>
      <c r="P129">
        <v>0.06</v>
      </c>
      <c r="Q129" t="s">
        <v>1325</v>
      </c>
      <c r="R129">
        <v>26.3</v>
      </c>
      <c r="S129">
        <v>23.7</v>
      </c>
      <c r="T129">
        <v>28.9</v>
      </c>
      <c r="U129">
        <v>5.3</v>
      </c>
      <c r="V129">
        <v>15.8</v>
      </c>
    </row>
    <row r="130" spans="1:22" x14ac:dyDescent="0.25">
      <c r="A130" t="s">
        <v>1430</v>
      </c>
      <c r="B130" t="s">
        <v>90</v>
      </c>
      <c r="C130">
        <v>20</v>
      </c>
      <c r="D130" t="s">
        <v>66</v>
      </c>
      <c r="E130" t="s">
        <v>140</v>
      </c>
      <c r="F130" t="s">
        <v>78</v>
      </c>
      <c r="G130">
        <v>0.35</v>
      </c>
      <c r="H130" t="s">
        <v>57</v>
      </c>
      <c r="I130">
        <v>3</v>
      </c>
      <c r="J130" t="str">
        <f>HYPERLINK("https://www.eliteprospects.com/player/382759/noah-ellis")</f>
        <v>https://www.eliteprospects.com/player/382759/noah-ellis</v>
      </c>
      <c r="K130" t="s">
        <v>27</v>
      </c>
      <c r="L130" t="s">
        <v>28</v>
      </c>
      <c r="M130" t="s">
        <v>1296</v>
      </c>
      <c r="N130">
        <v>4</v>
      </c>
      <c r="O130" t="s">
        <v>30</v>
      </c>
      <c r="P130">
        <v>7.0000000000000007E-2</v>
      </c>
      <c r="Q130" t="s">
        <v>1325</v>
      </c>
      <c r="R130">
        <v>30</v>
      </c>
      <c r="S130">
        <v>25</v>
      </c>
      <c r="T130">
        <v>32.5</v>
      </c>
      <c r="U130">
        <v>5</v>
      </c>
      <c r="V130">
        <v>7.5</v>
      </c>
    </row>
    <row r="131" spans="1:22" x14ac:dyDescent="0.25">
      <c r="A131" t="s">
        <v>1431</v>
      </c>
      <c r="B131" t="s">
        <v>180</v>
      </c>
      <c r="C131">
        <v>19</v>
      </c>
      <c r="D131" t="s">
        <v>140</v>
      </c>
      <c r="E131" t="s">
        <v>66</v>
      </c>
      <c r="F131" t="s">
        <v>78</v>
      </c>
      <c r="G131">
        <v>0.37</v>
      </c>
      <c r="H131" t="s">
        <v>47</v>
      </c>
      <c r="I131">
        <v>-12</v>
      </c>
      <c r="J131" t="str">
        <f>HYPERLINK("https://www.eliteprospects.com/player/570755/michael-mastrodomenico")</f>
        <v>https://www.eliteprospects.com/player/570755/michael-mastrodomenico</v>
      </c>
      <c r="K131" t="s">
        <v>27</v>
      </c>
      <c r="L131" t="s">
        <v>28</v>
      </c>
      <c r="M131" t="s">
        <v>1296</v>
      </c>
      <c r="N131">
        <v>4</v>
      </c>
      <c r="O131" t="s">
        <v>30</v>
      </c>
      <c r="P131">
        <v>7.0000000000000007E-2</v>
      </c>
      <c r="Q131" t="s">
        <v>1325</v>
      </c>
      <c r="R131">
        <v>30</v>
      </c>
      <c r="S131">
        <v>25</v>
      </c>
      <c r="T131">
        <v>32.5</v>
      </c>
      <c r="U131">
        <v>5</v>
      </c>
      <c r="V131">
        <v>7.5</v>
      </c>
    </row>
    <row r="132" spans="1:22" x14ac:dyDescent="0.25">
      <c r="A132" t="s">
        <v>1432</v>
      </c>
      <c r="B132" t="s">
        <v>44</v>
      </c>
      <c r="C132">
        <v>24</v>
      </c>
      <c r="D132" t="s">
        <v>140</v>
      </c>
      <c r="E132" t="s">
        <v>66</v>
      </c>
      <c r="F132" t="s">
        <v>78</v>
      </c>
      <c r="G132">
        <v>0.28999999999999998</v>
      </c>
      <c r="H132" t="s">
        <v>26</v>
      </c>
      <c r="I132">
        <v>5</v>
      </c>
      <c r="J132" t="str">
        <f>HYPERLINK("https://www.eliteprospects.com/player/569257/kalem-parker")</f>
        <v>https://www.eliteprospects.com/player/569257/kalem-parker</v>
      </c>
      <c r="K132" t="s">
        <v>27</v>
      </c>
      <c r="L132" t="s">
        <v>28</v>
      </c>
      <c r="M132" t="s">
        <v>1296</v>
      </c>
      <c r="N132">
        <v>6</v>
      </c>
      <c r="O132" t="s">
        <v>193</v>
      </c>
      <c r="P132">
        <v>0.06</v>
      </c>
      <c r="Q132" t="s">
        <v>1325</v>
      </c>
      <c r="R132">
        <v>26.3</v>
      </c>
      <c r="S132">
        <v>23.7</v>
      </c>
      <c r="T132">
        <v>28.9</v>
      </c>
      <c r="U132">
        <v>5.3</v>
      </c>
      <c r="V132">
        <v>15.8</v>
      </c>
    </row>
    <row r="133" spans="1:22" x14ac:dyDescent="0.25">
      <c r="A133" t="s">
        <v>1433</v>
      </c>
      <c r="B133" t="s">
        <v>189</v>
      </c>
      <c r="C133">
        <v>24</v>
      </c>
      <c r="D133" t="s">
        <v>140</v>
      </c>
      <c r="E133" t="s">
        <v>66</v>
      </c>
      <c r="F133" t="s">
        <v>78</v>
      </c>
      <c r="G133">
        <v>0.28999999999999998</v>
      </c>
      <c r="H133" t="s">
        <v>32</v>
      </c>
      <c r="I133">
        <v>-14</v>
      </c>
      <c r="J133" t="str">
        <f>HYPERLINK("https://www.eliteprospects.com/player/417574/jack-mesic")</f>
        <v>https://www.eliteprospects.com/player/417574/jack-mesic</v>
      </c>
      <c r="K133" t="s">
        <v>27</v>
      </c>
      <c r="L133" t="s">
        <v>28</v>
      </c>
      <c r="M133" t="s">
        <v>1296</v>
      </c>
      <c r="N133">
        <v>3</v>
      </c>
      <c r="O133" t="s">
        <v>74</v>
      </c>
      <c r="P133">
        <v>0.06</v>
      </c>
      <c r="Q133" t="s">
        <v>1325</v>
      </c>
      <c r="R133">
        <v>26.3</v>
      </c>
      <c r="S133">
        <v>23.7</v>
      </c>
      <c r="T133">
        <v>28.9</v>
      </c>
      <c r="U133">
        <v>5.3</v>
      </c>
      <c r="V133">
        <v>15.8</v>
      </c>
    </row>
    <row r="134" spans="1:22" x14ac:dyDescent="0.25">
      <c r="A134" t="s">
        <v>1434</v>
      </c>
      <c r="B134" t="s">
        <v>167</v>
      </c>
      <c r="C134">
        <v>14</v>
      </c>
      <c r="D134" t="s">
        <v>79</v>
      </c>
      <c r="E134" t="s">
        <v>96</v>
      </c>
      <c r="F134" t="s">
        <v>78</v>
      </c>
      <c r="G134">
        <v>0.5</v>
      </c>
      <c r="H134" t="s">
        <v>32</v>
      </c>
      <c r="I134">
        <v>0</v>
      </c>
      <c r="J134" t="str">
        <f>HYPERLINK("https://www.eliteprospects.com/player/655345/ryan-healey")</f>
        <v>https://www.eliteprospects.com/player/655345/ryan-healey</v>
      </c>
      <c r="K134" t="s">
        <v>27</v>
      </c>
      <c r="L134" t="s">
        <v>28</v>
      </c>
      <c r="M134" t="s">
        <v>1296</v>
      </c>
      <c r="N134">
        <v>4</v>
      </c>
      <c r="O134" t="s">
        <v>30</v>
      </c>
      <c r="P134">
        <v>0.1</v>
      </c>
      <c r="Q134" t="s">
        <v>1325</v>
      </c>
      <c r="R134">
        <v>27.3</v>
      </c>
      <c r="S134">
        <v>22.7</v>
      </c>
      <c r="T134">
        <v>27.3</v>
      </c>
      <c r="U134">
        <v>4.5</v>
      </c>
      <c r="V134">
        <v>18.2</v>
      </c>
    </row>
    <row r="135" spans="1:22" x14ac:dyDescent="0.25">
      <c r="A135" t="s">
        <v>1435</v>
      </c>
      <c r="B135" t="s">
        <v>68</v>
      </c>
      <c r="C135">
        <v>15</v>
      </c>
      <c r="D135" t="s">
        <v>79</v>
      </c>
      <c r="E135" t="s">
        <v>96</v>
      </c>
      <c r="F135" t="s">
        <v>78</v>
      </c>
      <c r="G135">
        <v>0.47</v>
      </c>
      <c r="H135" t="s">
        <v>66</v>
      </c>
      <c r="I135">
        <v>8</v>
      </c>
      <c r="J135" t="str">
        <f>HYPERLINK("https://www.eliteprospects.com/player/477380/braden-blace")</f>
        <v>https://www.eliteprospects.com/player/477380/braden-blace</v>
      </c>
      <c r="K135" t="s">
        <v>27</v>
      </c>
      <c r="L135" t="s">
        <v>28</v>
      </c>
      <c r="M135" t="s">
        <v>1296</v>
      </c>
      <c r="N135">
        <v>2</v>
      </c>
      <c r="O135" t="s">
        <v>43</v>
      </c>
      <c r="P135">
        <v>0.09</v>
      </c>
      <c r="Q135" t="s">
        <v>1325</v>
      </c>
      <c r="R135">
        <v>27.3</v>
      </c>
      <c r="S135">
        <v>22.7</v>
      </c>
      <c r="T135">
        <v>27.3</v>
      </c>
      <c r="U135">
        <v>4.5</v>
      </c>
      <c r="V135">
        <v>18.2</v>
      </c>
    </row>
    <row r="136" spans="1:22" x14ac:dyDescent="0.25">
      <c r="A136" t="s">
        <v>1436</v>
      </c>
      <c r="B136" t="s">
        <v>163</v>
      </c>
      <c r="C136">
        <v>15</v>
      </c>
      <c r="D136" t="s">
        <v>79</v>
      </c>
      <c r="E136" t="s">
        <v>96</v>
      </c>
      <c r="F136" t="s">
        <v>78</v>
      </c>
      <c r="G136">
        <v>0.47</v>
      </c>
      <c r="H136" t="s">
        <v>32</v>
      </c>
      <c r="I136">
        <v>2</v>
      </c>
      <c r="J136" t="str">
        <f>HYPERLINK("https://www.eliteprospects.com/player/295024/kale-mccallum")</f>
        <v>https://www.eliteprospects.com/player/295024/kale-mccallum</v>
      </c>
      <c r="K136" t="s">
        <v>27</v>
      </c>
      <c r="L136" t="s">
        <v>28</v>
      </c>
      <c r="M136" t="s">
        <v>1296</v>
      </c>
      <c r="N136">
        <v>7</v>
      </c>
      <c r="O136" t="s">
        <v>1437</v>
      </c>
      <c r="P136">
        <v>0.09</v>
      </c>
      <c r="Q136" t="s">
        <v>1325</v>
      </c>
      <c r="R136">
        <v>27.3</v>
      </c>
      <c r="S136">
        <v>22.7</v>
      </c>
      <c r="T136">
        <v>27.3</v>
      </c>
      <c r="U136">
        <v>4.5</v>
      </c>
      <c r="V136">
        <v>18.2</v>
      </c>
    </row>
    <row r="137" spans="1:22" x14ac:dyDescent="0.25">
      <c r="A137" t="s">
        <v>1438</v>
      </c>
      <c r="B137" t="s">
        <v>222</v>
      </c>
      <c r="C137">
        <v>16</v>
      </c>
      <c r="D137" t="s">
        <v>79</v>
      </c>
      <c r="E137" t="s">
        <v>96</v>
      </c>
      <c r="F137" t="s">
        <v>78</v>
      </c>
      <c r="G137">
        <v>0.44</v>
      </c>
      <c r="H137" t="s">
        <v>39</v>
      </c>
      <c r="I137">
        <v>2</v>
      </c>
      <c r="J137" t="str">
        <f>HYPERLINK("https://www.eliteprospects.com/player/506237/rhys-bentham")</f>
        <v>https://www.eliteprospects.com/player/506237/rhys-bentham</v>
      </c>
      <c r="K137" t="s">
        <v>27</v>
      </c>
      <c r="L137" t="s">
        <v>28</v>
      </c>
      <c r="M137" t="s">
        <v>1296</v>
      </c>
      <c r="N137">
        <v>3</v>
      </c>
      <c r="O137" t="s">
        <v>74</v>
      </c>
      <c r="P137">
        <v>0.09</v>
      </c>
      <c r="Q137" t="s">
        <v>1325</v>
      </c>
      <c r="R137">
        <v>27.3</v>
      </c>
      <c r="S137">
        <v>22.7</v>
      </c>
      <c r="T137">
        <v>27.3</v>
      </c>
      <c r="U137">
        <v>4.5</v>
      </c>
      <c r="V137">
        <v>18.2</v>
      </c>
    </row>
    <row r="138" spans="1:22" x14ac:dyDescent="0.25">
      <c r="A138" t="s">
        <v>1439</v>
      </c>
      <c r="B138" t="s">
        <v>165</v>
      </c>
      <c r="C138">
        <v>18</v>
      </c>
      <c r="D138" t="s">
        <v>79</v>
      </c>
      <c r="E138" t="s">
        <v>96</v>
      </c>
      <c r="F138" t="s">
        <v>78</v>
      </c>
      <c r="G138">
        <v>0.39</v>
      </c>
      <c r="H138" t="s">
        <v>79</v>
      </c>
      <c r="I138">
        <v>-9</v>
      </c>
      <c r="J138" t="str">
        <f>HYPERLINK("https://www.eliteprospects.com/player/715322/brett-merner")</f>
        <v>https://www.eliteprospects.com/player/715322/brett-merner</v>
      </c>
      <c r="K138" t="s">
        <v>27</v>
      </c>
      <c r="L138" t="s">
        <v>28</v>
      </c>
      <c r="M138" t="s">
        <v>1296</v>
      </c>
      <c r="N138">
        <v>2</v>
      </c>
      <c r="O138" t="s">
        <v>43</v>
      </c>
      <c r="P138">
        <v>0.08</v>
      </c>
      <c r="Q138" t="s">
        <v>1325</v>
      </c>
      <c r="R138">
        <v>30</v>
      </c>
      <c r="S138">
        <v>25</v>
      </c>
      <c r="T138">
        <v>32.5</v>
      </c>
      <c r="U138">
        <v>5</v>
      </c>
      <c r="V138">
        <v>7.5</v>
      </c>
    </row>
    <row r="139" spans="1:22" x14ac:dyDescent="0.25">
      <c r="A139" t="s">
        <v>1440</v>
      </c>
      <c r="B139" t="s">
        <v>127</v>
      </c>
      <c r="C139">
        <v>19</v>
      </c>
      <c r="D139" t="s">
        <v>79</v>
      </c>
      <c r="E139" t="s">
        <v>96</v>
      </c>
      <c r="F139" t="s">
        <v>78</v>
      </c>
      <c r="G139">
        <v>0.37</v>
      </c>
      <c r="H139" t="s">
        <v>66</v>
      </c>
      <c r="I139">
        <v>7</v>
      </c>
      <c r="J139" t="str">
        <f>HYPERLINK("https://www.eliteprospects.com/player/711643/dax-williams")</f>
        <v>https://www.eliteprospects.com/player/711643/dax-williams</v>
      </c>
      <c r="K139" t="s">
        <v>27</v>
      </c>
      <c r="L139" t="s">
        <v>28</v>
      </c>
      <c r="M139" t="s">
        <v>1296</v>
      </c>
      <c r="N139">
        <v>5</v>
      </c>
      <c r="O139" t="s">
        <v>152</v>
      </c>
      <c r="P139">
        <v>7.0000000000000007E-2</v>
      </c>
      <c r="Q139" t="s">
        <v>1325</v>
      </c>
      <c r="R139">
        <v>30</v>
      </c>
      <c r="S139">
        <v>25</v>
      </c>
      <c r="T139">
        <v>32.5</v>
      </c>
      <c r="U139">
        <v>5</v>
      </c>
      <c r="V139">
        <v>7.5</v>
      </c>
    </row>
    <row r="140" spans="1:22" x14ac:dyDescent="0.25">
      <c r="A140" t="s">
        <v>1441</v>
      </c>
      <c r="B140" t="s">
        <v>202</v>
      </c>
      <c r="C140">
        <v>19</v>
      </c>
      <c r="D140" t="s">
        <v>79</v>
      </c>
      <c r="E140" t="s">
        <v>96</v>
      </c>
      <c r="F140" t="s">
        <v>78</v>
      </c>
      <c r="G140">
        <v>0.37</v>
      </c>
      <c r="H140" t="s">
        <v>32</v>
      </c>
      <c r="I140">
        <v>-4</v>
      </c>
      <c r="J140" t="str">
        <f>HYPERLINK("https://www.eliteprospects.com/player/201798/aidan-de-la-gorgendiere")</f>
        <v>https://www.eliteprospects.com/player/201798/aidan-de-la-gorgendiere</v>
      </c>
      <c r="K140" t="s">
        <v>27</v>
      </c>
      <c r="L140" t="s">
        <v>28</v>
      </c>
      <c r="M140" t="s">
        <v>1296</v>
      </c>
      <c r="N140">
        <v>6</v>
      </c>
      <c r="O140" t="s">
        <v>263</v>
      </c>
      <c r="P140">
        <v>7.0000000000000007E-2</v>
      </c>
      <c r="Q140" t="s">
        <v>1325</v>
      </c>
      <c r="R140">
        <v>30</v>
      </c>
      <c r="S140">
        <v>25</v>
      </c>
      <c r="T140">
        <v>32.5</v>
      </c>
      <c r="U140">
        <v>5</v>
      </c>
      <c r="V140">
        <v>7.5</v>
      </c>
    </row>
    <row r="141" spans="1:22" x14ac:dyDescent="0.25">
      <c r="A141" t="s">
        <v>1442</v>
      </c>
      <c r="B141" t="s">
        <v>90</v>
      </c>
      <c r="C141">
        <v>20</v>
      </c>
      <c r="D141" t="s">
        <v>79</v>
      </c>
      <c r="E141" t="s">
        <v>96</v>
      </c>
      <c r="F141" t="s">
        <v>78</v>
      </c>
      <c r="G141">
        <v>0.35</v>
      </c>
      <c r="H141" t="s">
        <v>57</v>
      </c>
      <c r="I141">
        <v>-1</v>
      </c>
      <c r="J141" t="str">
        <f>HYPERLINK("https://www.eliteprospects.com/player/375499/john-driscoll")</f>
        <v>https://www.eliteprospects.com/player/375499/john-driscoll</v>
      </c>
      <c r="K141" t="s">
        <v>27</v>
      </c>
      <c r="L141" t="s">
        <v>28</v>
      </c>
      <c r="M141" t="s">
        <v>1296</v>
      </c>
      <c r="N141">
        <v>4</v>
      </c>
      <c r="O141" t="s">
        <v>30</v>
      </c>
      <c r="P141">
        <v>7.0000000000000007E-2</v>
      </c>
      <c r="Q141" t="s">
        <v>1325</v>
      </c>
      <c r="R141">
        <v>30</v>
      </c>
      <c r="S141">
        <v>25</v>
      </c>
      <c r="T141">
        <v>32.5</v>
      </c>
      <c r="U141">
        <v>5</v>
      </c>
      <c r="V141">
        <v>7.5</v>
      </c>
    </row>
    <row r="142" spans="1:22" x14ac:dyDescent="0.25">
      <c r="A142" t="s">
        <v>1443</v>
      </c>
      <c r="B142" t="s">
        <v>238</v>
      </c>
      <c r="C142">
        <v>20</v>
      </c>
      <c r="D142" t="s">
        <v>79</v>
      </c>
      <c r="E142" t="s">
        <v>96</v>
      </c>
      <c r="F142" t="s">
        <v>78</v>
      </c>
      <c r="G142">
        <v>0.35</v>
      </c>
      <c r="H142" t="s">
        <v>57</v>
      </c>
      <c r="I142">
        <v>-8</v>
      </c>
      <c r="J142" t="str">
        <f>HYPERLINK("https://www.eliteprospects.com/player/718106/thomas-klassek")</f>
        <v>https://www.eliteprospects.com/player/718106/thomas-klassek</v>
      </c>
      <c r="K142" t="s">
        <v>27</v>
      </c>
      <c r="L142" t="s">
        <v>28</v>
      </c>
      <c r="M142" t="s">
        <v>1296</v>
      </c>
      <c r="N142">
        <v>1</v>
      </c>
      <c r="O142" t="s">
        <v>71</v>
      </c>
      <c r="P142">
        <v>7.0000000000000007E-2</v>
      </c>
      <c r="Q142" t="s">
        <v>1325</v>
      </c>
      <c r="R142">
        <v>30</v>
      </c>
      <c r="S142">
        <v>25</v>
      </c>
      <c r="T142">
        <v>32.5</v>
      </c>
      <c r="U142">
        <v>5</v>
      </c>
      <c r="V142">
        <v>7.5</v>
      </c>
    </row>
    <row r="143" spans="1:22" x14ac:dyDescent="0.25">
      <c r="A143" t="s">
        <v>1444</v>
      </c>
      <c r="B143" t="s">
        <v>180</v>
      </c>
      <c r="C143">
        <v>20</v>
      </c>
      <c r="D143" t="s">
        <v>79</v>
      </c>
      <c r="E143" t="s">
        <v>96</v>
      </c>
      <c r="F143" t="s">
        <v>78</v>
      </c>
      <c r="G143">
        <v>0.35</v>
      </c>
      <c r="H143" t="s">
        <v>32</v>
      </c>
      <c r="I143">
        <v>-8</v>
      </c>
      <c r="J143" t="str">
        <f>HYPERLINK("https://www.eliteprospects.com/player/616257/henry-nelson")</f>
        <v>https://www.eliteprospects.com/player/616257/henry-nelson</v>
      </c>
      <c r="K143" t="s">
        <v>27</v>
      </c>
      <c r="L143" t="s">
        <v>28</v>
      </c>
      <c r="M143" t="s">
        <v>1296</v>
      </c>
      <c r="N143">
        <v>3</v>
      </c>
      <c r="O143" t="s">
        <v>74</v>
      </c>
      <c r="P143">
        <v>7.0000000000000007E-2</v>
      </c>
      <c r="Q143" t="s">
        <v>1325</v>
      </c>
      <c r="R143">
        <v>30</v>
      </c>
      <c r="S143">
        <v>25</v>
      </c>
      <c r="T143">
        <v>32.5</v>
      </c>
      <c r="U143">
        <v>5</v>
      </c>
      <c r="V143">
        <v>7.5</v>
      </c>
    </row>
    <row r="144" spans="1:22" x14ac:dyDescent="0.25">
      <c r="A144" t="s">
        <v>1445</v>
      </c>
      <c r="B144" t="s">
        <v>95</v>
      </c>
      <c r="C144">
        <v>21</v>
      </c>
      <c r="D144" t="s">
        <v>79</v>
      </c>
      <c r="E144" t="s">
        <v>96</v>
      </c>
      <c r="F144" t="s">
        <v>78</v>
      </c>
      <c r="G144">
        <v>0.33</v>
      </c>
      <c r="H144" t="s">
        <v>57</v>
      </c>
      <c r="I144">
        <v>7</v>
      </c>
      <c r="J144" t="str">
        <f>HYPERLINK("https://www.eliteprospects.com/player/488006/zach-bookman")</f>
        <v>https://www.eliteprospects.com/player/488006/zach-bookman</v>
      </c>
      <c r="K144" t="s">
        <v>27</v>
      </c>
      <c r="L144" t="s">
        <v>28</v>
      </c>
      <c r="M144" t="s">
        <v>1296</v>
      </c>
      <c r="N144">
        <v>4</v>
      </c>
      <c r="O144" t="s">
        <v>30</v>
      </c>
      <c r="P144">
        <v>0.06</v>
      </c>
      <c r="Q144" t="s">
        <v>1325</v>
      </c>
      <c r="R144">
        <v>26.3</v>
      </c>
      <c r="S144">
        <v>23.7</v>
      </c>
      <c r="T144">
        <v>28.9</v>
      </c>
      <c r="U144">
        <v>5.3</v>
      </c>
      <c r="V144">
        <v>15.8</v>
      </c>
    </row>
    <row r="145" spans="1:22" x14ac:dyDescent="0.25">
      <c r="A145" t="s">
        <v>1446</v>
      </c>
      <c r="B145" t="s">
        <v>131</v>
      </c>
      <c r="C145">
        <v>23</v>
      </c>
      <c r="D145" t="s">
        <v>79</v>
      </c>
      <c r="E145" t="s">
        <v>96</v>
      </c>
      <c r="F145" t="s">
        <v>78</v>
      </c>
      <c r="G145">
        <v>0.3</v>
      </c>
      <c r="H145" t="s">
        <v>46</v>
      </c>
      <c r="I145">
        <v>6</v>
      </c>
      <c r="J145" t="str">
        <f>HYPERLINK("https://www.eliteprospects.com/player/364220/owen-nolan")</f>
        <v>https://www.eliteprospects.com/player/364220/owen-nolan</v>
      </c>
      <c r="K145" t="s">
        <v>27</v>
      </c>
      <c r="L145" t="s">
        <v>28</v>
      </c>
      <c r="M145" t="s">
        <v>1296</v>
      </c>
      <c r="N145">
        <v>4</v>
      </c>
      <c r="O145" t="s">
        <v>30</v>
      </c>
      <c r="P145">
        <v>0.06</v>
      </c>
      <c r="Q145" t="s">
        <v>1325</v>
      </c>
      <c r="R145">
        <v>26.3</v>
      </c>
      <c r="S145">
        <v>23.7</v>
      </c>
      <c r="T145">
        <v>28.9</v>
      </c>
      <c r="U145">
        <v>5.3</v>
      </c>
      <c r="V145">
        <v>15.8</v>
      </c>
    </row>
    <row r="146" spans="1:22" x14ac:dyDescent="0.25">
      <c r="A146" t="s">
        <v>1447</v>
      </c>
      <c r="B146" t="s">
        <v>98</v>
      </c>
      <c r="C146">
        <v>19</v>
      </c>
      <c r="D146" t="s">
        <v>260</v>
      </c>
      <c r="E146" t="s">
        <v>57</v>
      </c>
      <c r="F146" t="s">
        <v>78</v>
      </c>
      <c r="G146">
        <v>0.37</v>
      </c>
      <c r="H146" t="s">
        <v>26</v>
      </c>
      <c r="I146">
        <v>2</v>
      </c>
      <c r="J146" t="str">
        <f>HYPERLINK("https://www.eliteprospects.com/player/597647/will-felicio")</f>
        <v>https://www.eliteprospects.com/player/597647/will-felicio</v>
      </c>
      <c r="K146" t="s">
        <v>27</v>
      </c>
      <c r="L146" t="s">
        <v>28</v>
      </c>
      <c r="M146" t="s">
        <v>1296</v>
      </c>
      <c r="N146">
        <v>2</v>
      </c>
      <c r="O146" t="s">
        <v>43</v>
      </c>
      <c r="P146">
        <v>7.0000000000000007E-2</v>
      </c>
      <c r="Q146" t="s">
        <v>1325</v>
      </c>
      <c r="R146">
        <v>30</v>
      </c>
      <c r="S146">
        <v>25</v>
      </c>
      <c r="T146">
        <v>32.5</v>
      </c>
      <c r="U146">
        <v>5</v>
      </c>
      <c r="V146">
        <v>7.5</v>
      </c>
    </row>
    <row r="147" spans="1:22" x14ac:dyDescent="0.25">
      <c r="A147" t="s">
        <v>1448</v>
      </c>
      <c r="B147" t="s">
        <v>86</v>
      </c>
      <c r="C147">
        <v>19</v>
      </c>
      <c r="D147" t="s">
        <v>260</v>
      </c>
      <c r="E147" t="s">
        <v>57</v>
      </c>
      <c r="F147" t="s">
        <v>78</v>
      </c>
      <c r="G147">
        <v>0.37</v>
      </c>
      <c r="H147" t="s">
        <v>136</v>
      </c>
      <c r="I147">
        <v>9</v>
      </c>
      <c r="J147" t="str">
        <f>HYPERLINK("https://www.eliteprospects.com/player/554907/patrick-geary")</f>
        <v>https://www.eliteprospects.com/player/554907/patrick-geary</v>
      </c>
      <c r="K147" t="s">
        <v>27</v>
      </c>
      <c r="L147" t="s">
        <v>28</v>
      </c>
      <c r="M147" t="s">
        <v>1296</v>
      </c>
      <c r="N147">
        <v>3</v>
      </c>
      <c r="O147" t="s">
        <v>74</v>
      </c>
      <c r="P147">
        <v>7.0000000000000007E-2</v>
      </c>
      <c r="Q147" t="s">
        <v>1325</v>
      </c>
      <c r="R147">
        <v>30</v>
      </c>
      <c r="S147">
        <v>25</v>
      </c>
      <c r="T147">
        <v>32.5</v>
      </c>
      <c r="U147">
        <v>5</v>
      </c>
      <c r="V147">
        <v>7.5</v>
      </c>
    </row>
    <row r="148" spans="1:22" x14ac:dyDescent="0.25">
      <c r="A148" t="s">
        <v>1449</v>
      </c>
      <c r="B148" t="s">
        <v>127</v>
      </c>
      <c r="C148">
        <v>20</v>
      </c>
      <c r="D148" t="s">
        <v>260</v>
      </c>
      <c r="E148" t="s">
        <v>57</v>
      </c>
      <c r="F148" t="s">
        <v>78</v>
      </c>
      <c r="G148">
        <v>0.35</v>
      </c>
      <c r="H148" t="s">
        <v>53</v>
      </c>
      <c r="I148">
        <v>7</v>
      </c>
      <c r="J148" t="str">
        <f>HYPERLINK("https://www.eliteprospects.com/player/525667/owain-johnston")</f>
        <v>https://www.eliteprospects.com/player/525667/owain-johnston</v>
      </c>
      <c r="K148" t="s">
        <v>27</v>
      </c>
      <c r="L148" t="s">
        <v>28</v>
      </c>
      <c r="M148" t="s">
        <v>1296</v>
      </c>
      <c r="N148">
        <v>4</v>
      </c>
      <c r="O148" t="s">
        <v>100</v>
      </c>
      <c r="P148">
        <v>7.0000000000000007E-2</v>
      </c>
      <c r="Q148" t="s">
        <v>1325</v>
      </c>
      <c r="R148">
        <v>30</v>
      </c>
      <c r="S148">
        <v>25</v>
      </c>
      <c r="T148">
        <v>32.5</v>
      </c>
      <c r="U148">
        <v>5</v>
      </c>
      <c r="V148">
        <v>7.5</v>
      </c>
    </row>
    <row r="149" spans="1:22" x14ac:dyDescent="0.25">
      <c r="A149" t="s">
        <v>1450</v>
      </c>
      <c r="B149" t="s">
        <v>113</v>
      </c>
      <c r="C149">
        <v>23</v>
      </c>
      <c r="D149" t="s">
        <v>260</v>
      </c>
      <c r="E149" t="s">
        <v>57</v>
      </c>
      <c r="F149" t="s">
        <v>78</v>
      </c>
      <c r="G149">
        <v>0.3</v>
      </c>
      <c r="H149" t="s">
        <v>40</v>
      </c>
      <c r="I149">
        <v>-2</v>
      </c>
      <c r="J149" t="str">
        <f>HYPERLINK("https://www.eliteprospects.com/player/588298/campbell-cichosz")</f>
        <v>https://www.eliteprospects.com/player/588298/campbell-cichosz</v>
      </c>
      <c r="K149" t="s">
        <v>27</v>
      </c>
      <c r="L149" t="s">
        <v>28</v>
      </c>
      <c r="M149" t="s">
        <v>1296</v>
      </c>
      <c r="N149">
        <v>4</v>
      </c>
      <c r="O149" t="s">
        <v>30</v>
      </c>
      <c r="P149">
        <v>0.06</v>
      </c>
      <c r="Q149" t="s">
        <v>1325</v>
      </c>
      <c r="R149">
        <v>26.3</v>
      </c>
      <c r="S149">
        <v>23.7</v>
      </c>
      <c r="T149">
        <v>28.9</v>
      </c>
      <c r="U149">
        <v>5.3</v>
      </c>
      <c r="V149">
        <v>15.8</v>
      </c>
    </row>
    <row r="150" spans="1:22" x14ac:dyDescent="0.25">
      <c r="A150" t="s">
        <v>1451</v>
      </c>
      <c r="B150" t="s">
        <v>95</v>
      </c>
      <c r="C150">
        <v>18</v>
      </c>
      <c r="D150" t="s">
        <v>132</v>
      </c>
      <c r="E150" t="s">
        <v>78</v>
      </c>
      <c r="F150" t="s">
        <v>78</v>
      </c>
      <c r="G150">
        <v>0.39</v>
      </c>
      <c r="H150" t="s">
        <v>26</v>
      </c>
      <c r="I150">
        <v>-1</v>
      </c>
      <c r="J150" t="str">
        <f>HYPERLINK("https://www.eliteprospects.com/player/567628/cole-crusberg-roseen")</f>
        <v>https://www.eliteprospects.com/player/567628/cole-crusberg-roseen</v>
      </c>
      <c r="K150" t="s">
        <v>27</v>
      </c>
      <c r="L150" t="s">
        <v>28</v>
      </c>
      <c r="M150" t="s">
        <v>1296</v>
      </c>
      <c r="N150">
        <v>3</v>
      </c>
      <c r="O150" t="s">
        <v>74</v>
      </c>
      <c r="P150">
        <v>0.08</v>
      </c>
      <c r="Q150" t="s">
        <v>1325</v>
      </c>
      <c r="R150">
        <v>30</v>
      </c>
      <c r="S150">
        <v>25</v>
      </c>
      <c r="T150">
        <v>32.5</v>
      </c>
      <c r="U150">
        <v>5</v>
      </c>
      <c r="V150">
        <v>7.5</v>
      </c>
    </row>
    <row r="151" spans="1:22" x14ac:dyDescent="0.25">
      <c r="A151" t="s">
        <v>1452</v>
      </c>
      <c r="B151" t="s">
        <v>80</v>
      </c>
      <c r="C151">
        <v>20</v>
      </c>
      <c r="D151" t="s">
        <v>132</v>
      </c>
      <c r="E151" t="s">
        <v>78</v>
      </c>
      <c r="F151" t="s">
        <v>78</v>
      </c>
      <c r="G151">
        <v>0.35</v>
      </c>
      <c r="H151" t="s">
        <v>57</v>
      </c>
      <c r="I151">
        <v>-1</v>
      </c>
      <c r="J151" t="str">
        <f>HYPERLINK("https://www.eliteprospects.com/player/201884/mac-gadowsky")</f>
        <v>https://www.eliteprospects.com/player/201884/mac-gadowsky</v>
      </c>
      <c r="K151" t="s">
        <v>27</v>
      </c>
      <c r="L151" t="s">
        <v>28</v>
      </c>
      <c r="M151" t="s">
        <v>1296</v>
      </c>
      <c r="N151">
        <v>3</v>
      </c>
      <c r="O151" t="s">
        <v>74</v>
      </c>
      <c r="P151">
        <v>7.0000000000000007E-2</v>
      </c>
      <c r="Q151" t="s">
        <v>1325</v>
      </c>
      <c r="R151">
        <v>30</v>
      </c>
      <c r="S151">
        <v>25</v>
      </c>
      <c r="T151">
        <v>32.5</v>
      </c>
      <c r="U151">
        <v>5</v>
      </c>
      <c r="V151">
        <v>7.5</v>
      </c>
    </row>
    <row r="152" spans="1:22" x14ac:dyDescent="0.25">
      <c r="A152" t="s">
        <v>1453</v>
      </c>
      <c r="B152" t="s">
        <v>98</v>
      </c>
      <c r="C152">
        <v>21</v>
      </c>
      <c r="D152" t="s">
        <v>132</v>
      </c>
      <c r="E152" t="s">
        <v>78</v>
      </c>
      <c r="F152" t="s">
        <v>78</v>
      </c>
      <c r="G152">
        <v>0.33</v>
      </c>
      <c r="H152" t="s">
        <v>55</v>
      </c>
      <c r="I152">
        <v>0</v>
      </c>
      <c r="J152" t="str">
        <f>HYPERLINK("https://www.eliteprospects.com/player/556254/carter-rose")</f>
        <v>https://www.eliteprospects.com/player/556254/carter-rose</v>
      </c>
      <c r="K152" t="s">
        <v>27</v>
      </c>
      <c r="L152" t="s">
        <v>28</v>
      </c>
      <c r="M152" t="s">
        <v>1296</v>
      </c>
      <c r="N152">
        <v>3</v>
      </c>
      <c r="O152" t="s">
        <v>74</v>
      </c>
      <c r="P152">
        <v>0.06</v>
      </c>
      <c r="Q152" t="s">
        <v>1325</v>
      </c>
      <c r="R152">
        <v>26.3</v>
      </c>
      <c r="S152">
        <v>23.7</v>
      </c>
      <c r="T152">
        <v>28.9</v>
      </c>
      <c r="U152">
        <v>5.3</v>
      </c>
      <c r="V152">
        <v>15.8</v>
      </c>
    </row>
    <row r="153" spans="1:22" x14ac:dyDescent="0.25">
      <c r="A153" t="s">
        <v>1454</v>
      </c>
      <c r="B153" t="s">
        <v>215</v>
      </c>
      <c r="C153">
        <v>24</v>
      </c>
      <c r="D153" t="s">
        <v>132</v>
      </c>
      <c r="E153" t="s">
        <v>78</v>
      </c>
      <c r="F153" t="s">
        <v>78</v>
      </c>
      <c r="G153">
        <v>0.28999999999999998</v>
      </c>
      <c r="H153" t="s">
        <v>26</v>
      </c>
      <c r="I153">
        <v>-10</v>
      </c>
      <c r="J153" t="str">
        <f>HYPERLINK("https://www.eliteprospects.com/player/351174/tynan-ewart")</f>
        <v>https://www.eliteprospects.com/player/351174/tynan-ewart</v>
      </c>
      <c r="K153" t="s">
        <v>27</v>
      </c>
      <c r="L153" t="s">
        <v>28</v>
      </c>
      <c r="M153" t="s">
        <v>1296</v>
      </c>
      <c r="N153">
        <v>3</v>
      </c>
      <c r="O153" t="s">
        <v>74</v>
      </c>
      <c r="P153">
        <v>0.06</v>
      </c>
      <c r="Q153" t="s">
        <v>1325</v>
      </c>
      <c r="R153">
        <v>26.3</v>
      </c>
      <c r="S153">
        <v>23.7</v>
      </c>
      <c r="T153">
        <v>28.9</v>
      </c>
      <c r="U153">
        <v>5.3</v>
      </c>
      <c r="V153">
        <v>15.8</v>
      </c>
    </row>
    <row r="154" spans="1:22" x14ac:dyDescent="0.25">
      <c r="A154" t="s">
        <v>1455</v>
      </c>
      <c r="B154" t="s">
        <v>161</v>
      </c>
      <c r="C154">
        <v>14</v>
      </c>
      <c r="D154" t="s">
        <v>96</v>
      </c>
      <c r="E154" t="s">
        <v>260</v>
      </c>
      <c r="F154" t="s">
        <v>57</v>
      </c>
      <c r="G154">
        <v>0.43</v>
      </c>
      <c r="H154" t="s">
        <v>57</v>
      </c>
      <c r="I154">
        <v>5</v>
      </c>
      <c r="J154" t="str">
        <f>HYPERLINK("https://www.eliteprospects.com/player/618648/philippe-blais-savoie")</f>
        <v>https://www.eliteprospects.com/player/618648/philippe-blais-savoie</v>
      </c>
      <c r="K154" t="s">
        <v>27</v>
      </c>
      <c r="L154" t="s">
        <v>28</v>
      </c>
      <c r="M154" t="s">
        <v>1296</v>
      </c>
      <c r="N154">
        <v>2</v>
      </c>
      <c r="O154" t="s">
        <v>43</v>
      </c>
      <c r="P154">
        <v>0.08</v>
      </c>
      <c r="Q154" t="s">
        <v>1325</v>
      </c>
      <c r="R154">
        <v>30</v>
      </c>
      <c r="S154">
        <v>25</v>
      </c>
      <c r="T154">
        <v>32.5</v>
      </c>
      <c r="U154">
        <v>5</v>
      </c>
      <c r="V154">
        <v>7.5</v>
      </c>
    </row>
    <row r="155" spans="1:22" x14ac:dyDescent="0.25">
      <c r="A155" t="s">
        <v>1456</v>
      </c>
      <c r="B155" t="s">
        <v>174</v>
      </c>
      <c r="C155">
        <v>19</v>
      </c>
      <c r="D155" t="s">
        <v>66</v>
      </c>
      <c r="E155" t="s">
        <v>79</v>
      </c>
      <c r="F155" t="s">
        <v>57</v>
      </c>
      <c r="G155">
        <v>0.32</v>
      </c>
      <c r="H155" t="s">
        <v>57</v>
      </c>
      <c r="I155">
        <v>5</v>
      </c>
      <c r="J155" t="str">
        <f>HYPERLINK("https://www.eliteprospects.com/player/776683/ryan-philbrick")</f>
        <v>https://www.eliteprospects.com/player/776683/ryan-philbrick</v>
      </c>
      <c r="K155" t="s">
        <v>27</v>
      </c>
      <c r="L155" t="s">
        <v>28</v>
      </c>
      <c r="M155" t="s">
        <v>1296</v>
      </c>
      <c r="N155">
        <v>1</v>
      </c>
      <c r="O155" t="s">
        <v>71</v>
      </c>
      <c r="P155">
        <v>0.06</v>
      </c>
      <c r="Q155" t="s">
        <v>1325</v>
      </c>
      <c r="R155">
        <v>26.3</v>
      </c>
      <c r="S155">
        <v>23.7</v>
      </c>
      <c r="T155">
        <v>28.9</v>
      </c>
      <c r="U155">
        <v>5.3</v>
      </c>
      <c r="V155">
        <v>15.8</v>
      </c>
    </row>
    <row r="156" spans="1:22" x14ac:dyDescent="0.25">
      <c r="A156" t="s">
        <v>1457</v>
      </c>
      <c r="B156" t="s">
        <v>162</v>
      </c>
      <c r="C156">
        <v>20</v>
      </c>
      <c r="D156" t="s">
        <v>140</v>
      </c>
      <c r="E156" t="s">
        <v>140</v>
      </c>
      <c r="F156" t="s">
        <v>57</v>
      </c>
      <c r="G156">
        <v>0.3</v>
      </c>
      <c r="H156" t="s">
        <v>57</v>
      </c>
      <c r="I156">
        <v>10</v>
      </c>
      <c r="J156" t="str">
        <f>HYPERLINK("https://www.eliteprospects.com/player/605379/colton-cameron")</f>
        <v>https://www.eliteprospects.com/player/605379/colton-cameron</v>
      </c>
      <c r="K156" t="s">
        <v>27</v>
      </c>
      <c r="L156" t="s">
        <v>28</v>
      </c>
      <c r="M156" t="s">
        <v>1296</v>
      </c>
      <c r="N156">
        <v>3</v>
      </c>
      <c r="O156" t="s">
        <v>74</v>
      </c>
      <c r="P156">
        <v>0.06</v>
      </c>
      <c r="Q156" t="s">
        <v>1325</v>
      </c>
      <c r="R156">
        <v>26.3</v>
      </c>
      <c r="S156">
        <v>23.7</v>
      </c>
      <c r="T156">
        <v>28.9</v>
      </c>
      <c r="U156">
        <v>5.3</v>
      </c>
      <c r="V156">
        <v>15.8</v>
      </c>
    </row>
    <row r="157" spans="1:22" x14ac:dyDescent="0.25">
      <c r="A157" t="s">
        <v>1458</v>
      </c>
      <c r="B157" t="s">
        <v>113</v>
      </c>
      <c r="C157">
        <v>21</v>
      </c>
      <c r="D157" t="s">
        <v>140</v>
      </c>
      <c r="E157" t="s">
        <v>140</v>
      </c>
      <c r="F157" t="s">
        <v>57</v>
      </c>
      <c r="G157">
        <v>0.28999999999999998</v>
      </c>
      <c r="H157" t="s">
        <v>66</v>
      </c>
      <c r="I157">
        <v>3</v>
      </c>
      <c r="J157" t="str">
        <f>HYPERLINK("https://www.eliteprospects.com/player/592077/jacob-conrad")</f>
        <v>https://www.eliteprospects.com/player/592077/jacob-conrad</v>
      </c>
      <c r="K157" t="s">
        <v>27</v>
      </c>
      <c r="L157" t="s">
        <v>28</v>
      </c>
      <c r="M157" t="s">
        <v>1296</v>
      </c>
      <c r="N157">
        <v>3</v>
      </c>
      <c r="O157" t="s">
        <v>74</v>
      </c>
      <c r="P157">
        <v>0.06</v>
      </c>
      <c r="Q157" t="s">
        <v>1325</v>
      </c>
      <c r="R157">
        <v>26.3</v>
      </c>
      <c r="S157">
        <v>23.7</v>
      </c>
      <c r="T157">
        <v>28.9</v>
      </c>
      <c r="U157">
        <v>5.3</v>
      </c>
      <c r="V157">
        <v>15.8</v>
      </c>
    </row>
    <row r="158" spans="1:22" x14ac:dyDescent="0.25">
      <c r="A158" t="s">
        <v>1459</v>
      </c>
      <c r="B158" t="s">
        <v>83</v>
      </c>
      <c r="C158">
        <v>14</v>
      </c>
      <c r="D158" t="s">
        <v>79</v>
      </c>
      <c r="E158" t="s">
        <v>66</v>
      </c>
      <c r="F158" t="s">
        <v>57</v>
      </c>
      <c r="G158">
        <v>0.43</v>
      </c>
      <c r="H158" t="s">
        <v>132</v>
      </c>
      <c r="I158">
        <v>4</v>
      </c>
      <c r="J158" t="str">
        <f>HYPERLINK("https://www.eliteprospects.com/player/597758/cooper-cleaves")</f>
        <v>https://www.eliteprospects.com/player/597758/cooper-cleaves</v>
      </c>
      <c r="K158" t="s">
        <v>27</v>
      </c>
      <c r="L158" t="s">
        <v>28</v>
      </c>
      <c r="M158" t="s">
        <v>1296</v>
      </c>
      <c r="N158">
        <v>1</v>
      </c>
      <c r="O158" t="s">
        <v>71</v>
      </c>
      <c r="P158">
        <v>0.08</v>
      </c>
      <c r="Q158" t="s">
        <v>1325</v>
      </c>
      <c r="R158">
        <v>30</v>
      </c>
      <c r="S158">
        <v>25</v>
      </c>
      <c r="T158">
        <v>32.5</v>
      </c>
      <c r="U158">
        <v>5</v>
      </c>
      <c r="V158">
        <v>7.5</v>
      </c>
    </row>
    <row r="159" spans="1:22" x14ac:dyDescent="0.25">
      <c r="A159" t="s">
        <v>1460</v>
      </c>
      <c r="B159" t="s">
        <v>134</v>
      </c>
      <c r="C159">
        <v>16</v>
      </c>
      <c r="D159" t="s">
        <v>79</v>
      </c>
      <c r="E159" t="s">
        <v>66</v>
      </c>
      <c r="F159" t="s">
        <v>57</v>
      </c>
      <c r="G159">
        <v>0.38</v>
      </c>
      <c r="H159" t="s">
        <v>39</v>
      </c>
      <c r="I159">
        <v>-3</v>
      </c>
      <c r="J159" t="str">
        <f>HYPERLINK("https://www.eliteprospects.com/player/577649/francois-james-buteau")</f>
        <v>https://www.eliteprospects.com/player/577649/francois-james-buteau</v>
      </c>
      <c r="K159" t="s">
        <v>27</v>
      </c>
      <c r="L159" t="s">
        <v>28</v>
      </c>
      <c r="M159" t="s">
        <v>1296</v>
      </c>
      <c r="N159">
        <v>6</v>
      </c>
      <c r="O159" t="s">
        <v>99</v>
      </c>
      <c r="P159">
        <v>7.0000000000000007E-2</v>
      </c>
      <c r="Q159" t="s">
        <v>1325</v>
      </c>
      <c r="R159">
        <v>30</v>
      </c>
      <c r="S159">
        <v>25</v>
      </c>
      <c r="T159">
        <v>32.5</v>
      </c>
      <c r="U159">
        <v>5</v>
      </c>
      <c r="V159">
        <v>7.5</v>
      </c>
    </row>
    <row r="160" spans="1:22" x14ac:dyDescent="0.25">
      <c r="A160" t="s">
        <v>1461</v>
      </c>
      <c r="B160" t="s">
        <v>288</v>
      </c>
      <c r="C160">
        <v>19</v>
      </c>
      <c r="D160" t="s">
        <v>79</v>
      </c>
      <c r="E160" t="s">
        <v>66</v>
      </c>
      <c r="F160" t="s">
        <v>57</v>
      </c>
      <c r="G160">
        <v>0.32</v>
      </c>
      <c r="H160" t="s">
        <v>79</v>
      </c>
      <c r="I160">
        <v>-5</v>
      </c>
      <c r="J160" t="str">
        <f>HYPERLINK("https://www.eliteprospects.com/player/738927/jax-wismer")</f>
        <v>https://www.eliteprospects.com/player/738927/jax-wismer</v>
      </c>
      <c r="K160" t="s">
        <v>27</v>
      </c>
      <c r="L160" t="s">
        <v>28</v>
      </c>
      <c r="M160" t="s">
        <v>1296</v>
      </c>
      <c r="N160">
        <v>2</v>
      </c>
      <c r="O160" t="s">
        <v>43</v>
      </c>
      <c r="P160">
        <v>0.06</v>
      </c>
      <c r="Q160" t="s">
        <v>1325</v>
      </c>
      <c r="R160">
        <v>26.3</v>
      </c>
      <c r="S160">
        <v>23.7</v>
      </c>
      <c r="T160">
        <v>28.9</v>
      </c>
      <c r="U160">
        <v>5.3</v>
      </c>
      <c r="V160">
        <v>15.8</v>
      </c>
    </row>
    <row r="161" spans="1:22" x14ac:dyDescent="0.25">
      <c r="A161" t="s">
        <v>1462</v>
      </c>
      <c r="B161" t="s">
        <v>195</v>
      </c>
      <c r="C161">
        <v>19</v>
      </c>
      <c r="D161" t="s">
        <v>79</v>
      </c>
      <c r="E161" t="s">
        <v>66</v>
      </c>
      <c r="F161" t="s">
        <v>57</v>
      </c>
      <c r="G161">
        <v>0.32</v>
      </c>
      <c r="H161" t="s">
        <v>32</v>
      </c>
      <c r="I161">
        <v>-10</v>
      </c>
      <c r="J161" t="str">
        <f>HYPERLINK("https://www.eliteprospects.com/player/871078/sascha-boumedienne")</f>
        <v>https://www.eliteprospects.com/player/871078/sascha-boumedienne</v>
      </c>
      <c r="K161" t="s">
        <v>27</v>
      </c>
      <c r="L161" t="s">
        <v>28</v>
      </c>
      <c r="M161" t="s">
        <v>1296</v>
      </c>
      <c r="N161">
        <v>2</v>
      </c>
      <c r="O161" t="s">
        <v>43</v>
      </c>
      <c r="P161">
        <v>0.06</v>
      </c>
      <c r="Q161" t="s">
        <v>1325</v>
      </c>
      <c r="R161">
        <v>26.3</v>
      </c>
      <c r="S161">
        <v>23.7</v>
      </c>
      <c r="T161">
        <v>28.9</v>
      </c>
      <c r="U161">
        <v>5.3</v>
      </c>
      <c r="V161">
        <v>15.8</v>
      </c>
    </row>
    <row r="162" spans="1:22" x14ac:dyDescent="0.25">
      <c r="A162" t="s">
        <v>1463</v>
      </c>
      <c r="B162" t="s">
        <v>150</v>
      </c>
      <c r="C162">
        <v>20</v>
      </c>
      <c r="D162" t="s">
        <v>79</v>
      </c>
      <c r="E162" t="s">
        <v>66</v>
      </c>
      <c r="F162" t="s">
        <v>57</v>
      </c>
      <c r="G162">
        <v>0.3</v>
      </c>
      <c r="H162" t="s">
        <v>66</v>
      </c>
      <c r="I162">
        <v>5</v>
      </c>
      <c r="J162" t="str">
        <f>HYPERLINK("https://www.eliteprospects.com/player/566359/nathan-mcbrayer")</f>
        <v>https://www.eliteprospects.com/player/566359/nathan-mcbrayer</v>
      </c>
      <c r="K162" t="s">
        <v>27</v>
      </c>
      <c r="L162" t="s">
        <v>28</v>
      </c>
      <c r="M162" t="s">
        <v>1296</v>
      </c>
      <c r="N162">
        <v>3</v>
      </c>
      <c r="O162" t="s">
        <v>74</v>
      </c>
      <c r="P162">
        <v>0.06</v>
      </c>
      <c r="Q162" t="s">
        <v>1325</v>
      </c>
      <c r="R162">
        <v>26.3</v>
      </c>
      <c r="S162">
        <v>23.7</v>
      </c>
      <c r="T162">
        <v>28.9</v>
      </c>
      <c r="U162">
        <v>5.3</v>
      </c>
      <c r="V162">
        <v>15.8</v>
      </c>
    </row>
    <row r="163" spans="1:22" x14ac:dyDescent="0.25">
      <c r="A163" t="s">
        <v>1464</v>
      </c>
      <c r="B163" t="s">
        <v>103</v>
      </c>
      <c r="C163">
        <v>20</v>
      </c>
      <c r="D163" t="s">
        <v>79</v>
      </c>
      <c r="E163" t="s">
        <v>66</v>
      </c>
      <c r="F163" t="s">
        <v>57</v>
      </c>
      <c r="G163">
        <v>0.3</v>
      </c>
      <c r="H163" t="s">
        <v>66</v>
      </c>
      <c r="I163">
        <v>-3</v>
      </c>
      <c r="J163" t="str">
        <f>HYPERLINK("https://www.eliteprospects.com/player/603427/larry-keenan")</f>
        <v>https://www.eliteprospects.com/player/603427/larry-keenan</v>
      </c>
      <c r="K163" t="s">
        <v>27</v>
      </c>
      <c r="L163" t="s">
        <v>28</v>
      </c>
      <c r="M163" t="s">
        <v>1296</v>
      </c>
      <c r="N163">
        <v>2</v>
      </c>
      <c r="O163" t="s">
        <v>43</v>
      </c>
      <c r="P163">
        <v>0.06</v>
      </c>
      <c r="Q163" t="s">
        <v>1325</v>
      </c>
      <c r="R163">
        <v>26.3</v>
      </c>
      <c r="S163">
        <v>23.7</v>
      </c>
      <c r="T163">
        <v>28.9</v>
      </c>
      <c r="U163">
        <v>5.3</v>
      </c>
      <c r="V163">
        <v>15.8</v>
      </c>
    </row>
    <row r="164" spans="1:22" x14ac:dyDescent="0.25">
      <c r="A164" t="s">
        <v>1465</v>
      </c>
      <c r="B164" t="s">
        <v>224</v>
      </c>
      <c r="C164">
        <v>20</v>
      </c>
      <c r="D164" t="s">
        <v>79</v>
      </c>
      <c r="E164" t="s">
        <v>66</v>
      </c>
      <c r="F164" t="s">
        <v>57</v>
      </c>
      <c r="G164">
        <v>0.3</v>
      </c>
      <c r="H164" t="s">
        <v>57</v>
      </c>
      <c r="I164">
        <v>-10</v>
      </c>
      <c r="J164" t="str">
        <f>HYPERLINK("https://www.eliteprospects.com/player/566428/dominic-elliott")</f>
        <v>https://www.eliteprospects.com/player/566428/dominic-elliott</v>
      </c>
      <c r="K164" t="s">
        <v>27</v>
      </c>
      <c r="L164" t="s">
        <v>28</v>
      </c>
      <c r="M164" t="s">
        <v>1296</v>
      </c>
      <c r="N164">
        <v>2</v>
      </c>
      <c r="O164" t="s">
        <v>43</v>
      </c>
      <c r="P164">
        <v>0.06</v>
      </c>
      <c r="Q164" t="s">
        <v>1325</v>
      </c>
      <c r="R164">
        <v>26.3</v>
      </c>
      <c r="S164">
        <v>23.7</v>
      </c>
      <c r="T164">
        <v>28.9</v>
      </c>
      <c r="U164">
        <v>5.3</v>
      </c>
      <c r="V164">
        <v>15.8</v>
      </c>
    </row>
    <row r="165" spans="1:22" x14ac:dyDescent="0.25">
      <c r="A165" t="s">
        <v>1466</v>
      </c>
      <c r="B165" t="s">
        <v>116</v>
      </c>
      <c r="C165">
        <v>21</v>
      </c>
      <c r="D165" t="s">
        <v>79</v>
      </c>
      <c r="E165" t="s">
        <v>66</v>
      </c>
      <c r="F165" t="s">
        <v>57</v>
      </c>
      <c r="G165">
        <v>0.28999999999999998</v>
      </c>
      <c r="H165" t="s">
        <v>66</v>
      </c>
      <c r="I165">
        <v>-13</v>
      </c>
      <c r="J165" t="str">
        <f>HYPERLINK("https://www.eliteprospects.com/player/651908/sam-frandina")</f>
        <v>https://www.eliteprospects.com/player/651908/sam-frandina</v>
      </c>
      <c r="K165" t="s">
        <v>27</v>
      </c>
      <c r="L165" t="s">
        <v>28</v>
      </c>
      <c r="M165" t="s">
        <v>1296</v>
      </c>
      <c r="N165">
        <v>1</v>
      </c>
      <c r="O165" t="s">
        <v>71</v>
      </c>
      <c r="P165">
        <v>0.06</v>
      </c>
      <c r="Q165" t="s">
        <v>1325</v>
      </c>
      <c r="R165">
        <v>26.3</v>
      </c>
      <c r="S165">
        <v>23.7</v>
      </c>
      <c r="T165">
        <v>28.9</v>
      </c>
      <c r="U165">
        <v>5.3</v>
      </c>
      <c r="V165">
        <v>15.8</v>
      </c>
    </row>
    <row r="166" spans="1:22" x14ac:dyDescent="0.25">
      <c r="A166" t="s">
        <v>1467</v>
      </c>
      <c r="B166" t="s">
        <v>202</v>
      </c>
      <c r="C166">
        <v>22</v>
      </c>
      <c r="D166" t="s">
        <v>79</v>
      </c>
      <c r="E166" t="s">
        <v>66</v>
      </c>
      <c r="F166" t="s">
        <v>57</v>
      </c>
      <c r="G166">
        <v>0.27</v>
      </c>
      <c r="H166" t="s">
        <v>57</v>
      </c>
      <c r="I166">
        <v>1</v>
      </c>
      <c r="J166" t="str">
        <f>HYPERLINK("https://www.eliteprospects.com/player/551335/jacob-guevin")</f>
        <v>https://www.eliteprospects.com/player/551335/jacob-guevin</v>
      </c>
      <c r="K166" t="s">
        <v>27</v>
      </c>
      <c r="L166" t="s">
        <v>28</v>
      </c>
      <c r="M166" t="s">
        <v>1296</v>
      </c>
      <c r="N166">
        <v>4</v>
      </c>
      <c r="O166" t="s">
        <v>30</v>
      </c>
      <c r="P166">
        <v>0.05</v>
      </c>
      <c r="Q166" t="s">
        <v>1325</v>
      </c>
      <c r="R166">
        <v>26.3</v>
      </c>
      <c r="S166">
        <v>23.7</v>
      </c>
      <c r="T166">
        <v>28.9</v>
      </c>
      <c r="U166">
        <v>5.3</v>
      </c>
      <c r="V166">
        <v>15.8</v>
      </c>
    </row>
    <row r="167" spans="1:22" x14ac:dyDescent="0.25">
      <c r="A167" t="s">
        <v>1468</v>
      </c>
      <c r="B167" t="s">
        <v>82</v>
      </c>
      <c r="C167">
        <v>22</v>
      </c>
      <c r="D167" t="s">
        <v>79</v>
      </c>
      <c r="E167" t="s">
        <v>66</v>
      </c>
      <c r="F167" t="s">
        <v>57</v>
      </c>
      <c r="G167">
        <v>0.27</v>
      </c>
      <c r="H167" t="s">
        <v>32</v>
      </c>
      <c r="I167">
        <v>-1</v>
      </c>
      <c r="J167" t="str">
        <f>HYPERLINK("https://www.eliteprospects.com/player/592465/mitchell-wolfe")</f>
        <v>https://www.eliteprospects.com/player/592465/mitchell-wolfe</v>
      </c>
      <c r="K167" t="s">
        <v>27</v>
      </c>
      <c r="L167" t="s">
        <v>28</v>
      </c>
      <c r="M167" t="s">
        <v>1296</v>
      </c>
      <c r="N167">
        <v>4</v>
      </c>
      <c r="O167" t="s">
        <v>30</v>
      </c>
      <c r="P167">
        <v>0.05</v>
      </c>
      <c r="Q167" t="s">
        <v>1325</v>
      </c>
      <c r="R167">
        <v>26.3</v>
      </c>
      <c r="S167">
        <v>23.7</v>
      </c>
      <c r="T167">
        <v>28.9</v>
      </c>
      <c r="U167">
        <v>5.3</v>
      </c>
      <c r="V167">
        <v>15.8</v>
      </c>
    </row>
    <row r="168" spans="1:22" x14ac:dyDescent="0.25">
      <c r="A168" t="s">
        <v>1469</v>
      </c>
      <c r="B168" t="s">
        <v>130</v>
      </c>
      <c r="C168">
        <v>14</v>
      </c>
      <c r="D168" t="s">
        <v>260</v>
      </c>
      <c r="E168" t="s">
        <v>96</v>
      </c>
      <c r="F168" t="s">
        <v>57</v>
      </c>
      <c r="G168">
        <v>0.43</v>
      </c>
      <c r="H168" t="s">
        <v>55</v>
      </c>
      <c r="I168">
        <v>-7</v>
      </c>
      <c r="J168" t="str">
        <f>HYPERLINK("https://www.eliteprospects.com/player/565754/hunter-mayo")</f>
        <v>https://www.eliteprospects.com/player/565754/hunter-mayo</v>
      </c>
      <c r="K168" t="s">
        <v>27</v>
      </c>
      <c r="L168" t="s">
        <v>28</v>
      </c>
      <c r="M168" t="s">
        <v>1296</v>
      </c>
      <c r="N168">
        <v>6</v>
      </c>
      <c r="O168" t="s">
        <v>193</v>
      </c>
      <c r="P168">
        <v>0.08</v>
      </c>
      <c r="Q168" t="s">
        <v>1325</v>
      </c>
      <c r="R168">
        <v>30</v>
      </c>
      <c r="S168">
        <v>25</v>
      </c>
      <c r="T168">
        <v>32.5</v>
      </c>
      <c r="U168">
        <v>5</v>
      </c>
      <c r="V168">
        <v>7.5</v>
      </c>
    </row>
    <row r="169" spans="1:22" x14ac:dyDescent="0.25">
      <c r="A169" t="s">
        <v>1470</v>
      </c>
      <c r="B169" t="s">
        <v>288</v>
      </c>
      <c r="C169">
        <v>16</v>
      </c>
      <c r="D169" t="s">
        <v>260</v>
      </c>
      <c r="E169" t="s">
        <v>96</v>
      </c>
      <c r="F169" t="s">
        <v>57</v>
      </c>
      <c r="G169">
        <v>0.38</v>
      </c>
      <c r="H169" t="s">
        <v>23</v>
      </c>
      <c r="I169">
        <v>2</v>
      </c>
      <c r="J169" t="str">
        <f>HYPERLINK("https://www.eliteprospects.com/player/350707/philip-tornqvist")</f>
        <v>https://www.eliteprospects.com/player/350707/philip-tornqvist</v>
      </c>
      <c r="K169" t="s">
        <v>27</v>
      </c>
      <c r="L169" t="s">
        <v>28</v>
      </c>
      <c r="M169" t="s">
        <v>1296</v>
      </c>
      <c r="N169">
        <v>4</v>
      </c>
      <c r="O169" t="s">
        <v>30</v>
      </c>
      <c r="P169">
        <v>7.0000000000000007E-2</v>
      </c>
      <c r="Q169" t="s">
        <v>1325</v>
      </c>
      <c r="R169">
        <v>30</v>
      </c>
      <c r="S169">
        <v>25</v>
      </c>
      <c r="T169">
        <v>32.5</v>
      </c>
      <c r="U169">
        <v>5</v>
      </c>
      <c r="V169">
        <v>7.5</v>
      </c>
    </row>
    <row r="170" spans="1:22" x14ac:dyDescent="0.25">
      <c r="A170" t="s">
        <v>1471</v>
      </c>
      <c r="B170" t="s">
        <v>120</v>
      </c>
      <c r="C170">
        <v>18</v>
      </c>
      <c r="D170" t="s">
        <v>260</v>
      </c>
      <c r="E170" t="s">
        <v>96</v>
      </c>
      <c r="F170" t="s">
        <v>57</v>
      </c>
      <c r="G170">
        <v>0.33</v>
      </c>
      <c r="H170" t="s">
        <v>55</v>
      </c>
      <c r="I170">
        <v>5</v>
      </c>
      <c r="J170" t="str">
        <f>HYPERLINK("https://www.eliteprospects.com/player/618574/aram-minnetian")</f>
        <v>https://www.eliteprospects.com/player/618574/aram-minnetian</v>
      </c>
      <c r="K170" t="s">
        <v>27</v>
      </c>
      <c r="L170" t="s">
        <v>28</v>
      </c>
      <c r="M170" t="s">
        <v>1296</v>
      </c>
      <c r="N170">
        <v>3</v>
      </c>
      <c r="O170" t="s">
        <v>74</v>
      </c>
      <c r="P170">
        <v>0.06</v>
      </c>
      <c r="Q170" t="s">
        <v>1325</v>
      </c>
      <c r="R170">
        <v>26.3</v>
      </c>
      <c r="S170">
        <v>23.7</v>
      </c>
      <c r="T170">
        <v>28.9</v>
      </c>
      <c r="U170">
        <v>5.3</v>
      </c>
      <c r="V170">
        <v>15.8</v>
      </c>
    </row>
    <row r="171" spans="1:22" x14ac:dyDescent="0.25">
      <c r="A171" t="s">
        <v>1472</v>
      </c>
      <c r="B171" t="s">
        <v>90</v>
      </c>
      <c r="C171">
        <v>19</v>
      </c>
      <c r="D171" t="s">
        <v>260</v>
      </c>
      <c r="E171" t="s">
        <v>96</v>
      </c>
      <c r="F171" t="s">
        <v>57</v>
      </c>
      <c r="G171">
        <v>0.32</v>
      </c>
      <c r="H171" t="s">
        <v>55</v>
      </c>
      <c r="I171">
        <v>4</v>
      </c>
      <c r="J171" t="str">
        <f>HYPERLINK("https://www.eliteprospects.com/player/620353/aiden-vanrooyan")</f>
        <v>https://www.eliteprospects.com/player/620353/aiden-vanrooyan</v>
      </c>
      <c r="K171" t="s">
        <v>27</v>
      </c>
      <c r="L171" t="s">
        <v>28</v>
      </c>
      <c r="M171" t="s">
        <v>1296</v>
      </c>
      <c r="N171">
        <v>2</v>
      </c>
      <c r="O171" t="s">
        <v>43</v>
      </c>
      <c r="P171">
        <v>0.06</v>
      </c>
      <c r="Q171" t="s">
        <v>1325</v>
      </c>
      <c r="R171">
        <v>26.3</v>
      </c>
      <c r="S171">
        <v>23.7</v>
      </c>
      <c r="T171">
        <v>28.9</v>
      </c>
      <c r="U171">
        <v>5.3</v>
      </c>
      <c r="V171">
        <v>15.8</v>
      </c>
    </row>
    <row r="172" spans="1:22" x14ac:dyDescent="0.25">
      <c r="A172" t="s">
        <v>1473</v>
      </c>
      <c r="B172" t="s">
        <v>162</v>
      </c>
      <c r="C172">
        <v>20</v>
      </c>
      <c r="D172" t="s">
        <v>260</v>
      </c>
      <c r="E172" t="s">
        <v>96</v>
      </c>
      <c r="F172" t="s">
        <v>57</v>
      </c>
      <c r="G172">
        <v>0.3</v>
      </c>
      <c r="H172" t="s">
        <v>55</v>
      </c>
      <c r="I172">
        <v>8</v>
      </c>
      <c r="J172" t="str">
        <f>HYPERLINK("https://www.eliteprospects.com/player/512096/david-helledy")</f>
        <v>https://www.eliteprospects.com/player/512096/david-helledy</v>
      </c>
      <c r="K172" t="s">
        <v>27</v>
      </c>
      <c r="L172" t="s">
        <v>28</v>
      </c>
      <c r="M172" t="s">
        <v>1296</v>
      </c>
      <c r="N172">
        <v>2</v>
      </c>
      <c r="O172" t="s">
        <v>43</v>
      </c>
      <c r="P172">
        <v>0.06</v>
      </c>
      <c r="Q172" t="s">
        <v>1325</v>
      </c>
      <c r="R172">
        <v>26.3</v>
      </c>
      <c r="S172">
        <v>23.7</v>
      </c>
      <c r="T172">
        <v>28.9</v>
      </c>
      <c r="U172">
        <v>5.3</v>
      </c>
      <c r="V172">
        <v>15.8</v>
      </c>
    </row>
    <row r="173" spans="1:22" x14ac:dyDescent="0.25">
      <c r="A173" t="s">
        <v>1474</v>
      </c>
      <c r="B173" t="s">
        <v>73</v>
      </c>
      <c r="C173">
        <v>22</v>
      </c>
      <c r="D173" t="s">
        <v>260</v>
      </c>
      <c r="E173" t="s">
        <v>96</v>
      </c>
      <c r="F173" t="s">
        <v>57</v>
      </c>
      <c r="G173">
        <v>0.27</v>
      </c>
      <c r="H173" t="s">
        <v>57</v>
      </c>
      <c r="I173">
        <v>0</v>
      </c>
      <c r="J173" t="str">
        <f>HYPERLINK("https://www.eliteprospects.com/player/413249/josh-zinger")</f>
        <v>https://www.eliteprospects.com/player/413249/josh-zinger</v>
      </c>
      <c r="K173" t="s">
        <v>27</v>
      </c>
      <c r="L173" t="s">
        <v>28</v>
      </c>
      <c r="M173" t="s">
        <v>1296</v>
      </c>
      <c r="N173">
        <v>4</v>
      </c>
      <c r="O173" t="s">
        <v>30</v>
      </c>
      <c r="P173">
        <v>0.05</v>
      </c>
      <c r="Q173" t="s">
        <v>1325</v>
      </c>
      <c r="R173">
        <v>26.3</v>
      </c>
      <c r="S173">
        <v>23.7</v>
      </c>
      <c r="T173">
        <v>28.9</v>
      </c>
      <c r="U173">
        <v>5.3</v>
      </c>
      <c r="V173">
        <v>15.8</v>
      </c>
    </row>
    <row r="174" spans="1:22" x14ac:dyDescent="0.25">
      <c r="A174" t="s">
        <v>1475</v>
      </c>
      <c r="B174" t="s">
        <v>161</v>
      </c>
      <c r="C174">
        <v>22</v>
      </c>
      <c r="D174" t="s">
        <v>260</v>
      </c>
      <c r="E174" t="s">
        <v>96</v>
      </c>
      <c r="F174" t="s">
        <v>57</v>
      </c>
      <c r="G174">
        <v>0.27</v>
      </c>
      <c r="H174" t="s">
        <v>39</v>
      </c>
      <c r="I174">
        <v>-3</v>
      </c>
      <c r="J174" t="str">
        <f>HYPERLINK("https://www.eliteprospects.com/player/603728/seth-constance")</f>
        <v>https://www.eliteprospects.com/player/603728/seth-constance</v>
      </c>
      <c r="K174" t="s">
        <v>27</v>
      </c>
      <c r="L174" t="s">
        <v>28</v>
      </c>
      <c r="M174" t="s">
        <v>1296</v>
      </c>
      <c r="N174">
        <v>2</v>
      </c>
      <c r="O174" t="s">
        <v>43</v>
      </c>
      <c r="P174">
        <v>0.05</v>
      </c>
      <c r="Q174" t="s">
        <v>1325</v>
      </c>
      <c r="R174">
        <v>26.3</v>
      </c>
      <c r="S174">
        <v>23.7</v>
      </c>
      <c r="T174">
        <v>28.9</v>
      </c>
      <c r="U174">
        <v>5.3</v>
      </c>
      <c r="V174">
        <v>15.8</v>
      </c>
    </row>
    <row r="175" spans="1:22" x14ac:dyDescent="0.25">
      <c r="A175" t="s">
        <v>1476</v>
      </c>
      <c r="B175" t="s">
        <v>22</v>
      </c>
      <c r="C175">
        <v>24</v>
      </c>
      <c r="D175" t="s">
        <v>260</v>
      </c>
      <c r="E175" t="s">
        <v>96</v>
      </c>
      <c r="F175" t="s">
        <v>57</v>
      </c>
      <c r="G175">
        <v>0.25</v>
      </c>
      <c r="H175" t="s">
        <v>57</v>
      </c>
      <c r="I175">
        <v>4</v>
      </c>
      <c r="J175" t="str">
        <f>HYPERLINK("https://www.eliteprospects.com/player/566399/joel-kjellberg")</f>
        <v>https://www.eliteprospects.com/player/566399/joel-kjellberg</v>
      </c>
      <c r="K175" t="s">
        <v>27</v>
      </c>
      <c r="L175" t="s">
        <v>28</v>
      </c>
      <c r="M175" t="s">
        <v>1296</v>
      </c>
      <c r="N175">
        <v>2</v>
      </c>
      <c r="O175" t="s">
        <v>43</v>
      </c>
      <c r="P175">
        <v>0.05</v>
      </c>
      <c r="Q175" t="s">
        <v>1325</v>
      </c>
      <c r="R175">
        <v>26.3</v>
      </c>
      <c r="S175">
        <v>23.7</v>
      </c>
      <c r="T175">
        <v>28.9</v>
      </c>
      <c r="U175">
        <v>5.3</v>
      </c>
      <c r="V175">
        <v>15.8</v>
      </c>
    </row>
    <row r="176" spans="1:22" x14ac:dyDescent="0.25">
      <c r="A176" t="s">
        <v>1477</v>
      </c>
      <c r="B176" t="s">
        <v>167</v>
      </c>
      <c r="C176">
        <v>14</v>
      </c>
      <c r="D176" t="s">
        <v>132</v>
      </c>
      <c r="E176" t="s">
        <v>57</v>
      </c>
      <c r="F176" t="s">
        <v>57</v>
      </c>
      <c r="G176">
        <v>0.43</v>
      </c>
      <c r="H176" t="s">
        <v>66</v>
      </c>
      <c r="I176">
        <v>3</v>
      </c>
      <c r="J176" t="str">
        <f>HYPERLINK("https://www.eliteprospects.com/player/599383/lucas-st-louis")</f>
        <v>https://www.eliteprospects.com/player/599383/lucas-st-louis</v>
      </c>
      <c r="K176" t="s">
        <v>27</v>
      </c>
      <c r="L176" t="s">
        <v>28</v>
      </c>
      <c r="M176" t="s">
        <v>1296</v>
      </c>
      <c r="N176">
        <v>2</v>
      </c>
      <c r="O176" t="s">
        <v>43</v>
      </c>
      <c r="P176">
        <v>0.08</v>
      </c>
      <c r="Q176" t="s">
        <v>1325</v>
      </c>
      <c r="R176">
        <v>30</v>
      </c>
      <c r="S176">
        <v>25</v>
      </c>
      <c r="T176">
        <v>32.5</v>
      </c>
      <c r="U176">
        <v>5</v>
      </c>
      <c r="V176">
        <v>7.5</v>
      </c>
    </row>
    <row r="177" spans="1:22" x14ac:dyDescent="0.25">
      <c r="A177" t="s">
        <v>1478</v>
      </c>
      <c r="B177" t="s">
        <v>222</v>
      </c>
      <c r="C177">
        <v>16</v>
      </c>
      <c r="D177" t="s">
        <v>132</v>
      </c>
      <c r="E177" t="s">
        <v>57</v>
      </c>
      <c r="F177" t="s">
        <v>57</v>
      </c>
      <c r="G177">
        <v>0.38</v>
      </c>
      <c r="H177" t="s">
        <v>26</v>
      </c>
      <c r="I177">
        <v>2</v>
      </c>
      <c r="J177" t="str">
        <f>HYPERLINK("https://www.eliteprospects.com/player/852803/dylan-hunt")</f>
        <v>https://www.eliteprospects.com/player/852803/dylan-hunt</v>
      </c>
      <c r="K177" t="s">
        <v>27</v>
      </c>
      <c r="L177" t="s">
        <v>28</v>
      </c>
      <c r="M177" t="s">
        <v>1296</v>
      </c>
      <c r="N177">
        <v>1</v>
      </c>
      <c r="O177" t="s">
        <v>71</v>
      </c>
      <c r="P177">
        <v>7.0000000000000007E-2</v>
      </c>
      <c r="Q177" t="s">
        <v>1325</v>
      </c>
      <c r="R177">
        <v>30</v>
      </c>
      <c r="S177">
        <v>25</v>
      </c>
      <c r="T177">
        <v>32.5</v>
      </c>
      <c r="U177">
        <v>5</v>
      </c>
      <c r="V177">
        <v>7.5</v>
      </c>
    </row>
    <row r="178" spans="1:22" x14ac:dyDescent="0.25">
      <c r="A178" t="s">
        <v>1479</v>
      </c>
      <c r="B178" t="s">
        <v>312</v>
      </c>
      <c r="C178">
        <v>18</v>
      </c>
      <c r="D178" t="s">
        <v>132</v>
      </c>
      <c r="E178" t="s">
        <v>57</v>
      </c>
      <c r="F178" t="s">
        <v>57</v>
      </c>
      <c r="G178">
        <v>0.33</v>
      </c>
      <c r="H178" t="s">
        <v>132</v>
      </c>
      <c r="I178">
        <v>-5</v>
      </c>
      <c r="J178" t="str">
        <f>HYPERLINK("https://www.eliteprospects.com/player/476537/logan-acheson")</f>
        <v>https://www.eliteprospects.com/player/476537/logan-acheson</v>
      </c>
      <c r="K178" t="s">
        <v>27</v>
      </c>
      <c r="L178" t="s">
        <v>28</v>
      </c>
      <c r="M178" t="s">
        <v>1296</v>
      </c>
      <c r="N178">
        <v>4</v>
      </c>
      <c r="O178" t="s">
        <v>30</v>
      </c>
      <c r="P178">
        <v>0.06</v>
      </c>
      <c r="Q178" t="s">
        <v>1325</v>
      </c>
      <c r="R178">
        <v>26.3</v>
      </c>
      <c r="S178">
        <v>23.7</v>
      </c>
      <c r="T178">
        <v>28.9</v>
      </c>
      <c r="U178">
        <v>5.3</v>
      </c>
      <c r="V178">
        <v>15.8</v>
      </c>
    </row>
    <row r="179" spans="1:22" x14ac:dyDescent="0.25">
      <c r="A179" t="s">
        <v>1480</v>
      </c>
      <c r="B179" t="s">
        <v>139</v>
      </c>
      <c r="C179">
        <v>18</v>
      </c>
      <c r="D179" t="s">
        <v>132</v>
      </c>
      <c r="E179" t="s">
        <v>57</v>
      </c>
      <c r="F179" t="s">
        <v>57</v>
      </c>
      <c r="G179">
        <v>0.33</v>
      </c>
      <c r="H179" t="s">
        <v>32</v>
      </c>
      <c r="I179">
        <v>8</v>
      </c>
      <c r="J179" t="str">
        <f>HYPERLINK("https://www.eliteprospects.com/player/574853/jack-phelan")</f>
        <v>https://www.eliteprospects.com/player/574853/jack-phelan</v>
      </c>
      <c r="K179" t="s">
        <v>27</v>
      </c>
      <c r="L179" t="s">
        <v>28</v>
      </c>
      <c r="M179" t="s">
        <v>1296</v>
      </c>
      <c r="N179">
        <v>2</v>
      </c>
      <c r="O179" t="s">
        <v>43</v>
      </c>
      <c r="P179">
        <v>0.06</v>
      </c>
      <c r="Q179" t="s">
        <v>1325</v>
      </c>
      <c r="R179">
        <v>26.3</v>
      </c>
      <c r="S179">
        <v>23.7</v>
      </c>
      <c r="T179">
        <v>28.9</v>
      </c>
      <c r="U179">
        <v>5.3</v>
      </c>
      <c r="V179">
        <v>15.8</v>
      </c>
    </row>
    <row r="180" spans="1:22" x14ac:dyDescent="0.25">
      <c r="A180" t="s">
        <v>1481</v>
      </c>
      <c r="B180" t="s">
        <v>177</v>
      </c>
      <c r="C180">
        <v>19</v>
      </c>
      <c r="D180" t="s">
        <v>132</v>
      </c>
      <c r="E180" t="s">
        <v>57</v>
      </c>
      <c r="F180" t="s">
        <v>57</v>
      </c>
      <c r="G180">
        <v>0.32</v>
      </c>
      <c r="H180" t="s">
        <v>26</v>
      </c>
      <c r="I180">
        <v>0</v>
      </c>
      <c r="J180" t="str">
        <f>HYPERLINK("https://www.eliteprospects.com/player/444945/mitchell-becker")</f>
        <v>https://www.eliteprospects.com/player/444945/mitchell-becker</v>
      </c>
      <c r="K180" t="s">
        <v>27</v>
      </c>
      <c r="L180" t="s">
        <v>28</v>
      </c>
      <c r="M180" t="s">
        <v>1296</v>
      </c>
      <c r="N180">
        <v>4</v>
      </c>
      <c r="O180" t="s">
        <v>30</v>
      </c>
      <c r="P180">
        <v>0.06</v>
      </c>
      <c r="Q180" t="s">
        <v>1325</v>
      </c>
      <c r="R180">
        <v>26.3</v>
      </c>
      <c r="S180">
        <v>23.7</v>
      </c>
      <c r="T180">
        <v>28.9</v>
      </c>
      <c r="U180">
        <v>5.3</v>
      </c>
      <c r="V180">
        <v>15.8</v>
      </c>
    </row>
    <row r="181" spans="1:22" x14ac:dyDescent="0.25">
      <c r="A181" t="s">
        <v>1482</v>
      </c>
      <c r="B181" t="s">
        <v>362</v>
      </c>
      <c r="C181">
        <v>19</v>
      </c>
      <c r="D181" t="s">
        <v>132</v>
      </c>
      <c r="E181" t="s">
        <v>57</v>
      </c>
      <c r="F181" t="s">
        <v>57</v>
      </c>
      <c r="G181">
        <v>0.32</v>
      </c>
      <c r="H181" t="s">
        <v>39</v>
      </c>
      <c r="I181">
        <v>-10</v>
      </c>
      <c r="J181" t="str">
        <f>HYPERLINK("https://www.eliteprospects.com/player/600861/jacob-leblanc")</f>
        <v>https://www.eliteprospects.com/player/600861/jacob-leblanc</v>
      </c>
      <c r="K181" t="s">
        <v>27</v>
      </c>
      <c r="L181" t="s">
        <v>28</v>
      </c>
      <c r="M181" t="s">
        <v>1296</v>
      </c>
      <c r="N181">
        <v>5</v>
      </c>
      <c r="O181" t="s">
        <v>147</v>
      </c>
      <c r="P181">
        <v>0.06</v>
      </c>
      <c r="Q181" t="s">
        <v>1325</v>
      </c>
      <c r="R181">
        <v>26.3</v>
      </c>
      <c r="S181">
        <v>23.7</v>
      </c>
      <c r="T181">
        <v>28.9</v>
      </c>
      <c r="U181">
        <v>5.3</v>
      </c>
      <c r="V181">
        <v>15.8</v>
      </c>
    </row>
    <row r="182" spans="1:22" x14ac:dyDescent="0.25">
      <c r="A182" t="s">
        <v>1483</v>
      </c>
      <c r="B182" t="s">
        <v>255</v>
      </c>
      <c r="C182">
        <v>20</v>
      </c>
      <c r="D182" t="s">
        <v>132</v>
      </c>
      <c r="E182" t="s">
        <v>57</v>
      </c>
      <c r="F182" t="s">
        <v>57</v>
      </c>
      <c r="G182">
        <v>0.3</v>
      </c>
      <c r="H182" t="s">
        <v>39</v>
      </c>
      <c r="I182">
        <v>-10</v>
      </c>
      <c r="J182" t="str">
        <f>HYPERLINK("https://www.eliteprospects.com/player/466650/charlie-banquier")</f>
        <v>https://www.eliteprospects.com/player/466650/charlie-banquier</v>
      </c>
      <c r="K182" t="s">
        <v>27</v>
      </c>
      <c r="L182" t="s">
        <v>28</v>
      </c>
      <c r="M182" t="s">
        <v>1296</v>
      </c>
      <c r="N182">
        <v>3</v>
      </c>
      <c r="O182" t="s">
        <v>74</v>
      </c>
      <c r="P182">
        <v>0.06</v>
      </c>
      <c r="Q182" t="s">
        <v>1325</v>
      </c>
      <c r="R182">
        <v>26.3</v>
      </c>
      <c r="S182">
        <v>23.7</v>
      </c>
      <c r="T182">
        <v>28.9</v>
      </c>
      <c r="U182">
        <v>5.3</v>
      </c>
      <c r="V182">
        <v>15.8</v>
      </c>
    </row>
    <row r="183" spans="1:22" x14ac:dyDescent="0.25">
      <c r="A183" t="s">
        <v>1484</v>
      </c>
      <c r="B183" t="s">
        <v>134</v>
      </c>
      <c r="C183">
        <v>20</v>
      </c>
      <c r="D183" t="s">
        <v>132</v>
      </c>
      <c r="E183" t="s">
        <v>57</v>
      </c>
      <c r="F183" t="s">
        <v>57</v>
      </c>
      <c r="G183">
        <v>0.3</v>
      </c>
      <c r="H183" t="s">
        <v>125</v>
      </c>
      <c r="I183">
        <v>-2</v>
      </c>
      <c r="J183" t="str">
        <f>HYPERLINK("https://www.eliteprospects.com/player/609479/jason-gallucci")</f>
        <v>https://www.eliteprospects.com/player/609479/jason-gallucci</v>
      </c>
      <c r="K183" t="s">
        <v>27</v>
      </c>
      <c r="L183" t="s">
        <v>28</v>
      </c>
      <c r="M183" t="s">
        <v>1296</v>
      </c>
      <c r="N183">
        <v>2</v>
      </c>
      <c r="O183" t="s">
        <v>43</v>
      </c>
      <c r="P183">
        <v>0.06</v>
      </c>
      <c r="Q183" t="s">
        <v>1325</v>
      </c>
      <c r="R183">
        <v>26.3</v>
      </c>
      <c r="S183">
        <v>23.7</v>
      </c>
      <c r="T183">
        <v>28.9</v>
      </c>
      <c r="U183">
        <v>5.3</v>
      </c>
      <c r="V183">
        <v>15.8</v>
      </c>
    </row>
    <row r="184" spans="1:22" x14ac:dyDescent="0.25">
      <c r="A184" t="s">
        <v>1485</v>
      </c>
      <c r="B184" t="s">
        <v>131</v>
      </c>
      <c r="C184">
        <v>23</v>
      </c>
      <c r="D184" t="s">
        <v>132</v>
      </c>
      <c r="E184" t="s">
        <v>57</v>
      </c>
      <c r="F184" t="s">
        <v>57</v>
      </c>
      <c r="G184">
        <v>0.26</v>
      </c>
      <c r="H184" t="s">
        <v>23</v>
      </c>
      <c r="I184">
        <v>1</v>
      </c>
      <c r="J184" t="str">
        <f>HYPERLINK("https://www.eliteprospects.com/player/658954/samuel-groebner")</f>
        <v>https://www.eliteprospects.com/player/658954/samuel-groebner</v>
      </c>
      <c r="K184" t="s">
        <v>27</v>
      </c>
      <c r="L184" t="s">
        <v>28</v>
      </c>
      <c r="M184" t="s">
        <v>1296</v>
      </c>
      <c r="N184">
        <v>2</v>
      </c>
      <c r="O184" t="s">
        <v>43</v>
      </c>
      <c r="P184">
        <v>0.05</v>
      </c>
      <c r="Q184" t="s">
        <v>1325</v>
      </c>
      <c r="R184">
        <v>26.3</v>
      </c>
      <c r="S184">
        <v>23.7</v>
      </c>
      <c r="T184">
        <v>28.9</v>
      </c>
      <c r="U184">
        <v>5.3</v>
      </c>
      <c r="V184">
        <v>15.8</v>
      </c>
    </row>
    <row r="185" spans="1:22" x14ac:dyDescent="0.25">
      <c r="A185" t="s">
        <v>1486</v>
      </c>
      <c r="B185" t="s">
        <v>106</v>
      </c>
      <c r="C185">
        <v>20</v>
      </c>
      <c r="D185" t="s">
        <v>66</v>
      </c>
      <c r="E185" t="s">
        <v>260</v>
      </c>
      <c r="F185" t="s">
        <v>96</v>
      </c>
      <c r="G185">
        <v>0.25</v>
      </c>
      <c r="H185" t="s">
        <v>38</v>
      </c>
      <c r="I185">
        <v>6</v>
      </c>
      <c r="J185" t="str">
        <f>HYPERLINK("https://www.eliteprospects.com/player/640785/matthew-mayich")</f>
        <v>https://www.eliteprospects.com/player/640785/matthew-mayich</v>
      </c>
      <c r="K185" t="s">
        <v>27</v>
      </c>
      <c r="L185" t="s">
        <v>28</v>
      </c>
      <c r="M185" t="s">
        <v>1296</v>
      </c>
      <c r="N185">
        <v>5</v>
      </c>
      <c r="O185" t="s">
        <v>147</v>
      </c>
      <c r="P185">
        <v>0.05</v>
      </c>
      <c r="Q185" t="s">
        <v>1325</v>
      </c>
      <c r="R185">
        <v>26.3</v>
      </c>
      <c r="S185">
        <v>23.7</v>
      </c>
      <c r="T185">
        <v>28.9</v>
      </c>
      <c r="U185">
        <v>5.3</v>
      </c>
      <c r="V185">
        <v>15.8</v>
      </c>
    </row>
    <row r="186" spans="1:22" x14ac:dyDescent="0.25">
      <c r="A186" t="s">
        <v>1487</v>
      </c>
      <c r="B186" t="s">
        <v>82</v>
      </c>
      <c r="C186">
        <v>22</v>
      </c>
      <c r="D186" t="s">
        <v>66</v>
      </c>
      <c r="E186" t="s">
        <v>260</v>
      </c>
      <c r="F186" t="s">
        <v>96</v>
      </c>
      <c r="G186">
        <v>0.23</v>
      </c>
      <c r="H186" t="s">
        <v>38</v>
      </c>
      <c r="I186">
        <v>13</v>
      </c>
      <c r="J186" t="str">
        <f>HYPERLINK("https://www.eliteprospects.com/player/714715/maxon-vig")</f>
        <v>https://www.eliteprospects.com/player/714715/maxon-vig</v>
      </c>
      <c r="K186" t="s">
        <v>27</v>
      </c>
      <c r="L186" t="s">
        <v>28</v>
      </c>
      <c r="M186" t="s">
        <v>1296</v>
      </c>
      <c r="N186">
        <v>1</v>
      </c>
      <c r="O186" t="s">
        <v>71</v>
      </c>
      <c r="P186">
        <v>0.04</v>
      </c>
      <c r="Q186" t="s">
        <v>245</v>
      </c>
      <c r="R186">
        <v>28.6</v>
      </c>
      <c r="S186">
        <v>31.4</v>
      </c>
      <c r="T186">
        <v>28.6</v>
      </c>
      <c r="U186">
        <v>4.3</v>
      </c>
      <c r="V186">
        <v>7.1</v>
      </c>
    </row>
    <row r="187" spans="1:22" x14ac:dyDescent="0.25">
      <c r="A187" t="s">
        <v>1489</v>
      </c>
      <c r="B187" t="s">
        <v>255</v>
      </c>
      <c r="C187">
        <v>17</v>
      </c>
      <c r="D187" t="s">
        <v>140</v>
      </c>
      <c r="E187" t="s">
        <v>79</v>
      </c>
      <c r="F187" t="s">
        <v>96</v>
      </c>
      <c r="G187">
        <v>0.28999999999999998</v>
      </c>
      <c r="H187" t="s">
        <v>66</v>
      </c>
      <c r="I187">
        <v>-3</v>
      </c>
      <c r="J187" t="str">
        <f>HYPERLINK("https://www.eliteprospects.com/player/512302/justin-gibson")</f>
        <v>https://www.eliteprospects.com/player/512302/justin-gibson</v>
      </c>
      <c r="K187" t="s">
        <v>27</v>
      </c>
      <c r="L187" t="s">
        <v>28</v>
      </c>
      <c r="M187" t="s">
        <v>1296</v>
      </c>
      <c r="N187">
        <v>2</v>
      </c>
      <c r="O187" t="s">
        <v>43</v>
      </c>
      <c r="P187">
        <v>0.06</v>
      </c>
      <c r="Q187" t="s">
        <v>1325</v>
      </c>
      <c r="R187">
        <v>26.3</v>
      </c>
      <c r="S187">
        <v>23.7</v>
      </c>
      <c r="T187">
        <v>28.9</v>
      </c>
      <c r="U187">
        <v>5.3</v>
      </c>
      <c r="V187">
        <v>15.8</v>
      </c>
    </row>
    <row r="188" spans="1:22" x14ac:dyDescent="0.25">
      <c r="A188" t="s">
        <v>1490</v>
      </c>
      <c r="B188" t="s">
        <v>113</v>
      </c>
      <c r="C188">
        <v>23</v>
      </c>
      <c r="D188" t="s">
        <v>140</v>
      </c>
      <c r="E188" t="s">
        <v>79</v>
      </c>
      <c r="F188" t="s">
        <v>96</v>
      </c>
      <c r="G188">
        <v>0.22</v>
      </c>
      <c r="H188" t="s">
        <v>57</v>
      </c>
      <c r="I188">
        <v>-4</v>
      </c>
      <c r="J188" t="str">
        <f>HYPERLINK("https://www.eliteprospects.com/player/588309/jakob-stender")</f>
        <v>https://www.eliteprospects.com/player/588309/jakob-stender</v>
      </c>
      <c r="K188" t="s">
        <v>27</v>
      </c>
      <c r="L188" t="s">
        <v>28</v>
      </c>
      <c r="M188" t="s">
        <v>1296</v>
      </c>
      <c r="N188">
        <v>3</v>
      </c>
      <c r="O188" t="s">
        <v>74</v>
      </c>
      <c r="P188">
        <v>0.04</v>
      </c>
      <c r="Q188" t="s">
        <v>245</v>
      </c>
      <c r="R188">
        <v>28.6</v>
      </c>
      <c r="S188">
        <v>31.4</v>
      </c>
      <c r="T188">
        <v>28.6</v>
      </c>
      <c r="U188">
        <v>4.3</v>
      </c>
      <c r="V188">
        <v>7.1</v>
      </c>
    </row>
    <row r="189" spans="1:22" x14ac:dyDescent="0.25">
      <c r="A189" t="s">
        <v>1491</v>
      </c>
      <c r="B189" t="s">
        <v>85</v>
      </c>
      <c r="C189">
        <v>16</v>
      </c>
      <c r="D189" t="s">
        <v>79</v>
      </c>
      <c r="E189" t="s">
        <v>140</v>
      </c>
      <c r="F189" t="s">
        <v>96</v>
      </c>
      <c r="G189">
        <v>0.31</v>
      </c>
      <c r="H189" t="s">
        <v>132</v>
      </c>
      <c r="I189">
        <v>2</v>
      </c>
      <c r="J189" t="str">
        <f>HYPERLINK("https://www.eliteprospects.com/player/201889/nick-marciano")</f>
        <v>https://www.eliteprospects.com/player/201889/nick-marciano</v>
      </c>
      <c r="K189" t="s">
        <v>27</v>
      </c>
      <c r="L189" t="s">
        <v>28</v>
      </c>
      <c r="M189" t="s">
        <v>1296</v>
      </c>
      <c r="N189">
        <v>4</v>
      </c>
      <c r="O189" t="s">
        <v>30</v>
      </c>
      <c r="P189">
        <v>0.06</v>
      </c>
      <c r="Q189" t="s">
        <v>1325</v>
      </c>
      <c r="R189">
        <v>26.3</v>
      </c>
      <c r="S189">
        <v>23.7</v>
      </c>
      <c r="T189">
        <v>28.9</v>
      </c>
      <c r="U189">
        <v>5.3</v>
      </c>
      <c r="V189">
        <v>15.8</v>
      </c>
    </row>
    <row r="190" spans="1:22" x14ac:dyDescent="0.25">
      <c r="A190" t="s">
        <v>1492</v>
      </c>
      <c r="B190" t="s">
        <v>131</v>
      </c>
      <c r="C190">
        <v>17</v>
      </c>
      <c r="D190" t="s">
        <v>79</v>
      </c>
      <c r="E190" t="s">
        <v>140</v>
      </c>
      <c r="F190" t="s">
        <v>96</v>
      </c>
      <c r="G190">
        <v>0.28999999999999998</v>
      </c>
      <c r="H190" t="s">
        <v>39</v>
      </c>
      <c r="I190">
        <v>-3</v>
      </c>
      <c r="J190" t="str">
        <f>HYPERLINK("https://www.eliteprospects.com/player/603230/lukas-mccloskey")</f>
        <v>https://www.eliteprospects.com/player/603230/lukas-mccloskey</v>
      </c>
      <c r="K190" t="s">
        <v>27</v>
      </c>
      <c r="L190" t="s">
        <v>28</v>
      </c>
      <c r="M190" t="s">
        <v>1296</v>
      </c>
      <c r="N190">
        <v>2</v>
      </c>
      <c r="O190" t="s">
        <v>267</v>
      </c>
      <c r="P190">
        <v>0.06</v>
      </c>
      <c r="Q190" t="s">
        <v>1325</v>
      </c>
      <c r="R190">
        <v>26.3</v>
      </c>
      <c r="S190">
        <v>23.7</v>
      </c>
      <c r="T190">
        <v>28.9</v>
      </c>
      <c r="U190">
        <v>5.3</v>
      </c>
      <c r="V190">
        <v>15.8</v>
      </c>
    </row>
    <row r="191" spans="1:22" x14ac:dyDescent="0.25">
      <c r="A191" t="s">
        <v>1493</v>
      </c>
      <c r="B191" t="s">
        <v>162</v>
      </c>
      <c r="C191">
        <v>19</v>
      </c>
      <c r="D191" t="s">
        <v>79</v>
      </c>
      <c r="E191" t="s">
        <v>140</v>
      </c>
      <c r="F191" t="s">
        <v>96</v>
      </c>
      <c r="G191">
        <v>0.26</v>
      </c>
      <c r="H191" t="s">
        <v>23</v>
      </c>
      <c r="I191">
        <v>3</v>
      </c>
      <c r="J191" t="str">
        <f>HYPERLINK("https://www.eliteprospects.com/player/614376/alec-leonard")</f>
        <v>https://www.eliteprospects.com/player/614376/alec-leonard</v>
      </c>
      <c r="K191" t="s">
        <v>27</v>
      </c>
      <c r="L191" t="s">
        <v>28</v>
      </c>
      <c r="M191" t="s">
        <v>1296</v>
      </c>
      <c r="N191">
        <v>5</v>
      </c>
      <c r="O191" t="s">
        <v>147</v>
      </c>
      <c r="P191">
        <v>0.05</v>
      </c>
      <c r="Q191" t="s">
        <v>1325</v>
      </c>
      <c r="R191">
        <v>26.3</v>
      </c>
      <c r="S191">
        <v>23.7</v>
      </c>
      <c r="T191">
        <v>28.9</v>
      </c>
      <c r="U191">
        <v>5.3</v>
      </c>
      <c r="V191">
        <v>15.8</v>
      </c>
    </row>
    <row r="192" spans="1:22" x14ac:dyDescent="0.25">
      <c r="A192" t="s">
        <v>1494</v>
      </c>
      <c r="B192" t="s">
        <v>101</v>
      </c>
      <c r="C192">
        <v>19</v>
      </c>
      <c r="D192" t="s">
        <v>79</v>
      </c>
      <c r="E192" t="s">
        <v>140</v>
      </c>
      <c r="F192" t="s">
        <v>96</v>
      </c>
      <c r="G192">
        <v>0.26</v>
      </c>
      <c r="H192" t="s">
        <v>23</v>
      </c>
      <c r="I192">
        <v>6</v>
      </c>
      <c r="J192" t="str">
        <f>HYPERLINK("https://www.eliteprospects.com/player/512169/austen-may")</f>
        <v>https://www.eliteprospects.com/player/512169/austen-may</v>
      </c>
      <c r="K192" t="s">
        <v>27</v>
      </c>
      <c r="L192" t="s">
        <v>28</v>
      </c>
      <c r="M192" t="s">
        <v>1296</v>
      </c>
      <c r="N192">
        <v>4</v>
      </c>
      <c r="O192" t="s">
        <v>30</v>
      </c>
      <c r="P192">
        <v>0.05</v>
      </c>
      <c r="Q192" t="s">
        <v>1325</v>
      </c>
      <c r="R192">
        <v>26.3</v>
      </c>
      <c r="S192">
        <v>23.7</v>
      </c>
      <c r="T192">
        <v>28.9</v>
      </c>
      <c r="U192">
        <v>5.3</v>
      </c>
      <c r="V192">
        <v>15.8</v>
      </c>
    </row>
    <row r="193" spans="1:22" x14ac:dyDescent="0.25">
      <c r="A193" t="s">
        <v>1495</v>
      </c>
      <c r="B193" t="s">
        <v>158</v>
      </c>
      <c r="C193">
        <v>19</v>
      </c>
      <c r="D193" t="s">
        <v>79</v>
      </c>
      <c r="E193" t="s">
        <v>140</v>
      </c>
      <c r="F193" t="s">
        <v>96</v>
      </c>
      <c r="G193">
        <v>0.26</v>
      </c>
      <c r="H193" t="s">
        <v>46</v>
      </c>
      <c r="I193">
        <v>-4</v>
      </c>
      <c r="J193" t="str">
        <f>HYPERLINK("https://www.eliteprospects.com/player/716951/william-fleet")</f>
        <v>https://www.eliteprospects.com/player/716951/william-fleet</v>
      </c>
      <c r="K193" t="s">
        <v>27</v>
      </c>
      <c r="L193" t="s">
        <v>28</v>
      </c>
      <c r="M193" t="s">
        <v>1296</v>
      </c>
      <c r="N193">
        <v>1</v>
      </c>
      <c r="O193" t="s">
        <v>71</v>
      </c>
      <c r="P193">
        <v>0.05</v>
      </c>
      <c r="Q193" t="s">
        <v>1325</v>
      </c>
      <c r="R193">
        <v>26.3</v>
      </c>
      <c r="S193">
        <v>23.7</v>
      </c>
      <c r="T193">
        <v>28.9</v>
      </c>
      <c r="U193">
        <v>5.3</v>
      </c>
      <c r="V193">
        <v>15.8</v>
      </c>
    </row>
    <row r="194" spans="1:22" x14ac:dyDescent="0.25">
      <c r="A194" t="s">
        <v>1496</v>
      </c>
      <c r="B194" t="s">
        <v>184</v>
      </c>
      <c r="C194">
        <v>20</v>
      </c>
      <c r="D194" t="s">
        <v>79</v>
      </c>
      <c r="E194" t="s">
        <v>140</v>
      </c>
      <c r="F194" t="s">
        <v>96</v>
      </c>
      <c r="G194">
        <v>0.25</v>
      </c>
      <c r="H194" t="s">
        <v>26</v>
      </c>
      <c r="I194">
        <v>8</v>
      </c>
      <c r="J194" t="str">
        <f>HYPERLINK("https://www.eliteprospects.com/player/763720/brendan-dunphy")</f>
        <v>https://www.eliteprospects.com/player/763720/brendan-dunphy</v>
      </c>
      <c r="K194" t="s">
        <v>27</v>
      </c>
      <c r="L194" t="s">
        <v>28</v>
      </c>
      <c r="M194" t="s">
        <v>1296</v>
      </c>
      <c r="N194">
        <v>2</v>
      </c>
      <c r="O194" t="s">
        <v>267</v>
      </c>
      <c r="P194">
        <v>0.05</v>
      </c>
      <c r="Q194" t="s">
        <v>1325</v>
      </c>
      <c r="R194">
        <v>26.3</v>
      </c>
      <c r="S194">
        <v>23.7</v>
      </c>
      <c r="T194">
        <v>28.9</v>
      </c>
      <c r="U194">
        <v>5.3</v>
      </c>
      <c r="V194">
        <v>15.8</v>
      </c>
    </row>
    <row r="195" spans="1:22" x14ac:dyDescent="0.25">
      <c r="A195" t="s">
        <v>1497</v>
      </c>
      <c r="B195" t="s">
        <v>139</v>
      </c>
      <c r="C195">
        <v>20</v>
      </c>
      <c r="D195" t="s">
        <v>79</v>
      </c>
      <c r="E195" t="s">
        <v>140</v>
      </c>
      <c r="F195" t="s">
        <v>96</v>
      </c>
      <c r="G195">
        <v>0.25</v>
      </c>
      <c r="H195" t="s">
        <v>26</v>
      </c>
      <c r="I195">
        <v>9</v>
      </c>
      <c r="J195" t="str">
        <f>HYPERLINK("https://www.eliteprospects.com/player/526089/aiden-dubinsky")</f>
        <v>https://www.eliteprospects.com/player/526089/aiden-dubinsky</v>
      </c>
      <c r="K195" t="s">
        <v>27</v>
      </c>
      <c r="L195" t="s">
        <v>28</v>
      </c>
      <c r="M195" t="s">
        <v>1296</v>
      </c>
      <c r="N195">
        <v>4</v>
      </c>
      <c r="O195" t="s">
        <v>30</v>
      </c>
      <c r="P195">
        <v>0.05</v>
      </c>
      <c r="Q195" t="s">
        <v>1325</v>
      </c>
      <c r="R195">
        <v>26.3</v>
      </c>
      <c r="S195">
        <v>23.7</v>
      </c>
      <c r="T195">
        <v>28.9</v>
      </c>
      <c r="U195">
        <v>5.3</v>
      </c>
      <c r="V195">
        <v>15.8</v>
      </c>
    </row>
    <row r="196" spans="1:22" x14ac:dyDescent="0.25">
      <c r="A196" t="s">
        <v>1498</v>
      </c>
      <c r="B196" t="s">
        <v>88</v>
      </c>
      <c r="C196">
        <v>20</v>
      </c>
      <c r="D196" t="s">
        <v>79</v>
      </c>
      <c r="E196" t="s">
        <v>140</v>
      </c>
      <c r="F196" t="s">
        <v>96</v>
      </c>
      <c r="G196">
        <v>0.25</v>
      </c>
      <c r="H196" t="s">
        <v>32</v>
      </c>
      <c r="I196">
        <v>-3</v>
      </c>
      <c r="J196" t="str">
        <f>HYPERLINK("https://www.eliteprospects.com/player/671132/ren-morque")</f>
        <v>https://www.eliteprospects.com/player/671132/ren-morque</v>
      </c>
      <c r="K196" t="s">
        <v>27</v>
      </c>
      <c r="L196" t="s">
        <v>28</v>
      </c>
      <c r="M196" t="s">
        <v>1296</v>
      </c>
      <c r="N196">
        <v>2</v>
      </c>
      <c r="O196" t="s">
        <v>43</v>
      </c>
      <c r="P196">
        <v>0.05</v>
      </c>
      <c r="Q196" t="s">
        <v>1325</v>
      </c>
      <c r="R196">
        <v>26.3</v>
      </c>
      <c r="S196">
        <v>23.7</v>
      </c>
      <c r="T196">
        <v>28.9</v>
      </c>
      <c r="U196">
        <v>5.3</v>
      </c>
      <c r="V196">
        <v>15.8</v>
      </c>
    </row>
    <row r="197" spans="1:22" x14ac:dyDescent="0.25">
      <c r="A197" t="s">
        <v>1499</v>
      </c>
      <c r="B197" t="s">
        <v>163</v>
      </c>
      <c r="C197">
        <v>20</v>
      </c>
      <c r="D197" t="s">
        <v>79</v>
      </c>
      <c r="E197" t="s">
        <v>140</v>
      </c>
      <c r="F197" t="s">
        <v>96</v>
      </c>
      <c r="G197">
        <v>0.25</v>
      </c>
      <c r="H197" t="s">
        <v>23</v>
      </c>
      <c r="I197">
        <v>7</v>
      </c>
      <c r="J197" t="str">
        <f>HYPERLINK("https://www.eliteprospects.com/player/603571/quinn-mantei")</f>
        <v>https://www.eliteprospects.com/player/603571/quinn-mantei</v>
      </c>
      <c r="K197" t="s">
        <v>27</v>
      </c>
      <c r="L197" t="s">
        <v>28</v>
      </c>
      <c r="M197" t="s">
        <v>1296</v>
      </c>
      <c r="N197">
        <v>5</v>
      </c>
      <c r="O197" t="s">
        <v>152</v>
      </c>
      <c r="P197">
        <v>0.05</v>
      </c>
      <c r="Q197" t="s">
        <v>1325</v>
      </c>
      <c r="R197">
        <v>26.3</v>
      </c>
      <c r="S197">
        <v>23.7</v>
      </c>
      <c r="T197">
        <v>28.9</v>
      </c>
      <c r="U197">
        <v>5.3</v>
      </c>
      <c r="V197">
        <v>15.8</v>
      </c>
    </row>
    <row r="198" spans="1:22" x14ac:dyDescent="0.25">
      <c r="A198" t="s">
        <v>1500</v>
      </c>
      <c r="B198" t="s">
        <v>146</v>
      </c>
      <c r="C198">
        <v>20</v>
      </c>
      <c r="D198" t="s">
        <v>79</v>
      </c>
      <c r="E198" t="s">
        <v>140</v>
      </c>
      <c r="F198" t="s">
        <v>96</v>
      </c>
      <c r="G198">
        <v>0.25</v>
      </c>
      <c r="H198" t="s">
        <v>24</v>
      </c>
      <c r="I198">
        <v>-7</v>
      </c>
      <c r="J198" t="str">
        <f>HYPERLINK("https://www.eliteprospects.com/player/417572/john-druskinis")</f>
        <v>https://www.eliteprospects.com/player/417572/john-druskinis</v>
      </c>
      <c r="K198" t="s">
        <v>27</v>
      </c>
      <c r="L198" t="s">
        <v>28</v>
      </c>
      <c r="M198" t="s">
        <v>1296</v>
      </c>
      <c r="N198">
        <v>3</v>
      </c>
      <c r="O198" t="s">
        <v>74</v>
      </c>
      <c r="P198">
        <v>0.05</v>
      </c>
      <c r="Q198" t="s">
        <v>1325</v>
      </c>
      <c r="R198">
        <v>26.3</v>
      </c>
      <c r="S198">
        <v>23.7</v>
      </c>
      <c r="T198">
        <v>28.9</v>
      </c>
      <c r="U198">
        <v>5.3</v>
      </c>
      <c r="V198">
        <v>15.8</v>
      </c>
    </row>
    <row r="199" spans="1:22" x14ac:dyDescent="0.25">
      <c r="A199" t="s">
        <v>1501</v>
      </c>
      <c r="B199" t="s">
        <v>109</v>
      </c>
      <c r="C199">
        <v>20</v>
      </c>
      <c r="D199" t="s">
        <v>79</v>
      </c>
      <c r="E199" t="s">
        <v>140</v>
      </c>
      <c r="F199" t="s">
        <v>96</v>
      </c>
      <c r="G199">
        <v>0.25</v>
      </c>
      <c r="H199" t="s">
        <v>81</v>
      </c>
      <c r="I199">
        <v>7</v>
      </c>
      <c r="J199" t="str">
        <f>HYPERLINK("https://www.eliteprospects.com/player/618957/ej-emery")</f>
        <v>https://www.eliteprospects.com/player/618957/ej-emery</v>
      </c>
      <c r="K199" t="s">
        <v>27</v>
      </c>
      <c r="L199" t="s">
        <v>28</v>
      </c>
      <c r="M199" t="s">
        <v>1296</v>
      </c>
      <c r="N199">
        <v>2</v>
      </c>
      <c r="O199" t="s">
        <v>43</v>
      </c>
      <c r="P199">
        <v>0.05</v>
      </c>
      <c r="Q199" t="s">
        <v>1325</v>
      </c>
      <c r="R199">
        <v>26.3</v>
      </c>
      <c r="S199">
        <v>23.7</v>
      </c>
      <c r="T199">
        <v>28.9</v>
      </c>
      <c r="U199">
        <v>5.3</v>
      </c>
      <c r="V199">
        <v>15.8</v>
      </c>
    </row>
    <row r="200" spans="1:22" x14ac:dyDescent="0.25">
      <c r="A200" t="s">
        <v>1502</v>
      </c>
      <c r="B200" t="s">
        <v>37</v>
      </c>
      <c r="C200">
        <v>22</v>
      </c>
      <c r="D200" t="s">
        <v>79</v>
      </c>
      <c r="E200" t="s">
        <v>140</v>
      </c>
      <c r="F200" t="s">
        <v>96</v>
      </c>
      <c r="G200">
        <v>0.23</v>
      </c>
      <c r="H200" t="s">
        <v>65</v>
      </c>
      <c r="I200">
        <v>14</v>
      </c>
      <c r="J200" t="str">
        <f>HYPERLINK("https://www.eliteprospects.com/player/597574/adam-kleber")</f>
        <v>https://www.eliteprospects.com/player/597574/adam-kleber</v>
      </c>
      <c r="K200" t="s">
        <v>27</v>
      </c>
      <c r="L200" t="s">
        <v>28</v>
      </c>
      <c r="M200" t="s">
        <v>1296</v>
      </c>
      <c r="N200">
        <v>2</v>
      </c>
      <c r="O200" t="s">
        <v>43</v>
      </c>
      <c r="P200">
        <v>0.04</v>
      </c>
      <c r="Q200" t="s">
        <v>245</v>
      </c>
      <c r="R200">
        <v>28.6</v>
      </c>
      <c r="S200">
        <v>31.4</v>
      </c>
      <c r="T200">
        <v>28.6</v>
      </c>
      <c r="U200">
        <v>4.3</v>
      </c>
      <c r="V200">
        <v>7.1</v>
      </c>
    </row>
    <row r="201" spans="1:22" x14ac:dyDescent="0.25">
      <c r="A201" t="s">
        <v>1503</v>
      </c>
      <c r="B201" t="s">
        <v>73</v>
      </c>
      <c r="C201">
        <v>22</v>
      </c>
      <c r="D201" t="s">
        <v>79</v>
      </c>
      <c r="E201" t="s">
        <v>140</v>
      </c>
      <c r="F201" t="s">
        <v>96</v>
      </c>
      <c r="G201">
        <v>0.23</v>
      </c>
      <c r="H201" t="s">
        <v>65</v>
      </c>
      <c r="I201">
        <v>4</v>
      </c>
      <c r="J201" t="str">
        <f>HYPERLINK("https://www.eliteprospects.com/player/494423/mason-reiners")</f>
        <v>https://www.eliteprospects.com/player/494423/mason-reiners</v>
      </c>
      <c r="K201" t="s">
        <v>27</v>
      </c>
      <c r="L201" t="s">
        <v>28</v>
      </c>
      <c r="M201" t="s">
        <v>1296</v>
      </c>
      <c r="N201">
        <v>4</v>
      </c>
      <c r="O201" t="s">
        <v>30</v>
      </c>
      <c r="P201">
        <v>0.04</v>
      </c>
      <c r="Q201" t="s">
        <v>245</v>
      </c>
      <c r="R201">
        <v>28.6</v>
      </c>
      <c r="S201">
        <v>31.4</v>
      </c>
      <c r="T201">
        <v>28.6</v>
      </c>
      <c r="U201">
        <v>4.3</v>
      </c>
      <c r="V201">
        <v>7.1</v>
      </c>
    </row>
    <row r="202" spans="1:22" x14ac:dyDescent="0.25">
      <c r="A202" t="s">
        <v>1504</v>
      </c>
      <c r="B202" t="s">
        <v>222</v>
      </c>
      <c r="C202">
        <v>14</v>
      </c>
      <c r="D202" t="s">
        <v>260</v>
      </c>
      <c r="E202" t="s">
        <v>66</v>
      </c>
      <c r="F202" t="s">
        <v>96</v>
      </c>
      <c r="G202">
        <v>0.36</v>
      </c>
      <c r="H202" t="s">
        <v>79</v>
      </c>
      <c r="I202">
        <v>-18</v>
      </c>
      <c r="J202" t="str">
        <f>HYPERLINK("https://www.eliteprospects.com/player/483439/hughie-hooker")</f>
        <v>https://www.eliteprospects.com/player/483439/hughie-hooker</v>
      </c>
      <c r="K202" t="s">
        <v>27</v>
      </c>
      <c r="L202" t="s">
        <v>28</v>
      </c>
      <c r="M202" t="s">
        <v>1296</v>
      </c>
      <c r="N202">
        <v>2</v>
      </c>
      <c r="O202" t="s">
        <v>43</v>
      </c>
      <c r="P202">
        <v>7.0000000000000007E-2</v>
      </c>
      <c r="Q202" t="s">
        <v>1325</v>
      </c>
      <c r="R202">
        <v>30</v>
      </c>
      <c r="S202">
        <v>25</v>
      </c>
      <c r="T202">
        <v>32.5</v>
      </c>
      <c r="U202">
        <v>5</v>
      </c>
      <c r="V202">
        <v>7.5</v>
      </c>
    </row>
    <row r="203" spans="1:22" x14ac:dyDescent="0.25">
      <c r="A203" t="s">
        <v>1505</v>
      </c>
      <c r="B203" t="s">
        <v>200</v>
      </c>
      <c r="C203">
        <v>15</v>
      </c>
      <c r="D203" t="s">
        <v>260</v>
      </c>
      <c r="E203" t="s">
        <v>66</v>
      </c>
      <c r="F203" t="s">
        <v>96</v>
      </c>
      <c r="G203">
        <v>0.33</v>
      </c>
      <c r="H203" t="s">
        <v>79</v>
      </c>
      <c r="I203">
        <v>11</v>
      </c>
      <c r="J203" t="str">
        <f>HYPERLINK("https://www.eliteprospects.com/player/643357/luke-ashton")</f>
        <v>https://www.eliteprospects.com/player/643357/luke-ashton</v>
      </c>
      <c r="K203" t="s">
        <v>27</v>
      </c>
      <c r="L203" t="s">
        <v>28</v>
      </c>
      <c r="M203" t="s">
        <v>1296</v>
      </c>
      <c r="N203">
        <v>2</v>
      </c>
      <c r="O203" t="s">
        <v>43</v>
      </c>
      <c r="P203">
        <v>0.06</v>
      </c>
      <c r="Q203" t="s">
        <v>1325</v>
      </c>
      <c r="R203">
        <v>26.3</v>
      </c>
      <c r="S203">
        <v>23.7</v>
      </c>
      <c r="T203">
        <v>28.9</v>
      </c>
      <c r="U203">
        <v>5.3</v>
      </c>
      <c r="V203">
        <v>15.8</v>
      </c>
    </row>
    <row r="204" spans="1:22" x14ac:dyDescent="0.25">
      <c r="A204" t="s">
        <v>1506</v>
      </c>
      <c r="B204" t="s">
        <v>177</v>
      </c>
      <c r="C204">
        <v>16</v>
      </c>
      <c r="D204" t="s">
        <v>260</v>
      </c>
      <c r="E204" t="s">
        <v>66</v>
      </c>
      <c r="F204" t="s">
        <v>96</v>
      </c>
      <c r="G204">
        <v>0.31</v>
      </c>
      <c r="H204" t="s">
        <v>32</v>
      </c>
      <c r="I204">
        <v>-3</v>
      </c>
      <c r="J204" t="str">
        <f>HYPERLINK("https://www.eliteprospects.com/player/369859/jonathan-ziskie")</f>
        <v>https://www.eliteprospects.com/player/369859/jonathan-ziskie</v>
      </c>
      <c r="K204" t="s">
        <v>27</v>
      </c>
      <c r="L204" t="s">
        <v>28</v>
      </c>
      <c r="M204" t="s">
        <v>1296</v>
      </c>
      <c r="N204">
        <v>4</v>
      </c>
      <c r="O204" t="s">
        <v>30</v>
      </c>
      <c r="P204">
        <v>0.06</v>
      </c>
      <c r="Q204" t="s">
        <v>1325</v>
      </c>
      <c r="R204">
        <v>26.3</v>
      </c>
      <c r="S204">
        <v>23.7</v>
      </c>
      <c r="T204">
        <v>28.9</v>
      </c>
      <c r="U204">
        <v>5.3</v>
      </c>
      <c r="V204">
        <v>15.8</v>
      </c>
    </row>
    <row r="205" spans="1:22" x14ac:dyDescent="0.25">
      <c r="A205" t="s">
        <v>1507</v>
      </c>
      <c r="B205" t="s">
        <v>234</v>
      </c>
      <c r="C205">
        <v>17</v>
      </c>
      <c r="D205" t="s">
        <v>260</v>
      </c>
      <c r="E205" t="s">
        <v>66</v>
      </c>
      <c r="F205" t="s">
        <v>96</v>
      </c>
      <c r="G205">
        <v>0.28999999999999998</v>
      </c>
      <c r="H205" t="s">
        <v>69</v>
      </c>
      <c r="I205">
        <v>3</v>
      </c>
      <c r="J205" t="str">
        <f>HYPERLINK("https://www.eliteprospects.com/player/562137/alex-pineau")</f>
        <v>https://www.eliteprospects.com/player/562137/alex-pineau</v>
      </c>
      <c r="K205" t="s">
        <v>27</v>
      </c>
      <c r="L205" t="s">
        <v>28</v>
      </c>
      <c r="M205" t="s">
        <v>1296</v>
      </c>
      <c r="N205">
        <v>3</v>
      </c>
      <c r="O205" t="s">
        <v>74</v>
      </c>
      <c r="P205">
        <v>0.06</v>
      </c>
      <c r="Q205" t="s">
        <v>1325</v>
      </c>
      <c r="R205">
        <v>26.3</v>
      </c>
      <c r="S205">
        <v>23.7</v>
      </c>
      <c r="T205">
        <v>28.9</v>
      </c>
      <c r="U205">
        <v>5.3</v>
      </c>
      <c r="V205">
        <v>15.8</v>
      </c>
    </row>
    <row r="206" spans="1:22" x14ac:dyDescent="0.25">
      <c r="A206" t="s">
        <v>1508</v>
      </c>
      <c r="B206" t="s">
        <v>82</v>
      </c>
      <c r="C206">
        <v>18</v>
      </c>
      <c r="D206" t="s">
        <v>260</v>
      </c>
      <c r="E206" t="s">
        <v>66</v>
      </c>
      <c r="F206" t="s">
        <v>96</v>
      </c>
      <c r="G206">
        <v>0.28000000000000003</v>
      </c>
      <c r="H206" t="s">
        <v>57</v>
      </c>
      <c r="I206">
        <v>0</v>
      </c>
      <c r="J206" t="str">
        <f>HYPERLINK("https://www.eliteprospects.com/player/376336/vincent-corcoran")</f>
        <v>https://www.eliteprospects.com/player/376336/vincent-corcoran</v>
      </c>
      <c r="K206" t="s">
        <v>27</v>
      </c>
      <c r="L206" t="s">
        <v>28</v>
      </c>
      <c r="M206" t="s">
        <v>1296</v>
      </c>
      <c r="N206">
        <v>4</v>
      </c>
      <c r="O206" t="s">
        <v>30</v>
      </c>
      <c r="P206">
        <v>0.05</v>
      </c>
      <c r="Q206" t="s">
        <v>1325</v>
      </c>
      <c r="R206">
        <v>26.3</v>
      </c>
      <c r="S206">
        <v>23.7</v>
      </c>
      <c r="T206">
        <v>28.9</v>
      </c>
      <c r="U206">
        <v>5.3</v>
      </c>
      <c r="V206">
        <v>15.8</v>
      </c>
    </row>
    <row r="207" spans="1:22" x14ac:dyDescent="0.25">
      <c r="A207" t="s">
        <v>1509</v>
      </c>
      <c r="B207" t="s">
        <v>288</v>
      </c>
      <c r="C207">
        <v>18</v>
      </c>
      <c r="D207" t="s">
        <v>260</v>
      </c>
      <c r="E207" t="s">
        <v>66</v>
      </c>
      <c r="F207" t="s">
        <v>96</v>
      </c>
      <c r="G207">
        <v>0.28000000000000003</v>
      </c>
      <c r="H207" t="s">
        <v>32</v>
      </c>
      <c r="I207">
        <v>-10</v>
      </c>
      <c r="J207" t="str">
        <f>HYPERLINK("https://www.eliteprospects.com/player/691831/caeden-herrington")</f>
        <v>https://www.eliteprospects.com/player/691831/caeden-herrington</v>
      </c>
      <c r="K207" t="s">
        <v>27</v>
      </c>
      <c r="L207" t="s">
        <v>28</v>
      </c>
      <c r="M207" t="s">
        <v>1296</v>
      </c>
      <c r="N207">
        <v>1</v>
      </c>
      <c r="O207" t="s">
        <v>71</v>
      </c>
      <c r="P207">
        <v>0.05</v>
      </c>
      <c r="Q207" t="s">
        <v>1325</v>
      </c>
      <c r="R207">
        <v>26.3</v>
      </c>
      <c r="S207">
        <v>23.7</v>
      </c>
      <c r="T207">
        <v>28.9</v>
      </c>
      <c r="U207">
        <v>5.3</v>
      </c>
      <c r="V207">
        <v>15.8</v>
      </c>
    </row>
    <row r="208" spans="1:22" x14ac:dyDescent="0.25">
      <c r="A208" t="s">
        <v>1510</v>
      </c>
      <c r="B208" t="s">
        <v>103</v>
      </c>
      <c r="C208">
        <v>18</v>
      </c>
      <c r="D208" t="s">
        <v>260</v>
      </c>
      <c r="E208" t="s">
        <v>66</v>
      </c>
      <c r="F208" t="s">
        <v>96</v>
      </c>
      <c r="G208">
        <v>0.28000000000000003</v>
      </c>
      <c r="H208" t="s">
        <v>23</v>
      </c>
      <c r="I208">
        <v>1</v>
      </c>
      <c r="J208" t="str">
        <f>HYPERLINK("https://www.eliteprospects.com/player/408607/owen-murray")</f>
        <v>https://www.eliteprospects.com/player/408607/owen-murray</v>
      </c>
      <c r="K208" t="s">
        <v>27</v>
      </c>
      <c r="L208" t="s">
        <v>28</v>
      </c>
      <c r="M208" t="s">
        <v>1296</v>
      </c>
      <c r="N208">
        <v>4</v>
      </c>
      <c r="O208" t="s">
        <v>30</v>
      </c>
      <c r="P208">
        <v>0.05</v>
      </c>
      <c r="Q208" t="s">
        <v>1325</v>
      </c>
      <c r="R208">
        <v>26.3</v>
      </c>
      <c r="S208">
        <v>23.7</v>
      </c>
      <c r="T208">
        <v>28.9</v>
      </c>
      <c r="U208">
        <v>5.3</v>
      </c>
      <c r="V208">
        <v>15.8</v>
      </c>
    </row>
    <row r="209" spans="1:22" x14ac:dyDescent="0.25">
      <c r="A209" t="s">
        <v>1511</v>
      </c>
      <c r="B209" t="s">
        <v>127</v>
      </c>
      <c r="C209">
        <v>19</v>
      </c>
      <c r="D209" t="s">
        <v>260</v>
      </c>
      <c r="E209" t="s">
        <v>66</v>
      </c>
      <c r="F209" t="s">
        <v>96</v>
      </c>
      <c r="G209">
        <v>0.26</v>
      </c>
      <c r="H209" t="s">
        <v>66</v>
      </c>
      <c r="I209">
        <v>3</v>
      </c>
      <c r="J209" t="str">
        <f>HYPERLINK("https://www.eliteprospects.com/player/407657/brody-gagno")</f>
        <v>https://www.eliteprospects.com/player/407657/brody-gagno</v>
      </c>
      <c r="K209" t="s">
        <v>27</v>
      </c>
      <c r="L209" t="s">
        <v>28</v>
      </c>
      <c r="M209" t="s">
        <v>1296</v>
      </c>
      <c r="N209">
        <v>3</v>
      </c>
      <c r="O209" t="s">
        <v>74</v>
      </c>
      <c r="P209">
        <v>0.05</v>
      </c>
      <c r="Q209" t="s">
        <v>1325</v>
      </c>
      <c r="R209">
        <v>26.3</v>
      </c>
      <c r="S209">
        <v>23.7</v>
      </c>
      <c r="T209">
        <v>28.9</v>
      </c>
      <c r="U209">
        <v>5.3</v>
      </c>
      <c r="V209">
        <v>15.8</v>
      </c>
    </row>
    <row r="210" spans="1:22" x14ac:dyDescent="0.25">
      <c r="A210" t="s">
        <v>1512</v>
      </c>
      <c r="B210" t="s">
        <v>195</v>
      </c>
      <c r="C210">
        <v>19</v>
      </c>
      <c r="D210" t="s">
        <v>260</v>
      </c>
      <c r="E210" t="s">
        <v>66</v>
      </c>
      <c r="F210" t="s">
        <v>96</v>
      </c>
      <c r="G210">
        <v>0.26</v>
      </c>
      <c r="H210" t="s">
        <v>60</v>
      </c>
      <c r="I210">
        <v>2</v>
      </c>
      <c r="J210" t="str">
        <f>HYPERLINK("https://www.eliteprospects.com/player/577173/charlie-trethewey")</f>
        <v>https://www.eliteprospects.com/player/577173/charlie-trethewey</v>
      </c>
      <c r="K210" t="s">
        <v>27</v>
      </c>
      <c r="L210" t="s">
        <v>28</v>
      </c>
      <c r="M210" t="s">
        <v>1296</v>
      </c>
      <c r="N210">
        <v>1</v>
      </c>
      <c r="O210" t="s">
        <v>71</v>
      </c>
      <c r="P210">
        <v>0.05</v>
      </c>
      <c r="Q210" t="s">
        <v>1325</v>
      </c>
      <c r="R210">
        <v>26.3</v>
      </c>
      <c r="S210">
        <v>23.7</v>
      </c>
      <c r="T210">
        <v>28.9</v>
      </c>
      <c r="U210">
        <v>5.3</v>
      </c>
      <c r="V210">
        <v>15.8</v>
      </c>
    </row>
    <row r="211" spans="1:22" x14ac:dyDescent="0.25">
      <c r="A211" t="s">
        <v>1513</v>
      </c>
      <c r="B211" t="s">
        <v>131</v>
      </c>
      <c r="C211">
        <v>19</v>
      </c>
      <c r="D211" t="s">
        <v>260</v>
      </c>
      <c r="E211" t="s">
        <v>66</v>
      </c>
      <c r="F211" t="s">
        <v>96</v>
      </c>
      <c r="G211">
        <v>0.26</v>
      </c>
      <c r="H211" t="s">
        <v>34</v>
      </c>
      <c r="I211">
        <v>10</v>
      </c>
      <c r="J211" t="str">
        <f>HYPERLINK("https://www.eliteprospects.com/player/481296/easton-zueger")</f>
        <v>https://www.eliteprospects.com/player/481296/easton-zueger</v>
      </c>
      <c r="K211" t="s">
        <v>27</v>
      </c>
      <c r="L211" t="s">
        <v>28</v>
      </c>
      <c r="M211" t="s">
        <v>1296</v>
      </c>
      <c r="N211">
        <v>3</v>
      </c>
      <c r="O211" t="s">
        <v>74</v>
      </c>
      <c r="P211">
        <v>0.05</v>
      </c>
      <c r="Q211" t="s">
        <v>1325</v>
      </c>
      <c r="R211">
        <v>26.3</v>
      </c>
      <c r="S211">
        <v>23.7</v>
      </c>
      <c r="T211">
        <v>28.9</v>
      </c>
      <c r="U211">
        <v>5.3</v>
      </c>
      <c r="V211">
        <v>15.8</v>
      </c>
    </row>
    <row r="212" spans="1:22" x14ac:dyDescent="0.25">
      <c r="A212" t="s">
        <v>1514</v>
      </c>
      <c r="B212" t="s">
        <v>130</v>
      </c>
      <c r="C212">
        <v>20</v>
      </c>
      <c r="D212" t="s">
        <v>260</v>
      </c>
      <c r="E212" t="s">
        <v>66</v>
      </c>
      <c r="F212" t="s">
        <v>96</v>
      </c>
      <c r="G212">
        <v>0.25</v>
      </c>
      <c r="H212" t="s">
        <v>79</v>
      </c>
      <c r="I212">
        <v>4</v>
      </c>
      <c r="J212" t="str">
        <f>HYPERLINK("https://www.eliteprospects.com/player/512296/austin-oravetz")</f>
        <v>https://www.eliteprospects.com/player/512296/austin-oravetz</v>
      </c>
      <c r="K212" t="s">
        <v>27</v>
      </c>
      <c r="L212" t="s">
        <v>28</v>
      </c>
      <c r="M212" t="s">
        <v>1296</v>
      </c>
      <c r="N212">
        <v>3</v>
      </c>
      <c r="O212" t="s">
        <v>74</v>
      </c>
      <c r="P212">
        <v>0.05</v>
      </c>
      <c r="Q212" t="s">
        <v>1325</v>
      </c>
      <c r="R212">
        <v>26.3</v>
      </c>
      <c r="S212">
        <v>23.7</v>
      </c>
      <c r="T212">
        <v>28.9</v>
      </c>
      <c r="U212">
        <v>5.3</v>
      </c>
      <c r="V212">
        <v>15.8</v>
      </c>
    </row>
    <row r="213" spans="1:22" x14ac:dyDescent="0.25">
      <c r="A213" t="s">
        <v>1515</v>
      </c>
      <c r="B213" t="s">
        <v>134</v>
      </c>
      <c r="C213">
        <v>20</v>
      </c>
      <c r="D213" t="s">
        <v>260</v>
      </c>
      <c r="E213" t="s">
        <v>66</v>
      </c>
      <c r="F213" t="s">
        <v>96</v>
      </c>
      <c r="G213">
        <v>0.25</v>
      </c>
      <c r="H213" t="s">
        <v>66</v>
      </c>
      <c r="I213">
        <v>0</v>
      </c>
      <c r="J213" t="str">
        <f>HYPERLINK("https://www.eliteprospects.com/player/476025/robert-kincaid")</f>
        <v>https://www.eliteprospects.com/player/476025/robert-kincaid</v>
      </c>
      <c r="K213" t="s">
        <v>27</v>
      </c>
      <c r="L213" t="s">
        <v>28</v>
      </c>
      <c r="M213" t="s">
        <v>1296</v>
      </c>
      <c r="N213">
        <v>4</v>
      </c>
      <c r="O213" t="s">
        <v>30</v>
      </c>
      <c r="P213">
        <v>0.05</v>
      </c>
      <c r="Q213" t="s">
        <v>1325</v>
      </c>
      <c r="R213">
        <v>26.3</v>
      </c>
      <c r="S213">
        <v>23.7</v>
      </c>
      <c r="T213">
        <v>28.9</v>
      </c>
      <c r="U213">
        <v>5.3</v>
      </c>
      <c r="V213">
        <v>15.8</v>
      </c>
    </row>
    <row r="214" spans="1:22" x14ac:dyDescent="0.25">
      <c r="A214" t="s">
        <v>1516</v>
      </c>
      <c r="B214" t="s">
        <v>224</v>
      </c>
      <c r="C214">
        <v>20</v>
      </c>
      <c r="D214" t="s">
        <v>260</v>
      </c>
      <c r="E214" t="s">
        <v>66</v>
      </c>
      <c r="F214" t="s">
        <v>96</v>
      </c>
      <c r="G214">
        <v>0.25</v>
      </c>
      <c r="H214" t="s">
        <v>66</v>
      </c>
      <c r="I214">
        <v>-6</v>
      </c>
      <c r="J214" t="str">
        <f>HYPERLINK("https://www.eliteprospects.com/player/539638/john-babcock")</f>
        <v>https://www.eliteprospects.com/player/539638/john-babcock</v>
      </c>
      <c r="K214" t="s">
        <v>27</v>
      </c>
      <c r="L214" t="s">
        <v>28</v>
      </c>
      <c r="M214" t="s">
        <v>1296</v>
      </c>
      <c r="N214">
        <v>6</v>
      </c>
      <c r="O214" t="s">
        <v>193</v>
      </c>
      <c r="P214">
        <v>0.05</v>
      </c>
      <c r="Q214" t="s">
        <v>1325</v>
      </c>
      <c r="R214">
        <v>26.3</v>
      </c>
      <c r="S214">
        <v>23.7</v>
      </c>
      <c r="T214">
        <v>28.9</v>
      </c>
      <c r="U214">
        <v>5.3</v>
      </c>
      <c r="V214">
        <v>15.8</v>
      </c>
    </row>
    <row r="215" spans="1:22" x14ac:dyDescent="0.25">
      <c r="A215" t="s">
        <v>1517</v>
      </c>
      <c r="B215" t="s">
        <v>82</v>
      </c>
      <c r="C215">
        <v>20</v>
      </c>
      <c r="D215" t="s">
        <v>260</v>
      </c>
      <c r="E215" t="s">
        <v>66</v>
      </c>
      <c r="F215" t="s">
        <v>96</v>
      </c>
      <c r="G215">
        <v>0.25</v>
      </c>
      <c r="H215" t="s">
        <v>32</v>
      </c>
      <c r="I215">
        <v>2</v>
      </c>
      <c r="J215" t="str">
        <f>HYPERLINK("https://www.eliteprospects.com/player/606970/luke-roelofs")</f>
        <v>https://www.eliteprospects.com/player/606970/luke-roelofs</v>
      </c>
      <c r="K215" t="s">
        <v>27</v>
      </c>
      <c r="L215" t="s">
        <v>28</v>
      </c>
      <c r="M215" t="s">
        <v>1296</v>
      </c>
      <c r="N215">
        <v>2</v>
      </c>
      <c r="O215" t="s">
        <v>43</v>
      </c>
      <c r="P215">
        <v>0.05</v>
      </c>
      <c r="Q215" t="s">
        <v>1325</v>
      </c>
      <c r="R215">
        <v>26.3</v>
      </c>
      <c r="S215">
        <v>23.7</v>
      </c>
      <c r="T215">
        <v>28.9</v>
      </c>
      <c r="U215">
        <v>5.3</v>
      </c>
      <c r="V215">
        <v>15.8</v>
      </c>
    </row>
    <row r="216" spans="1:22" x14ac:dyDescent="0.25">
      <c r="A216" t="s">
        <v>1518</v>
      </c>
      <c r="B216" t="s">
        <v>103</v>
      </c>
      <c r="C216">
        <v>20</v>
      </c>
      <c r="D216" t="s">
        <v>260</v>
      </c>
      <c r="E216" t="s">
        <v>66</v>
      </c>
      <c r="F216" t="s">
        <v>96</v>
      </c>
      <c r="G216">
        <v>0.25</v>
      </c>
      <c r="H216" t="s">
        <v>23</v>
      </c>
      <c r="I216">
        <v>-3</v>
      </c>
      <c r="J216" t="str">
        <f>HYPERLINK("https://www.eliteprospects.com/player/494784/lucas-olvestad")</f>
        <v>https://www.eliteprospects.com/player/494784/lucas-olvestad</v>
      </c>
      <c r="K216" t="s">
        <v>27</v>
      </c>
      <c r="L216" t="s">
        <v>28</v>
      </c>
      <c r="M216" t="s">
        <v>1296</v>
      </c>
      <c r="N216">
        <v>4</v>
      </c>
      <c r="O216" t="s">
        <v>30</v>
      </c>
      <c r="P216">
        <v>0.05</v>
      </c>
      <c r="Q216" t="s">
        <v>1325</v>
      </c>
      <c r="R216">
        <v>26.3</v>
      </c>
      <c r="S216">
        <v>23.7</v>
      </c>
      <c r="T216">
        <v>28.9</v>
      </c>
      <c r="U216">
        <v>5.3</v>
      </c>
      <c r="V216">
        <v>15.8</v>
      </c>
    </row>
    <row r="217" spans="1:22" x14ac:dyDescent="0.25">
      <c r="A217" t="s">
        <v>1519</v>
      </c>
      <c r="B217" t="s">
        <v>50</v>
      </c>
      <c r="C217">
        <v>20</v>
      </c>
      <c r="D217" t="s">
        <v>260</v>
      </c>
      <c r="E217" t="s">
        <v>66</v>
      </c>
      <c r="F217" t="s">
        <v>96</v>
      </c>
      <c r="G217">
        <v>0.25</v>
      </c>
      <c r="H217" t="s">
        <v>47</v>
      </c>
      <c r="I217">
        <v>2</v>
      </c>
      <c r="J217" t="str">
        <f>HYPERLINK("https://www.eliteprospects.com/player/750590/drew-schock")</f>
        <v>https://www.eliteprospects.com/player/750590/drew-schock</v>
      </c>
      <c r="K217" t="s">
        <v>27</v>
      </c>
      <c r="L217" t="s">
        <v>28</v>
      </c>
      <c r="M217" t="s">
        <v>1296</v>
      </c>
      <c r="N217">
        <v>1</v>
      </c>
      <c r="O217" t="s">
        <v>71</v>
      </c>
      <c r="P217">
        <v>0.05</v>
      </c>
      <c r="Q217" t="s">
        <v>1325</v>
      </c>
      <c r="R217">
        <v>26.3</v>
      </c>
      <c r="S217">
        <v>23.7</v>
      </c>
      <c r="T217">
        <v>28.9</v>
      </c>
      <c r="U217">
        <v>5.3</v>
      </c>
      <c r="V217">
        <v>15.8</v>
      </c>
    </row>
    <row r="218" spans="1:22" x14ac:dyDescent="0.25">
      <c r="A218" t="s">
        <v>1520</v>
      </c>
      <c r="B218" t="s">
        <v>68</v>
      </c>
      <c r="C218">
        <v>21</v>
      </c>
      <c r="D218" t="s">
        <v>260</v>
      </c>
      <c r="E218" t="s">
        <v>66</v>
      </c>
      <c r="F218" t="s">
        <v>96</v>
      </c>
      <c r="G218">
        <v>0.24</v>
      </c>
      <c r="H218" t="s">
        <v>32</v>
      </c>
      <c r="I218">
        <v>14</v>
      </c>
      <c r="J218" t="str">
        <f>HYPERLINK("https://www.eliteprospects.com/player/526226/charlie-leddy")</f>
        <v>https://www.eliteprospects.com/player/526226/charlie-leddy</v>
      </c>
      <c r="K218" t="s">
        <v>27</v>
      </c>
      <c r="L218" t="s">
        <v>28</v>
      </c>
      <c r="M218" t="s">
        <v>1296</v>
      </c>
      <c r="N218">
        <v>4</v>
      </c>
      <c r="O218" t="s">
        <v>30</v>
      </c>
      <c r="P218">
        <v>0.05</v>
      </c>
      <c r="Q218" t="s">
        <v>1325</v>
      </c>
      <c r="R218">
        <v>26.3</v>
      </c>
      <c r="S218">
        <v>23.7</v>
      </c>
      <c r="T218">
        <v>28.9</v>
      </c>
      <c r="U218">
        <v>5.3</v>
      </c>
      <c r="V218">
        <v>15.8</v>
      </c>
    </row>
    <row r="219" spans="1:22" x14ac:dyDescent="0.25">
      <c r="A219" t="s">
        <v>1521</v>
      </c>
      <c r="B219" t="s">
        <v>64</v>
      </c>
      <c r="C219">
        <v>21</v>
      </c>
      <c r="D219" t="s">
        <v>260</v>
      </c>
      <c r="E219" t="s">
        <v>66</v>
      </c>
      <c r="F219" t="s">
        <v>96</v>
      </c>
      <c r="G219">
        <v>0.24</v>
      </c>
      <c r="H219" t="s">
        <v>23</v>
      </c>
      <c r="I219">
        <v>4</v>
      </c>
      <c r="J219" t="str">
        <f>HYPERLINK("https://www.eliteprospects.com/player/720101/bauer-berry")</f>
        <v>https://www.eliteprospects.com/player/720101/bauer-berry</v>
      </c>
      <c r="K219" t="s">
        <v>27</v>
      </c>
      <c r="L219" t="s">
        <v>28</v>
      </c>
      <c r="M219" t="s">
        <v>1296</v>
      </c>
      <c r="N219">
        <v>1</v>
      </c>
      <c r="O219" t="s">
        <v>71</v>
      </c>
      <c r="P219">
        <v>0.05</v>
      </c>
      <c r="Q219" t="s">
        <v>1325</v>
      </c>
      <c r="R219">
        <v>26.3</v>
      </c>
      <c r="S219">
        <v>23.7</v>
      </c>
      <c r="T219">
        <v>28.9</v>
      </c>
      <c r="U219">
        <v>5.3</v>
      </c>
      <c r="V219">
        <v>15.8</v>
      </c>
    </row>
    <row r="220" spans="1:22" x14ac:dyDescent="0.25">
      <c r="A220" t="s">
        <v>1522</v>
      </c>
      <c r="B220" t="s">
        <v>161</v>
      </c>
      <c r="C220">
        <v>22</v>
      </c>
      <c r="D220" t="s">
        <v>260</v>
      </c>
      <c r="E220" t="s">
        <v>66</v>
      </c>
      <c r="F220" t="s">
        <v>96</v>
      </c>
      <c r="G220">
        <v>0.23</v>
      </c>
      <c r="H220" t="s">
        <v>57</v>
      </c>
      <c r="I220">
        <v>7</v>
      </c>
      <c r="J220" t="str">
        <f>HYPERLINK("https://www.eliteprospects.com/player/670268/ryan-koering")</f>
        <v>https://www.eliteprospects.com/player/670268/ryan-koering</v>
      </c>
      <c r="K220" t="s">
        <v>27</v>
      </c>
      <c r="L220" t="s">
        <v>28</v>
      </c>
      <c r="M220" t="s">
        <v>1296</v>
      </c>
      <c r="N220">
        <v>2</v>
      </c>
      <c r="O220" t="s">
        <v>43</v>
      </c>
      <c r="P220">
        <v>0.04</v>
      </c>
      <c r="Q220" t="s">
        <v>245</v>
      </c>
      <c r="R220">
        <v>28.6</v>
      </c>
      <c r="S220">
        <v>31.4</v>
      </c>
      <c r="T220">
        <v>28.6</v>
      </c>
      <c r="U220">
        <v>4.3</v>
      </c>
      <c r="V220">
        <v>7.1</v>
      </c>
    </row>
    <row r="221" spans="1:22" x14ac:dyDescent="0.25">
      <c r="A221" t="s">
        <v>1523</v>
      </c>
      <c r="B221" t="s">
        <v>202</v>
      </c>
      <c r="C221">
        <v>22</v>
      </c>
      <c r="D221" t="s">
        <v>260</v>
      </c>
      <c r="E221" t="s">
        <v>66</v>
      </c>
      <c r="F221" t="s">
        <v>96</v>
      </c>
      <c r="G221">
        <v>0.23</v>
      </c>
      <c r="H221" t="s">
        <v>57</v>
      </c>
      <c r="I221">
        <v>-7</v>
      </c>
      <c r="J221" t="str">
        <f>HYPERLINK("https://www.eliteprospects.com/player/470901/marcus-broberg")</f>
        <v>https://www.eliteprospects.com/player/470901/marcus-broberg</v>
      </c>
      <c r="K221" t="s">
        <v>27</v>
      </c>
      <c r="L221" t="s">
        <v>28</v>
      </c>
      <c r="M221" t="s">
        <v>1296</v>
      </c>
      <c r="N221">
        <v>2</v>
      </c>
      <c r="O221" t="s">
        <v>43</v>
      </c>
      <c r="P221">
        <v>0.04</v>
      </c>
      <c r="Q221" t="s">
        <v>245</v>
      </c>
      <c r="R221">
        <v>28.6</v>
      </c>
      <c r="S221">
        <v>31.4</v>
      </c>
      <c r="T221">
        <v>28.6</v>
      </c>
      <c r="U221">
        <v>4.3</v>
      </c>
      <c r="V221">
        <v>7.1</v>
      </c>
    </row>
    <row r="222" spans="1:22" x14ac:dyDescent="0.25">
      <c r="A222" t="s">
        <v>1524</v>
      </c>
      <c r="B222" t="s">
        <v>205</v>
      </c>
      <c r="C222">
        <v>22</v>
      </c>
      <c r="D222" t="s">
        <v>260</v>
      </c>
      <c r="E222" t="s">
        <v>66</v>
      </c>
      <c r="F222" t="s">
        <v>96</v>
      </c>
      <c r="G222">
        <v>0.23</v>
      </c>
      <c r="H222" t="s">
        <v>38</v>
      </c>
      <c r="I222">
        <v>6</v>
      </c>
      <c r="J222" t="str">
        <f>HYPERLINK("https://www.eliteprospects.com/player/641761/mason-croucher")</f>
        <v>https://www.eliteprospects.com/player/641761/mason-croucher</v>
      </c>
      <c r="K222" t="s">
        <v>27</v>
      </c>
      <c r="L222" t="s">
        <v>28</v>
      </c>
      <c r="M222" t="s">
        <v>1296</v>
      </c>
      <c r="N222">
        <v>2</v>
      </c>
      <c r="O222" t="s">
        <v>43</v>
      </c>
      <c r="P222">
        <v>0.04</v>
      </c>
      <c r="Q222" t="s">
        <v>245</v>
      </c>
      <c r="R222">
        <v>28.6</v>
      </c>
      <c r="S222">
        <v>31.4</v>
      </c>
      <c r="T222">
        <v>28.6</v>
      </c>
      <c r="U222">
        <v>4.3</v>
      </c>
      <c r="V222">
        <v>7.1</v>
      </c>
    </row>
    <row r="223" spans="1:22" x14ac:dyDescent="0.25">
      <c r="A223" t="s">
        <v>1525</v>
      </c>
      <c r="B223" t="s">
        <v>184</v>
      </c>
      <c r="C223">
        <v>13</v>
      </c>
      <c r="D223" t="s">
        <v>132</v>
      </c>
      <c r="E223" t="s">
        <v>96</v>
      </c>
      <c r="F223" t="s">
        <v>96</v>
      </c>
      <c r="G223">
        <v>0.38</v>
      </c>
      <c r="H223" t="s">
        <v>79</v>
      </c>
      <c r="I223">
        <v>2</v>
      </c>
      <c r="J223" t="str">
        <f>HYPERLINK("https://www.eliteprospects.com/player/714973/trey-scott")</f>
        <v>https://www.eliteprospects.com/player/714973/trey-scott</v>
      </c>
      <c r="K223" t="s">
        <v>27</v>
      </c>
      <c r="L223" t="s">
        <v>28</v>
      </c>
      <c r="M223" t="s">
        <v>1296</v>
      </c>
      <c r="N223">
        <v>2</v>
      </c>
      <c r="O223" t="s">
        <v>43</v>
      </c>
      <c r="P223">
        <v>7.0000000000000007E-2</v>
      </c>
      <c r="Q223" t="s">
        <v>1325</v>
      </c>
      <c r="R223">
        <v>30</v>
      </c>
      <c r="S223">
        <v>25</v>
      </c>
      <c r="T223">
        <v>32.5</v>
      </c>
      <c r="U223">
        <v>5</v>
      </c>
      <c r="V223">
        <v>7.5</v>
      </c>
    </row>
    <row r="224" spans="1:22" x14ac:dyDescent="0.25">
      <c r="A224" t="s">
        <v>1526</v>
      </c>
      <c r="B224" t="s">
        <v>167</v>
      </c>
      <c r="C224">
        <v>13</v>
      </c>
      <c r="D224" t="s">
        <v>132</v>
      </c>
      <c r="E224" t="s">
        <v>96</v>
      </c>
      <c r="F224" t="s">
        <v>96</v>
      </c>
      <c r="G224">
        <v>0.38</v>
      </c>
      <c r="H224" t="s">
        <v>26</v>
      </c>
      <c r="I224">
        <v>-3</v>
      </c>
      <c r="J224" t="str">
        <f>HYPERLINK("https://www.eliteprospects.com/player/616229/mason-langenbrunner")</f>
        <v>https://www.eliteprospects.com/player/616229/mason-langenbrunner</v>
      </c>
      <c r="K224" t="s">
        <v>27</v>
      </c>
      <c r="L224" t="s">
        <v>28</v>
      </c>
      <c r="M224" t="s">
        <v>1296</v>
      </c>
      <c r="N224">
        <v>4</v>
      </c>
      <c r="O224" t="s">
        <v>30</v>
      </c>
      <c r="P224">
        <v>7.0000000000000007E-2</v>
      </c>
      <c r="Q224" t="s">
        <v>1325</v>
      </c>
      <c r="R224">
        <v>30</v>
      </c>
      <c r="S224">
        <v>25</v>
      </c>
      <c r="T224">
        <v>32.5</v>
      </c>
      <c r="U224">
        <v>5</v>
      </c>
      <c r="V224">
        <v>7.5</v>
      </c>
    </row>
    <row r="225" spans="1:22" x14ac:dyDescent="0.25">
      <c r="A225" t="s">
        <v>1527</v>
      </c>
      <c r="B225" t="s">
        <v>167</v>
      </c>
      <c r="C225">
        <v>14</v>
      </c>
      <c r="D225" t="s">
        <v>132</v>
      </c>
      <c r="E225" t="s">
        <v>96</v>
      </c>
      <c r="F225" t="s">
        <v>96</v>
      </c>
      <c r="G225">
        <v>0.36</v>
      </c>
      <c r="H225" t="s">
        <v>51</v>
      </c>
      <c r="I225">
        <v>0</v>
      </c>
      <c r="J225" t="str">
        <f>HYPERLINK("https://www.eliteprospects.com/player/599271/matthew-morden")</f>
        <v>https://www.eliteprospects.com/player/599271/matthew-morden</v>
      </c>
      <c r="K225" t="s">
        <v>27</v>
      </c>
      <c r="L225" t="s">
        <v>28</v>
      </c>
      <c r="M225" t="s">
        <v>1296</v>
      </c>
      <c r="N225">
        <v>3</v>
      </c>
      <c r="O225" t="s">
        <v>74</v>
      </c>
      <c r="P225">
        <v>7.0000000000000007E-2</v>
      </c>
      <c r="Q225" t="s">
        <v>1325</v>
      </c>
      <c r="R225">
        <v>30</v>
      </c>
      <c r="S225">
        <v>25</v>
      </c>
      <c r="T225">
        <v>32.5</v>
      </c>
      <c r="U225">
        <v>5</v>
      </c>
      <c r="V225">
        <v>7.5</v>
      </c>
    </row>
    <row r="226" spans="1:22" x14ac:dyDescent="0.25">
      <c r="A226" t="s">
        <v>1528</v>
      </c>
      <c r="B226" t="s">
        <v>200</v>
      </c>
      <c r="C226">
        <v>15</v>
      </c>
      <c r="D226" t="s">
        <v>132</v>
      </c>
      <c r="E226" t="s">
        <v>96</v>
      </c>
      <c r="F226" t="s">
        <v>96</v>
      </c>
      <c r="G226">
        <v>0.33</v>
      </c>
      <c r="H226" t="s">
        <v>79</v>
      </c>
      <c r="I226">
        <v>11</v>
      </c>
      <c r="J226" t="str">
        <f>HYPERLINK("https://www.eliteprospects.com/player/477411/jack-o-brien")</f>
        <v>https://www.eliteprospects.com/player/477411/jack-o-brien</v>
      </c>
      <c r="K226" t="s">
        <v>27</v>
      </c>
      <c r="L226" t="s">
        <v>28</v>
      </c>
      <c r="M226" t="s">
        <v>1296</v>
      </c>
      <c r="N226">
        <v>6</v>
      </c>
      <c r="O226" t="s">
        <v>1529</v>
      </c>
      <c r="P226">
        <v>0.06</v>
      </c>
      <c r="Q226" t="s">
        <v>1325</v>
      </c>
      <c r="R226">
        <v>26.3</v>
      </c>
      <c r="S226">
        <v>23.7</v>
      </c>
      <c r="T226">
        <v>28.9</v>
      </c>
      <c r="U226">
        <v>5.3</v>
      </c>
      <c r="V226">
        <v>15.8</v>
      </c>
    </row>
    <row r="227" spans="1:22" x14ac:dyDescent="0.25">
      <c r="A227" t="s">
        <v>1530</v>
      </c>
      <c r="B227" t="s">
        <v>127</v>
      </c>
      <c r="C227">
        <v>16</v>
      </c>
      <c r="D227" t="s">
        <v>132</v>
      </c>
      <c r="E227" t="s">
        <v>96</v>
      </c>
      <c r="F227" t="s">
        <v>96</v>
      </c>
      <c r="G227">
        <v>0.31</v>
      </c>
      <c r="H227" t="s">
        <v>75</v>
      </c>
      <c r="I227">
        <v>8</v>
      </c>
      <c r="J227" t="str">
        <f>HYPERLINK("https://www.eliteprospects.com/player/418276/lachlan-getz")</f>
        <v>https://www.eliteprospects.com/player/418276/lachlan-getz</v>
      </c>
      <c r="K227" t="s">
        <v>27</v>
      </c>
      <c r="L227" t="s">
        <v>28</v>
      </c>
      <c r="M227" t="s">
        <v>1296</v>
      </c>
      <c r="N227">
        <v>4</v>
      </c>
      <c r="O227" t="s">
        <v>30</v>
      </c>
      <c r="P227">
        <v>0.06</v>
      </c>
      <c r="Q227" t="s">
        <v>1325</v>
      </c>
      <c r="R227">
        <v>26.3</v>
      </c>
      <c r="S227">
        <v>23.7</v>
      </c>
      <c r="T227">
        <v>28.9</v>
      </c>
      <c r="U227">
        <v>5.3</v>
      </c>
      <c r="V227">
        <v>15.8</v>
      </c>
    </row>
    <row r="228" spans="1:22" x14ac:dyDescent="0.25">
      <c r="A228" t="s">
        <v>1531</v>
      </c>
      <c r="B228" t="s">
        <v>174</v>
      </c>
      <c r="C228">
        <v>17</v>
      </c>
      <c r="D228" t="s">
        <v>132</v>
      </c>
      <c r="E228" t="s">
        <v>96</v>
      </c>
      <c r="F228" t="s">
        <v>96</v>
      </c>
      <c r="G228">
        <v>0.28999999999999998</v>
      </c>
      <c r="H228" t="s">
        <v>79</v>
      </c>
      <c r="I228">
        <v>-1</v>
      </c>
      <c r="J228" t="str">
        <f>HYPERLINK("https://www.eliteprospects.com/player/704631/conner-de-haro")</f>
        <v>https://www.eliteprospects.com/player/704631/conner-de-haro</v>
      </c>
      <c r="K228" t="s">
        <v>27</v>
      </c>
      <c r="L228" t="s">
        <v>28</v>
      </c>
      <c r="M228" t="s">
        <v>1296</v>
      </c>
      <c r="N228">
        <v>1</v>
      </c>
      <c r="O228" t="s">
        <v>71</v>
      </c>
      <c r="P228">
        <v>0.06</v>
      </c>
      <c r="Q228" t="s">
        <v>1325</v>
      </c>
      <c r="R228">
        <v>26.3</v>
      </c>
      <c r="S228">
        <v>23.7</v>
      </c>
      <c r="T228">
        <v>28.9</v>
      </c>
      <c r="U228">
        <v>5.3</v>
      </c>
      <c r="V228">
        <v>15.8</v>
      </c>
    </row>
    <row r="229" spans="1:22" x14ac:dyDescent="0.25">
      <c r="A229" t="s">
        <v>1532</v>
      </c>
      <c r="B229" t="s">
        <v>234</v>
      </c>
      <c r="C229">
        <v>17</v>
      </c>
      <c r="D229" t="s">
        <v>132</v>
      </c>
      <c r="E229" t="s">
        <v>96</v>
      </c>
      <c r="F229" t="s">
        <v>96</v>
      </c>
      <c r="G229">
        <v>0.28999999999999998</v>
      </c>
      <c r="H229" t="s">
        <v>57</v>
      </c>
      <c r="I229">
        <v>6</v>
      </c>
      <c r="J229" t="str">
        <f>HYPERLINK("https://www.eliteprospects.com/player/617863/ethan-mistry")</f>
        <v>https://www.eliteprospects.com/player/617863/ethan-mistry</v>
      </c>
      <c r="K229" t="s">
        <v>27</v>
      </c>
      <c r="L229" t="s">
        <v>28</v>
      </c>
      <c r="M229" t="s">
        <v>1296</v>
      </c>
      <c r="N229">
        <v>3</v>
      </c>
      <c r="O229" t="s">
        <v>74</v>
      </c>
      <c r="P229">
        <v>0.06</v>
      </c>
      <c r="Q229" t="s">
        <v>1325</v>
      </c>
      <c r="R229">
        <v>26.3</v>
      </c>
      <c r="S229">
        <v>23.7</v>
      </c>
      <c r="T229">
        <v>28.9</v>
      </c>
      <c r="U229">
        <v>5.3</v>
      </c>
      <c r="V229">
        <v>15.8</v>
      </c>
    </row>
    <row r="230" spans="1:22" x14ac:dyDescent="0.25">
      <c r="A230" t="s">
        <v>1533</v>
      </c>
      <c r="B230" t="s">
        <v>22</v>
      </c>
      <c r="C230">
        <v>18</v>
      </c>
      <c r="D230" t="s">
        <v>132</v>
      </c>
      <c r="E230" t="s">
        <v>96</v>
      </c>
      <c r="F230" t="s">
        <v>96</v>
      </c>
      <c r="G230">
        <v>0.28000000000000003</v>
      </c>
      <c r="H230" t="s">
        <v>57</v>
      </c>
      <c r="I230">
        <v>2</v>
      </c>
      <c r="J230" t="str">
        <f>HYPERLINK("https://www.eliteprospects.com/player/623741/brasen-boser")</f>
        <v>https://www.eliteprospects.com/player/623741/brasen-boser</v>
      </c>
      <c r="K230" t="s">
        <v>27</v>
      </c>
      <c r="L230" t="s">
        <v>28</v>
      </c>
      <c r="M230" t="s">
        <v>1296</v>
      </c>
      <c r="N230">
        <v>2</v>
      </c>
      <c r="O230" t="s">
        <v>43</v>
      </c>
      <c r="P230">
        <v>0.05</v>
      </c>
      <c r="Q230" t="s">
        <v>1325</v>
      </c>
      <c r="R230">
        <v>26.3</v>
      </c>
      <c r="S230">
        <v>23.7</v>
      </c>
      <c r="T230">
        <v>28.9</v>
      </c>
      <c r="U230">
        <v>5.3</v>
      </c>
      <c r="V230">
        <v>15.8</v>
      </c>
    </row>
    <row r="231" spans="1:22" x14ac:dyDescent="0.25">
      <c r="A231" t="s">
        <v>1534</v>
      </c>
      <c r="B231" t="s">
        <v>195</v>
      </c>
      <c r="C231">
        <v>19</v>
      </c>
      <c r="D231" t="s">
        <v>132</v>
      </c>
      <c r="E231" t="s">
        <v>96</v>
      </c>
      <c r="F231" t="s">
        <v>96</v>
      </c>
      <c r="G231">
        <v>0.26</v>
      </c>
      <c r="H231" t="s">
        <v>66</v>
      </c>
      <c r="I231">
        <v>-1</v>
      </c>
      <c r="J231" t="str">
        <f>HYPERLINK("https://www.eliteprospects.com/player/635383/aiden-celebrini")</f>
        <v>https://www.eliteprospects.com/player/635383/aiden-celebrini</v>
      </c>
      <c r="K231" t="s">
        <v>27</v>
      </c>
      <c r="L231" t="s">
        <v>28</v>
      </c>
      <c r="M231" t="s">
        <v>1296</v>
      </c>
      <c r="N231">
        <v>3</v>
      </c>
      <c r="O231" t="s">
        <v>74</v>
      </c>
      <c r="P231">
        <v>0.05</v>
      </c>
      <c r="Q231" t="s">
        <v>1325</v>
      </c>
      <c r="R231">
        <v>26.3</v>
      </c>
      <c r="S231">
        <v>23.7</v>
      </c>
      <c r="T231">
        <v>28.9</v>
      </c>
      <c r="U231">
        <v>5.3</v>
      </c>
      <c r="V231">
        <v>15.8</v>
      </c>
    </row>
    <row r="232" spans="1:22" x14ac:dyDescent="0.25">
      <c r="A232" t="s">
        <v>1535</v>
      </c>
      <c r="B232" t="s">
        <v>130</v>
      </c>
      <c r="C232">
        <v>19</v>
      </c>
      <c r="D232" t="s">
        <v>132</v>
      </c>
      <c r="E232" t="s">
        <v>96</v>
      </c>
      <c r="F232" t="s">
        <v>96</v>
      </c>
      <c r="G232">
        <v>0.26</v>
      </c>
      <c r="H232" t="s">
        <v>235</v>
      </c>
      <c r="I232">
        <v>-4</v>
      </c>
      <c r="J232" t="str">
        <f>HYPERLINK("https://www.eliteprospects.com/player/643091/filip-nordberg")</f>
        <v>https://www.eliteprospects.com/player/643091/filip-nordberg</v>
      </c>
      <c r="K232" t="s">
        <v>27</v>
      </c>
      <c r="L232" t="s">
        <v>28</v>
      </c>
      <c r="M232" t="s">
        <v>1296</v>
      </c>
      <c r="N232">
        <v>1</v>
      </c>
      <c r="O232" t="s">
        <v>71</v>
      </c>
      <c r="P232">
        <v>0.05</v>
      </c>
      <c r="Q232" t="s">
        <v>1325</v>
      </c>
      <c r="R232">
        <v>26.3</v>
      </c>
      <c r="S232">
        <v>23.7</v>
      </c>
      <c r="T232">
        <v>28.9</v>
      </c>
      <c r="U232">
        <v>5.3</v>
      </c>
      <c r="V232">
        <v>15.8</v>
      </c>
    </row>
    <row r="233" spans="1:22" x14ac:dyDescent="0.25">
      <c r="A233" t="s">
        <v>1536</v>
      </c>
      <c r="B233" t="s">
        <v>162</v>
      </c>
      <c r="C233">
        <v>20</v>
      </c>
      <c r="D233" t="s">
        <v>132</v>
      </c>
      <c r="E233" t="s">
        <v>96</v>
      </c>
      <c r="F233" t="s">
        <v>96</v>
      </c>
      <c r="G233">
        <v>0.25</v>
      </c>
      <c r="H233" t="s">
        <v>32</v>
      </c>
      <c r="I233">
        <v>-4</v>
      </c>
      <c r="J233" t="str">
        <f>HYPERLINK("https://www.eliteprospects.com/player/535855/tobias-bjercke-larsen")</f>
        <v>https://www.eliteprospects.com/player/535855/tobias-bjercke-larsen</v>
      </c>
      <c r="K233" t="s">
        <v>27</v>
      </c>
      <c r="L233" t="s">
        <v>28</v>
      </c>
      <c r="M233" t="s">
        <v>1296</v>
      </c>
      <c r="N233">
        <v>2</v>
      </c>
      <c r="O233" t="s">
        <v>43</v>
      </c>
      <c r="P233">
        <v>0.05</v>
      </c>
      <c r="Q233" t="s">
        <v>1325</v>
      </c>
      <c r="R233">
        <v>26.3</v>
      </c>
      <c r="S233">
        <v>23.7</v>
      </c>
      <c r="T233">
        <v>28.9</v>
      </c>
      <c r="U233">
        <v>5.3</v>
      </c>
      <c r="V233">
        <v>15.8</v>
      </c>
    </row>
    <row r="234" spans="1:22" x14ac:dyDescent="0.25">
      <c r="A234" t="s">
        <v>1537</v>
      </c>
      <c r="B234" t="s">
        <v>171</v>
      </c>
      <c r="C234">
        <v>21</v>
      </c>
      <c r="D234" t="s">
        <v>132</v>
      </c>
      <c r="E234" t="s">
        <v>96</v>
      </c>
      <c r="F234" t="s">
        <v>96</v>
      </c>
      <c r="G234">
        <v>0.24</v>
      </c>
      <c r="H234" t="s">
        <v>66</v>
      </c>
      <c r="I234">
        <v>-3</v>
      </c>
      <c r="J234" t="str">
        <f>HYPERLINK("https://www.eliteprospects.com/player/692461/dominic-payne")</f>
        <v>https://www.eliteprospects.com/player/692461/dominic-payne</v>
      </c>
      <c r="K234" t="s">
        <v>27</v>
      </c>
      <c r="L234" t="s">
        <v>28</v>
      </c>
      <c r="M234" t="s">
        <v>1296</v>
      </c>
      <c r="N234">
        <v>2</v>
      </c>
      <c r="O234" t="s">
        <v>43</v>
      </c>
      <c r="P234">
        <v>0.05</v>
      </c>
      <c r="Q234" t="s">
        <v>1325</v>
      </c>
      <c r="R234">
        <v>26.3</v>
      </c>
      <c r="S234">
        <v>23.7</v>
      </c>
      <c r="T234">
        <v>28.9</v>
      </c>
      <c r="U234">
        <v>5.3</v>
      </c>
      <c r="V234">
        <v>15.8</v>
      </c>
    </row>
    <row r="235" spans="1:22" x14ac:dyDescent="0.25">
      <c r="A235" t="s">
        <v>1538</v>
      </c>
      <c r="B235" t="s">
        <v>184</v>
      </c>
      <c r="C235">
        <v>21</v>
      </c>
      <c r="D235" t="s">
        <v>132</v>
      </c>
      <c r="E235" t="s">
        <v>96</v>
      </c>
      <c r="F235" t="s">
        <v>96</v>
      </c>
      <c r="G235">
        <v>0.24</v>
      </c>
      <c r="H235" t="s">
        <v>66</v>
      </c>
      <c r="I235">
        <v>-2</v>
      </c>
      <c r="J235" t="str">
        <f>HYPERLINK("https://www.eliteprospects.com/player/806151/anthony-allain-samake")</f>
        <v>https://www.eliteprospects.com/player/806151/anthony-allain-samake</v>
      </c>
      <c r="K235" t="s">
        <v>27</v>
      </c>
      <c r="L235" t="s">
        <v>28</v>
      </c>
      <c r="M235" t="s">
        <v>1296</v>
      </c>
      <c r="N235">
        <v>1</v>
      </c>
      <c r="O235" t="s">
        <v>71</v>
      </c>
      <c r="P235">
        <v>0.05</v>
      </c>
      <c r="Q235" t="s">
        <v>1325</v>
      </c>
      <c r="R235">
        <v>26.3</v>
      </c>
      <c r="S235">
        <v>23.7</v>
      </c>
      <c r="T235">
        <v>28.9</v>
      </c>
      <c r="U235">
        <v>5.3</v>
      </c>
      <c r="V235">
        <v>15.8</v>
      </c>
    </row>
    <row r="236" spans="1:22" x14ac:dyDescent="0.25">
      <c r="A236" t="s">
        <v>1539</v>
      </c>
      <c r="B236" t="s">
        <v>184</v>
      </c>
      <c r="C236">
        <v>21</v>
      </c>
      <c r="D236" t="s">
        <v>132</v>
      </c>
      <c r="E236" t="s">
        <v>96</v>
      </c>
      <c r="F236" t="s">
        <v>96</v>
      </c>
      <c r="G236">
        <v>0.24</v>
      </c>
      <c r="H236" t="s">
        <v>23</v>
      </c>
      <c r="I236">
        <v>19</v>
      </c>
      <c r="J236" t="str">
        <f>HYPERLINK("https://www.eliteprospects.com/player/574619/viking-gustafsson-nyberg")</f>
        <v>https://www.eliteprospects.com/player/574619/viking-gustafsson-nyberg</v>
      </c>
      <c r="K236" t="s">
        <v>27</v>
      </c>
      <c r="L236" t="s">
        <v>28</v>
      </c>
      <c r="M236" t="s">
        <v>1296</v>
      </c>
      <c r="N236">
        <v>3</v>
      </c>
      <c r="O236" t="s">
        <v>74</v>
      </c>
      <c r="P236">
        <v>0.05</v>
      </c>
      <c r="Q236" t="s">
        <v>1325</v>
      </c>
      <c r="R236">
        <v>26.3</v>
      </c>
      <c r="S236">
        <v>23.7</v>
      </c>
      <c r="T236">
        <v>28.9</v>
      </c>
      <c r="U236">
        <v>5.3</v>
      </c>
      <c r="V236">
        <v>15.8</v>
      </c>
    </row>
    <row r="237" spans="1:22" x14ac:dyDescent="0.25">
      <c r="A237" t="s">
        <v>1540</v>
      </c>
      <c r="B237" t="s">
        <v>121</v>
      </c>
      <c r="C237">
        <v>21</v>
      </c>
      <c r="D237" t="s">
        <v>132</v>
      </c>
      <c r="E237" t="s">
        <v>96</v>
      </c>
      <c r="F237" t="s">
        <v>96</v>
      </c>
      <c r="G237">
        <v>0.24</v>
      </c>
      <c r="H237" t="s">
        <v>84</v>
      </c>
      <c r="I237">
        <v>0</v>
      </c>
      <c r="J237" t="str">
        <f>HYPERLINK("https://www.eliteprospects.com/player/518275/nate-benoit")</f>
        <v>https://www.eliteprospects.com/player/518275/nate-benoit</v>
      </c>
      <c r="K237" t="s">
        <v>27</v>
      </c>
      <c r="L237" t="s">
        <v>28</v>
      </c>
      <c r="M237" t="s">
        <v>1296</v>
      </c>
      <c r="N237">
        <v>3</v>
      </c>
      <c r="O237" t="s">
        <v>74</v>
      </c>
      <c r="P237">
        <v>0.05</v>
      </c>
      <c r="Q237" t="s">
        <v>1325</v>
      </c>
      <c r="R237">
        <v>26.3</v>
      </c>
      <c r="S237">
        <v>23.7</v>
      </c>
      <c r="T237">
        <v>28.9</v>
      </c>
      <c r="U237">
        <v>5.3</v>
      </c>
      <c r="V237">
        <v>15.8</v>
      </c>
    </row>
    <row r="238" spans="1:22" x14ac:dyDescent="0.25">
      <c r="A238" t="s">
        <v>1541</v>
      </c>
      <c r="B238" t="s">
        <v>37</v>
      </c>
      <c r="C238">
        <v>22</v>
      </c>
      <c r="D238" t="s">
        <v>132</v>
      </c>
      <c r="E238" t="s">
        <v>96</v>
      </c>
      <c r="F238" t="s">
        <v>96</v>
      </c>
      <c r="G238">
        <v>0.23</v>
      </c>
      <c r="H238" t="s">
        <v>79</v>
      </c>
      <c r="I238">
        <v>-5</v>
      </c>
      <c r="J238" t="str">
        <f>HYPERLINK("https://www.eliteprospects.com/player/658117/aaron-pionk")</f>
        <v>https://www.eliteprospects.com/player/658117/aaron-pionk</v>
      </c>
      <c r="K238" t="s">
        <v>27</v>
      </c>
      <c r="L238" t="s">
        <v>28</v>
      </c>
      <c r="M238" t="s">
        <v>1296</v>
      </c>
      <c r="N238">
        <v>3</v>
      </c>
      <c r="O238" t="s">
        <v>74</v>
      </c>
      <c r="P238">
        <v>0.04</v>
      </c>
      <c r="Q238" t="s">
        <v>245</v>
      </c>
      <c r="R238">
        <v>28.6</v>
      </c>
      <c r="S238">
        <v>31.4</v>
      </c>
      <c r="T238">
        <v>28.6</v>
      </c>
      <c r="U238">
        <v>4.3</v>
      </c>
      <c r="V238">
        <v>7.1</v>
      </c>
    </row>
    <row r="239" spans="1:22" x14ac:dyDescent="0.25">
      <c r="A239" t="s">
        <v>1542</v>
      </c>
      <c r="B239" t="s">
        <v>113</v>
      </c>
      <c r="C239">
        <v>23</v>
      </c>
      <c r="D239" t="s">
        <v>132</v>
      </c>
      <c r="E239" t="s">
        <v>96</v>
      </c>
      <c r="F239" t="s">
        <v>96</v>
      </c>
      <c r="G239">
        <v>0.22</v>
      </c>
      <c r="H239" t="s">
        <v>26</v>
      </c>
      <c r="I239">
        <v>0</v>
      </c>
      <c r="J239" t="str">
        <f>HYPERLINK("https://www.eliteprospects.com/player/487153/mason-wheeler")</f>
        <v>https://www.eliteprospects.com/player/487153/mason-wheeler</v>
      </c>
      <c r="K239" t="s">
        <v>27</v>
      </c>
      <c r="L239" t="s">
        <v>28</v>
      </c>
      <c r="M239" t="s">
        <v>1296</v>
      </c>
      <c r="N239">
        <v>4</v>
      </c>
      <c r="O239" t="s">
        <v>30</v>
      </c>
      <c r="P239">
        <v>0.04</v>
      </c>
      <c r="Q239" t="s">
        <v>245</v>
      </c>
      <c r="R239">
        <v>28.6</v>
      </c>
      <c r="S239">
        <v>31.4</v>
      </c>
      <c r="T239">
        <v>28.6</v>
      </c>
      <c r="U239">
        <v>4.3</v>
      </c>
      <c r="V239">
        <v>7.1</v>
      </c>
    </row>
    <row r="240" spans="1:22" x14ac:dyDescent="0.25">
      <c r="A240" t="s">
        <v>1543</v>
      </c>
      <c r="B240" t="s">
        <v>148</v>
      </c>
      <c r="C240">
        <v>11</v>
      </c>
      <c r="D240" t="s">
        <v>79</v>
      </c>
      <c r="E240" t="s">
        <v>79</v>
      </c>
      <c r="F240" t="s">
        <v>66</v>
      </c>
      <c r="G240">
        <v>0.36</v>
      </c>
      <c r="H240" t="s">
        <v>79</v>
      </c>
      <c r="I240">
        <v>2</v>
      </c>
      <c r="J240" t="str">
        <f>HYPERLINK("https://www.eliteprospects.com/player/724888/landon-fandel")</f>
        <v>https://www.eliteprospects.com/player/724888/landon-fandel</v>
      </c>
      <c r="K240" t="s">
        <v>27</v>
      </c>
      <c r="L240" t="s">
        <v>28</v>
      </c>
      <c r="M240" t="s">
        <v>1296</v>
      </c>
      <c r="N240">
        <v>1</v>
      </c>
      <c r="O240" t="s">
        <v>71</v>
      </c>
      <c r="P240">
        <v>7.0000000000000007E-2</v>
      </c>
      <c r="Q240" t="s">
        <v>1325</v>
      </c>
      <c r="R240">
        <v>30</v>
      </c>
      <c r="S240">
        <v>25</v>
      </c>
      <c r="T240">
        <v>32.5</v>
      </c>
      <c r="U240">
        <v>5</v>
      </c>
      <c r="V240">
        <v>7.5</v>
      </c>
    </row>
    <row r="241" spans="1:22" x14ac:dyDescent="0.25">
      <c r="A241" t="s">
        <v>1544</v>
      </c>
      <c r="B241" t="s">
        <v>130</v>
      </c>
      <c r="C241">
        <v>14</v>
      </c>
      <c r="D241" t="s">
        <v>79</v>
      </c>
      <c r="E241" t="s">
        <v>79</v>
      </c>
      <c r="F241" t="s">
        <v>66</v>
      </c>
      <c r="G241">
        <v>0.28999999999999998</v>
      </c>
      <c r="H241" t="s">
        <v>79</v>
      </c>
      <c r="I241">
        <v>9</v>
      </c>
      <c r="J241" t="str">
        <f>HYPERLINK("https://www.eliteprospects.com/player/641151/nathan-king")</f>
        <v>https://www.eliteprospects.com/player/641151/nathan-king</v>
      </c>
      <c r="K241" t="s">
        <v>27</v>
      </c>
      <c r="L241" t="s">
        <v>28</v>
      </c>
      <c r="M241" t="s">
        <v>1296</v>
      </c>
      <c r="N241">
        <v>2</v>
      </c>
      <c r="O241" t="s">
        <v>43</v>
      </c>
      <c r="P241">
        <v>0.06</v>
      </c>
      <c r="Q241" t="s">
        <v>1325</v>
      </c>
      <c r="R241">
        <v>26.3</v>
      </c>
      <c r="S241">
        <v>23.7</v>
      </c>
      <c r="T241">
        <v>28.9</v>
      </c>
      <c r="U241">
        <v>5.3</v>
      </c>
      <c r="V241">
        <v>15.8</v>
      </c>
    </row>
    <row r="242" spans="1:22" x14ac:dyDescent="0.25">
      <c r="A242" t="s">
        <v>1545</v>
      </c>
      <c r="B242" t="s">
        <v>85</v>
      </c>
      <c r="C242">
        <v>14</v>
      </c>
      <c r="D242" t="s">
        <v>79</v>
      </c>
      <c r="E242" t="s">
        <v>79</v>
      </c>
      <c r="F242" t="s">
        <v>66</v>
      </c>
      <c r="G242">
        <v>0.28999999999999998</v>
      </c>
      <c r="H242" t="s">
        <v>66</v>
      </c>
      <c r="I242">
        <v>8</v>
      </c>
      <c r="J242" t="str">
        <f>HYPERLINK("https://www.eliteprospects.com/player/478381/jayden-sison")</f>
        <v>https://www.eliteprospects.com/player/478381/jayden-sison</v>
      </c>
      <c r="K242" t="s">
        <v>27</v>
      </c>
      <c r="L242" t="s">
        <v>28</v>
      </c>
      <c r="M242" t="s">
        <v>1546</v>
      </c>
      <c r="N242">
        <v>4</v>
      </c>
      <c r="O242" t="s">
        <v>30</v>
      </c>
      <c r="P242">
        <v>0.06</v>
      </c>
      <c r="Q242" t="s">
        <v>1325</v>
      </c>
      <c r="R242">
        <v>26.3</v>
      </c>
      <c r="S242">
        <v>23.7</v>
      </c>
      <c r="T242">
        <v>28.9</v>
      </c>
      <c r="U242">
        <v>5.3</v>
      </c>
      <c r="V242">
        <v>15.8</v>
      </c>
    </row>
    <row r="243" spans="1:22" x14ac:dyDescent="0.25">
      <c r="A243" t="s">
        <v>1547</v>
      </c>
      <c r="B243" t="s">
        <v>215</v>
      </c>
      <c r="C243">
        <v>18</v>
      </c>
      <c r="D243" t="s">
        <v>79</v>
      </c>
      <c r="E243" t="s">
        <v>79</v>
      </c>
      <c r="F243" t="s">
        <v>66</v>
      </c>
      <c r="G243">
        <v>0.22</v>
      </c>
      <c r="H243" t="s">
        <v>66</v>
      </c>
      <c r="I243">
        <v>-17</v>
      </c>
      <c r="J243" t="str">
        <f>HYPERLINK("https://www.eliteprospects.com/player/664651/joe-schiller")</f>
        <v>https://www.eliteprospects.com/player/664651/joe-schiller</v>
      </c>
      <c r="K243" t="s">
        <v>27</v>
      </c>
      <c r="L243" t="s">
        <v>28</v>
      </c>
      <c r="M243" t="s">
        <v>1296</v>
      </c>
      <c r="N243">
        <v>2</v>
      </c>
      <c r="O243" t="s">
        <v>43</v>
      </c>
      <c r="P243">
        <v>0.04</v>
      </c>
      <c r="Q243" t="s">
        <v>245</v>
      </c>
      <c r="R243">
        <v>28.6</v>
      </c>
      <c r="S243">
        <v>31.4</v>
      </c>
      <c r="T243">
        <v>28.6</v>
      </c>
      <c r="U243">
        <v>4.3</v>
      </c>
      <c r="V243">
        <v>7.1</v>
      </c>
    </row>
    <row r="244" spans="1:22" x14ac:dyDescent="0.25">
      <c r="A244" t="s">
        <v>1548</v>
      </c>
      <c r="B244" t="s">
        <v>146</v>
      </c>
      <c r="C244">
        <v>19</v>
      </c>
      <c r="D244" t="s">
        <v>79</v>
      </c>
      <c r="E244" t="s">
        <v>79</v>
      </c>
      <c r="F244" t="s">
        <v>66</v>
      </c>
      <c r="G244">
        <v>0.21</v>
      </c>
      <c r="H244" t="s">
        <v>23</v>
      </c>
      <c r="I244">
        <v>6</v>
      </c>
      <c r="J244" t="str">
        <f>HYPERLINK("https://www.eliteprospects.com/player/561361/samuel-belanger")</f>
        <v>https://www.eliteprospects.com/player/561361/samuel-belanger</v>
      </c>
      <c r="K244" t="s">
        <v>27</v>
      </c>
      <c r="L244" t="s">
        <v>28</v>
      </c>
      <c r="M244" t="s">
        <v>1296</v>
      </c>
      <c r="N244">
        <v>1</v>
      </c>
      <c r="O244" t="s">
        <v>71</v>
      </c>
      <c r="P244">
        <v>0.04</v>
      </c>
      <c r="Q244" t="s">
        <v>245</v>
      </c>
      <c r="R244">
        <v>28.6</v>
      </c>
      <c r="S244">
        <v>31.4</v>
      </c>
      <c r="T244">
        <v>28.6</v>
      </c>
      <c r="U244">
        <v>4.3</v>
      </c>
      <c r="V244">
        <v>7.1</v>
      </c>
    </row>
    <row r="245" spans="1:22" x14ac:dyDescent="0.25">
      <c r="A245" t="s">
        <v>1549</v>
      </c>
      <c r="B245" t="s">
        <v>362</v>
      </c>
      <c r="C245">
        <v>19</v>
      </c>
      <c r="D245" t="s">
        <v>79</v>
      </c>
      <c r="E245" t="s">
        <v>79</v>
      </c>
      <c r="F245" t="s">
        <v>66</v>
      </c>
      <c r="G245">
        <v>0.21</v>
      </c>
      <c r="H245" t="s">
        <v>39</v>
      </c>
      <c r="I245">
        <v>-9</v>
      </c>
      <c r="J245" t="str">
        <f>HYPERLINK("https://www.eliteprospects.com/player/478661/tyler-desrochers")</f>
        <v>https://www.eliteprospects.com/player/478661/tyler-desrochers</v>
      </c>
      <c r="K245" t="s">
        <v>27</v>
      </c>
      <c r="L245" t="s">
        <v>28</v>
      </c>
      <c r="M245" t="s">
        <v>1296</v>
      </c>
      <c r="N245">
        <v>3</v>
      </c>
      <c r="O245" t="s">
        <v>74</v>
      </c>
      <c r="P245">
        <v>0.04</v>
      </c>
      <c r="Q245" t="s">
        <v>245</v>
      </c>
      <c r="R245">
        <v>28.6</v>
      </c>
      <c r="S245">
        <v>31.4</v>
      </c>
      <c r="T245">
        <v>28.6</v>
      </c>
      <c r="U245">
        <v>4.3</v>
      </c>
      <c r="V245">
        <v>7.1</v>
      </c>
    </row>
    <row r="246" spans="1:22" x14ac:dyDescent="0.25">
      <c r="A246" t="s">
        <v>1550</v>
      </c>
      <c r="B246" t="s">
        <v>114</v>
      </c>
      <c r="C246">
        <v>20</v>
      </c>
      <c r="D246" t="s">
        <v>79</v>
      </c>
      <c r="E246" t="s">
        <v>79</v>
      </c>
      <c r="F246" t="s">
        <v>66</v>
      </c>
      <c r="G246">
        <v>0.2</v>
      </c>
      <c r="H246" t="s">
        <v>57</v>
      </c>
      <c r="I246">
        <v>-6</v>
      </c>
      <c r="J246" t="str">
        <f>HYPERLINK("https://www.eliteprospects.com/player/703233/connor-gengle")</f>
        <v>https://www.eliteprospects.com/player/703233/connor-gengle</v>
      </c>
      <c r="K246" t="s">
        <v>27</v>
      </c>
      <c r="L246" t="s">
        <v>28</v>
      </c>
      <c r="M246" t="s">
        <v>1296</v>
      </c>
      <c r="N246">
        <v>1</v>
      </c>
      <c r="O246" t="s">
        <v>71</v>
      </c>
      <c r="P246">
        <v>0.04</v>
      </c>
      <c r="Q246" t="s">
        <v>245</v>
      </c>
      <c r="R246">
        <v>28.6</v>
      </c>
      <c r="S246">
        <v>31.4</v>
      </c>
      <c r="T246">
        <v>28.6</v>
      </c>
      <c r="U246">
        <v>4.3</v>
      </c>
      <c r="V246">
        <v>7.1</v>
      </c>
    </row>
    <row r="247" spans="1:22" x14ac:dyDescent="0.25">
      <c r="A247" t="s">
        <v>1551</v>
      </c>
      <c r="B247" t="s">
        <v>150</v>
      </c>
      <c r="C247">
        <v>20</v>
      </c>
      <c r="D247" t="s">
        <v>79</v>
      </c>
      <c r="E247" t="s">
        <v>79</v>
      </c>
      <c r="F247" t="s">
        <v>66</v>
      </c>
      <c r="G247">
        <v>0.2</v>
      </c>
      <c r="H247" t="s">
        <v>32</v>
      </c>
      <c r="I247">
        <v>-3</v>
      </c>
      <c r="J247" t="str">
        <f>HYPERLINK("https://www.eliteprospects.com/player/538399/william-smith")</f>
        <v>https://www.eliteprospects.com/player/538399/william-smith</v>
      </c>
      <c r="K247" t="s">
        <v>27</v>
      </c>
      <c r="L247" t="s">
        <v>28</v>
      </c>
      <c r="M247" t="s">
        <v>1296</v>
      </c>
      <c r="N247">
        <v>3</v>
      </c>
      <c r="O247" t="s">
        <v>74</v>
      </c>
      <c r="P247">
        <v>0.04</v>
      </c>
      <c r="Q247" t="s">
        <v>245</v>
      </c>
      <c r="R247">
        <v>28.6</v>
      </c>
      <c r="S247">
        <v>31.4</v>
      </c>
      <c r="T247">
        <v>28.6</v>
      </c>
      <c r="U247">
        <v>4.3</v>
      </c>
      <c r="V247">
        <v>7.1</v>
      </c>
    </row>
    <row r="248" spans="1:22" x14ac:dyDescent="0.25">
      <c r="A248" t="s">
        <v>1552</v>
      </c>
      <c r="B248" t="s">
        <v>184</v>
      </c>
      <c r="C248">
        <v>21</v>
      </c>
      <c r="D248" t="s">
        <v>79</v>
      </c>
      <c r="E248" t="s">
        <v>79</v>
      </c>
      <c r="F248" t="s">
        <v>66</v>
      </c>
      <c r="G248">
        <v>0.19</v>
      </c>
      <c r="H248" t="s">
        <v>57</v>
      </c>
      <c r="I248">
        <v>7</v>
      </c>
      <c r="J248" t="str">
        <f>HYPERLINK("https://www.eliteprospects.com/player/511516/thomas-messineo")</f>
        <v>https://www.eliteprospects.com/player/511516/thomas-messineo</v>
      </c>
      <c r="K248" t="s">
        <v>27</v>
      </c>
      <c r="L248" t="s">
        <v>28</v>
      </c>
      <c r="M248" t="s">
        <v>1296</v>
      </c>
      <c r="N248">
        <v>4</v>
      </c>
      <c r="O248" t="s">
        <v>30</v>
      </c>
      <c r="P248">
        <v>0.04</v>
      </c>
      <c r="Q248" t="s">
        <v>245</v>
      </c>
      <c r="R248">
        <v>28.6</v>
      </c>
      <c r="S248">
        <v>31.4</v>
      </c>
      <c r="T248">
        <v>28.6</v>
      </c>
      <c r="U248">
        <v>4.3</v>
      </c>
      <c r="V248">
        <v>7.1</v>
      </c>
    </row>
    <row r="249" spans="1:22" x14ac:dyDescent="0.25">
      <c r="A249" t="s">
        <v>1553</v>
      </c>
      <c r="B249" t="s">
        <v>222</v>
      </c>
      <c r="C249">
        <v>10</v>
      </c>
      <c r="D249" t="s">
        <v>260</v>
      </c>
      <c r="E249" t="s">
        <v>140</v>
      </c>
      <c r="F249" t="s">
        <v>66</v>
      </c>
      <c r="G249">
        <v>0.4</v>
      </c>
      <c r="H249" t="s">
        <v>23</v>
      </c>
      <c r="I249">
        <v>2</v>
      </c>
      <c r="J249" t="str">
        <f>HYPERLINK("https://www.eliteprospects.com/player/651955/owen-forester")</f>
        <v>https://www.eliteprospects.com/player/651955/owen-forester</v>
      </c>
      <c r="K249" t="s">
        <v>27</v>
      </c>
      <c r="L249" t="s">
        <v>28</v>
      </c>
      <c r="M249" t="s">
        <v>1296</v>
      </c>
      <c r="N249">
        <v>3</v>
      </c>
      <c r="O249" t="s">
        <v>74</v>
      </c>
      <c r="P249">
        <v>0.08</v>
      </c>
      <c r="Q249" t="s">
        <v>1325</v>
      </c>
      <c r="R249">
        <v>30</v>
      </c>
      <c r="S249">
        <v>25</v>
      </c>
      <c r="T249">
        <v>32.5</v>
      </c>
      <c r="U249">
        <v>5</v>
      </c>
      <c r="V249">
        <v>7.5</v>
      </c>
    </row>
    <row r="250" spans="1:22" x14ac:dyDescent="0.25">
      <c r="A250" t="s">
        <v>1554</v>
      </c>
      <c r="B250" t="s">
        <v>106</v>
      </c>
      <c r="C250">
        <v>15</v>
      </c>
      <c r="D250" t="s">
        <v>260</v>
      </c>
      <c r="E250" t="s">
        <v>140</v>
      </c>
      <c r="F250" t="s">
        <v>66</v>
      </c>
      <c r="G250">
        <v>0.27</v>
      </c>
      <c r="H250" t="s">
        <v>39</v>
      </c>
      <c r="I250">
        <v>3</v>
      </c>
      <c r="J250" t="str">
        <f>HYPERLINK("https://www.eliteprospects.com/player/573195/william-charles-bishop")</f>
        <v>https://www.eliteprospects.com/player/573195/william-charles-bishop</v>
      </c>
      <c r="K250" t="s">
        <v>27</v>
      </c>
      <c r="L250" t="s">
        <v>28</v>
      </c>
      <c r="M250" t="s">
        <v>1296</v>
      </c>
      <c r="N250">
        <v>5</v>
      </c>
      <c r="O250" t="s">
        <v>207</v>
      </c>
      <c r="P250">
        <v>0.05</v>
      </c>
      <c r="Q250" t="s">
        <v>1325</v>
      </c>
      <c r="R250">
        <v>26.3</v>
      </c>
      <c r="S250">
        <v>23.7</v>
      </c>
      <c r="T250">
        <v>28.9</v>
      </c>
      <c r="U250">
        <v>5.3</v>
      </c>
      <c r="V250">
        <v>15.8</v>
      </c>
    </row>
    <row r="251" spans="1:22" x14ac:dyDescent="0.25">
      <c r="A251" t="s">
        <v>1555</v>
      </c>
      <c r="B251" t="s">
        <v>86</v>
      </c>
      <c r="C251">
        <v>16</v>
      </c>
      <c r="D251" t="s">
        <v>260</v>
      </c>
      <c r="E251" t="s">
        <v>140</v>
      </c>
      <c r="F251" t="s">
        <v>66</v>
      </c>
      <c r="G251">
        <v>0.25</v>
      </c>
      <c r="H251" t="s">
        <v>57</v>
      </c>
      <c r="I251">
        <v>7</v>
      </c>
      <c r="J251" t="str">
        <f>HYPERLINK("https://www.eliteprospects.com/player/566403/owen-west")</f>
        <v>https://www.eliteprospects.com/player/566403/owen-west</v>
      </c>
      <c r="K251" t="s">
        <v>27</v>
      </c>
      <c r="L251" t="s">
        <v>28</v>
      </c>
      <c r="M251" t="s">
        <v>1296</v>
      </c>
      <c r="N251">
        <v>2</v>
      </c>
      <c r="O251" t="s">
        <v>43</v>
      </c>
      <c r="P251">
        <v>0.05</v>
      </c>
      <c r="Q251" t="s">
        <v>1325</v>
      </c>
      <c r="R251">
        <v>26.3</v>
      </c>
      <c r="S251">
        <v>23.7</v>
      </c>
      <c r="T251">
        <v>28.9</v>
      </c>
      <c r="U251">
        <v>5.3</v>
      </c>
      <c r="V251">
        <v>15.8</v>
      </c>
    </row>
    <row r="252" spans="1:22" x14ac:dyDescent="0.25">
      <c r="A252" t="s">
        <v>1556</v>
      </c>
      <c r="B252" t="s">
        <v>80</v>
      </c>
      <c r="C252">
        <v>16</v>
      </c>
      <c r="D252" t="s">
        <v>260</v>
      </c>
      <c r="E252" t="s">
        <v>140</v>
      </c>
      <c r="F252" t="s">
        <v>66</v>
      </c>
      <c r="G252">
        <v>0.25</v>
      </c>
      <c r="H252" t="s">
        <v>32</v>
      </c>
      <c r="I252">
        <v>1</v>
      </c>
      <c r="J252" t="str">
        <f>HYPERLINK("https://www.eliteprospects.com/player/603218/nicholas-fascia")</f>
        <v>https://www.eliteprospects.com/player/603218/nicholas-fascia</v>
      </c>
      <c r="K252" t="s">
        <v>27</v>
      </c>
      <c r="L252" t="s">
        <v>28</v>
      </c>
      <c r="M252" t="s">
        <v>1296</v>
      </c>
      <c r="N252">
        <v>2</v>
      </c>
      <c r="O252" t="s">
        <v>43</v>
      </c>
      <c r="P252">
        <v>0.05</v>
      </c>
      <c r="Q252" t="s">
        <v>1325</v>
      </c>
      <c r="R252">
        <v>26.3</v>
      </c>
      <c r="S252">
        <v>23.7</v>
      </c>
      <c r="T252">
        <v>28.9</v>
      </c>
      <c r="U252">
        <v>5.3</v>
      </c>
      <c r="V252">
        <v>15.8</v>
      </c>
    </row>
    <row r="253" spans="1:22" x14ac:dyDescent="0.25">
      <c r="A253" t="s">
        <v>1557</v>
      </c>
      <c r="B253" t="s">
        <v>83</v>
      </c>
      <c r="C253">
        <v>17</v>
      </c>
      <c r="D253" t="s">
        <v>260</v>
      </c>
      <c r="E253" t="s">
        <v>140</v>
      </c>
      <c r="F253" t="s">
        <v>66</v>
      </c>
      <c r="G253">
        <v>0.24</v>
      </c>
      <c r="H253" t="s">
        <v>66</v>
      </c>
      <c r="I253">
        <v>9</v>
      </c>
      <c r="J253" t="str">
        <f>HYPERLINK("https://www.eliteprospects.com/player/655344/tim-busconi")</f>
        <v>https://www.eliteprospects.com/player/655344/tim-busconi</v>
      </c>
      <c r="K253" t="s">
        <v>27</v>
      </c>
      <c r="L253" t="s">
        <v>28</v>
      </c>
      <c r="M253" t="s">
        <v>1296</v>
      </c>
      <c r="N253">
        <v>2</v>
      </c>
      <c r="O253" t="s">
        <v>43</v>
      </c>
      <c r="P253">
        <v>0.05</v>
      </c>
      <c r="Q253" t="s">
        <v>1325</v>
      </c>
      <c r="R253">
        <v>26.3</v>
      </c>
      <c r="S253">
        <v>23.7</v>
      </c>
      <c r="T253">
        <v>28.9</v>
      </c>
      <c r="U253">
        <v>5.3</v>
      </c>
      <c r="V253">
        <v>15.8</v>
      </c>
    </row>
    <row r="254" spans="1:22" x14ac:dyDescent="0.25">
      <c r="A254" t="s">
        <v>1558</v>
      </c>
      <c r="B254" t="s">
        <v>150</v>
      </c>
      <c r="C254">
        <v>17</v>
      </c>
      <c r="D254" t="s">
        <v>260</v>
      </c>
      <c r="E254" t="s">
        <v>140</v>
      </c>
      <c r="F254" t="s">
        <v>66</v>
      </c>
      <c r="G254">
        <v>0.24</v>
      </c>
      <c r="H254" t="s">
        <v>23</v>
      </c>
      <c r="I254">
        <v>-2</v>
      </c>
      <c r="J254" t="str">
        <f>HYPERLINK("https://www.eliteprospects.com/player/475289/samuel-mcginley")</f>
        <v>https://www.eliteprospects.com/player/475289/samuel-mcginley</v>
      </c>
      <c r="K254" t="s">
        <v>27</v>
      </c>
      <c r="L254" t="s">
        <v>28</v>
      </c>
      <c r="M254" t="s">
        <v>1296</v>
      </c>
      <c r="N254">
        <v>6</v>
      </c>
      <c r="O254" t="s">
        <v>263</v>
      </c>
      <c r="P254">
        <v>0.05</v>
      </c>
      <c r="Q254" t="s">
        <v>1325</v>
      </c>
      <c r="R254">
        <v>26.3</v>
      </c>
      <c r="S254">
        <v>23.7</v>
      </c>
      <c r="T254">
        <v>28.9</v>
      </c>
      <c r="U254">
        <v>5.3</v>
      </c>
      <c r="V254">
        <v>15.8</v>
      </c>
    </row>
    <row r="255" spans="1:22" x14ac:dyDescent="0.25">
      <c r="A255" t="s">
        <v>1559</v>
      </c>
      <c r="B255" t="s">
        <v>158</v>
      </c>
      <c r="C255">
        <v>18</v>
      </c>
      <c r="D255" t="s">
        <v>260</v>
      </c>
      <c r="E255" t="s">
        <v>140</v>
      </c>
      <c r="F255" t="s">
        <v>66</v>
      </c>
      <c r="G255">
        <v>0.22</v>
      </c>
      <c r="H255" t="s">
        <v>66</v>
      </c>
      <c r="I255">
        <v>-8</v>
      </c>
      <c r="J255" t="str">
        <f>HYPERLINK("https://www.eliteprospects.com/player/623763/carson-reed")</f>
        <v>https://www.eliteprospects.com/player/623763/carson-reed</v>
      </c>
      <c r="K255" t="s">
        <v>27</v>
      </c>
      <c r="L255" t="s">
        <v>28</v>
      </c>
      <c r="M255" t="s">
        <v>1296</v>
      </c>
      <c r="N255">
        <v>2</v>
      </c>
      <c r="O255" t="s">
        <v>43</v>
      </c>
      <c r="P255">
        <v>0.04</v>
      </c>
      <c r="Q255" t="s">
        <v>245</v>
      </c>
      <c r="R255">
        <v>28.6</v>
      </c>
      <c r="S255">
        <v>31.4</v>
      </c>
      <c r="T255">
        <v>28.6</v>
      </c>
      <c r="U255">
        <v>4.3</v>
      </c>
      <c r="V255">
        <v>7.1</v>
      </c>
    </row>
    <row r="256" spans="1:22" x14ac:dyDescent="0.25">
      <c r="A256" t="s">
        <v>1560</v>
      </c>
      <c r="B256" t="s">
        <v>95</v>
      </c>
      <c r="C256">
        <v>18</v>
      </c>
      <c r="D256" t="s">
        <v>260</v>
      </c>
      <c r="E256" t="s">
        <v>140</v>
      </c>
      <c r="F256" t="s">
        <v>66</v>
      </c>
      <c r="G256">
        <v>0.22</v>
      </c>
      <c r="H256" t="s">
        <v>66</v>
      </c>
      <c r="I256">
        <v>8</v>
      </c>
      <c r="J256" t="str">
        <f>HYPERLINK("https://www.eliteprospects.com/player/586596/colby-woogk")</f>
        <v>https://www.eliteprospects.com/player/586596/colby-woogk</v>
      </c>
      <c r="K256" t="s">
        <v>27</v>
      </c>
      <c r="L256" t="s">
        <v>28</v>
      </c>
      <c r="M256" t="s">
        <v>1296</v>
      </c>
      <c r="N256">
        <v>1</v>
      </c>
      <c r="O256" t="s">
        <v>71</v>
      </c>
      <c r="P256">
        <v>0.04</v>
      </c>
      <c r="Q256" t="s">
        <v>245</v>
      </c>
      <c r="R256">
        <v>28.6</v>
      </c>
      <c r="S256">
        <v>31.4</v>
      </c>
      <c r="T256">
        <v>28.6</v>
      </c>
      <c r="U256">
        <v>4.3</v>
      </c>
      <c r="V256">
        <v>7.1</v>
      </c>
    </row>
    <row r="257" spans="1:22" x14ac:dyDescent="0.25">
      <c r="A257" t="s">
        <v>1561</v>
      </c>
      <c r="B257" t="s">
        <v>119</v>
      </c>
      <c r="C257">
        <v>18</v>
      </c>
      <c r="D257" t="s">
        <v>260</v>
      </c>
      <c r="E257" t="s">
        <v>140</v>
      </c>
      <c r="F257" t="s">
        <v>66</v>
      </c>
      <c r="G257">
        <v>0.22</v>
      </c>
      <c r="H257" t="s">
        <v>26</v>
      </c>
      <c r="I257">
        <v>-3</v>
      </c>
      <c r="J257" t="str">
        <f>HYPERLINK("https://www.eliteprospects.com/player/574743/leo-gruba")</f>
        <v>https://www.eliteprospects.com/player/574743/leo-gruba</v>
      </c>
      <c r="K257" t="s">
        <v>27</v>
      </c>
      <c r="L257" t="s">
        <v>28</v>
      </c>
      <c r="M257" t="s">
        <v>1296</v>
      </c>
      <c r="N257">
        <v>2</v>
      </c>
      <c r="O257" t="s">
        <v>43</v>
      </c>
      <c r="P257">
        <v>0.04</v>
      </c>
      <c r="Q257" t="s">
        <v>245</v>
      </c>
      <c r="R257">
        <v>28.6</v>
      </c>
      <c r="S257">
        <v>31.4</v>
      </c>
      <c r="T257">
        <v>28.6</v>
      </c>
      <c r="U257">
        <v>4.3</v>
      </c>
      <c r="V257">
        <v>7.1</v>
      </c>
    </row>
    <row r="258" spans="1:22" x14ac:dyDescent="0.25">
      <c r="A258" t="s">
        <v>1562</v>
      </c>
      <c r="B258" t="s">
        <v>255</v>
      </c>
      <c r="C258">
        <v>18</v>
      </c>
      <c r="D258" t="s">
        <v>260</v>
      </c>
      <c r="E258" t="s">
        <v>140</v>
      </c>
      <c r="F258" t="s">
        <v>66</v>
      </c>
      <c r="G258">
        <v>0.22</v>
      </c>
      <c r="H258" t="s">
        <v>33</v>
      </c>
      <c r="I258">
        <v>-1</v>
      </c>
      <c r="J258" t="str">
        <f>HYPERLINK("https://www.eliteprospects.com/player/630042/matthew-rafalski")</f>
        <v>https://www.eliteprospects.com/player/630042/matthew-rafalski</v>
      </c>
      <c r="K258" t="s">
        <v>27</v>
      </c>
      <c r="L258" t="s">
        <v>28</v>
      </c>
      <c r="M258" t="s">
        <v>1296</v>
      </c>
      <c r="N258">
        <v>1</v>
      </c>
      <c r="O258" t="s">
        <v>71</v>
      </c>
      <c r="P258">
        <v>0.04</v>
      </c>
      <c r="Q258" t="s">
        <v>245</v>
      </c>
      <c r="R258">
        <v>28.6</v>
      </c>
      <c r="S258">
        <v>31.4</v>
      </c>
      <c r="T258">
        <v>28.6</v>
      </c>
      <c r="U258">
        <v>4.3</v>
      </c>
      <c r="V258">
        <v>7.1</v>
      </c>
    </row>
    <row r="259" spans="1:22" x14ac:dyDescent="0.25">
      <c r="A259" t="s">
        <v>1563</v>
      </c>
      <c r="B259" t="s">
        <v>22</v>
      </c>
      <c r="C259">
        <v>19</v>
      </c>
      <c r="D259" t="s">
        <v>260</v>
      </c>
      <c r="E259" t="s">
        <v>140</v>
      </c>
      <c r="F259" t="s">
        <v>66</v>
      </c>
      <c r="G259">
        <v>0.21</v>
      </c>
      <c r="H259" t="s">
        <v>66</v>
      </c>
      <c r="I259">
        <v>-2</v>
      </c>
      <c r="J259" t="str">
        <f>HYPERLINK("https://www.eliteprospects.com/player/572087/sam-court")</f>
        <v>https://www.eliteprospects.com/player/572087/sam-court</v>
      </c>
      <c r="K259" t="s">
        <v>27</v>
      </c>
      <c r="L259" t="s">
        <v>28</v>
      </c>
      <c r="M259" t="s">
        <v>1296</v>
      </c>
      <c r="N259">
        <v>2</v>
      </c>
      <c r="O259" t="s">
        <v>43</v>
      </c>
      <c r="P259">
        <v>0.04</v>
      </c>
      <c r="Q259" t="s">
        <v>245</v>
      </c>
      <c r="R259">
        <v>28.6</v>
      </c>
      <c r="S259">
        <v>31.4</v>
      </c>
      <c r="T259">
        <v>28.6</v>
      </c>
      <c r="U259">
        <v>4.3</v>
      </c>
      <c r="V259">
        <v>7.1</v>
      </c>
    </row>
    <row r="260" spans="1:22" x14ac:dyDescent="0.25">
      <c r="A260" t="s">
        <v>1564</v>
      </c>
      <c r="B260" t="s">
        <v>255</v>
      </c>
      <c r="C260">
        <v>19</v>
      </c>
      <c r="D260" t="s">
        <v>260</v>
      </c>
      <c r="E260" t="s">
        <v>140</v>
      </c>
      <c r="F260" t="s">
        <v>66</v>
      </c>
      <c r="G260">
        <v>0.21</v>
      </c>
      <c r="H260" t="s">
        <v>66</v>
      </c>
      <c r="I260">
        <v>-4</v>
      </c>
      <c r="J260" t="str">
        <f>HYPERLINK("https://www.eliteprospects.com/player/417479/dominick-campione")</f>
        <v>https://www.eliteprospects.com/player/417479/dominick-campione</v>
      </c>
      <c r="K260" t="s">
        <v>27</v>
      </c>
      <c r="L260" t="s">
        <v>28</v>
      </c>
      <c r="M260" t="s">
        <v>1296</v>
      </c>
      <c r="N260">
        <v>3</v>
      </c>
      <c r="O260" t="s">
        <v>74</v>
      </c>
      <c r="P260">
        <v>0.04</v>
      </c>
      <c r="Q260" t="s">
        <v>245</v>
      </c>
      <c r="R260">
        <v>28.6</v>
      </c>
      <c r="S260">
        <v>31.4</v>
      </c>
      <c r="T260">
        <v>28.6</v>
      </c>
      <c r="U260">
        <v>4.3</v>
      </c>
      <c r="V260">
        <v>7.1</v>
      </c>
    </row>
    <row r="261" spans="1:22" x14ac:dyDescent="0.25">
      <c r="A261" t="s">
        <v>1565</v>
      </c>
      <c r="B261" t="s">
        <v>171</v>
      </c>
      <c r="C261">
        <v>20</v>
      </c>
      <c r="D261" t="s">
        <v>260</v>
      </c>
      <c r="E261" t="s">
        <v>140</v>
      </c>
      <c r="F261" t="s">
        <v>66</v>
      </c>
      <c r="G261">
        <v>0.2</v>
      </c>
      <c r="H261" t="s">
        <v>66</v>
      </c>
      <c r="I261">
        <v>5</v>
      </c>
      <c r="J261" t="str">
        <f>HYPERLINK("https://www.eliteprospects.com/player/478512/sean-kilcullen")</f>
        <v>https://www.eliteprospects.com/player/478512/sean-kilcullen</v>
      </c>
      <c r="K261" t="s">
        <v>27</v>
      </c>
      <c r="L261" t="s">
        <v>28</v>
      </c>
      <c r="M261" t="s">
        <v>1296</v>
      </c>
      <c r="N261">
        <v>3</v>
      </c>
      <c r="O261" t="s">
        <v>74</v>
      </c>
      <c r="P261">
        <v>0.04</v>
      </c>
      <c r="Q261" t="s">
        <v>245</v>
      </c>
      <c r="R261">
        <v>28.6</v>
      </c>
      <c r="S261">
        <v>31.4</v>
      </c>
      <c r="T261">
        <v>28.6</v>
      </c>
      <c r="U261">
        <v>4.3</v>
      </c>
      <c r="V261">
        <v>7.1</v>
      </c>
    </row>
    <row r="262" spans="1:22" x14ac:dyDescent="0.25">
      <c r="A262" t="s">
        <v>1566</v>
      </c>
      <c r="B262" t="s">
        <v>68</v>
      </c>
      <c r="C262">
        <v>20</v>
      </c>
      <c r="D262" t="s">
        <v>260</v>
      </c>
      <c r="E262" t="s">
        <v>140</v>
      </c>
      <c r="F262" t="s">
        <v>66</v>
      </c>
      <c r="G262">
        <v>0.2</v>
      </c>
      <c r="H262" t="s">
        <v>66</v>
      </c>
      <c r="I262">
        <v>0</v>
      </c>
      <c r="J262" t="str">
        <f>HYPERLINK("https://www.eliteprospects.com/player/526086/nate-tivey")</f>
        <v>https://www.eliteprospects.com/player/526086/nate-tivey</v>
      </c>
      <c r="K262" t="s">
        <v>27</v>
      </c>
      <c r="L262" t="s">
        <v>28</v>
      </c>
      <c r="M262" t="s">
        <v>1296</v>
      </c>
      <c r="N262">
        <v>4</v>
      </c>
      <c r="O262" t="s">
        <v>62</v>
      </c>
      <c r="P262">
        <v>0.04</v>
      </c>
      <c r="Q262" t="s">
        <v>245</v>
      </c>
      <c r="R262">
        <v>28.6</v>
      </c>
      <c r="S262">
        <v>31.4</v>
      </c>
      <c r="T262">
        <v>28.6</v>
      </c>
      <c r="U262">
        <v>4.3</v>
      </c>
      <c r="V262">
        <v>7.1</v>
      </c>
    </row>
    <row r="263" spans="1:22" x14ac:dyDescent="0.25">
      <c r="A263" t="s">
        <v>1567</v>
      </c>
      <c r="B263" t="s">
        <v>127</v>
      </c>
      <c r="C263">
        <v>20</v>
      </c>
      <c r="D263" t="s">
        <v>260</v>
      </c>
      <c r="E263" t="s">
        <v>140</v>
      </c>
      <c r="F263" t="s">
        <v>66</v>
      </c>
      <c r="G263">
        <v>0.2</v>
      </c>
      <c r="H263" t="s">
        <v>38</v>
      </c>
      <c r="I263">
        <v>-5</v>
      </c>
      <c r="J263" t="str">
        <f>HYPERLINK("https://www.eliteprospects.com/player/637623/quinn-mccall")</f>
        <v>https://www.eliteprospects.com/player/637623/quinn-mccall</v>
      </c>
      <c r="K263" t="s">
        <v>27</v>
      </c>
      <c r="L263" t="s">
        <v>28</v>
      </c>
      <c r="M263" t="s">
        <v>1296</v>
      </c>
      <c r="N263">
        <v>2</v>
      </c>
      <c r="O263" t="s">
        <v>217</v>
      </c>
      <c r="P263">
        <v>0.04</v>
      </c>
      <c r="Q263" t="s">
        <v>245</v>
      </c>
      <c r="R263">
        <v>28.6</v>
      </c>
      <c r="S263">
        <v>31.4</v>
      </c>
      <c r="T263">
        <v>28.6</v>
      </c>
      <c r="U263">
        <v>4.3</v>
      </c>
      <c r="V263">
        <v>7.1</v>
      </c>
    </row>
    <row r="264" spans="1:22" x14ac:dyDescent="0.25">
      <c r="A264" t="s">
        <v>1568</v>
      </c>
      <c r="B264" t="s">
        <v>134</v>
      </c>
      <c r="C264">
        <v>20</v>
      </c>
      <c r="D264" t="s">
        <v>260</v>
      </c>
      <c r="E264" t="s">
        <v>140</v>
      </c>
      <c r="F264" t="s">
        <v>66</v>
      </c>
      <c r="G264">
        <v>0.2</v>
      </c>
      <c r="H264" t="s">
        <v>24</v>
      </c>
      <c r="I264">
        <v>2</v>
      </c>
      <c r="J264" t="str">
        <f>HYPERLINK("https://www.eliteprospects.com/player/568367/carter-patterson")</f>
        <v>https://www.eliteprospects.com/player/568367/carter-patterson</v>
      </c>
      <c r="K264" t="s">
        <v>27</v>
      </c>
      <c r="L264" t="s">
        <v>28</v>
      </c>
      <c r="M264" t="s">
        <v>1296</v>
      </c>
      <c r="N264">
        <v>2</v>
      </c>
      <c r="O264" t="s">
        <v>43</v>
      </c>
      <c r="P264">
        <v>0.04</v>
      </c>
      <c r="Q264" t="s">
        <v>245</v>
      </c>
      <c r="R264">
        <v>28.6</v>
      </c>
      <c r="S264">
        <v>31.4</v>
      </c>
      <c r="T264">
        <v>28.6</v>
      </c>
      <c r="U264">
        <v>4.3</v>
      </c>
      <c r="V264">
        <v>7.1</v>
      </c>
    </row>
    <row r="265" spans="1:22" x14ac:dyDescent="0.25">
      <c r="A265" t="s">
        <v>1569</v>
      </c>
      <c r="B265" t="s">
        <v>121</v>
      </c>
      <c r="C265">
        <v>20</v>
      </c>
      <c r="D265" t="s">
        <v>260</v>
      </c>
      <c r="E265" t="s">
        <v>140</v>
      </c>
      <c r="F265" t="s">
        <v>66</v>
      </c>
      <c r="G265">
        <v>0.2</v>
      </c>
      <c r="H265" t="s">
        <v>52</v>
      </c>
      <c r="I265">
        <v>1</v>
      </c>
      <c r="J265" t="str">
        <f>HYPERLINK("https://www.eliteprospects.com/player/201809/garrett-valk")</f>
        <v>https://www.eliteprospects.com/player/201809/garrett-valk</v>
      </c>
      <c r="K265" t="s">
        <v>27</v>
      </c>
      <c r="L265" t="s">
        <v>28</v>
      </c>
      <c r="M265" t="s">
        <v>1296</v>
      </c>
      <c r="N265">
        <v>3</v>
      </c>
      <c r="O265" t="s">
        <v>74</v>
      </c>
      <c r="P265">
        <v>0.04</v>
      </c>
      <c r="Q265" t="s">
        <v>245</v>
      </c>
      <c r="R265">
        <v>28.6</v>
      </c>
      <c r="S265">
        <v>31.4</v>
      </c>
      <c r="T265">
        <v>28.6</v>
      </c>
      <c r="U265">
        <v>4.3</v>
      </c>
      <c r="V265">
        <v>7.1</v>
      </c>
    </row>
    <row r="266" spans="1:22" x14ac:dyDescent="0.25">
      <c r="A266" t="s">
        <v>1570</v>
      </c>
      <c r="B266" t="s">
        <v>171</v>
      </c>
      <c r="C266">
        <v>21</v>
      </c>
      <c r="D266" t="s">
        <v>260</v>
      </c>
      <c r="E266" t="s">
        <v>140</v>
      </c>
      <c r="F266" t="s">
        <v>66</v>
      </c>
      <c r="G266">
        <v>0.19</v>
      </c>
      <c r="H266" t="s">
        <v>32</v>
      </c>
      <c r="I266">
        <v>-9</v>
      </c>
      <c r="J266" t="str">
        <f>HYPERLINK("https://www.eliteprospects.com/player/647080/nate-misskey")</f>
        <v>https://www.eliteprospects.com/player/647080/nate-misskey</v>
      </c>
      <c r="K266" t="s">
        <v>27</v>
      </c>
      <c r="L266" t="s">
        <v>28</v>
      </c>
      <c r="M266" t="s">
        <v>1296</v>
      </c>
      <c r="N266">
        <v>5</v>
      </c>
      <c r="O266" t="s">
        <v>152</v>
      </c>
      <c r="P266">
        <v>0.04</v>
      </c>
      <c r="Q266" t="s">
        <v>245</v>
      </c>
      <c r="R266">
        <v>28.6</v>
      </c>
      <c r="S266">
        <v>31.4</v>
      </c>
      <c r="T266">
        <v>28.6</v>
      </c>
      <c r="U266">
        <v>4.3</v>
      </c>
      <c r="V266">
        <v>7.1</v>
      </c>
    </row>
    <row r="267" spans="1:22" x14ac:dyDescent="0.25">
      <c r="A267" t="s">
        <v>1571</v>
      </c>
      <c r="B267" t="s">
        <v>171</v>
      </c>
      <c r="C267">
        <v>21</v>
      </c>
      <c r="D267" t="s">
        <v>260</v>
      </c>
      <c r="E267" t="s">
        <v>140</v>
      </c>
      <c r="F267" t="s">
        <v>66</v>
      </c>
      <c r="G267">
        <v>0.19</v>
      </c>
      <c r="H267" t="s">
        <v>38</v>
      </c>
      <c r="I267">
        <v>-1</v>
      </c>
      <c r="J267" t="str">
        <f>HYPERLINK("https://www.eliteprospects.com/player/529804/josh-mori")</f>
        <v>https://www.eliteprospects.com/player/529804/josh-mori</v>
      </c>
      <c r="K267" t="s">
        <v>27</v>
      </c>
      <c r="L267" t="s">
        <v>28</v>
      </c>
      <c r="M267" t="s">
        <v>1296</v>
      </c>
      <c r="N267">
        <v>5</v>
      </c>
      <c r="O267" t="s">
        <v>152</v>
      </c>
      <c r="P267">
        <v>0.04</v>
      </c>
      <c r="Q267" t="s">
        <v>245</v>
      </c>
      <c r="R267">
        <v>28.6</v>
      </c>
      <c r="S267">
        <v>31.4</v>
      </c>
      <c r="T267">
        <v>28.6</v>
      </c>
      <c r="U267">
        <v>4.3</v>
      </c>
      <c r="V267">
        <v>7.1</v>
      </c>
    </row>
    <row r="268" spans="1:22" x14ac:dyDescent="0.25">
      <c r="A268" t="s">
        <v>1572</v>
      </c>
      <c r="B268" t="s">
        <v>64</v>
      </c>
      <c r="C268">
        <v>22</v>
      </c>
      <c r="D268" t="s">
        <v>260</v>
      </c>
      <c r="E268" t="s">
        <v>140</v>
      </c>
      <c r="F268" t="s">
        <v>66</v>
      </c>
      <c r="G268">
        <v>0.18</v>
      </c>
      <c r="H268" t="s">
        <v>66</v>
      </c>
      <c r="I268">
        <v>6</v>
      </c>
      <c r="J268" t="str">
        <f>HYPERLINK("https://www.eliteprospects.com/player/613145/mason-poolman")</f>
        <v>https://www.eliteprospects.com/player/613145/mason-poolman</v>
      </c>
      <c r="K268" t="s">
        <v>27</v>
      </c>
      <c r="L268" t="s">
        <v>28</v>
      </c>
      <c r="M268" t="s">
        <v>1296</v>
      </c>
      <c r="N268">
        <v>3</v>
      </c>
      <c r="O268" t="s">
        <v>74</v>
      </c>
      <c r="P268">
        <v>0.03</v>
      </c>
      <c r="Q268" t="s">
        <v>245</v>
      </c>
      <c r="R268">
        <v>28.6</v>
      </c>
      <c r="S268">
        <v>31.4</v>
      </c>
      <c r="T268">
        <v>28.6</v>
      </c>
      <c r="U268">
        <v>4.3</v>
      </c>
      <c r="V268">
        <v>7.1</v>
      </c>
    </row>
    <row r="269" spans="1:22" x14ac:dyDescent="0.25">
      <c r="A269" t="s">
        <v>1573</v>
      </c>
      <c r="B269" t="s">
        <v>215</v>
      </c>
      <c r="C269">
        <v>23</v>
      </c>
      <c r="D269" t="s">
        <v>260</v>
      </c>
      <c r="E269" t="s">
        <v>140</v>
      </c>
      <c r="F269" t="s">
        <v>66</v>
      </c>
      <c r="G269">
        <v>0.17</v>
      </c>
      <c r="H269" t="s">
        <v>57</v>
      </c>
      <c r="I269">
        <v>-8</v>
      </c>
      <c r="J269" t="str">
        <f>HYPERLINK("https://www.eliteprospects.com/player/640818/warren-clark")</f>
        <v>https://www.eliteprospects.com/player/640818/warren-clark</v>
      </c>
      <c r="K269" t="s">
        <v>27</v>
      </c>
      <c r="L269" t="s">
        <v>28</v>
      </c>
      <c r="M269" t="s">
        <v>1296</v>
      </c>
      <c r="N269">
        <v>3</v>
      </c>
      <c r="O269" t="s">
        <v>74</v>
      </c>
      <c r="P269">
        <v>0.03</v>
      </c>
      <c r="Q269" t="s">
        <v>245</v>
      </c>
      <c r="R269">
        <v>28.6</v>
      </c>
      <c r="S269">
        <v>31.4</v>
      </c>
      <c r="T269">
        <v>28.6</v>
      </c>
      <c r="U269">
        <v>4.3</v>
      </c>
      <c r="V269">
        <v>7.1</v>
      </c>
    </row>
    <row r="270" spans="1:22" x14ac:dyDescent="0.25">
      <c r="A270" t="s">
        <v>1574</v>
      </c>
      <c r="B270" t="s">
        <v>116</v>
      </c>
      <c r="C270">
        <v>14</v>
      </c>
      <c r="D270" t="s">
        <v>132</v>
      </c>
      <c r="E270" t="s">
        <v>66</v>
      </c>
      <c r="F270" t="s">
        <v>66</v>
      </c>
      <c r="G270">
        <v>0.28999999999999998</v>
      </c>
      <c r="H270" t="s">
        <v>132</v>
      </c>
      <c r="I270">
        <v>-4</v>
      </c>
      <c r="J270" t="str">
        <f>HYPERLINK("https://www.eliteprospects.com/player/363840/jack-babbage")</f>
        <v>https://www.eliteprospects.com/player/363840/jack-babbage</v>
      </c>
      <c r="K270" t="s">
        <v>27</v>
      </c>
      <c r="L270" t="s">
        <v>28</v>
      </c>
      <c r="M270" t="s">
        <v>1296</v>
      </c>
      <c r="N270">
        <v>5</v>
      </c>
      <c r="O270" t="s">
        <v>67</v>
      </c>
      <c r="P270">
        <v>0.06</v>
      </c>
      <c r="Q270" t="s">
        <v>1325</v>
      </c>
      <c r="R270">
        <v>26.3</v>
      </c>
      <c r="S270">
        <v>23.7</v>
      </c>
      <c r="T270">
        <v>28.9</v>
      </c>
      <c r="U270">
        <v>5.3</v>
      </c>
      <c r="V270">
        <v>15.8</v>
      </c>
    </row>
    <row r="271" spans="1:22" x14ac:dyDescent="0.25">
      <c r="A271" t="s">
        <v>1575</v>
      </c>
      <c r="B271" t="s">
        <v>167</v>
      </c>
      <c r="C271">
        <v>14</v>
      </c>
      <c r="D271" t="s">
        <v>132</v>
      </c>
      <c r="E271" t="s">
        <v>66</v>
      </c>
      <c r="F271" t="s">
        <v>66</v>
      </c>
      <c r="G271">
        <v>0.28999999999999998</v>
      </c>
      <c r="H271" t="s">
        <v>132</v>
      </c>
      <c r="I271">
        <v>-1</v>
      </c>
      <c r="J271" t="str">
        <f>HYPERLINK("https://www.eliteprospects.com/player/679634/drake-murray")</f>
        <v>https://www.eliteprospects.com/player/679634/drake-murray</v>
      </c>
      <c r="K271" t="s">
        <v>27</v>
      </c>
      <c r="L271" t="s">
        <v>28</v>
      </c>
      <c r="M271" t="s">
        <v>1296</v>
      </c>
      <c r="N271">
        <v>1</v>
      </c>
      <c r="O271" t="s">
        <v>71</v>
      </c>
      <c r="P271">
        <v>0.06</v>
      </c>
      <c r="Q271" t="s">
        <v>1325</v>
      </c>
      <c r="R271">
        <v>26.3</v>
      </c>
      <c r="S271">
        <v>23.7</v>
      </c>
      <c r="T271">
        <v>28.9</v>
      </c>
      <c r="U271">
        <v>5.3</v>
      </c>
      <c r="V271">
        <v>15.8</v>
      </c>
    </row>
    <row r="272" spans="1:22" x14ac:dyDescent="0.25">
      <c r="A272" t="s">
        <v>1576</v>
      </c>
      <c r="B272" t="s">
        <v>131</v>
      </c>
      <c r="C272">
        <v>14</v>
      </c>
      <c r="D272" t="s">
        <v>132</v>
      </c>
      <c r="E272" t="s">
        <v>66</v>
      </c>
      <c r="F272" t="s">
        <v>66</v>
      </c>
      <c r="G272">
        <v>0.28999999999999998</v>
      </c>
      <c r="H272" t="s">
        <v>66</v>
      </c>
      <c r="I272">
        <v>1</v>
      </c>
      <c r="J272" t="str">
        <f>HYPERLINK("https://www.eliteprospects.com/player/656169/pierce-patterson")</f>
        <v>https://www.eliteprospects.com/player/656169/pierce-patterson</v>
      </c>
      <c r="K272" t="s">
        <v>27</v>
      </c>
      <c r="L272" t="s">
        <v>28</v>
      </c>
      <c r="M272" t="s">
        <v>1296</v>
      </c>
      <c r="N272">
        <v>3</v>
      </c>
      <c r="O272" t="s">
        <v>74</v>
      </c>
      <c r="P272">
        <v>0.06</v>
      </c>
      <c r="Q272" t="s">
        <v>1325</v>
      </c>
      <c r="R272">
        <v>26.3</v>
      </c>
      <c r="S272">
        <v>23.7</v>
      </c>
      <c r="T272">
        <v>28.9</v>
      </c>
      <c r="U272">
        <v>5.3</v>
      </c>
      <c r="V272">
        <v>15.8</v>
      </c>
    </row>
    <row r="273" spans="1:22" x14ac:dyDescent="0.25">
      <c r="A273" t="s">
        <v>1577</v>
      </c>
      <c r="B273" t="s">
        <v>200</v>
      </c>
      <c r="C273">
        <v>15</v>
      </c>
      <c r="D273" t="s">
        <v>132</v>
      </c>
      <c r="E273" t="s">
        <v>66</v>
      </c>
      <c r="F273" t="s">
        <v>66</v>
      </c>
      <c r="G273">
        <v>0.27</v>
      </c>
      <c r="H273" t="s">
        <v>57</v>
      </c>
      <c r="I273">
        <v>9</v>
      </c>
      <c r="J273" t="str">
        <f>HYPERLINK("https://www.eliteprospects.com/player/655167/michael-fisher")</f>
        <v>https://www.eliteprospects.com/player/655167/michael-fisher</v>
      </c>
      <c r="K273" t="s">
        <v>27</v>
      </c>
      <c r="L273" t="s">
        <v>28</v>
      </c>
      <c r="M273" t="s">
        <v>1296</v>
      </c>
      <c r="N273">
        <v>2</v>
      </c>
      <c r="O273" t="s">
        <v>43</v>
      </c>
      <c r="P273">
        <v>0.05</v>
      </c>
      <c r="Q273" t="s">
        <v>1325</v>
      </c>
      <c r="R273">
        <v>26.3</v>
      </c>
      <c r="S273">
        <v>23.7</v>
      </c>
      <c r="T273">
        <v>28.9</v>
      </c>
      <c r="U273">
        <v>5.3</v>
      </c>
      <c r="V273">
        <v>15.8</v>
      </c>
    </row>
    <row r="274" spans="1:22" x14ac:dyDescent="0.25">
      <c r="A274" t="s">
        <v>1578</v>
      </c>
      <c r="B274" t="s">
        <v>120</v>
      </c>
      <c r="C274">
        <v>15</v>
      </c>
      <c r="D274" t="s">
        <v>132</v>
      </c>
      <c r="E274" t="s">
        <v>66</v>
      </c>
      <c r="F274" t="s">
        <v>66</v>
      </c>
      <c r="G274">
        <v>0.27</v>
      </c>
      <c r="H274" t="s">
        <v>57</v>
      </c>
      <c r="I274">
        <v>0</v>
      </c>
      <c r="J274" t="str">
        <f>HYPERLINK("https://www.eliteprospects.com/player/599378/michael-hagens")</f>
        <v>https://www.eliteprospects.com/player/599378/michael-hagens</v>
      </c>
      <c r="K274" t="s">
        <v>27</v>
      </c>
      <c r="L274" t="s">
        <v>28</v>
      </c>
      <c r="M274" t="s">
        <v>1296</v>
      </c>
      <c r="N274">
        <v>2</v>
      </c>
      <c r="O274" t="s">
        <v>43</v>
      </c>
      <c r="P274">
        <v>0.05</v>
      </c>
      <c r="Q274" t="s">
        <v>1325</v>
      </c>
      <c r="R274">
        <v>26.3</v>
      </c>
      <c r="S274">
        <v>23.7</v>
      </c>
      <c r="T274">
        <v>28.9</v>
      </c>
      <c r="U274">
        <v>5.3</v>
      </c>
      <c r="V274">
        <v>15.8</v>
      </c>
    </row>
    <row r="275" spans="1:22" x14ac:dyDescent="0.25">
      <c r="A275" t="s">
        <v>1579</v>
      </c>
      <c r="B275" t="s">
        <v>119</v>
      </c>
      <c r="C275">
        <v>16</v>
      </c>
      <c r="D275" t="s">
        <v>132</v>
      </c>
      <c r="E275" t="s">
        <v>66</v>
      </c>
      <c r="F275" t="s">
        <v>66</v>
      </c>
      <c r="G275">
        <v>0.25</v>
      </c>
      <c r="H275" t="s">
        <v>79</v>
      </c>
      <c r="I275">
        <v>-2</v>
      </c>
      <c r="J275" t="str">
        <f>HYPERLINK("https://www.eliteprospects.com/player/616255/cal-thomas")</f>
        <v>https://www.eliteprospects.com/player/616255/cal-thomas</v>
      </c>
      <c r="K275" t="s">
        <v>27</v>
      </c>
      <c r="L275" t="s">
        <v>28</v>
      </c>
      <c r="M275" t="s">
        <v>1296</v>
      </c>
      <c r="N275">
        <v>4</v>
      </c>
      <c r="O275" t="s">
        <v>30</v>
      </c>
      <c r="P275">
        <v>0.05</v>
      </c>
      <c r="Q275" t="s">
        <v>1325</v>
      </c>
      <c r="R275">
        <v>26.3</v>
      </c>
      <c r="S275">
        <v>23.7</v>
      </c>
      <c r="T275">
        <v>28.9</v>
      </c>
      <c r="U275">
        <v>5.3</v>
      </c>
      <c r="V275">
        <v>15.8</v>
      </c>
    </row>
    <row r="276" spans="1:22" x14ac:dyDescent="0.25">
      <c r="A276" t="s">
        <v>1580</v>
      </c>
      <c r="B276" t="s">
        <v>85</v>
      </c>
      <c r="C276">
        <v>16</v>
      </c>
      <c r="D276" t="s">
        <v>132</v>
      </c>
      <c r="E276" t="s">
        <v>66</v>
      </c>
      <c r="F276" t="s">
        <v>66</v>
      </c>
      <c r="G276">
        <v>0.25</v>
      </c>
      <c r="H276" t="s">
        <v>66</v>
      </c>
      <c r="I276">
        <v>10</v>
      </c>
      <c r="J276" t="str">
        <f>HYPERLINK("https://www.eliteprospects.com/player/537548/ian-devlin")</f>
        <v>https://www.eliteprospects.com/player/537548/ian-devlin</v>
      </c>
      <c r="K276" t="s">
        <v>27</v>
      </c>
      <c r="L276" t="s">
        <v>28</v>
      </c>
      <c r="M276" t="s">
        <v>1296</v>
      </c>
      <c r="N276">
        <v>3</v>
      </c>
      <c r="O276" t="s">
        <v>74</v>
      </c>
      <c r="P276">
        <v>0.05</v>
      </c>
      <c r="Q276" t="s">
        <v>1325</v>
      </c>
      <c r="R276">
        <v>26.3</v>
      </c>
      <c r="S276">
        <v>23.7</v>
      </c>
      <c r="T276">
        <v>28.9</v>
      </c>
      <c r="U276">
        <v>5.3</v>
      </c>
      <c r="V276">
        <v>15.8</v>
      </c>
    </row>
    <row r="277" spans="1:22" x14ac:dyDescent="0.25">
      <c r="A277" t="s">
        <v>1581</v>
      </c>
      <c r="B277" t="s">
        <v>98</v>
      </c>
      <c r="C277">
        <v>17</v>
      </c>
      <c r="D277" t="s">
        <v>132</v>
      </c>
      <c r="E277" t="s">
        <v>66</v>
      </c>
      <c r="F277" t="s">
        <v>66</v>
      </c>
      <c r="G277">
        <v>0.24</v>
      </c>
      <c r="H277" t="s">
        <v>79</v>
      </c>
      <c r="I277">
        <v>2</v>
      </c>
      <c r="J277" t="str">
        <f>HYPERLINK("https://www.eliteprospects.com/player/551982/cal-mell")</f>
        <v>https://www.eliteprospects.com/player/551982/cal-mell</v>
      </c>
      <c r="K277" t="s">
        <v>27</v>
      </c>
      <c r="L277" t="s">
        <v>28</v>
      </c>
      <c r="M277" t="s">
        <v>1296</v>
      </c>
      <c r="N277">
        <v>4</v>
      </c>
      <c r="O277" t="s">
        <v>30</v>
      </c>
      <c r="P277">
        <v>0.05</v>
      </c>
      <c r="Q277" t="s">
        <v>1325</v>
      </c>
      <c r="R277">
        <v>26.3</v>
      </c>
      <c r="S277">
        <v>23.7</v>
      </c>
      <c r="T277">
        <v>28.9</v>
      </c>
      <c r="U277">
        <v>5.3</v>
      </c>
      <c r="V277">
        <v>15.8</v>
      </c>
    </row>
    <row r="278" spans="1:22" x14ac:dyDescent="0.25">
      <c r="A278" t="s">
        <v>1582</v>
      </c>
      <c r="B278" t="s">
        <v>146</v>
      </c>
      <c r="C278">
        <v>17</v>
      </c>
      <c r="D278" t="s">
        <v>132</v>
      </c>
      <c r="E278" t="s">
        <v>66</v>
      </c>
      <c r="F278" t="s">
        <v>66</v>
      </c>
      <c r="G278">
        <v>0.24</v>
      </c>
      <c r="H278" t="s">
        <v>57</v>
      </c>
      <c r="I278">
        <v>1</v>
      </c>
      <c r="J278" t="str">
        <f>HYPERLINK("https://www.eliteprospects.com/player/397851/bryan-huggins")</f>
        <v>https://www.eliteprospects.com/player/397851/bryan-huggins</v>
      </c>
      <c r="K278" t="s">
        <v>27</v>
      </c>
      <c r="L278" t="s">
        <v>28</v>
      </c>
      <c r="M278" t="s">
        <v>1296</v>
      </c>
      <c r="N278">
        <v>4</v>
      </c>
      <c r="O278" t="s">
        <v>30</v>
      </c>
      <c r="P278">
        <v>0.05</v>
      </c>
      <c r="Q278" t="s">
        <v>1325</v>
      </c>
      <c r="R278">
        <v>26.3</v>
      </c>
      <c r="S278">
        <v>23.7</v>
      </c>
      <c r="T278">
        <v>28.9</v>
      </c>
      <c r="U278">
        <v>5.3</v>
      </c>
      <c r="V278">
        <v>15.8</v>
      </c>
    </row>
    <row r="279" spans="1:22" x14ac:dyDescent="0.25">
      <c r="A279" t="s">
        <v>1583</v>
      </c>
      <c r="B279" t="s">
        <v>22</v>
      </c>
      <c r="C279">
        <v>18</v>
      </c>
      <c r="D279" t="s">
        <v>132</v>
      </c>
      <c r="E279" t="s">
        <v>66</v>
      </c>
      <c r="F279" t="s">
        <v>66</v>
      </c>
      <c r="G279">
        <v>0.22</v>
      </c>
      <c r="H279" t="s">
        <v>57</v>
      </c>
      <c r="I279">
        <v>-4</v>
      </c>
      <c r="J279" t="str">
        <f>HYPERLINK("https://www.eliteprospects.com/player/599134/anthony-dowd")</f>
        <v>https://www.eliteprospects.com/player/599134/anthony-dowd</v>
      </c>
      <c r="K279" t="s">
        <v>27</v>
      </c>
      <c r="L279" t="s">
        <v>28</v>
      </c>
      <c r="M279" t="s">
        <v>1296</v>
      </c>
      <c r="N279">
        <v>3</v>
      </c>
      <c r="O279" t="s">
        <v>74</v>
      </c>
      <c r="P279">
        <v>0.04</v>
      </c>
      <c r="Q279" t="s">
        <v>245</v>
      </c>
      <c r="R279">
        <v>28.6</v>
      </c>
      <c r="S279">
        <v>31.4</v>
      </c>
      <c r="T279">
        <v>28.6</v>
      </c>
      <c r="U279">
        <v>4.3</v>
      </c>
      <c r="V279">
        <v>7.1</v>
      </c>
    </row>
    <row r="280" spans="1:22" x14ac:dyDescent="0.25">
      <c r="A280" t="s">
        <v>1584</v>
      </c>
      <c r="B280" t="s">
        <v>59</v>
      </c>
      <c r="C280">
        <v>18</v>
      </c>
      <c r="D280" t="s">
        <v>132</v>
      </c>
      <c r="E280" t="s">
        <v>66</v>
      </c>
      <c r="F280" t="s">
        <v>66</v>
      </c>
      <c r="G280">
        <v>0.22</v>
      </c>
      <c r="H280" t="s">
        <v>57</v>
      </c>
      <c r="I280">
        <v>-3</v>
      </c>
      <c r="J280" t="str">
        <f>HYPERLINK("https://www.eliteprospects.com/player/576334/loic-usereau")</f>
        <v>https://www.eliteprospects.com/player/576334/loic-usereau</v>
      </c>
      <c r="K280" t="s">
        <v>27</v>
      </c>
      <c r="L280" t="s">
        <v>28</v>
      </c>
      <c r="M280" t="s">
        <v>1296</v>
      </c>
      <c r="N280">
        <v>5</v>
      </c>
      <c r="O280" t="s">
        <v>207</v>
      </c>
      <c r="P280">
        <v>0.04</v>
      </c>
      <c r="Q280" t="s">
        <v>245</v>
      </c>
      <c r="R280">
        <v>28.6</v>
      </c>
      <c r="S280">
        <v>31.4</v>
      </c>
      <c r="T280">
        <v>28.6</v>
      </c>
      <c r="U280">
        <v>4.3</v>
      </c>
      <c r="V280">
        <v>7.1</v>
      </c>
    </row>
    <row r="281" spans="1:22" x14ac:dyDescent="0.25">
      <c r="A281" t="s">
        <v>1585</v>
      </c>
      <c r="B281" t="s">
        <v>109</v>
      </c>
      <c r="C281">
        <v>18</v>
      </c>
      <c r="D281" t="s">
        <v>132</v>
      </c>
      <c r="E281" t="s">
        <v>66</v>
      </c>
      <c r="F281" t="s">
        <v>66</v>
      </c>
      <c r="G281">
        <v>0.22</v>
      </c>
      <c r="H281" t="s">
        <v>33</v>
      </c>
      <c r="I281">
        <v>2</v>
      </c>
      <c r="J281" t="str">
        <f>HYPERLINK("https://www.eliteprospects.com/player/786910/sam-laurila")</f>
        <v>https://www.eliteprospects.com/player/786910/sam-laurila</v>
      </c>
      <c r="K281" t="s">
        <v>27</v>
      </c>
      <c r="L281" t="s">
        <v>28</v>
      </c>
      <c r="M281" t="s">
        <v>1296</v>
      </c>
      <c r="N281">
        <v>1</v>
      </c>
      <c r="O281" t="s">
        <v>71</v>
      </c>
      <c r="P281">
        <v>0.04</v>
      </c>
      <c r="Q281" t="s">
        <v>245</v>
      </c>
      <c r="R281">
        <v>28.6</v>
      </c>
      <c r="S281">
        <v>31.4</v>
      </c>
      <c r="T281">
        <v>28.6</v>
      </c>
      <c r="U281">
        <v>4.3</v>
      </c>
      <c r="V281">
        <v>7.1</v>
      </c>
    </row>
    <row r="282" spans="1:22" x14ac:dyDescent="0.25">
      <c r="A282" t="s">
        <v>1586</v>
      </c>
      <c r="B282" t="s">
        <v>165</v>
      </c>
      <c r="C282">
        <v>19</v>
      </c>
      <c r="D282" t="s">
        <v>132</v>
      </c>
      <c r="E282" t="s">
        <v>66</v>
      </c>
      <c r="F282" t="s">
        <v>66</v>
      </c>
      <c r="G282">
        <v>0.21</v>
      </c>
      <c r="H282" t="s">
        <v>57</v>
      </c>
      <c r="I282">
        <v>1</v>
      </c>
      <c r="J282" t="str">
        <f>HYPERLINK("https://www.eliteprospects.com/player/705612/luke-malboeuf")</f>
        <v>https://www.eliteprospects.com/player/705612/luke-malboeuf</v>
      </c>
      <c r="K282" t="s">
        <v>27</v>
      </c>
      <c r="L282" t="s">
        <v>28</v>
      </c>
      <c r="M282" t="s">
        <v>1296</v>
      </c>
      <c r="N282">
        <v>1</v>
      </c>
      <c r="O282" t="s">
        <v>71</v>
      </c>
      <c r="P282">
        <v>0.04</v>
      </c>
      <c r="Q282" t="s">
        <v>245</v>
      </c>
      <c r="R282">
        <v>28.6</v>
      </c>
      <c r="S282">
        <v>31.4</v>
      </c>
      <c r="T282">
        <v>28.6</v>
      </c>
      <c r="U282">
        <v>4.3</v>
      </c>
      <c r="V282">
        <v>7.1</v>
      </c>
    </row>
    <row r="283" spans="1:22" x14ac:dyDescent="0.25">
      <c r="A283" t="s">
        <v>1587</v>
      </c>
      <c r="B283" t="s">
        <v>134</v>
      </c>
      <c r="C283">
        <v>20</v>
      </c>
      <c r="D283" t="s">
        <v>132</v>
      </c>
      <c r="E283" t="s">
        <v>66</v>
      </c>
      <c r="F283" t="s">
        <v>66</v>
      </c>
      <c r="G283">
        <v>0.2</v>
      </c>
      <c r="H283" t="s">
        <v>39</v>
      </c>
      <c r="I283">
        <v>-10</v>
      </c>
      <c r="J283" t="str">
        <f>HYPERLINK("https://www.eliteprospects.com/player/622358/jack-pascucci")</f>
        <v>https://www.eliteprospects.com/player/622358/jack-pascucci</v>
      </c>
      <c r="K283" t="s">
        <v>27</v>
      </c>
      <c r="L283" t="s">
        <v>28</v>
      </c>
      <c r="M283" t="s">
        <v>1296</v>
      </c>
      <c r="N283">
        <v>4</v>
      </c>
      <c r="O283" t="s">
        <v>30</v>
      </c>
      <c r="P283">
        <v>0.04</v>
      </c>
      <c r="Q283" t="s">
        <v>245</v>
      </c>
      <c r="R283">
        <v>28.6</v>
      </c>
      <c r="S283">
        <v>31.4</v>
      </c>
      <c r="T283">
        <v>28.6</v>
      </c>
      <c r="U283">
        <v>4.3</v>
      </c>
      <c r="V283">
        <v>7.1</v>
      </c>
    </row>
    <row r="284" spans="1:22" x14ac:dyDescent="0.25">
      <c r="A284" t="s">
        <v>1588</v>
      </c>
      <c r="B284" t="s">
        <v>116</v>
      </c>
      <c r="C284">
        <v>21</v>
      </c>
      <c r="D284" t="s">
        <v>132</v>
      </c>
      <c r="E284" t="s">
        <v>66</v>
      </c>
      <c r="F284" t="s">
        <v>66</v>
      </c>
      <c r="G284">
        <v>0.19</v>
      </c>
      <c r="H284" t="s">
        <v>38</v>
      </c>
      <c r="I284">
        <v>-16</v>
      </c>
      <c r="J284" t="str">
        <f>HYPERLINK("https://www.eliteprospects.com/player/726219/andrew-brown")</f>
        <v>https://www.eliteprospects.com/player/726219/andrew-brown</v>
      </c>
      <c r="K284" t="s">
        <v>27</v>
      </c>
      <c r="L284" t="s">
        <v>28</v>
      </c>
      <c r="M284" t="s">
        <v>1296</v>
      </c>
      <c r="N284">
        <v>2</v>
      </c>
      <c r="O284" t="s">
        <v>303</v>
      </c>
      <c r="P284">
        <v>0.04</v>
      </c>
      <c r="Q284" t="s">
        <v>245</v>
      </c>
      <c r="R284">
        <v>28.6</v>
      </c>
      <c r="S284">
        <v>31.4</v>
      </c>
      <c r="T284">
        <v>28.6</v>
      </c>
      <c r="U284">
        <v>4.3</v>
      </c>
      <c r="V284">
        <v>7.1</v>
      </c>
    </row>
    <row r="285" spans="1:22" x14ac:dyDescent="0.25">
      <c r="A285" t="s">
        <v>1589</v>
      </c>
      <c r="B285" t="s">
        <v>106</v>
      </c>
      <c r="C285">
        <v>22</v>
      </c>
      <c r="D285" t="s">
        <v>132</v>
      </c>
      <c r="E285" t="s">
        <v>66</v>
      </c>
      <c r="F285" t="s">
        <v>66</v>
      </c>
      <c r="G285">
        <v>0.18</v>
      </c>
      <c r="H285" t="s">
        <v>61</v>
      </c>
      <c r="I285">
        <v>-2</v>
      </c>
      <c r="J285" t="str">
        <f>HYPERLINK("https://www.eliteprospects.com/player/881837/bryce-sookro")</f>
        <v>https://www.eliteprospects.com/player/881837/bryce-sookro</v>
      </c>
      <c r="K285" t="s">
        <v>27</v>
      </c>
      <c r="L285" t="s">
        <v>28</v>
      </c>
      <c r="M285" t="s">
        <v>1296</v>
      </c>
      <c r="N285">
        <v>1</v>
      </c>
      <c r="O285" t="s">
        <v>71</v>
      </c>
      <c r="P285">
        <v>0.03</v>
      </c>
      <c r="Q285" t="s">
        <v>245</v>
      </c>
      <c r="R285">
        <v>28.6</v>
      </c>
      <c r="S285">
        <v>31.4</v>
      </c>
      <c r="T285">
        <v>28.6</v>
      </c>
      <c r="U285">
        <v>4.3</v>
      </c>
      <c r="V285">
        <v>7.1</v>
      </c>
    </row>
    <row r="286" spans="1:22" x14ac:dyDescent="0.25">
      <c r="A286" t="s">
        <v>1590</v>
      </c>
      <c r="B286" t="s">
        <v>128</v>
      </c>
      <c r="C286">
        <v>11</v>
      </c>
      <c r="D286" t="s">
        <v>140</v>
      </c>
      <c r="E286" t="s">
        <v>132</v>
      </c>
      <c r="F286" t="s">
        <v>140</v>
      </c>
      <c r="G286">
        <v>0.27</v>
      </c>
      <c r="H286" t="s">
        <v>125</v>
      </c>
      <c r="I286">
        <v>4</v>
      </c>
      <c r="J286" t="str">
        <f>HYPERLINK("https://www.eliteprospects.com/player/515083/gustav-stjernberg")</f>
        <v>https://www.eliteprospects.com/player/515083/gustav-stjernberg</v>
      </c>
      <c r="K286" t="s">
        <v>27</v>
      </c>
      <c r="L286" t="s">
        <v>28</v>
      </c>
      <c r="M286" t="s">
        <v>1296</v>
      </c>
      <c r="N286">
        <v>3</v>
      </c>
      <c r="O286" t="s">
        <v>74</v>
      </c>
      <c r="P286">
        <v>0.05</v>
      </c>
      <c r="Q286" t="s">
        <v>1325</v>
      </c>
      <c r="R286">
        <v>26.3</v>
      </c>
      <c r="S286">
        <v>23.7</v>
      </c>
      <c r="T286">
        <v>28.9</v>
      </c>
      <c r="U286">
        <v>5.3</v>
      </c>
      <c r="V286">
        <v>15.8</v>
      </c>
    </row>
    <row r="287" spans="1:22" x14ac:dyDescent="0.25">
      <c r="A287" t="s">
        <v>1591</v>
      </c>
      <c r="B287" t="s">
        <v>37</v>
      </c>
      <c r="C287">
        <v>22</v>
      </c>
      <c r="D287" t="s">
        <v>140</v>
      </c>
      <c r="E287" t="s">
        <v>132</v>
      </c>
      <c r="F287" t="s">
        <v>140</v>
      </c>
      <c r="G287">
        <v>0.14000000000000001</v>
      </c>
      <c r="H287" t="s">
        <v>66</v>
      </c>
      <c r="I287">
        <v>-6</v>
      </c>
      <c r="J287" t="str">
        <f>HYPERLINK("https://www.eliteprospects.com/player/495514/joseph-pierce")</f>
        <v>https://www.eliteprospects.com/player/495514/joseph-pierce</v>
      </c>
      <c r="K287" t="s">
        <v>27</v>
      </c>
      <c r="L287" t="s">
        <v>28</v>
      </c>
      <c r="M287" t="s">
        <v>1296</v>
      </c>
      <c r="N287">
        <v>4</v>
      </c>
      <c r="O287" t="s">
        <v>30</v>
      </c>
      <c r="P287">
        <v>0.03</v>
      </c>
      <c r="Q287" t="s">
        <v>245</v>
      </c>
      <c r="R287">
        <v>28.6</v>
      </c>
      <c r="S287">
        <v>31.4</v>
      </c>
      <c r="T287">
        <v>28.6</v>
      </c>
      <c r="U287">
        <v>4.3</v>
      </c>
      <c r="V287">
        <v>7.1</v>
      </c>
    </row>
    <row r="288" spans="1:22" x14ac:dyDescent="0.25">
      <c r="A288" t="s">
        <v>1592</v>
      </c>
      <c r="B288" t="s">
        <v>44</v>
      </c>
      <c r="C288">
        <v>14</v>
      </c>
      <c r="D288" t="s">
        <v>79</v>
      </c>
      <c r="E288" t="s">
        <v>260</v>
      </c>
      <c r="F288" t="s">
        <v>140</v>
      </c>
      <c r="G288">
        <v>0.21</v>
      </c>
      <c r="H288" t="s">
        <v>57</v>
      </c>
      <c r="I288">
        <v>3</v>
      </c>
      <c r="J288" t="str">
        <f>HYPERLINK("https://www.eliteprospects.com/player/628754/luca-fasciano")</f>
        <v>https://www.eliteprospects.com/player/628754/luca-fasciano</v>
      </c>
      <c r="K288" t="s">
        <v>27</v>
      </c>
      <c r="L288" t="s">
        <v>28</v>
      </c>
      <c r="M288" t="s">
        <v>1296</v>
      </c>
      <c r="N288">
        <v>1</v>
      </c>
      <c r="O288" t="s">
        <v>71</v>
      </c>
      <c r="P288">
        <v>0.04</v>
      </c>
      <c r="Q288" t="s">
        <v>245</v>
      </c>
      <c r="R288">
        <v>28.6</v>
      </c>
      <c r="S288">
        <v>31.4</v>
      </c>
      <c r="T288">
        <v>28.6</v>
      </c>
      <c r="U288">
        <v>4.3</v>
      </c>
      <c r="V288">
        <v>7.1</v>
      </c>
    </row>
    <row r="289" spans="1:22" x14ac:dyDescent="0.25">
      <c r="A289" t="s">
        <v>1593</v>
      </c>
      <c r="B289" t="s">
        <v>163</v>
      </c>
      <c r="C289">
        <v>17</v>
      </c>
      <c r="D289" t="s">
        <v>79</v>
      </c>
      <c r="E289" t="s">
        <v>260</v>
      </c>
      <c r="F289" t="s">
        <v>140</v>
      </c>
      <c r="G289">
        <v>0.18</v>
      </c>
      <c r="H289" t="s">
        <v>57</v>
      </c>
      <c r="I289">
        <v>3</v>
      </c>
      <c r="J289" t="str">
        <f>HYPERLINK("https://www.eliteprospects.com/player/779966/alexander-rybakov")</f>
        <v>https://www.eliteprospects.com/player/779966/alexander-rybakov</v>
      </c>
      <c r="K289" t="s">
        <v>27</v>
      </c>
      <c r="L289" t="s">
        <v>28</v>
      </c>
      <c r="M289" t="s">
        <v>1296</v>
      </c>
      <c r="N289">
        <v>1</v>
      </c>
      <c r="O289" t="s">
        <v>71</v>
      </c>
      <c r="P289">
        <v>0.03</v>
      </c>
      <c r="Q289" t="s">
        <v>245</v>
      </c>
      <c r="R289">
        <v>28.6</v>
      </c>
      <c r="S289">
        <v>31.4</v>
      </c>
      <c r="T289">
        <v>28.6</v>
      </c>
      <c r="U289">
        <v>4.3</v>
      </c>
      <c r="V289">
        <v>7.1</v>
      </c>
    </row>
    <row r="290" spans="1:22" x14ac:dyDescent="0.25">
      <c r="A290" t="s">
        <v>1594</v>
      </c>
      <c r="B290" t="s">
        <v>162</v>
      </c>
      <c r="C290">
        <v>17</v>
      </c>
      <c r="D290" t="s">
        <v>79</v>
      </c>
      <c r="E290" t="s">
        <v>260</v>
      </c>
      <c r="F290" t="s">
        <v>140</v>
      </c>
      <c r="G290">
        <v>0.18</v>
      </c>
      <c r="H290" t="s">
        <v>57</v>
      </c>
      <c r="I290">
        <v>2</v>
      </c>
      <c r="J290" t="str">
        <f>HYPERLINK("https://www.eliteprospects.com/player/499295/pat-lawn")</f>
        <v>https://www.eliteprospects.com/player/499295/pat-lawn</v>
      </c>
      <c r="K290" t="s">
        <v>27</v>
      </c>
      <c r="L290" t="s">
        <v>28</v>
      </c>
      <c r="M290" t="s">
        <v>1296</v>
      </c>
      <c r="N290">
        <v>4</v>
      </c>
      <c r="O290" t="s">
        <v>30</v>
      </c>
      <c r="P290">
        <v>0.03</v>
      </c>
      <c r="Q290" t="s">
        <v>245</v>
      </c>
      <c r="R290">
        <v>28.6</v>
      </c>
      <c r="S290">
        <v>31.4</v>
      </c>
      <c r="T290">
        <v>28.6</v>
      </c>
      <c r="U290">
        <v>4.3</v>
      </c>
      <c r="V290">
        <v>7.1</v>
      </c>
    </row>
    <row r="291" spans="1:22" x14ac:dyDescent="0.25">
      <c r="A291" t="s">
        <v>1595</v>
      </c>
      <c r="B291" t="s">
        <v>101</v>
      </c>
      <c r="C291">
        <v>19</v>
      </c>
      <c r="D291" t="s">
        <v>79</v>
      </c>
      <c r="E291" t="s">
        <v>260</v>
      </c>
      <c r="F291" t="s">
        <v>140</v>
      </c>
      <c r="G291">
        <v>0.16</v>
      </c>
      <c r="H291" t="s">
        <v>26</v>
      </c>
      <c r="I291">
        <v>-1</v>
      </c>
      <c r="J291" t="str">
        <f>HYPERLINK("https://www.eliteprospects.com/player/603583/dylan-compton")</f>
        <v>https://www.eliteprospects.com/player/603583/dylan-compton</v>
      </c>
      <c r="K291" t="s">
        <v>27</v>
      </c>
      <c r="L291" t="s">
        <v>28</v>
      </c>
      <c r="M291" t="s">
        <v>1296</v>
      </c>
      <c r="N291">
        <v>1</v>
      </c>
      <c r="O291" t="s">
        <v>71</v>
      </c>
      <c r="P291">
        <v>0.03</v>
      </c>
      <c r="Q291" t="s">
        <v>245</v>
      </c>
      <c r="R291">
        <v>28.6</v>
      </c>
      <c r="S291">
        <v>31.4</v>
      </c>
      <c r="T291">
        <v>28.6</v>
      </c>
      <c r="U291">
        <v>4.3</v>
      </c>
      <c r="V291">
        <v>7.1</v>
      </c>
    </row>
    <row r="292" spans="1:22" x14ac:dyDescent="0.25">
      <c r="A292" t="s">
        <v>1596</v>
      </c>
      <c r="B292" t="s">
        <v>177</v>
      </c>
      <c r="C292">
        <v>19</v>
      </c>
      <c r="D292" t="s">
        <v>79</v>
      </c>
      <c r="E292" t="s">
        <v>260</v>
      </c>
      <c r="F292" t="s">
        <v>140</v>
      </c>
      <c r="G292">
        <v>0.16</v>
      </c>
      <c r="H292" t="s">
        <v>23</v>
      </c>
      <c r="I292">
        <v>-11</v>
      </c>
      <c r="J292" t="str">
        <f>HYPERLINK("https://www.eliteprospects.com/player/412357/ethan-lund")</f>
        <v>https://www.eliteprospects.com/player/412357/ethan-lund</v>
      </c>
      <c r="K292" t="s">
        <v>27</v>
      </c>
      <c r="L292" t="s">
        <v>28</v>
      </c>
      <c r="M292" t="s">
        <v>1296</v>
      </c>
      <c r="N292">
        <v>4</v>
      </c>
      <c r="O292" t="s">
        <v>30</v>
      </c>
      <c r="P292">
        <v>0.03</v>
      </c>
      <c r="Q292" t="s">
        <v>245</v>
      </c>
      <c r="R292">
        <v>28.6</v>
      </c>
      <c r="S292">
        <v>31.4</v>
      </c>
      <c r="T292">
        <v>28.6</v>
      </c>
      <c r="U292">
        <v>4.3</v>
      </c>
      <c r="V292">
        <v>7.1</v>
      </c>
    </row>
    <row r="293" spans="1:22" x14ac:dyDescent="0.25">
      <c r="A293" t="s">
        <v>1597</v>
      </c>
      <c r="B293" t="s">
        <v>238</v>
      </c>
      <c r="C293">
        <v>20</v>
      </c>
      <c r="D293" t="s">
        <v>79</v>
      </c>
      <c r="E293" t="s">
        <v>260</v>
      </c>
      <c r="F293" t="s">
        <v>140</v>
      </c>
      <c r="G293">
        <v>0.15</v>
      </c>
      <c r="H293" t="s">
        <v>39</v>
      </c>
      <c r="I293">
        <v>1</v>
      </c>
      <c r="J293" t="str">
        <f>HYPERLINK("https://www.eliteprospects.com/player/352473/trevor-russell")</f>
        <v>https://www.eliteprospects.com/player/352473/trevor-russell</v>
      </c>
      <c r="K293" t="s">
        <v>27</v>
      </c>
      <c r="L293" t="s">
        <v>28</v>
      </c>
      <c r="M293" t="s">
        <v>1296</v>
      </c>
      <c r="N293">
        <v>5</v>
      </c>
      <c r="O293" t="s">
        <v>67</v>
      </c>
      <c r="P293">
        <v>0.03</v>
      </c>
      <c r="Q293" t="s">
        <v>245</v>
      </c>
      <c r="R293">
        <v>28.6</v>
      </c>
      <c r="S293">
        <v>31.4</v>
      </c>
      <c r="T293">
        <v>28.6</v>
      </c>
      <c r="U293">
        <v>4.3</v>
      </c>
      <c r="V293">
        <v>7.1</v>
      </c>
    </row>
    <row r="294" spans="1:22" x14ac:dyDescent="0.25">
      <c r="A294" t="s">
        <v>1598</v>
      </c>
      <c r="B294" t="s">
        <v>184</v>
      </c>
      <c r="C294">
        <v>13</v>
      </c>
      <c r="D294" t="s">
        <v>260</v>
      </c>
      <c r="E294" t="s">
        <v>79</v>
      </c>
      <c r="F294" t="s">
        <v>140</v>
      </c>
      <c r="G294">
        <v>0.23</v>
      </c>
      <c r="H294" t="s">
        <v>79</v>
      </c>
      <c r="I294">
        <v>-2</v>
      </c>
      <c r="J294" t="str">
        <f>HYPERLINK("https://www.eliteprospects.com/player/620273/kevin-fitzgerald")</f>
        <v>https://www.eliteprospects.com/player/620273/kevin-fitzgerald</v>
      </c>
      <c r="K294" t="s">
        <v>27</v>
      </c>
      <c r="L294" t="s">
        <v>28</v>
      </c>
      <c r="M294" t="s">
        <v>1296</v>
      </c>
      <c r="N294">
        <v>2</v>
      </c>
      <c r="O294" t="s">
        <v>43</v>
      </c>
      <c r="P294">
        <v>0.04</v>
      </c>
      <c r="Q294" t="s">
        <v>245</v>
      </c>
      <c r="R294">
        <v>28.6</v>
      </c>
      <c r="S294">
        <v>31.4</v>
      </c>
      <c r="T294">
        <v>28.6</v>
      </c>
      <c r="U294">
        <v>4.3</v>
      </c>
      <c r="V294">
        <v>7.1</v>
      </c>
    </row>
    <row r="295" spans="1:22" x14ac:dyDescent="0.25">
      <c r="A295" t="s">
        <v>1599</v>
      </c>
      <c r="B295" t="s">
        <v>180</v>
      </c>
      <c r="C295">
        <v>16</v>
      </c>
      <c r="D295" t="s">
        <v>260</v>
      </c>
      <c r="E295" t="s">
        <v>79</v>
      </c>
      <c r="F295" t="s">
        <v>140</v>
      </c>
      <c r="G295">
        <v>0.19</v>
      </c>
      <c r="H295" t="s">
        <v>491</v>
      </c>
      <c r="I295">
        <v>-5</v>
      </c>
      <c r="J295" t="str">
        <f>HYPERLINK("https://www.eliteprospects.com/player/646161/caeden-carlisle")</f>
        <v>https://www.eliteprospects.com/player/646161/caeden-carlisle</v>
      </c>
      <c r="K295" t="s">
        <v>27</v>
      </c>
      <c r="L295" t="s">
        <v>28</v>
      </c>
      <c r="M295" t="s">
        <v>1296</v>
      </c>
      <c r="N295">
        <v>7</v>
      </c>
      <c r="O295" t="s">
        <v>159</v>
      </c>
      <c r="P295">
        <v>0.04</v>
      </c>
      <c r="Q295" t="s">
        <v>245</v>
      </c>
      <c r="R295">
        <v>28.6</v>
      </c>
      <c r="S295">
        <v>31.4</v>
      </c>
      <c r="T295">
        <v>28.6</v>
      </c>
      <c r="U295">
        <v>4.3</v>
      </c>
      <c r="V295">
        <v>7.1</v>
      </c>
    </row>
    <row r="296" spans="1:22" x14ac:dyDescent="0.25">
      <c r="A296" t="s">
        <v>1600</v>
      </c>
      <c r="B296" t="s">
        <v>312</v>
      </c>
      <c r="C296">
        <v>17</v>
      </c>
      <c r="D296" t="s">
        <v>260</v>
      </c>
      <c r="E296" t="s">
        <v>79</v>
      </c>
      <c r="F296" t="s">
        <v>140</v>
      </c>
      <c r="G296">
        <v>0.18</v>
      </c>
      <c r="H296" t="s">
        <v>66</v>
      </c>
      <c r="I296">
        <v>-15</v>
      </c>
      <c r="J296" t="str">
        <f>HYPERLINK("https://www.eliteprospects.com/player/558798/camden-shasby")</f>
        <v>https://www.eliteprospects.com/player/558798/camden-shasby</v>
      </c>
      <c r="K296" t="s">
        <v>27</v>
      </c>
      <c r="L296" t="s">
        <v>28</v>
      </c>
      <c r="M296" t="s">
        <v>1296</v>
      </c>
      <c r="N296">
        <v>1</v>
      </c>
      <c r="O296" t="s">
        <v>71</v>
      </c>
      <c r="P296">
        <v>0.03</v>
      </c>
      <c r="Q296" t="s">
        <v>245</v>
      </c>
      <c r="R296">
        <v>28.6</v>
      </c>
      <c r="S296">
        <v>31.4</v>
      </c>
      <c r="T296">
        <v>28.6</v>
      </c>
      <c r="U296">
        <v>4.3</v>
      </c>
      <c r="V296">
        <v>7.1</v>
      </c>
    </row>
    <row r="297" spans="1:22" x14ac:dyDescent="0.25">
      <c r="A297" t="s">
        <v>1601</v>
      </c>
      <c r="B297" t="s">
        <v>120</v>
      </c>
      <c r="C297">
        <v>17</v>
      </c>
      <c r="D297" t="s">
        <v>260</v>
      </c>
      <c r="E297" t="s">
        <v>79</v>
      </c>
      <c r="F297" t="s">
        <v>140</v>
      </c>
      <c r="G297">
        <v>0.18</v>
      </c>
      <c r="H297" t="s">
        <v>57</v>
      </c>
      <c r="I297">
        <v>4</v>
      </c>
      <c r="J297" t="str">
        <f>HYPERLINK("https://www.eliteprospects.com/player/617529/nolan-joyce")</f>
        <v>https://www.eliteprospects.com/player/617529/nolan-joyce</v>
      </c>
      <c r="K297" t="s">
        <v>27</v>
      </c>
      <c r="L297" t="s">
        <v>28</v>
      </c>
      <c r="M297" t="s">
        <v>1296</v>
      </c>
      <c r="N297">
        <v>3</v>
      </c>
      <c r="O297" t="s">
        <v>74</v>
      </c>
      <c r="P297">
        <v>0.03</v>
      </c>
      <c r="Q297" t="s">
        <v>245</v>
      </c>
      <c r="R297">
        <v>28.6</v>
      </c>
      <c r="S297">
        <v>31.4</v>
      </c>
      <c r="T297">
        <v>28.6</v>
      </c>
      <c r="U297">
        <v>4.3</v>
      </c>
      <c r="V297">
        <v>7.1</v>
      </c>
    </row>
    <row r="298" spans="1:22" x14ac:dyDescent="0.25">
      <c r="A298" t="s">
        <v>1602</v>
      </c>
      <c r="B298" t="s">
        <v>195</v>
      </c>
      <c r="C298">
        <v>17</v>
      </c>
      <c r="D298" t="s">
        <v>260</v>
      </c>
      <c r="E298" t="s">
        <v>79</v>
      </c>
      <c r="F298" t="s">
        <v>140</v>
      </c>
      <c r="G298">
        <v>0.18</v>
      </c>
      <c r="H298" t="s">
        <v>26</v>
      </c>
      <c r="I298">
        <v>0</v>
      </c>
      <c r="J298" t="str">
        <f>HYPERLINK("https://www.eliteprospects.com/player/695245/mick-frechette")</f>
        <v>https://www.eliteprospects.com/player/695245/mick-frechette</v>
      </c>
      <c r="K298" t="s">
        <v>27</v>
      </c>
      <c r="L298" t="s">
        <v>28</v>
      </c>
      <c r="M298" t="s">
        <v>1296</v>
      </c>
      <c r="N298">
        <v>3</v>
      </c>
      <c r="O298" t="s">
        <v>74</v>
      </c>
      <c r="P298">
        <v>0.03</v>
      </c>
      <c r="Q298" t="s">
        <v>245</v>
      </c>
      <c r="R298">
        <v>28.6</v>
      </c>
      <c r="S298">
        <v>31.4</v>
      </c>
      <c r="T298">
        <v>28.6</v>
      </c>
      <c r="U298">
        <v>4.3</v>
      </c>
      <c r="V298">
        <v>7.1</v>
      </c>
    </row>
    <row r="299" spans="1:22" x14ac:dyDescent="0.25">
      <c r="A299" t="s">
        <v>1603</v>
      </c>
      <c r="B299" t="s">
        <v>109</v>
      </c>
      <c r="C299">
        <v>18</v>
      </c>
      <c r="D299" t="s">
        <v>260</v>
      </c>
      <c r="E299" t="s">
        <v>79</v>
      </c>
      <c r="F299" t="s">
        <v>140</v>
      </c>
      <c r="G299">
        <v>0.17</v>
      </c>
      <c r="H299" t="s">
        <v>26</v>
      </c>
      <c r="I299">
        <v>9</v>
      </c>
      <c r="J299" t="str">
        <f>HYPERLINK("https://www.eliteprospects.com/player/592454/bennett-zmolek")</f>
        <v>https://www.eliteprospects.com/player/592454/bennett-zmolek</v>
      </c>
      <c r="K299" t="s">
        <v>27</v>
      </c>
      <c r="L299" t="s">
        <v>28</v>
      </c>
      <c r="M299" t="s">
        <v>1296</v>
      </c>
      <c r="N299">
        <v>5</v>
      </c>
      <c r="O299" t="s">
        <v>67</v>
      </c>
      <c r="P299">
        <v>0.03</v>
      </c>
      <c r="Q299" t="s">
        <v>245</v>
      </c>
      <c r="R299">
        <v>28.6</v>
      </c>
      <c r="S299">
        <v>31.4</v>
      </c>
      <c r="T299">
        <v>28.6</v>
      </c>
      <c r="U299">
        <v>4.3</v>
      </c>
      <c r="V299">
        <v>7.1</v>
      </c>
    </row>
    <row r="300" spans="1:22" x14ac:dyDescent="0.25">
      <c r="A300" t="s">
        <v>1604</v>
      </c>
      <c r="B300" t="s">
        <v>90</v>
      </c>
      <c r="C300">
        <v>19</v>
      </c>
      <c r="D300" t="s">
        <v>260</v>
      </c>
      <c r="E300" t="s">
        <v>79</v>
      </c>
      <c r="F300" t="s">
        <v>140</v>
      </c>
      <c r="G300">
        <v>0.16</v>
      </c>
      <c r="H300" t="s">
        <v>66</v>
      </c>
      <c r="I300">
        <v>4</v>
      </c>
      <c r="J300" t="str">
        <f>HYPERLINK("https://www.eliteprospects.com/player/478439/michael-rubin")</f>
        <v>https://www.eliteprospects.com/player/478439/michael-rubin</v>
      </c>
      <c r="K300" t="s">
        <v>27</v>
      </c>
      <c r="L300" t="s">
        <v>28</v>
      </c>
      <c r="M300" t="s">
        <v>1296</v>
      </c>
      <c r="N300">
        <v>2</v>
      </c>
      <c r="O300" t="s">
        <v>43</v>
      </c>
      <c r="P300">
        <v>0.03</v>
      </c>
      <c r="Q300" t="s">
        <v>245</v>
      </c>
      <c r="R300">
        <v>28.6</v>
      </c>
      <c r="S300">
        <v>31.4</v>
      </c>
      <c r="T300">
        <v>28.6</v>
      </c>
      <c r="U300">
        <v>4.3</v>
      </c>
      <c r="V300">
        <v>7.1</v>
      </c>
    </row>
    <row r="301" spans="1:22" x14ac:dyDescent="0.25">
      <c r="A301" t="s">
        <v>1605</v>
      </c>
      <c r="B301" t="s">
        <v>130</v>
      </c>
      <c r="C301">
        <v>19</v>
      </c>
      <c r="D301" t="s">
        <v>260</v>
      </c>
      <c r="E301" t="s">
        <v>79</v>
      </c>
      <c r="F301" t="s">
        <v>140</v>
      </c>
      <c r="G301">
        <v>0.16</v>
      </c>
      <c r="H301" t="s">
        <v>57</v>
      </c>
      <c r="I301">
        <v>-2</v>
      </c>
      <c r="J301" t="str">
        <f>HYPERLINK("https://www.eliteprospects.com/player/571894/ethan-beyer")</f>
        <v>https://www.eliteprospects.com/player/571894/ethan-beyer</v>
      </c>
      <c r="K301" t="s">
        <v>27</v>
      </c>
      <c r="L301" t="s">
        <v>28</v>
      </c>
      <c r="M301" t="s">
        <v>1296</v>
      </c>
      <c r="N301">
        <v>1</v>
      </c>
      <c r="O301" t="s">
        <v>71</v>
      </c>
      <c r="P301">
        <v>0.03</v>
      </c>
      <c r="Q301" t="s">
        <v>245</v>
      </c>
      <c r="R301">
        <v>28.6</v>
      </c>
      <c r="S301">
        <v>31.4</v>
      </c>
      <c r="T301">
        <v>28.6</v>
      </c>
      <c r="U301">
        <v>4.3</v>
      </c>
      <c r="V301">
        <v>7.1</v>
      </c>
    </row>
    <row r="302" spans="1:22" x14ac:dyDescent="0.25">
      <c r="A302" t="s">
        <v>1606</v>
      </c>
      <c r="B302" t="s">
        <v>224</v>
      </c>
      <c r="C302">
        <v>19</v>
      </c>
      <c r="D302" t="s">
        <v>260</v>
      </c>
      <c r="E302" t="s">
        <v>79</v>
      </c>
      <c r="F302" t="s">
        <v>140</v>
      </c>
      <c r="G302">
        <v>0.16</v>
      </c>
      <c r="H302" t="s">
        <v>26</v>
      </c>
      <c r="I302">
        <v>-9</v>
      </c>
      <c r="J302" t="str">
        <f>HYPERLINK("https://www.eliteprospects.com/player/511962/gabriel-lunn")</f>
        <v>https://www.eliteprospects.com/player/511962/gabriel-lunn</v>
      </c>
      <c r="K302" t="s">
        <v>27</v>
      </c>
      <c r="L302" t="s">
        <v>28</v>
      </c>
      <c r="M302" t="s">
        <v>1296</v>
      </c>
      <c r="N302">
        <v>3</v>
      </c>
      <c r="O302" t="s">
        <v>74</v>
      </c>
      <c r="P302">
        <v>0.03</v>
      </c>
      <c r="Q302" t="s">
        <v>245</v>
      </c>
      <c r="R302">
        <v>28.6</v>
      </c>
      <c r="S302">
        <v>31.4</v>
      </c>
      <c r="T302">
        <v>28.6</v>
      </c>
      <c r="U302">
        <v>4.3</v>
      </c>
      <c r="V302">
        <v>7.1</v>
      </c>
    </row>
    <row r="303" spans="1:22" x14ac:dyDescent="0.25">
      <c r="A303" t="s">
        <v>1607</v>
      </c>
      <c r="B303" t="s">
        <v>73</v>
      </c>
      <c r="C303">
        <v>20</v>
      </c>
      <c r="D303" t="s">
        <v>260</v>
      </c>
      <c r="E303" t="s">
        <v>79</v>
      </c>
      <c r="F303" t="s">
        <v>140</v>
      </c>
      <c r="G303">
        <v>0.15</v>
      </c>
      <c r="H303" t="s">
        <v>132</v>
      </c>
      <c r="I303">
        <v>-6</v>
      </c>
      <c r="J303" t="str">
        <f>HYPERLINK("https://www.eliteprospects.com/player/616231/thor-byfuglien")</f>
        <v>https://www.eliteprospects.com/player/616231/thor-byfuglien</v>
      </c>
      <c r="K303" t="s">
        <v>27</v>
      </c>
      <c r="L303" t="s">
        <v>28</v>
      </c>
      <c r="M303" t="s">
        <v>1296</v>
      </c>
      <c r="N303">
        <v>2</v>
      </c>
      <c r="O303" t="s">
        <v>43</v>
      </c>
      <c r="P303">
        <v>0.03</v>
      </c>
      <c r="Q303" t="s">
        <v>245</v>
      </c>
      <c r="R303">
        <v>28.6</v>
      </c>
      <c r="S303">
        <v>31.4</v>
      </c>
      <c r="T303">
        <v>28.6</v>
      </c>
      <c r="U303">
        <v>4.3</v>
      </c>
      <c r="V303">
        <v>7.1</v>
      </c>
    </row>
    <row r="304" spans="1:22" x14ac:dyDescent="0.25">
      <c r="A304" t="s">
        <v>1608</v>
      </c>
      <c r="B304" t="s">
        <v>238</v>
      </c>
      <c r="C304">
        <v>20</v>
      </c>
      <c r="D304" t="s">
        <v>260</v>
      </c>
      <c r="E304" t="s">
        <v>79</v>
      </c>
      <c r="F304" t="s">
        <v>140</v>
      </c>
      <c r="G304">
        <v>0.15</v>
      </c>
      <c r="H304" t="s">
        <v>79</v>
      </c>
      <c r="I304">
        <v>-7</v>
      </c>
      <c r="J304" t="str">
        <f>HYPERLINK("https://www.eliteprospects.com/player/556659/gustavs-ozolins")</f>
        <v>https://www.eliteprospects.com/player/556659/gustavs-ozolins</v>
      </c>
      <c r="K304" t="s">
        <v>27</v>
      </c>
      <c r="L304" t="s">
        <v>28</v>
      </c>
      <c r="M304" t="s">
        <v>1296</v>
      </c>
      <c r="N304">
        <v>2</v>
      </c>
      <c r="O304" t="s">
        <v>43</v>
      </c>
      <c r="P304">
        <v>0.03</v>
      </c>
      <c r="Q304" t="s">
        <v>245</v>
      </c>
      <c r="R304">
        <v>28.6</v>
      </c>
      <c r="S304">
        <v>31.4</v>
      </c>
      <c r="T304">
        <v>28.6</v>
      </c>
      <c r="U304">
        <v>4.3</v>
      </c>
      <c r="V304">
        <v>7.1</v>
      </c>
    </row>
    <row r="305" spans="1:22" x14ac:dyDescent="0.25">
      <c r="A305" t="s">
        <v>1609</v>
      </c>
      <c r="B305" t="s">
        <v>165</v>
      </c>
      <c r="C305">
        <v>20</v>
      </c>
      <c r="D305" t="s">
        <v>260</v>
      </c>
      <c r="E305" t="s">
        <v>79</v>
      </c>
      <c r="F305" t="s">
        <v>140</v>
      </c>
      <c r="G305">
        <v>0.15</v>
      </c>
      <c r="H305" t="s">
        <v>66</v>
      </c>
      <c r="I305">
        <v>2</v>
      </c>
      <c r="J305" t="str">
        <f>HYPERLINK("https://www.eliteprospects.com/player/527201/jacob-napier")</f>
        <v>https://www.eliteprospects.com/player/527201/jacob-napier</v>
      </c>
      <c r="K305" t="s">
        <v>27</v>
      </c>
      <c r="L305" t="s">
        <v>28</v>
      </c>
      <c r="M305" t="s">
        <v>1296</v>
      </c>
      <c r="N305">
        <v>3</v>
      </c>
      <c r="O305" t="s">
        <v>74</v>
      </c>
      <c r="P305">
        <v>0.03</v>
      </c>
      <c r="Q305" t="s">
        <v>245</v>
      </c>
      <c r="R305">
        <v>28.6</v>
      </c>
      <c r="S305">
        <v>31.4</v>
      </c>
      <c r="T305">
        <v>28.6</v>
      </c>
      <c r="U305">
        <v>4.3</v>
      </c>
      <c r="V305">
        <v>7.1</v>
      </c>
    </row>
    <row r="306" spans="1:22" x14ac:dyDescent="0.25">
      <c r="A306" t="s">
        <v>1610</v>
      </c>
      <c r="B306" t="s">
        <v>362</v>
      </c>
      <c r="C306">
        <v>20</v>
      </c>
      <c r="D306" t="s">
        <v>260</v>
      </c>
      <c r="E306" t="s">
        <v>79</v>
      </c>
      <c r="F306" t="s">
        <v>140</v>
      </c>
      <c r="G306">
        <v>0.15</v>
      </c>
      <c r="H306" t="s">
        <v>39</v>
      </c>
      <c r="I306">
        <v>-18</v>
      </c>
      <c r="J306" t="str">
        <f>HYPERLINK("https://www.eliteprospects.com/player/295806/john-larkin")</f>
        <v>https://www.eliteprospects.com/player/295806/john-larkin</v>
      </c>
      <c r="K306" t="s">
        <v>27</v>
      </c>
      <c r="L306" t="s">
        <v>28</v>
      </c>
      <c r="M306" t="s">
        <v>1296</v>
      </c>
      <c r="N306">
        <v>4</v>
      </c>
      <c r="O306" t="s">
        <v>30</v>
      </c>
      <c r="P306">
        <v>0.03</v>
      </c>
      <c r="Q306" t="s">
        <v>245</v>
      </c>
      <c r="R306">
        <v>28.6</v>
      </c>
      <c r="S306">
        <v>31.4</v>
      </c>
      <c r="T306">
        <v>28.6</v>
      </c>
      <c r="U306">
        <v>4.3</v>
      </c>
      <c r="V306">
        <v>7.1</v>
      </c>
    </row>
    <row r="307" spans="1:22" x14ac:dyDescent="0.25">
      <c r="A307" t="s">
        <v>1611</v>
      </c>
      <c r="B307" t="s">
        <v>98</v>
      </c>
      <c r="C307">
        <v>21</v>
      </c>
      <c r="D307" t="s">
        <v>260</v>
      </c>
      <c r="E307" t="s">
        <v>79</v>
      </c>
      <c r="F307" t="s">
        <v>140</v>
      </c>
      <c r="G307">
        <v>0.14000000000000001</v>
      </c>
      <c r="H307" t="s">
        <v>24</v>
      </c>
      <c r="I307">
        <v>4</v>
      </c>
      <c r="J307" t="str">
        <f>HYPERLINK("https://www.eliteprospects.com/player/294577/nick-young")</f>
        <v>https://www.eliteprospects.com/player/294577/nick-young</v>
      </c>
      <c r="K307" t="s">
        <v>27</v>
      </c>
      <c r="L307" t="s">
        <v>28</v>
      </c>
      <c r="M307" t="s">
        <v>1296</v>
      </c>
      <c r="N307">
        <v>4</v>
      </c>
      <c r="O307" t="s">
        <v>30</v>
      </c>
      <c r="P307">
        <v>0.03</v>
      </c>
      <c r="Q307" t="s">
        <v>245</v>
      </c>
      <c r="R307">
        <v>28.6</v>
      </c>
      <c r="S307">
        <v>31.4</v>
      </c>
      <c r="T307">
        <v>28.6</v>
      </c>
      <c r="U307">
        <v>4.3</v>
      </c>
      <c r="V307">
        <v>7.1</v>
      </c>
    </row>
    <row r="308" spans="1:22" x14ac:dyDescent="0.25">
      <c r="A308" t="s">
        <v>1612</v>
      </c>
      <c r="B308" t="s">
        <v>131</v>
      </c>
      <c r="C308">
        <v>21</v>
      </c>
      <c r="D308" t="s">
        <v>260</v>
      </c>
      <c r="E308" t="s">
        <v>79</v>
      </c>
      <c r="F308" t="s">
        <v>140</v>
      </c>
      <c r="G308">
        <v>0.14000000000000001</v>
      </c>
      <c r="H308" t="s">
        <v>81</v>
      </c>
      <c r="I308">
        <v>-5</v>
      </c>
      <c r="J308" t="str">
        <f>HYPERLINK("https://www.eliteprospects.com/player/467448/sean-vlasich")</f>
        <v>https://www.eliteprospects.com/player/467448/sean-vlasich</v>
      </c>
      <c r="K308" t="s">
        <v>27</v>
      </c>
      <c r="L308" t="s">
        <v>28</v>
      </c>
      <c r="M308" t="s">
        <v>1296</v>
      </c>
      <c r="N308">
        <v>4</v>
      </c>
      <c r="O308" t="s">
        <v>30</v>
      </c>
      <c r="P308">
        <v>0.03</v>
      </c>
      <c r="Q308" t="s">
        <v>245</v>
      </c>
      <c r="R308">
        <v>28.6</v>
      </c>
      <c r="S308">
        <v>31.4</v>
      </c>
      <c r="T308">
        <v>28.6</v>
      </c>
      <c r="U308">
        <v>4.3</v>
      </c>
      <c r="V308">
        <v>7.1</v>
      </c>
    </row>
    <row r="309" spans="1:22" x14ac:dyDescent="0.25">
      <c r="A309" t="s">
        <v>1613</v>
      </c>
      <c r="B309" t="s">
        <v>88</v>
      </c>
      <c r="C309">
        <v>22</v>
      </c>
      <c r="D309" t="s">
        <v>260</v>
      </c>
      <c r="E309" t="s">
        <v>79</v>
      </c>
      <c r="F309" t="s">
        <v>140</v>
      </c>
      <c r="G309">
        <v>0.14000000000000001</v>
      </c>
      <c r="H309" t="s">
        <v>66</v>
      </c>
      <c r="I309">
        <v>-5</v>
      </c>
      <c r="J309" t="str">
        <f>HYPERLINK("https://www.eliteprospects.com/player/669850/beau-janzig")</f>
        <v>https://www.eliteprospects.com/player/669850/beau-janzig</v>
      </c>
      <c r="K309" t="s">
        <v>27</v>
      </c>
      <c r="L309" t="s">
        <v>28</v>
      </c>
      <c r="M309" t="s">
        <v>1296</v>
      </c>
      <c r="N309">
        <v>2</v>
      </c>
      <c r="O309" t="s">
        <v>43</v>
      </c>
      <c r="P309">
        <v>0.03</v>
      </c>
      <c r="Q309" t="s">
        <v>245</v>
      </c>
      <c r="R309">
        <v>28.6</v>
      </c>
      <c r="S309">
        <v>31.4</v>
      </c>
      <c r="T309">
        <v>28.6</v>
      </c>
      <c r="U309">
        <v>4.3</v>
      </c>
      <c r="V309">
        <v>7.1</v>
      </c>
    </row>
    <row r="310" spans="1:22" x14ac:dyDescent="0.25">
      <c r="A310" t="s">
        <v>1614</v>
      </c>
      <c r="B310" t="s">
        <v>189</v>
      </c>
      <c r="C310">
        <v>24</v>
      </c>
      <c r="D310" t="s">
        <v>260</v>
      </c>
      <c r="E310" t="s">
        <v>79</v>
      </c>
      <c r="F310" t="s">
        <v>140</v>
      </c>
      <c r="G310">
        <v>0.13</v>
      </c>
      <c r="H310" t="s">
        <v>564</v>
      </c>
      <c r="I310">
        <v>-7</v>
      </c>
      <c r="J310" t="str">
        <f>HYPERLINK("https://www.eliteprospects.com/player/567352/trevor-taulien")</f>
        <v>https://www.eliteprospects.com/player/567352/trevor-taulien</v>
      </c>
      <c r="K310" t="s">
        <v>27</v>
      </c>
      <c r="L310" t="s">
        <v>28</v>
      </c>
      <c r="M310" t="s">
        <v>1296</v>
      </c>
      <c r="N310">
        <v>3</v>
      </c>
      <c r="O310" t="s">
        <v>74</v>
      </c>
      <c r="P310">
        <v>0.03</v>
      </c>
      <c r="Q310" t="s">
        <v>245</v>
      </c>
      <c r="R310">
        <v>28.6</v>
      </c>
      <c r="S310">
        <v>31.4</v>
      </c>
      <c r="T310">
        <v>28.6</v>
      </c>
      <c r="U310">
        <v>4.3</v>
      </c>
      <c r="V310">
        <v>7.1</v>
      </c>
    </row>
    <row r="311" spans="1:22" x14ac:dyDescent="0.25">
      <c r="A311" t="s">
        <v>1615</v>
      </c>
      <c r="B311" t="s">
        <v>139</v>
      </c>
      <c r="C311">
        <v>12</v>
      </c>
      <c r="D311" t="s">
        <v>132</v>
      </c>
      <c r="E311" t="s">
        <v>140</v>
      </c>
      <c r="F311" t="s">
        <v>140</v>
      </c>
      <c r="G311">
        <v>0.25</v>
      </c>
      <c r="H311" t="s">
        <v>23</v>
      </c>
      <c r="I311">
        <v>8</v>
      </c>
      <c r="J311" t="str">
        <f>HYPERLINK("https://www.eliteprospects.com/player/603138/zach-schulz")</f>
        <v>https://www.eliteprospects.com/player/603138/zach-schulz</v>
      </c>
      <c r="K311" t="s">
        <v>27</v>
      </c>
      <c r="L311" t="s">
        <v>28</v>
      </c>
      <c r="M311" t="s">
        <v>1296</v>
      </c>
      <c r="N311">
        <v>3</v>
      </c>
      <c r="O311" t="s">
        <v>74</v>
      </c>
      <c r="P311">
        <v>0.05</v>
      </c>
      <c r="Q311" t="s">
        <v>1325</v>
      </c>
      <c r="R311">
        <v>26.3</v>
      </c>
      <c r="S311">
        <v>23.7</v>
      </c>
      <c r="T311">
        <v>28.9</v>
      </c>
      <c r="U311">
        <v>5.3</v>
      </c>
      <c r="V311">
        <v>15.8</v>
      </c>
    </row>
    <row r="312" spans="1:22" x14ac:dyDescent="0.25">
      <c r="A312" t="s">
        <v>1616</v>
      </c>
      <c r="B312" t="s">
        <v>195</v>
      </c>
      <c r="C312">
        <v>14</v>
      </c>
      <c r="D312" t="s">
        <v>132</v>
      </c>
      <c r="E312" t="s">
        <v>140</v>
      </c>
      <c r="F312" t="s">
        <v>140</v>
      </c>
      <c r="G312">
        <v>0.21</v>
      </c>
      <c r="H312" t="s">
        <v>66</v>
      </c>
      <c r="I312">
        <v>-4</v>
      </c>
      <c r="J312" t="str">
        <f>HYPERLINK("https://www.eliteprospects.com/player/863767/malte-vass")</f>
        <v>https://www.eliteprospects.com/player/863767/malte-vass</v>
      </c>
      <c r="K312" t="s">
        <v>27</v>
      </c>
      <c r="L312" t="s">
        <v>28</v>
      </c>
      <c r="M312" t="s">
        <v>1296</v>
      </c>
      <c r="N312">
        <v>1</v>
      </c>
      <c r="O312" t="s">
        <v>71</v>
      </c>
      <c r="P312">
        <v>0.04</v>
      </c>
      <c r="Q312" t="s">
        <v>245</v>
      </c>
      <c r="R312">
        <v>28.6</v>
      </c>
      <c r="S312">
        <v>31.4</v>
      </c>
      <c r="T312">
        <v>28.6</v>
      </c>
      <c r="U312">
        <v>4.3</v>
      </c>
      <c r="V312">
        <v>7.1</v>
      </c>
    </row>
    <row r="313" spans="1:22" x14ac:dyDescent="0.25">
      <c r="A313" t="s">
        <v>1617</v>
      </c>
      <c r="B313" t="s">
        <v>98</v>
      </c>
      <c r="C313">
        <v>14</v>
      </c>
      <c r="D313" t="s">
        <v>132</v>
      </c>
      <c r="E313" t="s">
        <v>140</v>
      </c>
      <c r="F313" t="s">
        <v>140</v>
      </c>
      <c r="G313">
        <v>0.21</v>
      </c>
      <c r="H313" t="s">
        <v>55</v>
      </c>
      <c r="I313">
        <v>-1</v>
      </c>
      <c r="J313" t="str">
        <f>HYPERLINK("https://www.eliteprospects.com/player/201886/d.j.-hart")</f>
        <v>https://www.eliteprospects.com/player/201886/d.j.-hart</v>
      </c>
      <c r="K313" t="s">
        <v>27</v>
      </c>
      <c r="L313" t="s">
        <v>28</v>
      </c>
      <c r="M313" t="s">
        <v>1296</v>
      </c>
      <c r="N313">
        <v>3</v>
      </c>
      <c r="O313" t="s">
        <v>74</v>
      </c>
      <c r="P313">
        <v>0.04</v>
      </c>
      <c r="Q313" t="s">
        <v>245</v>
      </c>
      <c r="R313">
        <v>28.6</v>
      </c>
      <c r="S313">
        <v>31.4</v>
      </c>
      <c r="T313">
        <v>28.6</v>
      </c>
      <c r="U313">
        <v>4.3</v>
      </c>
      <c r="V313">
        <v>7.1</v>
      </c>
    </row>
    <row r="314" spans="1:22" x14ac:dyDescent="0.25">
      <c r="A314" t="s">
        <v>1618</v>
      </c>
      <c r="B314" t="s">
        <v>362</v>
      </c>
      <c r="C314">
        <v>16</v>
      </c>
      <c r="D314" t="s">
        <v>132</v>
      </c>
      <c r="E314" t="s">
        <v>140</v>
      </c>
      <c r="F314" t="s">
        <v>140</v>
      </c>
      <c r="G314">
        <v>0.19</v>
      </c>
      <c r="H314" t="s">
        <v>79</v>
      </c>
      <c r="I314">
        <v>-8</v>
      </c>
      <c r="J314" t="str">
        <f>HYPERLINK("https://www.eliteprospects.com/player/201957/trent-sambrook")</f>
        <v>https://www.eliteprospects.com/player/201957/trent-sambrook</v>
      </c>
      <c r="K314" t="s">
        <v>27</v>
      </c>
      <c r="L314" t="s">
        <v>28</v>
      </c>
      <c r="M314" t="s">
        <v>1296</v>
      </c>
      <c r="N314">
        <v>3</v>
      </c>
      <c r="O314" t="s">
        <v>74</v>
      </c>
      <c r="P314">
        <v>0.04</v>
      </c>
      <c r="Q314" t="s">
        <v>245</v>
      </c>
      <c r="R314">
        <v>28.6</v>
      </c>
      <c r="S314">
        <v>31.4</v>
      </c>
      <c r="T314">
        <v>28.6</v>
      </c>
      <c r="U314">
        <v>4.3</v>
      </c>
      <c r="V314">
        <v>7.1</v>
      </c>
    </row>
    <row r="315" spans="1:22" x14ac:dyDescent="0.25">
      <c r="A315" t="s">
        <v>1619</v>
      </c>
      <c r="B315" t="s">
        <v>234</v>
      </c>
      <c r="C315">
        <v>16</v>
      </c>
      <c r="D315" t="s">
        <v>132</v>
      </c>
      <c r="E315" t="s">
        <v>140</v>
      </c>
      <c r="F315" t="s">
        <v>140</v>
      </c>
      <c r="G315">
        <v>0.19</v>
      </c>
      <c r="H315" t="s">
        <v>57</v>
      </c>
      <c r="I315">
        <v>-9</v>
      </c>
      <c r="J315" t="str">
        <f>HYPERLINK("https://www.eliteprospects.com/player/526478/owen-dyer")</f>
        <v>https://www.eliteprospects.com/player/526478/owen-dyer</v>
      </c>
      <c r="K315" t="s">
        <v>27</v>
      </c>
      <c r="L315" t="s">
        <v>28</v>
      </c>
      <c r="M315" t="s">
        <v>1296</v>
      </c>
      <c r="N315">
        <v>1</v>
      </c>
      <c r="O315" t="s">
        <v>71</v>
      </c>
      <c r="P315">
        <v>0.04</v>
      </c>
      <c r="Q315" t="s">
        <v>245</v>
      </c>
      <c r="R315">
        <v>28.6</v>
      </c>
      <c r="S315">
        <v>31.4</v>
      </c>
      <c r="T315">
        <v>28.6</v>
      </c>
      <c r="U315">
        <v>4.3</v>
      </c>
      <c r="V315">
        <v>7.1</v>
      </c>
    </row>
    <row r="316" spans="1:22" x14ac:dyDescent="0.25">
      <c r="A316" t="s">
        <v>1620</v>
      </c>
      <c r="B316" t="s">
        <v>103</v>
      </c>
      <c r="C316">
        <v>17</v>
      </c>
      <c r="D316" t="s">
        <v>132</v>
      </c>
      <c r="E316" t="s">
        <v>140</v>
      </c>
      <c r="F316" t="s">
        <v>140</v>
      </c>
      <c r="G316">
        <v>0.18</v>
      </c>
      <c r="H316" t="s">
        <v>79</v>
      </c>
      <c r="I316">
        <v>-2</v>
      </c>
      <c r="J316" t="str">
        <f>HYPERLINK("https://www.eliteprospects.com/player/623146/charlie-lieberman")</f>
        <v>https://www.eliteprospects.com/player/623146/charlie-lieberman</v>
      </c>
      <c r="K316" t="s">
        <v>27</v>
      </c>
      <c r="L316" t="s">
        <v>28</v>
      </c>
      <c r="M316" t="s">
        <v>1296</v>
      </c>
      <c r="N316">
        <v>2</v>
      </c>
      <c r="O316" t="s">
        <v>43</v>
      </c>
      <c r="P316">
        <v>0.03</v>
      </c>
      <c r="Q316" t="s">
        <v>245</v>
      </c>
      <c r="R316">
        <v>28.6</v>
      </c>
      <c r="S316">
        <v>31.4</v>
      </c>
      <c r="T316">
        <v>28.6</v>
      </c>
      <c r="U316">
        <v>4.3</v>
      </c>
      <c r="V316">
        <v>7.1</v>
      </c>
    </row>
    <row r="317" spans="1:22" x14ac:dyDescent="0.25">
      <c r="A317" t="s">
        <v>1621</v>
      </c>
      <c r="B317" t="s">
        <v>150</v>
      </c>
      <c r="C317">
        <v>17</v>
      </c>
      <c r="D317" t="s">
        <v>132</v>
      </c>
      <c r="E317" t="s">
        <v>140</v>
      </c>
      <c r="F317" t="s">
        <v>140</v>
      </c>
      <c r="G317">
        <v>0.18</v>
      </c>
      <c r="H317" t="s">
        <v>79</v>
      </c>
      <c r="I317">
        <v>-2</v>
      </c>
      <c r="J317" t="str">
        <f>HYPERLINK("https://www.eliteprospects.com/player/526476/chris-able")</f>
        <v>https://www.eliteprospects.com/player/526476/chris-able</v>
      </c>
      <c r="K317" t="s">
        <v>27</v>
      </c>
      <c r="L317" t="s">
        <v>28</v>
      </c>
      <c r="M317" t="s">
        <v>1296</v>
      </c>
      <c r="N317">
        <v>2</v>
      </c>
      <c r="O317" t="s">
        <v>43</v>
      </c>
      <c r="P317">
        <v>0.03</v>
      </c>
      <c r="Q317" t="s">
        <v>245</v>
      </c>
      <c r="R317">
        <v>28.6</v>
      </c>
      <c r="S317">
        <v>31.4</v>
      </c>
      <c r="T317">
        <v>28.6</v>
      </c>
      <c r="U317">
        <v>4.3</v>
      </c>
      <c r="V317">
        <v>7.1</v>
      </c>
    </row>
    <row r="318" spans="1:22" x14ac:dyDescent="0.25">
      <c r="A318" t="s">
        <v>1622</v>
      </c>
      <c r="B318" t="s">
        <v>158</v>
      </c>
      <c r="C318">
        <v>17</v>
      </c>
      <c r="D318" t="s">
        <v>132</v>
      </c>
      <c r="E318" t="s">
        <v>140</v>
      </c>
      <c r="F318" t="s">
        <v>140</v>
      </c>
      <c r="G318">
        <v>0.18</v>
      </c>
      <c r="H318" t="s">
        <v>79</v>
      </c>
      <c r="I318">
        <v>2</v>
      </c>
      <c r="J318" t="str">
        <f>HYPERLINK("https://www.eliteprospects.com/player/414965/noah-barlage")</f>
        <v>https://www.eliteprospects.com/player/414965/noah-barlage</v>
      </c>
      <c r="K318" t="s">
        <v>27</v>
      </c>
      <c r="L318" t="s">
        <v>28</v>
      </c>
      <c r="M318" t="s">
        <v>1296</v>
      </c>
      <c r="N318">
        <v>2</v>
      </c>
      <c r="O318" t="s">
        <v>43</v>
      </c>
      <c r="P318">
        <v>0.03</v>
      </c>
      <c r="Q318" t="s">
        <v>245</v>
      </c>
      <c r="R318">
        <v>28.6</v>
      </c>
      <c r="S318">
        <v>31.4</v>
      </c>
      <c r="T318">
        <v>28.6</v>
      </c>
      <c r="U318">
        <v>4.3</v>
      </c>
      <c r="V318">
        <v>7.1</v>
      </c>
    </row>
    <row r="319" spans="1:22" x14ac:dyDescent="0.25">
      <c r="A319" t="s">
        <v>1623</v>
      </c>
      <c r="B319" t="s">
        <v>86</v>
      </c>
      <c r="C319">
        <v>17</v>
      </c>
      <c r="D319" t="s">
        <v>132</v>
      </c>
      <c r="E319" t="s">
        <v>140</v>
      </c>
      <c r="F319" t="s">
        <v>140</v>
      </c>
      <c r="G319">
        <v>0.18</v>
      </c>
      <c r="H319" t="s">
        <v>66</v>
      </c>
      <c r="I319">
        <v>5</v>
      </c>
      <c r="J319" t="str">
        <f>HYPERLINK("https://www.eliteprospects.com/player/201772/travis-shoudy")</f>
        <v>https://www.eliteprospects.com/player/201772/travis-shoudy</v>
      </c>
      <c r="K319" t="s">
        <v>27</v>
      </c>
      <c r="L319" t="s">
        <v>28</v>
      </c>
      <c r="M319" t="s">
        <v>1296</v>
      </c>
      <c r="N319">
        <v>4</v>
      </c>
      <c r="O319" t="s">
        <v>30</v>
      </c>
      <c r="P319">
        <v>0.03</v>
      </c>
      <c r="Q319" t="s">
        <v>245</v>
      </c>
      <c r="R319">
        <v>28.6</v>
      </c>
      <c r="S319">
        <v>31.4</v>
      </c>
      <c r="T319">
        <v>28.6</v>
      </c>
      <c r="U319">
        <v>4.3</v>
      </c>
      <c r="V319">
        <v>7.1</v>
      </c>
    </row>
    <row r="320" spans="1:22" x14ac:dyDescent="0.25">
      <c r="A320" t="s">
        <v>1624</v>
      </c>
      <c r="B320" t="s">
        <v>150</v>
      </c>
      <c r="C320">
        <v>17</v>
      </c>
      <c r="D320" t="s">
        <v>132</v>
      </c>
      <c r="E320" t="s">
        <v>140</v>
      </c>
      <c r="F320" t="s">
        <v>140</v>
      </c>
      <c r="G320">
        <v>0.18</v>
      </c>
      <c r="H320" t="s">
        <v>66</v>
      </c>
      <c r="I320">
        <v>-5</v>
      </c>
      <c r="J320" t="str">
        <f>HYPERLINK("https://www.eliteprospects.com/player/538374/ethan-straky")</f>
        <v>https://www.eliteprospects.com/player/538374/ethan-straky</v>
      </c>
      <c r="K320" t="s">
        <v>27</v>
      </c>
      <c r="L320" t="s">
        <v>28</v>
      </c>
      <c r="M320" t="s">
        <v>1296</v>
      </c>
      <c r="N320">
        <v>4</v>
      </c>
      <c r="O320" t="s">
        <v>30</v>
      </c>
      <c r="P320">
        <v>0.03</v>
      </c>
      <c r="Q320" t="s">
        <v>245</v>
      </c>
      <c r="R320">
        <v>28.6</v>
      </c>
      <c r="S320">
        <v>31.4</v>
      </c>
      <c r="T320">
        <v>28.6</v>
      </c>
      <c r="U320">
        <v>4.3</v>
      </c>
      <c r="V320">
        <v>7.1</v>
      </c>
    </row>
    <row r="321" spans="1:22" x14ac:dyDescent="0.25">
      <c r="A321" t="s">
        <v>1625</v>
      </c>
      <c r="B321" t="s">
        <v>189</v>
      </c>
      <c r="C321">
        <v>17</v>
      </c>
      <c r="D321" t="s">
        <v>132</v>
      </c>
      <c r="E321" t="s">
        <v>140</v>
      </c>
      <c r="F321" t="s">
        <v>140</v>
      </c>
      <c r="G321">
        <v>0.18</v>
      </c>
      <c r="H321" t="s">
        <v>57</v>
      </c>
      <c r="I321">
        <v>-6</v>
      </c>
      <c r="J321" t="str">
        <f>HYPERLINK("https://www.eliteprospects.com/player/336953/nic-belpedio")</f>
        <v>https://www.eliteprospects.com/player/336953/nic-belpedio</v>
      </c>
      <c r="K321" t="s">
        <v>27</v>
      </c>
      <c r="L321" t="s">
        <v>28</v>
      </c>
      <c r="M321" t="s">
        <v>1296</v>
      </c>
      <c r="N321">
        <v>5</v>
      </c>
      <c r="O321" t="s">
        <v>67</v>
      </c>
      <c r="P321">
        <v>0.03</v>
      </c>
      <c r="Q321" t="s">
        <v>245</v>
      </c>
      <c r="R321">
        <v>28.6</v>
      </c>
      <c r="S321">
        <v>31.4</v>
      </c>
      <c r="T321">
        <v>28.6</v>
      </c>
      <c r="U321">
        <v>4.3</v>
      </c>
      <c r="V321">
        <v>7.1</v>
      </c>
    </row>
    <row r="322" spans="1:22" x14ac:dyDescent="0.25">
      <c r="A322" t="s">
        <v>1626</v>
      </c>
      <c r="B322" t="s">
        <v>163</v>
      </c>
      <c r="C322">
        <v>17</v>
      </c>
      <c r="D322" t="s">
        <v>132</v>
      </c>
      <c r="E322" t="s">
        <v>140</v>
      </c>
      <c r="F322" t="s">
        <v>140</v>
      </c>
      <c r="G322">
        <v>0.18</v>
      </c>
      <c r="H322" t="s">
        <v>32</v>
      </c>
      <c r="I322">
        <v>5</v>
      </c>
      <c r="J322" t="str">
        <f>HYPERLINK("https://www.eliteprospects.com/player/597873/alexander-bales")</f>
        <v>https://www.eliteprospects.com/player/597873/alexander-bales</v>
      </c>
      <c r="K322" t="s">
        <v>27</v>
      </c>
      <c r="L322" t="s">
        <v>28</v>
      </c>
      <c r="M322" t="s">
        <v>1296</v>
      </c>
      <c r="N322">
        <v>2</v>
      </c>
      <c r="O322" t="s">
        <v>43</v>
      </c>
      <c r="P322">
        <v>0.03</v>
      </c>
      <c r="Q322" t="s">
        <v>245</v>
      </c>
      <c r="R322">
        <v>28.6</v>
      </c>
      <c r="S322">
        <v>31.4</v>
      </c>
      <c r="T322">
        <v>28.6</v>
      </c>
      <c r="U322">
        <v>4.3</v>
      </c>
      <c r="V322">
        <v>7.1</v>
      </c>
    </row>
    <row r="323" spans="1:22" x14ac:dyDescent="0.25">
      <c r="A323" t="s">
        <v>1627</v>
      </c>
      <c r="B323" t="s">
        <v>158</v>
      </c>
      <c r="C323">
        <v>17</v>
      </c>
      <c r="D323" t="s">
        <v>132</v>
      </c>
      <c r="E323" t="s">
        <v>140</v>
      </c>
      <c r="F323" t="s">
        <v>140</v>
      </c>
      <c r="G323">
        <v>0.18</v>
      </c>
      <c r="H323" t="s">
        <v>55</v>
      </c>
      <c r="I323">
        <v>-5</v>
      </c>
      <c r="J323" t="str">
        <f>HYPERLINK("https://www.eliteprospects.com/player/485084/adam-cardona")</f>
        <v>https://www.eliteprospects.com/player/485084/adam-cardona</v>
      </c>
      <c r="K323" t="s">
        <v>27</v>
      </c>
      <c r="L323" t="s">
        <v>28</v>
      </c>
      <c r="M323" t="s">
        <v>1296</v>
      </c>
      <c r="N323">
        <v>3</v>
      </c>
      <c r="O323" t="s">
        <v>74</v>
      </c>
      <c r="P323">
        <v>0.03</v>
      </c>
      <c r="Q323" t="s">
        <v>245</v>
      </c>
      <c r="R323">
        <v>28.6</v>
      </c>
      <c r="S323">
        <v>31.4</v>
      </c>
      <c r="T323">
        <v>28.6</v>
      </c>
      <c r="U323">
        <v>4.3</v>
      </c>
      <c r="V323">
        <v>7.1</v>
      </c>
    </row>
    <row r="324" spans="1:22" x14ac:dyDescent="0.25">
      <c r="A324" t="s">
        <v>1628</v>
      </c>
      <c r="B324" t="s">
        <v>101</v>
      </c>
      <c r="C324">
        <v>18</v>
      </c>
      <c r="D324" t="s">
        <v>132</v>
      </c>
      <c r="E324" t="s">
        <v>140</v>
      </c>
      <c r="F324" t="s">
        <v>140</v>
      </c>
      <c r="G324">
        <v>0.17</v>
      </c>
      <c r="H324" t="s">
        <v>66</v>
      </c>
      <c r="I324">
        <v>-1</v>
      </c>
      <c r="J324" t="str">
        <f>HYPERLINK("https://www.eliteprospects.com/player/626727/jack-henry")</f>
        <v>https://www.eliteprospects.com/player/626727/jack-henry</v>
      </c>
      <c r="K324" t="s">
        <v>27</v>
      </c>
      <c r="L324" t="s">
        <v>28</v>
      </c>
      <c r="M324" t="s">
        <v>1296</v>
      </c>
      <c r="N324">
        <v>2</v>
      </c>
      <c r="O324" t="s">
        <v>43</v>
      </c>
      <c r="P324">
        <v>0.03</v>
      </c>
      <c r="Q324" t="s">
        <v>245</v>
      </c>
      <c r="R324">
        <v>28.6</v>
      </c>
      <c r="S324">
        <v>31.4</v>
      </c>
      <c r="T324">
        <v>28.6</v>
      </c>
      <c r="U324">
        <v>4.3</v>
      </c>
      <c r="V324">
        <v>7.1</v>
      </c>
    </row>
    <row r="325" spans="1:22" x14ac:dyDescent="0.25">
      <c r="A325" t="s">
        <v>1629</v>
      </c>
      <c r="B325" t="s">
        <v>312</v>
      </c>
      <c r="C325">
        <v>18</v>
      </c>
      <c r="D325" t="s">
        <v>132</v>
      </c>
      <c r="E325" t="s">
        <v>140</v>
      </c>
      <c r="F325" t="s">
        <v>140</v>
      </c>
      <c r="G325">
        <v>0.17</v>
      </c>
      <c r="H325" t="s">
        <v>32</v>
      </c>
      <c r="I325">
        <v>-13</v>
      </c>
      <c r="J325" t="str">
        <f>HYPERLINK("https://www.eliteprospects.com/player/537564/david-jesus")</f>
        <v>https://www.eliteprospects.com/player/537564/david-jesus</v>
      </c>
      <c r="K325" t="s">
        <v>27</v>
      </c>
      <c r="L325" t="s">
        <v>28</v>
      </c>
      <c r="M325" t="s">
        <v>1296</v>
      </c>
      <c r="N325">
        <v>5</v>
      </c>
      <c r="O325" t="s">
        <v>182</v>
      </c>
      <c r="P325">
        <v>0.03</v>
      </c>
      <c r="Q325" t="s">
        <v>245</v>
      </c>
      <c r="R325">
        <v>28.6</v>
      </c>
      <c r="S325">
        <v>31.4</v>
      </c>
      <c r="T325">
        <v>28.6</v>
      </c>
      <c r="U325">
        <v>4.3</v>
      </c>
      <c r="V325">
        <v>7.1</v>
      </c>
    </row>
    <row r="326" spans="1:22" x14ac:dyDescent="0.25">
      <c r="A326" t="s">
        <v>1630</v>
      </c>
      <c r="B326" t="s">
        <v>174</v>
      </c>
      <c r="C326">
        <v>19</v>
      </c>
      <c r="D326" t="s">
        <v>132</v>
      </c>
      <c r="E326" t="s">
        <v>140</v>
      </c>
      <c r="F326" t="s">
        <v>140</v>
      </c>
      <c r="G326">
        <v>0.16</v>
      </c>
      <c r="H326" t="s">
        <v>79</v>
      </c>
      <c r="I326">
        <v>-6</v>
      </c>
      <c r="J326" t="str">
        <f>HYPERLINK("https://www.eliteprospects.com/player/526057/nicholas-de-angelis")</f>
        <v>https://www.eliteprospects.com/player/526057/nicholas-de-angelis</v>
      </c>
      <c r="K326" t="s">
        <v>27</v>
      </c>
      <c r="L326" t="s">
        <v>28</v>
      </c>
      <c r="M326" t="s">
        <v>1296</v>
      </c>
      <c r="N326">
        <v>5</v>
      </c>
      <c r="O326" t="s">
        <v>147</v>
      </c>
      <c r="P326">
        <v>0.03</v>
      </c>
      <c r="Q326" t="s">
        <v>245</v>
      </c>
      <c r="R326">
        <v>28.6</v>
      </c>
      <c r="S326">
        <v>31.4</v>
      </c>
      <c r="T326">
        <v>28.6</v>
      </c>
      <c r="U326">
        <v>4.3</v>
      </c>
      <c r="V326">
        <v>7.1</v>
      </c>
    </row>
    <row r="327" spans="1:22" x14ac:dyDescent="0.25">
      <c r="A327" t="s">
        <v>1631</v>
      </c>
      <c r="B327" t="s">
        <v>80</v>
      </c>
      <c r="C327">
        <v>19</v>
      </c>
      <c r="D327" t="s">
        <v>132</v>
      </c>
      <c r="E327" t="s">
        <v>140</v>
      </c>
      <c r="F327" t="s">
        <v>140</v>
      </c>
      <c r="G327">
        <v>0.16</v>
      </c>
      <c r="H327" t="s">
        <v>26</v>
      </c>
      <c r="I327">
        <v>-1</v>
      </c>
      <c r="J327" t="str">
        <f>HYPERLINK("https://www.eliteprospects.com/player/512294/casey-aman")</f>
        <v>https://www.eliteprospects.com/player/512294/casey-aman</v>
      </c>
      <c r="K327" t="s">
        <v>27</v>
      </c>
      <c r="L327" t="s">
        <v>28</v>
      </c>
      <c r="M327" t="s">
        <v>1296</v>
      </c>
      <c r="N327">
        <v>3</v>
      </c>
      <c r="O327" t="s">
        <v>74</v>
      </c>
      <c r="P327">
        <v>0.03</v>
      </c>
      <c r="Q327" t="s">
        <v>245</v>
      </c>
      <c r="R327">
        <v>28.6</v>
      </c>
      <c r="S327">
        <v>31.4</v>
      </c>
      <c r="T327">
        <v>28.6</v>
      </c>
      <c r="U327">
        <v>4.3</v>
      </c>
      <c r="V327">
        <v>7.1</v>
      </c>
    </row>
    <row r="328" spans="1:22" x14ac:dyDescent="0.25">
      <c r="A328" t="s">
        <v>1632</v>
      </c>
      <c r="B328" t="s">
        <v>174</v>
      </c>
      <c r="C328">
        <v>19</v>
      </c>
      <c r="D328" t="s">
        <v>132</v>
      </c>
      <c r="E328" t="s">
        <v>140</v>
      </c>
      <c r="F328" t="s">
        <v>140</v>
      </c>
      <c r="G328">
        <v>0.16</v>
      </c>
      <c r="H328" t="s">
        <v>32</v>
      </c>
      <c r="I328">
        <v>1</v>
      </c>
      <c r="J328" t="str">
        <f>HYPERLINK("https://www.eliteprospects.com/player/563118/alex-carr")</f>
        <v>https://www.eliteprospects.com/player/563118/alex-carr</v>
      </c>
      <c r="K328" t="s">
        <v>27</v>
      </c>
      <c r="L328" t="s">
        <v>28</v>
      </c>
      <c r="M328" t="s">
        <v>1296</v>
      </c>
      <c r="N328">
        <v>6</v>
      </c>
      <c r="O328" t="s">
        <v>99</v>
      </c>
      <c r="P328">
        <v>0.03</v>
      </c>
      <c r="Q328" t="s">
        <v>245</v>
      </c>
      <c r="R328">
        <v>28.6</v>
      </c>
      <c r="S328">
        <v>31.4</v>
      </c>
      <c r="T328">
        <v>28.6</v>
      </c>
      <c r="U328">
        <v>4.3</v>
      </c>
      <c r="V328">
        <v>7.1</v>
      </c>
    </row>
    <row r="329" spans="1:22" x14ac:dyDescent="0.25">
      <c r="A329" t="s">
        <v>1633</v>
      </c>
      <c r="B329" t="s">
        <v>86</v>
      </c>
      <c r="C329">
        <v>20</v>
      </c>
      <c r="D329" t="s">
        <v>132</v>
      </c>
      <c r="E329" t="s">
        <v>140</v>
      </c>
      <c r="F329" t="s">
        <v>140</v>
      </c>
      <c r="G329">
        <v>0.15</v>
      </c>
      <c r="H329" t="s">
        <v>39</v>
      </c>
      <c r="I329">
        <v>8</v>
      </c>
      <c r="J329" t="str">
        <f>HYPERLINK("https://www.eliteprospects.com/player/815013/sean-barnhill")</f>
        <v>https://www.eliteprospects.com/player/815013/sean-barnhill</v>
      </c>
      <c r="K329" t="s">
        <v>27</v>
      </c>
      <c r="L329" t="s">
        <v>28</v>
      </c>
      <c r="M329" t="s">
        <v>1296</v>
      </c>
      <c r="N329">
        <v>1</v>
      </c>
      <c r="O329" t="s">
        <v>71</v>
      </c>
      <c r="P329">
        <v>0.03</v>
      </c>
      <c r="Q329" t="s">
        <v>245</v>
      </c>
      <c r="R329">
        <v>28.6</v>
      </c>
      <c r="S329">
        <v>31.4</v>
      </c>
      <c r="T329">
        <v>28.6</v>
      </c>
      <c r="U329">
        <v>4.3</v>
      </c>
      <c r="V329">
        <v>7.1</v>
      </c>
    </row>
    <row r="330" spans="1:22" x14ac:dyDescent="0.25">
      <c r="A330" t="s">
        <v>1634</v>
      </c>
      <c r="B330" t="s">
        <v>80</v>
      </c>
      <c r="C330">
        <v>20</v>
      </c>
      <c r="D330" t="s">
        <v>132</v>
      </c>
      <c r="E330" t="s">
        <v>140</v>
      </c>
      <c r="F330" t="s">
        <v>140</v>
      </c>
      <c r="G330">
        <v>0.15</v>
      </c>
      <c r="H330" t="s">
        <v>25</v>
      </c>
      <c r="I330">
        <v>3</v>
      </c>
      <c r="J330" t="str">
        <f>HYPERLINK("https://www.eliteprospects.com/player/661584/nolan-collins")</f>
        <v>https://www.eliteprospects.com/player/661584/nolan-collins</v>
      </c>
      <c r="K330" t="s">
        <v>27</v>
      </c>
      <c r="L330" t="s">
        <v>28</v>
      </c>
      <c r="M330" t="s">
        <v>1296</v>
      </c>
      <c r="N330">
        <v>5</v>
      </c>
      <c r="O330" t="s">
        <v>147</v>
      </c>
      <c r="P330">
        <v>0.03</v>
      </c>
      <c r="Q330" t="s">
        <v>245</v>
      </c>
      <c r="R330">
        <v>28.6</v>
      </c>
      <c r="S330">
        <v>31.4</v>
      </c>
      <c r="T330">
        <v>28.6</v>
      </c>
      <c r="U330">
        <v>4.3</v>
      </c>
      <c r="V330">
        <v>7.1</v>
      </c>
    </row>
    <row r="331" spans="1:22" x14ac:dyDescent="0.25">
      <c r="A331" t="s">
        <v>1635</v>
      </c>
      <c r="B331" t="s">
        <v>119</v>
      </c>
      <c r="C331">
        <v>21</v>
      </c>
      <c r="D331" t="s">
        <v>132</v>
      </c>
      <c r="E331" t="s">
        <v>140</v>
      </c>
      <c r="F331" t="s">
        <v>140</v>
      </c>
      <c r="G331">
        <v>0.14000000000000001</v>
      </c>
      <c r="H331" t="s">
        <v>26</v>
      </c>
      <c r="I331">
        <v>7</v>
      </c>
      <c r="J331" t="str">
        <f>HYPERLINK("https://www.eliteprospects.com/player/785527/jacob-rombach")</f>
        <v>https://www.eliteprospects.com/player/785527/jacob-rombach</v>
      </c>
      <c r="K331" t="s">
        <v>27</v>
      </c>
      <c r="L331" t="s">
        <v>28</v>
      </c>
      <c r="M331" t="s">
        <v>1296</v>
      </c>
      <c r="N331">
        <v>1</v>
      </c>
      <c r="O331" t="s">
        <v>71</v>
      </c>
      <c r="P331">
        <v>0.03</v>
      </c>
      <c r="Q331" t="s">
        <v>245</v>
      </c>
      <c r="R331">
        <v>28.6</v>
      </c>
      <c r="S331">
        <v>31.4</v>
      </c>
      <c r="T331">
        <v>28.6</v>
      </c>
      <c r="U331">
        <v>4.3</v>
      </c>
      <c r="V331">
        <v>7.1</v>
      </c>
    </row>
    <row r="332" spans="1:22" x14ac:dyDescent="0.25">
      <c r="A332" t="s">
        <v>1636</v>
      </c>
      <c r="B332" t="s">
        <v>124</v>
      </c>
      <c r="C332">
        <v>21</v>
      </c>
      <c r="D332" t="s">
        <v>132</v>
      </c>
      <c r="E332" t="s">
        <v>140</v>
      </c>
      <c r="F332" t="s">
        <v>140</v>
      </c>
      <c r="G332">
        <v>0.14000000000000001</v>
      </c>
      <c r="H332" t="s">
        <v>39</v>
      </c>
      <c r="I332">
        <v>-2</v>
      </c>
      <c r="J332" t="str">
        <f>HYPERLINK("https://www.eliteprospects.com/player/617842/shaun-mcewen")</f>
        <v>https://www.eliteprospects.com/player/617842/shaun-mcewen</v>
      </c>
      <c r="K332" t="s">
        <v>27</v>
      </c>
      <c r="L332" t="s">
        <v>28</v>
      </c>
      <c r="M332" t="s">
        <v>1296</v>
      </c>
      <c r="N332">
        <v>1</v>
      </c>
      <c r="O332" t="s">
        <v>71</v>
      </c>
      <c r="P332">
        <v>0.03</v>
      </c>
      <c r="Q332" t="s">
        <v>245</v>
      </c>
      <c r="R332">
        <v>28.6</v>
      </c>
      <c r="S332">
        <v>31.4</v>
      </c>
      <c r="T332">
        <v>28.6</v>
      </c>
      <c r="U332">
        <v>4.3</v>
      </c>
      <c r="V332">
        <v>7.1</v>
      </c>
    </row>
    <row r="333" spans="1:22" x14ac:dyDescent="0.25">
      <c r="A333" t="s">
        <v>1637</v>
      </c>
      <c r="B333" t="s">
        <v>146</v>
      </c>
      <c r="C333">
        <v>22</v>
      </c>
      <c r="D333" t="s">
        <v>132</v>
      </c>
      <c r="E333" t="s">
        <v>140</v>
      </c>
      <c r="F333" t="s">
        <v>140</v>
      </c>
      <c r="G333">
        <v>0.14000000000000001</v>
      </c>
      <c r="H333" t="s">
        <v>26</v>
      </c>
      <c r="I333">
        <v>8</v>
      </c>
      <c r="J333" t="str">
        <f>HYPERLINK("https://www.eliteprospects.com/player/498731/mike-brown")</f>
        <v>https://www.eliteprospects.com/player/498731/mike-brown</v>
      </c>
      <c r="K333" t="s">
        <v>27</v>
      </c>
      <c r="L333" t="s">
        <v>28</v>
      </c>
      <c r="M333" t="s">
        <v>1296</v>
      </c>
      <c r="N333">
        <v>5</v>
      </c>
      <c r="O333" t="s">
        <v>67</v>
      </c>
      <c r="P333">
        <v>0.03</v>
      </c>
      <c r="Q333" t="s">
        <v>245</v>
      </c>
      <c r="R333">
        <v>28.6</v>
      </c>
      <c r="S333">
        <v>31.4</v>
      </c>
      <c r="T333">
        <v>28.6</v>
      </c>
      <c r="U333">
        <v>4.3</v>
      </c>
      <c r="V333">
        <v>7.1</v>
      </c>
    </row>
    <row r="334" spans="1:22" x14ac:dyDescent="0.25">
      <c r="A334" t="s">
        <v>1638</v>
      </c>
      <c r="B334" t="s">
        <v>116</v>
      </c>
      <c r="C334">
        <v>22</v>
      </c>
      <c r="D334" t="s">
        <v>132</v>
      </c>
      <c r="E334" t="s">
        <v>140</v>
      </c>
      <c r="F334" t="s">
        <v>140</v>
      </c>
      <c r="G334">
        <v>0.14000000000000001</v>
      </c>
      <c r="H334" t="s">
        <v>38</v>
      </c>
      <c r="I334">
        <v>-15</v>
      </c>
      <c r="J334" t="str">
        <f>HYPERLINK("https://www.eliteprospects.com/player/639683/luke-santilli")</f>
        <v>https://www.eliteprospects.com/player/639683/luke-santilli</v>
      </c>
      <c r="K334" t="s">
        <v>27</v>
      </c>
      <c r="L334" t="s">
        <v>28</v>
      </c>
      <c r="M334" t="s">
        <v>1296</v>
      </c>
      <c r="N334">
        <v>1</v>
      </c>
      <c r="O334" t="s">
        <v>71</v>
      </c>
      <c r="P334">
        <v>0.03</v>
      </c>
      <c r="Q334" t="s">
        <v>245</v>
      </c>
      <c r="R334">
        <v>28.6</v>
      </c>
      <c r="S334">
        <v>31.4</v>
      </c>
      <c r="T334">
        <v>28.6</v>
      </c>
      <c r="U334">
        <v>4.3</v>
      </c>
      <c r="V334">
        <v>7.1</v>
      </c>
    </row>
    <row r="335" spans="1:22" x14ac:dyDescent="0.25">
      <c r="A335" t="s">
        <v>1639</v>
      </c>
      <c r="B335" t="s">
        <v>189</v>
      </c>
      <c r="C335">
        <v>22</v>
      </c>
      <c r="D335" t="s">
        <v>132</v>
      </c>
      <c r="E335" t="s">
        <v>140</v>
      </c>
      <c r="F335" t="s">
        <v>140</v>
      </c>
      <c r="G335">
        <v>0.14000000000000001</v>
      </c>
      <c r="H335" t="s">
        <v>55</v>
      </c>
      <c r="I335">
        <v>0</v>
      </c>
      <c r="J335" t="str">
        <f>HYPERLINK("https://www.eliteprospects.com/player/553206/logan-heroux")</f>
        <v>https://www.eliteprospects.com/player/553206/logan-heroux</v>
      </c>
      <c r="K335" t="s">
        <v>27</v>
      </c>
      <c r="L335" t="s">
        <v>28</v>
      </c>
      <c r="M335" t="s">
        <v>1296</v>
      </c>
      <c r="N335">
        <v>2</v>
      </c>
      <c r="O335" t="s">
        <v>43</v>
      </c>
      <c r="P335">
        <v>0.03</v>
      </c>
      <c r="Q335" t="s">
        <v>245</v>
      </c>
      <c r="R335">
        <v>28.6</v>
      </c>
      <c r="S335">
        <v>31.4</v>
      </c>
      <c r="T335">
        <v>28.6</v>
      </c>
      <c r="U335">
        <v>4.3</v>
      </c>
      <c r="V335">
        <v>7.1</v>
      </c>
    </row>
    <row r="336" spans="1:22" x14ac:dyDescent="0.25">
      <c r="A336" t="s">
        <v>1640</v>
      </c>
      <c r="B336" t="s">
        <v>64</v>
      </c>
      <c r="C336">
        <v>22</v>
      </c>
      <c r="D336" t="s">
        <v>132</v>
      </c>
      <c r="E336" t="s">
        <v>140</v>
      </c>
      <c r="F336" t="s">
        <v>140</v>
      </c>
      <c r="G336">
        <v>0.14000000000000001</v>
      </c>
      <c r="H336" t="s">
        <v>125</v>
      </c>
      <c r="I336">
        <v>0</v>
      </c>
      <c r="J336" t="str">
        <f>HYPERLINK("https://www.eliteprospects.com/player/417351/cole-miller")</f>
        <v>https://www.eliteprospects.com/player/417351/cole-miller</v>
      </c>
      <c r="K336" t="s">
        <v>27</v>
      </c>
      <c r="L336" t="s">
        <v>28</v>
      </c>
      <c r="M336" t="s">
        <v>1296</v>
      </c>
      <c r="N336">
        <v>3</v>
      </c>
      <c r="O336" t="s">
        <v>74</v>
      </c>
      <c r="P336">
        <v>0.03</v>
      </c>
      <c r="Q336" t="s">
        <v>245</v>
      </c>
      <c r="R336">
        <v>28.6</v>
      </c>
      <c r="S336">
        <v>31.4</v>
      </c>
      <c r="T336">
        <v>28.6</v>
      </c>
      <c r="U336">
        <v>4.3</v>
      </c>
      <c r="V336">
        <v>7.1</v>
      </c>
    </row>
    <row r="337" spans="1:22" x14ac:dyDescent="0.25">
      <c r="A337" t="s">
        <v>1641</v>
      </c>
      <c r="B337" t="s">
        <v>145</v>
      </c>
      <c r="C337">
        <v>23</v>
      </c>
      <c r="D337" t="s">
        <v>132</v>
      </c>
      <c r="E337" t="s">
        <v>140</v>
      </c>
      <c r="F337" t="s">
        <v>140</v>
      </c>
      <c r="G337">
        <v>0.13</v>
      </c>
      <c r="H337" t="s">
        <v>66</v>
      </c>
      <c r="I337">
        <v>5</v>
      </c>
      <c r="J337" t="str">
        <f>HYPERLINK("https://www.eliteprospects.com/player/535715/cale-ashcroft")</f>
        <v>https://www.eliteprospects.com/player/535715/cale-ashcroft</v>
      </c>
      <c r="K337" t="s">
        <v>27</v>
      </c>
      <c r="L337" t="s">
        <v>28</v>
      </c>
      <c r="M337" t="s">
        <v>1296</v>
      </c>
      <c r="N337">
        <v>3</v>
      </c>
      <c r="O337" t="s">
        <v>74</v>
      </c>
      <c r="P337">
        <v>0.03</v>
      </c>
      <c r="Q337" t="s">
        <v>245</v>
      </c>
      <c r="R337">
        <v>28.6</v>
      </c>
      <c r="S337">
        <v>31.4</v>
      </c>
      <c r="T337">
        <v>28.6</v>
      </c>
      <c r="U337">
        <v>4.3</v>
      </c>
      <c r="V337">
        <v>7.1</v>
      </c>
    </row>
    <row r="338" spans="1:22" x14ac:dyDescent="0.25">
      <c r="A338" t="s">
        <v>1642</v>
      </c>
      <c r="B338" t="s">
        <v>22</v>
      </c>
      <c r="C338">
        <v>24</v>
      </c>
      <c r="D338" t="s">
        <v>132</v>
      </c>
      <c r="E338" t="s">
        <v>140</v>
      </c>
      <c r="F338" t="s">
        <v>140</v>
      </c>
      <c r="G338">
        <v>0.13</v>
      </c>
      <c r="H338" t="s">
        <v>24</v>
      </c>
      <c r="I338">
        <v>-4</v>
      </c>
      <c r="J338" t="str">
        <f>HYPERLINK("https://www.eliteprospects.com/player/794994/richard-baran")</f>
        <v>https://www.eliteprospects.com/player/794994/richard-baran</v>
      </c>
      <c r="K338" t="s">
        <v>27</v>
      </c>
      <c r="L338" t="s">
        <v>28</v>
      </c>
      <c r="M338" t="s">
        <v>1296</v>
      </c>
      <c r="N338">
        <v>1</v>
      </c>
      <c r="O338" t="s">
        <v>71</v>
      </c>
      <c r="P338">
        <v>0.03</v>
      </c>
      <c r="Q338" t="s">
        <v>245</v>
      </c>
      <c r="R338">
        <v>28.6</v>
      </c>
      <c r="S338">
        <v>31.4</v>
      </c>
      <c r="T338">
        <v>28.6</v>
      </c>
      <c r="U338">
        <v>4.3</v>
      </c>
      <c r="V338">
        <v>7.1</v>
      </c>
    </row>
    <row r="339" spans="1:22" x14ac:dyDescent="0.25">
      <c r="A339" t="s">
        <v>1643</v>
      </c>
      <c r="B339" t="s">
        <v>83</v>
      </c>
      <c r="C339">
        <v>14</v>
      </c>
      <c r="D339" t="s">
        <v>79</v>
      </c>
      <c r="E339" t="s">
        <v>132</v>
      </c>
      <c r="F339" t="s">
        <v>79</v>
      </c>
      <c r="G339">
        <v>0.14000000000000001</v>
      </c>
      <c r="H339" t="s">
        <v>132</v>
      </c>
      <c r="I339">
        <v>0</v>
      </c>
      <c r="J339" t="str">
        <f>HYPERLINK("https://www.eliteprospects.com/player/586609/matthew-fusco")</f>
        <v>https://www.eliteprospects.com/player/586609/matthew-fusco</v>
      </c>
      <c r="K339" t="s">
        <v>27</v>
      </c>
      <c r="L339" t="s">
        <v>28</v>
      </c>
      <c r="M339" t="s">
        <v>1296</v>
      </c>
      <c r="N339">
        <v>3</v>
      </c>
      <c r="O339" t="s">
        <v>74</v>
      </c>
      <c r="P339">
        <v>0.03</v>
      </c>
      <c r="Q339" t="s">
        <v>245</v>
      </c>
      <c r="R339">
        <v>28.6</v>
      </c>
      <c r="S339">
        <v>31.4</v>
      </c>
      <c r="T339">
        <v>28.6</v>
      </c>
      <c r="U339">
        <v>4.3</v>
      </c>
      <c r="V339">
        <v>7.1</v>
      </c>
    </row>
    <row r="340" spans="1:22" x14ac:dyDescent="0.25">
      <c r="A340" t="s">
        <v>1644</v>
      </c>
      <c r="B340" t="s">
        <v>312</v>
      </c>
      <c r="C340">
        <v>17</v>
      </c>
      <c r="D340" t="s">
        <v>79</v>
      </c>
      <c r="E340" t="s">
        <v>132</v>
      </c>
      <c r="F340" t="s">
        <v>79</v>
      </c>
      <c r="G340">
        <v>0.12</v>
      </c>
      <c r="H340" t="s">
        <v>57</v>
      </c>
      <c r="I340">
        <v>-11</v>
      </c>
      <c r="J340" t="str">
        <f>HYPERLINK("https://www.eliteprospects.com/player/506461/ethan-warrener")</f>
        <v>https://www.eliteprospects.com/player/506461/ethan-warrener</v>
      </c>
      <c r="K340" t="s">
        <v>27</v>
      </c>
      <c r="L340" t="s">
        <v>28</v>
      </c>
      <c r="M340" t="s">
        <v>1296</v>
      </c>
      <c r="N340">
        <v>2</v>
      </c>
      <c r="O340" t="s">
        <v>43</v>
      </c>
      <c r="P340">
        <v>0.02</v>
      </c>
      <c r="Q340" t="s">
        <v>245</v>
      </c>
      <c r="R340">
        <v>28.6</v>
      </c>
      <c r="S340">
        <v>31.4</v>
      </c>
      <c r="T340">
        <v>28.6</v>
      </c>
      <c r="U340">
        <v>4.3</v>
      </c>
      <c r="V340">
        <v>7.1</v>
      </c>
    </row>
    <row r="341" spans="1:22" x14ac:dyDescent="0.25">
      <c r="A341" t="s">
        <v>1645</v>
      </c>
      <c r="B341" t="s">
        <v>165</v>
      </c>
      <c r="C341">
        <v>17</v>
      </c>
      <c r="D341" t="s">
        <v>79</v>
      </c>
      <c r="E341" t="s">
        <v>132</v>
      </c>
      <c r="F341" t="s">
        <v>79</v>
      </c>
      <c r="G341">
        <v>0.12</v>
      </c>
      <c r="H341" t="s">
        <v>23</v>
      </c>
      <c r="I341">
        <v>-1</v>
      </c>
      <c r="J341" t="str">
        <f>HYPERLINK("https://www.eliteprospects.com/player/481351/antonio-fernandez")</f>
        <v>https://www.eliteprospects.com/player/481351/antonio-fernandez</v>
      </c>
      <c r="K341" t="s">
        <v>27</v>
      </c>
      <c r="L341" t="s">
        <v>28</v>
      </c>
      <c r="M341" t="s">
        <v>1296</v>
      </c>
      <c r="N341">
        <v>3</v>
      </c>
      <c r="O341" t="s">
        <v>74</v>
      </c>
      <c r="P341">
        <v>0.02</v>
      </c>
      <c r="Q341" t="s">
        <v>245</v>
      </c>
      <c r="R341">
        <v>28.6</v>
      </c>
      <c r="S341">
        <v>31.4</v>
      </c>
      <c r="T341">
        <v>28.6</v>
      </c>
      <c r="U341">
        <v>4.3</v>
      </c>
      <c r="V341">
        <v>7.1</v>
      </c>
    </row>
    <row r="342" spans="1:22" x14ac:dyDescent="0.25">
      <c r="A342" t="s">
        <v>1646</v>
      </c>
      <c r="B342" t="s">
        <v>148</v>
      </c>
      <c r="C342">
        <v>23</v>
      </c>
      <c r="D342" t="s">
        <v>79</v>
      </c>
      <c r="E342" t="s">
        <v>132</v>
      </c>
      <c r="F342" t="s">
        <v>79</v>
      </c>
      <c r="G342">
        <v>0.09</v>
      </c>
      <c r="H342" t="s">
        <v>32</v>
      </c>
      <c r="I342">
        <v>-3</v>
      </c>
      <c r="J342" t="str">
        <f>HYPERLINK("https://www.eliteprospects.com/player/628578/samo-meritahti")</f>
        <v>https://www.eliteprospects.com/player/628578/samo-meritahti</v>
      </c>
      <c r="K342" t="s">
        <v>27</v>
      </c>
      <c r="L342" t="s">
        <v>28</v>
      </c>
      <c r="M342" t="s">
        <v>1296</v>
      </c>
      <c r="N342">
        <v>2</v>
      </c>
      <c r="O342" t="s">
        <v>43</v>
      </c>
      <c r="P342">
        <v>0.02</v>
      </c>
      <c r="Q342" t="s">
        <v>245</v>
      </c>
      <c r="R342">
        <v>28.6</v>
      </c>
      <c r="S342">
        <v>31.4</v>
      </c>
      <c r="T342">
        <v>28.6</v>
      </c>
      <c r="U342">
        <v>4.3</v>
      </c>
      <c r="V342">
        <v>7.1</v>
      </c>
    </row>
    <row r="343" spans="1:22" x14ac:dyDescent="0.25">
      <c r="A343" t="s">
        <v>1647</v>
      </c>
      <c r="B343" t="s">
        <v>82</v>
      </c>
      <c r="C343">
        <v>12</v>
      </c>
      <c r="D343" t="s">
        <v>260</v>
      </c>
      <c r="E343" t="s">
        <v>260</v>
      </c>
      <c r="F343" t="s">
        <v>79</v>
      </c>
      <c r="G343">
        <v>0.17</v>
      </c>
      <c r="H343" t="s">
        <v>132</v>
      </c>
      <c r="I343">
        <v>1</v>
      </c>
      <c r="J343" t="str">
        <f>HYPERLINK("https://www.eliteprospects.com/player/428800/patrik-satosaari")</f>
        <v>https://www.eliteprospects.com/player/428800/patrik-satosaari</v>
      </c>
      <c r="K343" t="s">
        <v>27</v>
      </c>
      <c r="L343" t="s">
        <v>28</v>
      </c>
      <c r="M343" t="s">
        <v>1296</v>
      </c>
      <c r="N343">
        <v>4</v>
      </c>
      <c r="O343" t="s">
        <v>30</v>
      </c>
      <c r="P343">
        <v>0.03</v>
      </c>
      <c r="Q343" t="s">
        <v>245</v>
      </c>
      <c r="R343">
        <v>28.6</v>
      </c>
      <c r="S343">
        <v>31.4</v>
      </c>
      <c r="T343">
        <v>28.6</v>
      </c>
      <c r="U343">
        <v>4.3</v>
      </c>
      <c r="V343">
        <v>7.1</v>
      </c>
    </row>
    <row r="344" spans="1:22" x14ac:dyDescent="0.25">
      <c r="A344" t="s">
        <v>1648</v>
      </c>
      <c r="B344" t="s">
        <v>114</v>
      </c>
      <c r="C344">
        <v>12</v>
      </c>
      <c r="D344" t="s">
        <v>260</v>
      </c>
      <c r="E344" t="s">
        <v>260</v>
      </c>
      <c r="F344" t="s">
        <v>79</v>
      </c>
      <c r="G344">
        <v>0.17</v>
      </c>
      <c r="H344" t="s">
        <v>51</v>
      </c>
      <c r="I344">
        <v>-2</v>
      </c>
      <c r="J344" t="str">
        <f>HYPERLINK("https://www.eliteprospects.com/player/565770/brody-mortensen")</f>
        <v>https://www.eliteprospects.com/player/565770/brody-mortensen</v>
      </c>
      <c r="K344" t="s">
        <v>27</v>
      </c>
      <c r="L344" t="s">
        <v>28</v>
      </c>
      <c r="M344" t="s">
        <v>1296</v>
      </c>
      <c r="N344">
        <v>2</v>
      </c>
      <c r="O344" t="s">
        <v>43</v>
      </c>
      <c r="P344">
        <v>0.03</v>
      </c>
      <c r="Q344" t="s">
        <v>245</v>
      </c>
      <c r="R344">
        <v>28.6</v>
      </c>
      <c r="S344">
        <v>31.4</v>
      </c>
      <c r="T344">
        <v>28.6</v>
      </c>
      <c r="U344">
        <v>4.3</v>
      </c>
      <c r="V344">
        <v>7.1</v>
      </c>
    </row>
    <row r="345" spans="1:22" x14ac:dyDescent="0.25">
      <c r="A345" t="s">
        <v>1649</v>
      </c>
      <c r="B345" t="s">
        <v>165</v>
      </c>
      <c r="C345">
        <v>13</v>
      </c>
      <c r="D345" t="s">
        <v>260</v>
      </c>
      <c r="E345" t="s">
        <v>260</v>
      </c>
      <c r="F345" t="s">
        <v>79</v>
      </c>
      <c r="G345">
        <v>0.15</v>
      </c>
      <c r="H345" t="s">
        <v>132</v>
      </c>
      <c r="I345">
        <v>2</v>
      </c>
      <c r="J345" t="str">
        <f>HYPERLINK("https://www.eliteprospects.com/player/290047/bobby-metz")</f>
        <v>https://www.eliteprospects.com/player/290047/bobby-metz</v>
      </c>
      <c r="K345" t="s">
        <v>27</v>
      </c>
      <c r="L345" t="s">
        <v>28</v>
      </c>
      <c r="M345" t="s">
        <v>1296</v>
      </c>
      <c r="N345">
        <v>4</v>
      </c>
      <c r="O345" t="s">
        <v>30</v>
      </c>
      <c r="P345">
        <v>0.03</v>
      </c>
      <c r="Q345" t="s">
        <v>245</v>
      </c>
      <c r="R345">
        <v>28.6</v>
      </c>
      <c r="S345">
        <v>31.4</v>
      </c>
      <c r="T345">
        <v>28.6</v>
      </c>
      <c r="U345">
        <v>4.3</v>
      </c>
      <c r="V345">
        <v>7.1</v>
      </c>
    </row>
    <row r="346" spans="1:22" x14ac:dyDescent="0.25">
      <c r="A346" t="s">
        <v>1650</v>
      </c>
      <c r="B346" t="s">
        <v>146</v>
      </c>
      <c r="C346">
        <v>13</v>
      </c>
      <c r="D346" t="s">
        <v>260</v>
      </c>
      <c r="E346" t="s">
        <v>260</v>
      </c>
      <c r="F346" t="s">
        <v>79</v>
      </c>
      <c r="G346">
        <v>0.15</v>
      </c>
      <c r="H346" t="s">
        <v>79</v>
      </c>
      <c r="I346">
        <v>-2</v>
      </c>
      <c r="J346" t="str">
        <f>HYPERLINK("https://www.eliteprospects.com/player/556515/tyson-galloway")</f>
        <v>https://www.eliteprospects.com/player/556515/tyson-galloway</v>
      </c>
      <c r="K346" t="s">
        <v>27</v>
      </c>
      <c r="L346" t="s">
        <v>28</v>
      </c>
      <c r="M346" t="s">
        <v>1296</v>
      </c>
      <c r="N346">
        <v>6</v>
      </c>
      <c r="O346" t="s">
        <v>193</v>
      </c>
      <c r="P346">
        <v>0.03</v>
      </c>
      <c r="Q346" t="s">
        <v>245</v>
      </c>
      <c r="R346">
        <v>28.6</v>
      </c>
      <c r="S346">
        <v>31.4</v>
      </c>
      <c r="T346">
        <v>28.6</v>
      </c>
      <c r="U346">
        <v>4.3</v>
      </c>
      <c r="V346">
        <v>7.1</v>
      </c>
    </row>
    <row r="347" spans="1:22" x14ac:dyDescent="0.25">
      <c r="A347" t="s">
        <v>1651</v>
      </c>
      <c r="B347" t="s">
        <v>362</v>
      </c>
      <c r="C347">
        <v>13</v>
      </c>
      <c r="D347" t="s">
        <v>260</v>
      </c>
      <c r="E347" t="s">
        <v>260</v>
      </c>
      <c r="F347" t="s">
        <v>79</v>
      </c>
      <c r="G347">
        <v>0.15</v>
      </c>
      <c r="H347" t="s">
        <v>32</v>
      </c>
      <c r="I347">
        <v>-9</v>
      </c>
      <c r="J347" t="str">
        <f>HYPERLINK("https://www.eliteprospects.com/player/570743/francesco-iasenza")</f>
        <v>https://www.eliteprospects.com/player/570743/francesco-iasenza</v>
      </c>
      <c r="K347" t="s">
        <v>27</v>
      </c>
      <c r="L347" t="s">
        <v>28</v>
      </c>
      <c r="M347" t="s">
        <v>1296</v>
      </c>
      <c r="N347">
        <v>6</v>
      </c>
      <c r="O347" t="s">
        <v>99</v>
      </c>
      <c r="P347">
        <v>0.03</v>
      </c>
      <c r="Q347" t="s">
        <v>245</v>
      </c>
      <c r="R347">
        <v>28.6</v>
      </c>
      <c r="S347">
        <v>31.4</v>
      </c>
      <c r="T347">
        <v>28.6</v>
      </c>
      <c r="U347">
        <v>4.3</v>
      </c>
      <c r="V347">
        <v>7.1</v>
      </c>
    </row>
    <row r="348" spans="1:22" x14ac:dyDescent="0.25">
      <c r="A348" t="s">
        <v>1652</v>
      </c>
      <c r="B348" t="s">
        <v>174</v>
      </c>
      <c r="C348">
        <v>14</v>
      </c>
      <c r="D348" t="s">
        <v>260</v>
      </c>
      <c r="E348" t="s">
        <v>260</v>
      </c>
      <c r="F348" t="s">
        <v>79</v>
      </c>
      <c r="G348">
        <v>0.14000000000000001</v>
      </c>
      <c r="H348" t="s">
        <v>79</v>
      </c>
      <c r="I348">
        <v>0</v>
      </c>
      <c r="J348" t="str">
        <f>HYPERLINK("https://www.eliteprospects.com/player/603202/josh-player")</f>
        <v>https://www.eliteprospects.com/player/603202/josh-player</v>
      </c>
      <c r="K348" t="s">
        <v>27</v>
      </c>
      <c r="L348" t="s">
        <v>28</v>
      </c>
      <c r="M348" t="s">
        <v>1296</v>
      </c>
      <c r="N348">
        <v>2</v>
      </c>
      <c r="O348" t="s">
        <v>43</v>
      </c>
      <c r="P348">
        <v>0.03</v>
      </c>
      <c r="Q348" t="s">
        <v>245</v>
      </c>
      <c r="R348">
        <v>28.6</v>
      </c>
      <c r="S348">
        <v>31.4</v>
      </c>
      <c r="T348">
        <v>28.6</v>
      </c>
      <c r="U348">
        <v>4.3</v>
      </c>
      <c r="V348">
        <v>7.1</v>
      </c>
    </row>
    <row r="349" spans="1:22" x14ac:dyDescent="0.25">
      <c r="A349" t="s">
        <v>1653</v>
      </c>
      <c r="B349" t="s">
        <v>114</v>
      </c>
      <c r="C349">
        <v>14</v>
      </c>
      <c r="D349" t="s">
        <v>260</v>
      </c>
      <c r="E349" t="s">
        <v>260</v>
      </c>
      <c r="F349" t="s">
        <v>79</v>
      </c>
      <c r="G349">
        <v>0.14000000000000001</v>
      </c>
      <c r="H349" t="s">
        <v>26</v>
      </c>
      <c r="I349">
        <v>-2</v>
      </c>
      <c r="J349" t="str">
        <f>HYPERLINK("https://www.eliteprospects.com/player/613836/jacob-delaney")</f>
        <v>https://www.eliteprospects.com/player/613836/jacob-delaney</v>
      </c>
      <c r="K349" t="s">
        <v>27</v>
      </c>
      <c r="L349" t="s">
        <v>28</v>
      </c>
      <c r="M349" t="s">
        <v>1296</v>
      </c>
      <c r="N349">
        <v>1</v>
      </c>
      <c r="O349" t="s">
        <v>71</v>
      </c>
      <c r="P349">
        <v>0.03</v>
      </c>
      <c r="Q349" t="s">
        <v>245</v>
      </c>
      <c r="R349">
        <v>28.6</v>
      </c>
      <c r="S349">
        <v>31.4</v>
      </c>
      <c r="T349">
        <v>28.6</v>
      </c>
      <c r="U349">
        <v>4.3</v>
      </c>
      <c r="V349">
        <v>7.1</v>
      </c>
    </row>
    <row r="350" spans="1:22" x14ac:dyDescent="0.25">
      <c r="A350" t="s">
        <v>1654</v>
      </c>
      <c r="B350" t="s">
        <v>222</v>
      </c>
      <c r="C350">
        <v>16</v>
      </c>
      <c r="D350" t="s">
        <v>260</v>
      </c>
      <c r="E350" t="s">
        <v>260</v>
      </c>
      <c r="F350" t="s">
        <v>79</v>
      </c>
      <c r="G350">
        <v>0.13</v>
      </c>
      <c r="H350" t="s">
        <v>39</v>
      </c>
      <c r="I350">
        <v>-6</v>
      </c>
      <c r="J350" t="str">
        <f>HYPERLINK("https://www.eliteprospects.com/player/675843/hudson-miller")</f>
        <v>https://www.eliteprospects.com/player/675843/hudson-miller</v>
      </c>
      <c r="K350" t="s">
        <v>27</v>
      </c>
      <c r="L350" t="s">
        <v>28</v>
      </c>
      <c r="M350" t="s">
        <v>1296</v>
      </c>
      <c r="N350">
        <v>1</v>
      </c>
      <c r="O350" t="s">
        <v>71</v>
      </c>
      <c r="P350">
        <v>0.03</v>
      </c>
      <c r="Q350" t="s">
        <v>245</v>
      </c>
      <c r="R350">
        <v>28.6</v>
      </c>
      <c r="S350">
        <v>31.4</v>
      </c>
      <c r="T350">
        <v>28.6</v>
      </c>
      <c r="U350">
        <v>4.3</v>
      </c>
      <c r="V350">
        <v>7.1</v>
      </c>
    </row>
    <row r="351" spans="1:22" x14ac:dyDescent="0.25">
      <c r="A351" t="s">
        <v>1655</v>
      </c>
      <c r="B351" t="s">
        <v>119</v>
      </c>
      <c r="C351">
        <v>17</v>
      </c>
      <c r="D351" t="s">
        <v>260</v>
      </c>
      <c r="E351" t="s">
        <v>260</v>
      </c>
      <c r="F351" t="s">
        <v>79</v>
      </c>
      <c r="G351">
        <v>0.12</v>
      </c>
      <c r="H351" t="s">
        <v>132</v>
      </c>
      <c r="I351">
        <v>-2</v>
      </c>
      <c r="J351" t="str">
        <f>HYPERLINK("https://www.eliteprospects.com/player/623764/max-rud")</f>
        <v>https://www.eliteprospects.com/player/623764/max-rud</v>
      </c>
      <c r="K351" t="s">
        <v>27</v>
      </c>
      <c r="L351" t="s">
        <v>28</v>
      </c>
      <c r="M351" t="s">
        <v>1296</v>
      </c>
      <c r="N351">
        <v>3</v>
      </c>
      <c r="O351" t="s">
        <v>74</v>
      </c>
      <c r="P351">
        <v>0.02</v>
      </c>
      <c r="Q351" t="s">
        <v>245</v>
      </c>
      <c r="R351">
        <v>28.6</v>
      </c>
      <c r="S351">
        <v>31.4</v>
      </c>
      <c r="T351">
        <v>28.6</v>
      </c>
      <c r="U351">
        <v>4.3</v>
      </c>
      <c r="V351">
        <v>7.1</v>
      </c>
    </row>
    <row r="352" spans="1:22" x14ac:dyDescent="0.25">
      <c r="A352" t="s">
        <v>1656</v>
      </c>
      <c r="B352" t="s">
        <v>128</v>
      </c>
      <c r="C352">
        <v>17</v>
      </c>
      <c r="D352" t="s">
        <v>260</v>
      </c>
      <c r="E352" t="s">
        <v>260</v>
      </c>
      <c r="F352" t="s">
        <v>79</v>
      </c>
      <c r="G352">
        <v>0.12</v>
      </c>
      <c r="H352" t="s">
        <v>84</v>
      </c>
      <c r="I352">
        <v>-2</v>
      </c>
      <c r="J352" t="str">
        <f>HYPERLINK("https://www.eliteprospects.com/player/717246/ivan-korodiuk")</f>
        <v>https://www.eliteprospects.com/player/717246/ivan-korodiuk</v>
      </c>
      <c r="K352" t="s">
        <v>27</v>
      </c>
      <c r="L352" t="s">
        <v>28</v>
      </c>
      <c r="M352" t="s">
        <v>1296</v>
      </c>
      <c r="N352">
        <v>2</v>
      </c>
      <c r="O352" t="s">
        <v>43</v>
      </c>
      <c r="P352">
        <v>0.02</v>
      </c>
      <c r="Q352" t="s">
        <v>245</v>
      </c>
      <c r="R352">
        <v>28.6</v>
      </c>
      <c r="S352">
        <v>31.4</v>
      </c>
      <c r="T352">
        <v>28.6</v>
      </c>
      <c r="U352">
        <v>4.3</v>
      </c>
      <c r="V352">
        <v>7.1</v>
      </c>
    </row>
    <row r="353" spans="1:22" x14ac:dyDescent="0.25">
      <c r="A353" t="s">
        <v>1657</v>
      </c>
      <c r="B353" t="s">
        <v>238</v>
      </c>
      <c r="C353">
        <v>17</v>
      </c>
      <c r="D353" t="s">
        <v>260</v>
      </c>
      <c r="E353" t="s">
        <v>260</v>
      </c>
      <c r="F353" t="s">
        <v>79</v>
      </c>
      <c r="G353">
        <v>0.12</v>
      </c>
      <c r="H353" t="s">
        <v>84</v>
      </c>
      <c r="I353">
        <v>-7</v>
      </c>
      <c r="J353" t="str">
        <f>HYPERLINK("https://www.eliteprospects.com/player/478259/james-goffredo")</f>
        <v>https://www.eliteprospects.com/player/478259/james-goffredo</v>
      </c>
      <c r="K353" t="s">
        <v>27</v>
      </c>
      <c r="L353" t="s">
        <v>28</v>
      </c>
      <c r="M353" t="s">
        <v>1296</v>
      </c>
      <c r="N353">
        <v>3</v>
      </c>
      <c r="O353" t="s">
        <v>74</v>
      </c>
      <c r="P353">
        <v>0.02</v>
      </c>
      <c r="Q353" t="s">
        <v>245</v>
      </c>
      <c r="R353">
        <v>28.6</v>
      </c>
      <c r="S353">
        <v>31.4</v>
      </c>
      <c r="T353">
        <v>28.6</v>
      </c>
      <c r="U353">
        <v>4.3</v>
      </c>
      <c r="V353">
        <v>7.1</v>
      </c>
    </row>
    <row r="354" spans="1:22" x14ac:dyDescent="0.25">
      <c r="A354" t="s">
        <v>1658</v>
      </c>
      <c r="B354" t="s">
        <v>116</v>
      </c>
      <c r="C354">
        <v>18</v>
      </c>
      <c r="D354" t="s">
        <v>260</v>
      </c>
      <c r="E354" t="s">
        <v>260</v>
      </c>
      <c r="F354" t="s">
        <v>79</v>
      </c>
      <c r="G354">
        <v>0.11</v>
      </c>
      <c r="H354" t="s">
        <v>132</v>
      </c>
      <c r="I354">
        <v>-4</v>
      </c>
      <c r="J354" t="str">
        <f>HYPERLINK("https://www.eliteprospects.com/player/478559/jake-lammens")</f>
        <v>https://www.eliteprospects.com/player/478559/jake-lammens</v>
      </c>
      <c r="K354" t="s">
        <v>27</v>
      </c>
      <c r="L354" t="s">
        <v>28</v>
      </c>
      <c r="M354" t="s">
        <v>1296</v>
      </c>
      <c r="N354">
        <v>3</v>
      </c>
      <c r="O354" t="s">
        <v>74</v>
      </c>
      <c r="P354">
        <v>0.02</v>
      </c>
      <c r="Q354" t="s">
        <v>245</v>
      </c>
      <c r="R354">
        <v>28.6</v>
      </c>
      <c r="S354">
        <v>31.4</v>
      </c>
      <c r="T354">
        <v>28.6</v>
      </c>
      <c r="U354">
        <v>4.3</v>
      </c>
      <c r="V354">
        <v>7.1</v>
      </c>
    </row>
    <row r="355" spans="1:22" x14ac:dyDescent="0.25">
      <c r="A355" t="s">
        <v>1659</v>
      </c>
      <c r="B355" t="s">
        <v>189</v>
      </c>
      <c r="C355">
        <v>18</v>
      </c>
      <c r="D355" t="s">
        <v>260</v>
      </c>
      <c r="E355" t="s">
        <v>260</v>
      </c>
      <c r="F355" t="s">
        <v>79</v>
      </c>
      <c r="G355">
        <v>0.11</v>
      </c>
      <c r="H355" t="s">
        <v>23</v>
      </c>
      <c r="I355">
        <v>-10</v>
      </c>
      <c r="J355" t="str">
        <f>HYPERLINK("https://www.eliteprospects.com/player/395047/valtteri-piironen")</f>
        <v>https://www.eliteprospects.com/player/395047/valtteri-piironen</v>
      </c>
      <c r="K355" t="s">
        <v>27</v>
      </c>
      <c r="L355" t="s">
        <v>28</v>
      </c>
      <c r="M355" t="s">
        <v>1296</v>
      </c>
      <c r="N355">
        <v>4</v>
      </c>
      <c r="O355" t="s">
        <v>30</v>
      </c>
      <c r="P355">
        <v>0.02</v>
      </c>
      <c r="Q355" t="s">
        <v>245</v>
      </c>
      <c r="R355">
        <v>28.6</v>
      </c>
      <c r="S355">
        <v>31.4</v>
      </c>
      <c r="T355">
        <v>28.6</v>
      </c>
      <c r="U355">
        <v>4.3</v>
      </c>
      <c r="V355">
        <v>7.1</v>
      </c>
    </row>
    <row r="356" spans="1:22" x14ac:dyDescent="0.25">
      <c r="A356" t="s">
        <v>1660</v>
      </c>
      <c r="B356" t="s">
        <v>224</v>
      </c>
      <c r="C356">
        <v>19</v>
      </c>
      <c r="D356" t="s">
        <v>260</v>
      </c>
      <c r="E356" t="s">
        <v>260</v>
      </c>
      <c r="F356" t="s">
        <v>79</v>
      </c>
      <c r="G356">
        <v>0.11</v>
      </c>
      <c r="H356" t="s">
        <v>26</v>
      </c>
      <c r="I356">
        <v>-4</v>
      </c>
      <c r="J356" t="str">
        <f>HYPERLINK("https://www.eliteprospects.com/player/385677/greg-japchen")</f>
        <v>https://www.eliteprospects.com/player/385677/greg-japchen</v>
      </c>
      <c r="K356" t="s">
        <v>27</v>
      </c>
      <c r="L356" t="s">
        <v>28</v>
      </c>
      <c r="M356" t="s">
        <v>1296</v>
      </c>
      <c r="N356">
        <v>4</v>
      </c>
      <c r="O356" t="s">
        <v>30</v>
      </c>
      <c r="P356">
        <v>0.02</v>
      </c>
      <c r="Q356" t="s">
        <v>245</v>
      </c>
      <c r="R356">
        <v>28.6</v>
      </c>
      <c r="S356">
        <v>31.4</v>
      </c>
      <c r="T356">
        <v>28.6</v>
      </c>
      <c r="U356">
        <v>4.3</v>
      </c>
      <c r="V356">
        <v>7.1</v>
      </c>
    </row>
    <row r="357" spans="1:22" x14ac:dyDescent="0.25">
      <c r="A357" t="s">
        <v>1661</v>
      </c>
      <c r="B357" t="s">
        <v>163</v>
      </c>
      <c r="C357">
        <v>19</v>
      </c>
      <c r="D357" t="s">
        <v>260</v>
      </c>
      <c r="E357" t="s">
        <v>260</v>
      </c>
      <c r="F357" t="s">
        <v>79</v>
      </c>
      <c r="G357">
        <v>0.11</v>
      </c>
      <c r="H357" t="s">
        <v>26</v>
      </c>
      <c r="I357">
        <v>6</v>
      </c>
      <c r="J357" t="str">
        <f>HYPERLINK("https://www.eliteprospects.com/player/626540/donovan-mccoy")</f>
        <v>https://www.eliteprospects.com/player/626540/donovan-mccoy</v>
      </c>
      <c r="K357" t="s">
        <v>27</v>
      </c>
      <c r="L357" t="s">
        <v>28</v>
      </c>
      <c r="M357" t="s">
        <v>1296</v>
      </c>
      <c r="N357">
        <v>7</v>
      </c>
      <c r="O357" t="s">
        <v>159</v>
      </c>
      <c r="P357">
        <v>0.02</v>
      </c>
      <c r="Q357" t="s">
        <v>245</v>
      </c>
      <c r="R357">
        <v>28.6</v>
      </c>
      <c r="S357">
        <v>31.4</v>
      </c>
      <c r="T357">
        <v>28.6</v>
      </c>
      <c r="U357">
        <v>4.3</v>
      </c>
      <c r="V357">
        <v>7.1</v>
      </c>
    </row>
    <row r="358" spans="1:22" x14ac:dyDescent="0.25">
      <c r="A358" t="s">
        <v>1662</v>
      </c>
      <c r="B358" t="s">
        <v>103</v>
      </c>
      <c r="C358">
        <v>20</v>
      </c>
      <c r="D358" t="s">
        <v>260</v>
      </c>
      <c r="E358" t="s">
        <v>260</v>
      </c>
      <c r="F358" t="s">
        <v>79</v>
      </c>
      <c r="G358">
        <v>0.1</v>
      </c>
      <c r="H358" t="s">
        <v>132</v>
      </c>
      <c r="I358">
        <v>-4</v>
      </c>
      <c r="J358" t="str">
        <f>HYPERLINK("https://www.eliteprospects.com/player/822279/landon-nycz")</f>
        <v>https://www.eliteprospects.com/player/822279/landon-nycz</v>
      </c>
      <c r="K358" t="s">
        <v>27</v>
      </c>
      <c r="L358" t="s">
        <v>28</v>
      </c>
      <c r="M358" t="s">
        <v>1296</v>
      </c>
      <c r="N358">
        <v>1</v>
      </c>
      <c r="O358" t="s">
        <v>71</v>
      </c>
      <c r="P358">
        <v>0.02</v>
      </c>
      <c r="Q358" t="s">
        <v>245</v>
      </c>
      <c r="R358">
        <v>28.6</v>
      </c>
      <c r="S358">
        <v>31.4</v>
      </c>
      <c r="T358">
        <v>28.6</v>
      </c>
      <c r="U358">
        <v>4.3</v>
      </c>
      <c r="V358">
        <v>7.1</v>
      </c>
    </row>
    <row r="359" spans="1:22" x14ac:dyDescent="0.25">
      <c r="A359" t="s">
        <v>1663</v>
      </c>
      <c r="B359" t="s">
        <v>119</v>
      </c>
      <c r="C359">
        <v>21</v>
      </c>
      <c r="D359" t="s">
        <v>260</v>
      </c>
      <c r="E359" t="s">
        <v>260</v>
      </c>
      <c r="F359" t="s">
        <v>79</v>
      </c>
      <c r="G359">
        <v>0.1</v>
      </c>
      <c r="H359" t="s">
        <v>26</v>
      </c>
      <c r="I359">
        <v>5</v>
      </c>
      <c r="J359" t="str">
        <f>HYPERLINK("https://www.eliteprospects.com/player/597751/john-whipple")</f>
        <v>https://www.eliteprospects.com/player/597751/john-whipple</v>
      </c>
      <c r="K359" t="s">
        <v>27</v>
      </c>
      <c r="L359" t="s">
        <v>28</v>
      </c>
      <c r="M359" t="s">
        <v>1296</v>
      </c>
      <c r="N359">
        <v>2</v>
      </c>
      <c r="O359" t="s">
        <v>43</v>
      </c>
      <c r="P359">
        <v>0.02</v>
      </c>
      <c r="Q359" t="s">
        <v>245</v>
      </c>
      <c r="R359">
        <v>28.6</v>
      </c>
      <c r="S359">
        <v>31.4</v>
      </c>
      <c r="T359">
        <v>28.6</v>
      </c>
      <c r="U359">
        <v>4.3</v>
      </c>
      <c r="V359">
        <v>7.1</v>
      </c>
    </row>
    <row r="360" spans="1:22" x14ac:dyDescent="0.25">
      <c r="A360" t="s">
        <v>1664</v>
      </c>
      <c r="B360" t="s">
        <v>59</v>
      </c>
      <c r="C360">
        <v>10</v>
      </c>
      <c r="D360" t="s">
        <v>132</v>
      </c>
      <c r="E360" t="s">
        <v>79</v>
      </c>
      <c r="F360" t="s">
        <v>79</v>
      </c>
      <c r="G360">
        <v>0.2</v>
      </c>
      <c r="H360" t="s">
        <v>132</v>
      </c>
      <c r="I360">
        <v>0</v>
      </c>
      <c r="J360" t="str">
        <f>HYPERLINK("https://www.eliteprospects.com/player/649021/luke-coughlin")</f>
        <v>https://www.eliteprospects.com/player/649021/luke-coughlin</v>
      </c>
      <c r="K360" t="s">
        <v>27</v>
      </c>
      <c r="L360" t="s">
        <v>28</v>
      </c>
      <c r="M360" t="s">
        <v>1296</v>
      </c>
      <c r="N360">
        <v>5</v>
      </c>
      <c r="O360" t="s">
        <v>207</v>
      </c>
      <c r="P360">
        <v>0.04</v>
      </c>
      <c r="Q360" t="s">
        <v>245</v>
      </c>
      <c r="R360">
        <v>28.6</v>
      </c>
      <c r="S360">
        <v>31.4</v>
      </c>
      <c r="T360">
        <v>28.6</v>
      </c>
      <c r="U360">
        <v>4.3</v>
      </c>
      <c r="V360">
        <v>7.1</v>
      </c>
    </row>
    <row r="361" spans="1:22" x14ac:dyDescent="0.25">
      <c r="A361" t="s">
        <v>1665</v>
      </c>
      <c r="B361" t="s">
        <v>59</v>
      </c>
      <c r="C361">
        <v>10</v>
      </c>
      <c r="D361" t="s">
        <v>132</v>
      </c>
      <c r="E361" t="s">
        <v>79</v>
      </c>
      <c r="F361" t="s">
        <v>79</v>
      </c>
      <c r="G361">
        <v>0.2</v>
      </c>
      <c r="H361" t="s">
        <v>66</v>
      </c>
      <c r="I361">
        <v>-1</v>
      </c>
      <c r="J361" t="str">
        <f>HYPERLINK("https://www.eliteprospects.com/player/464784/simon-motew")</f>
        <v>https://www.eliteprospects.com/player/464784/simon-motew</v>
      </c>
      <c r="K361" t="s">
        <v>27</v>
      </c>
      <c r="L361" t="s">
        <v>28</v>
      </c>
      <c r="M361" t="s">
        <v>1296</v>
      </c>
      <c r="N361">
        <v>5</v>
      </c>
      <c r="O361" t="s">
        <v>147</v>
      </c>
      <c r="P361">
        <v>0.04</v>
      </c>
      <c r="Q361" t="s">
        <v>245</v>
      </c>
      <c r="R361">
        <v>28.6</v>
      </c>
      <c r="S361">
        <v>31.4</v>
      </c>
      <c r="T361">
        <v>28.6</v>
      </c>
      <c r="U361">
        <v>4.3</v>
      </c>
      <c r="V361">
        <v>7.1</v>
      </c>
    </row>
    <row r="362" spans="1:22" x14ac:dyDescent="0.25">
      <c r="A362" t="s">
        <v>1666</v>
      </c>
      <c r="B362" t="s">
        <v>90</v>
      </c>
      <c r="C362">
        <v>10</v>
      </c>
      <c r="D362" t="s">
        <v>132</v>
      </c>
      <c r="E362" t="s">
        <v>79</v>
      </c>
      <c r="F362" t="s">
        <v>79</v>
      </c>
      <c r="G362">
        <v>0.2</v>
      </c>
      <c r="H362" t="s">
        <v>32</v>
      </c>
      <c r="I362">
        <v>2</v>
      </c>
      <c r="J362" t="str">
        <f>HYPERLINK("https://www.eliteprospects.com/player/651961/noah-van-vliet")</f>
        <v>https://www.eliteprospects.com/player/651961/noah-van-vliet</v>
      </c>
      <c r="K362" t="s">
        <v>27</v>
      </c>
      <c r="L362" t="s">
        <v>28</v>
      </c>
      <c r="M362" t="s">
        <v>1296</v>
      </c>
      <c r="N362">
        <v>5</v>
      </c>
      <c r="O362" t="s">
        <v>147</v>
      </c>
      <c r="P362">
        <v>0.04</v>
      </c>
      <c r="Q362" t="s">
        <v>245</v>
      </c>
      <c r="R362">
        <v>28.6</v>
      </c>
      <c r="S362">
        <v>31.4</v>
      </c>
      <c r="T362">
        <v>28.6</v>
      </c>
      <c r="U362">
        <v>4.3</v>
      </c>
      <c r="V362">
        <v>7.1</v>
      </c>
    </row>
    <row r="363" spans="1:22" x14ac:dyDescent="0.25">
      <c r="A363" t="s">
        <v>1667</v>
      </c>
      <c r="B363" t="s">
        <v>128</v>
      </c>
      <c r="C363">
        <v>11</v>
      </c>
      <c r="D363" t="s">
        <v>132</v>
      </c>
      <c r="E363" t="s">
        <v>79</v>
      </c>
      <c r="F363" t="s">
        <v>79</v>
      </c>
      <c r="G363">
        <v>0.18</v>
      </c>
      <c r="H363" t="s">
        <v>66</v>
      </c>
      <c r="I363">
        <v>0</v>
      </c>
      <c r="J363" t="str">
        <f>HYPERLINK("https://www.eliteprospects.com/player/279769/jack-blake")</f>
        <v>https://www.eliteprospects.com/player/279769/jack-blake</v>
      </c>
      <c r="K363" t="s">
        <v>27</v>
      </c>
      <c r="L363" t="s">
        <v>28</v>
      </c>
      <c r="M363" t="s">
        <v>1296</v>
      </c>
      <c r="N363">
        <v>4</v>
      </c>
      <c r="O363" t="s">
        <v>30</v>
      </c>
      <c r="P363">
        <v>0.03</v>
      </c>
      <c r="Q363" t="s">
        <v>245</v>
      </c>
      <c r="R363">
        <v>28.6</v>
      </c>
      <c r="S363">
        <v>31.4</v>
      </c>
      <c r="T363">
        <v>28.6</v>
      </c>
      <c r="U363">
        <v>4.3</v>
      </c>
      <c r="V363">
        <v>7.1</v>
      </c>
    </row>
    <row r="364" spans="1:22" x14ac:dyDescent="0.25">
      <c r="A364" t="s">
        <v>1668</v>
      </c>
      <c r="B364" t="s">
        <v>134</v>
      </c>
      <c r="C364">
        <v>12</v>
      </c>
      <c r="D364" t="s">
        <v>132</v>
      </c>
      <c r="E364" t="s">
        <v>79</v>
      </c>
      <c r="F364" t="s">
        <v>79</v>
      </c>
      <c r="G364">
        <v>0.17</v>
      </c>
      <c r="H364" t="s">
        <v>132</v>
      </c>
      <c r="I364">
        <v>3</v>
      </c>
      <c r="J364" t="str">
        <f>HYPERLINK("https://www.eliteprospects.com/player/565736/luke-marshall")</f>
        <v>https://www.eliteprospects.com/player/565736/luke-marshall</v>
      </c>
      <c r="K364" t="s">
        <v>27</v>
      </c>
      <c r="L364" t="s">
        <v>28</v>
      </c>
      <c r="M364" t="s">
        <v>1296</v>
      </c>
      <c r="N364">
        <v>2</v>
      </c>
      <c r="O364" t="s">
        <v>43</v>
      </c>
      <c r="P364">
        <v>0.03</v>
      </c>
      <c r="Q364" t="s">
        <v>245</v>
      </c>
      <c r="R364">
        <v>28.6</v>
      </c>
      <c r="S364">
        <v>31.4</v>
      </c>
      <c r="T364">
        <v>28.6</v>
      </c>
      <c r="U364">
        <v>4.3</v>
      </c>
      <c r="V364">
        <v>7.1</v>
      </c>
    </row>
    <row r="365" spans="1:22" x14ac:dyDescent="0.25">
      <c r="A365" t="s">
        <v>1669</v>
      </c>
      <c r="B365" t="s">
        <v>109</v>
      </c>
      <c r="C365">
        <v>12</v>
      </c>
      <c r="D365" t="s">
        <v>132</v>
      </c>
      <c r="E365" t="s">
        <v>79</v>
      </c>
      <c r="F365" t="s">
        <v>79</v>
      </c>
      <c r="G365">
        <v>0.17</v>
      </c>
      <c r="H365" t="s">
        <v>55</v>
      </c>
      <c r="I365">
        <v>4</v>
      </c>
      <c r="J365" t="str">
        <f>HYPERLINK("https://www.eliteprospects.com/player/483485/jayden-jubenvill")</f>
        <v>https://www.eliteprospects.com/player/483485/jayden-jubenvill</v>
      </c>
      <c r="K365" t="s">
        <v>27</v>
      </c>
      <c r="L365" t="s">
        <v>28</v>
      </c>
      <c r="M365" t="s">
        <v>1296</v>
      </c>
      <c r="N365">
        <v>2</v>
      </c>
      <c r="O365" t="s">
        <v>43</v>
      </c>
      <c r="P365">
        <v>0.03</v>
      </c>
      <c r="Q365" t="s">
        <v>245</v>
      </c>
      <c r="R365">
        <v>28.6</v>
      </c>
      <c r="S365">
        <v>31.4</v>
      </c>
      <c r="T365">
        <v>28.6</v>
      </c>
      <c r="U365">
        <v>4.3</v>
      </c>
      <c r="V365">
        <v>7.1</v>
      </c>
    </row>
    <row r="366" spans="1:22" x14ac:dyDescent="0.25">
      <c r="A366" t="s">
        <v>1670</v>
      </c>
      <c r="B366" t="s">
        <v>163</v>
      </c>
      <c r="C366">
        <v>13</v>
      </c>
      <c r="D366" t="s">
        <v>132</v>
      </c>
      <c r="E366" t="s">
        <v>79</v>
      </c>
      <c r="F366" t="s">
        <v>79</v>
      </c>
      <c r="G366">
        <v>0.15</v>
      </c>
      <c r="H366" t="s">
        <v>132</v>
      </c>
      <c r="I366">
        <v>2</v>
      </c>
      <c r="J366" t="str">
        <f>HYPERLINK("https://www.eliteprospects.com/player/657771/martin-masa")</f>
        <v>https://www.eliteprospects.com/player/657771/martin-masa</v>
      </c>
      <c r="K366" t="s">
        <v>27</v>
      </c>
      <c r="L366" t="s">
        <v>28</v>
      </c>
      <c r="M366" t="s">
        <v>1296</v>
      </c>
      <c r="N366">
        <v>1</v>
      </c>
      <c r="O366" t="s">
        <v>71</v>
      </c>
      <c r="P366">
        <v>0.03</v>
      </c>
      <c r="Q366" t="s">
        <v>245</v>
      </c>
      <c r="R366">
        <v>28.6</v>
      </c>
      <c r="S366">
        <v>31.4</v>
      </c>
      <c r="T366">
        <v>28.6</v>
      </c>
      <c r="U366">
        <v>4.3</v>
      </c>
      <c r="V366">
        <v>7.1</v>
      </c>
    </row>
    <row r="367" spans="1:22" x14ac:dyDescent="0.25">
      <c r="A367" t="s">
        <v>1671</v>
      </c>
      <c r="B367" t="s">
        <v>148</v>
      </c>
      <c r="C367">
        <v>13</v>
      </c>
      <c r="D367" t="s">
        <v>132</v>
      </c>
      <c r="E367" t="s">
        <v>79</v>
      </c>
      <c r="F367" t="s">
        <v>79</v>
      </c>
      <c r="G367">
        <v>0.15</v>
      </c>
      <c r="H367" t="s">
        <v>66</v>
      </c>
      <c r="I367">
        <v>2</v>
      </c>
      <c r="J367" t="str">
        <f>HYPERLINK("https://www.eliteprospects.com/player/623769/carter-theissen")</f>
        <v>https://www.eliteprospects.com/player/623769/carter-theissen</v>
      </c>
      <c r="K367" t="s">
        <v>27</v>
      </c>
      <c r="L367" t="s">
        <v>28</v>
      </c>
      <c r="M367" t="s">
        <v>1296</v>
      </c>
      <c r="N367">
        <v>2</v>
      </c>
      <c r="O367" t="s">
        <v>43</v>
      </c>
      <c r="P367">
        <v>0.03</v>
      </c>
      <c r="Q367" t="s">
        <v>245</v>
      </c>
      <c r="R367">
        <v>28.6</v>
      </c>
      <c r="S367">
        <v>31.4</v>
      </c>
      <c r="T367">
        <v>28.6</v>
      </c>
      <c r="U367">
        <v>4.3</v>
      </c>
      <c r="V367">
        <v>7.1</v>
      </c>
    </row>
    <row r="368" spans="1:22" x14ac:dyDescent="0.25">
      <c r="A368" t="s">
        <v>1672</v>
      </c>
      <c r="B368" t="s">
        <v>121</v>
      </c>
      <c r="C368">
        <v>14</v>
      </c>
      <c r="D368" t="s">
        <v>132</v>
      </c>
      <c r="E368" t="s">
        <v>79</v>
      </c>
      <c r="F368" t="s">
        <v>79</v>
      </c>
      <c r="G368">
        <v>0.14000000000000001</v>
      </c>
      <c r="H368" t="s">
        <v>79</v>
      </c>
      <c r="I368">
        <v>-4</v>
      </c>
      <c r="J368" t="str">
        <f>HYPERLINK("https://www.eliteprospects.com/player/467132/blake-matheson")</f>
        <v>https://www.eliteprospects.com/player/467132/blake-matheson</v>
      </c>
      <c r="K368" t="s">
        <v>27</v>
      </c>
      <c r="L368" t="s">
        <v>28</v>
      </c>
      <c r="M368" t="s">
        <v>1296</v>
      </c>
      <c r="N368">
        <v>1</v>
      </c>
      <c r="O368" t="s">
        <v>71</v>
      </c>
      <c r="P368">
        <v>0.03</v>
      </c>
      <c r="Q368" t="s">
        <v>245</v>
      </c>
      <c r="R368">
        <v>28.6</v>
      </c>
      <c r="S368">
        <v>31.4</v>
      </c>
      <c r="T368">
        <v>28.6</v>
      </c>
      <c r="U368">
        <v>4.3</v>
      </c>
      <c r="V368">
        <v>7.1</v>
      </c>
    </row>
    <row r="369" spans="1:22" x14ac:dyDescent="0.25">
      <c r="A369" t="s">
        <v>1673</v>
      </c>
      <c r="B369" t="s">
        <v>362</v>
      </c>
      <c r="C369">
        <v>14</v>
      </c>
      <c r="D369" t="s">
        <v>132</v>
      </c>
      <c r="E369" t="s">
        <v>79</v>
      </c>
      <c r="F369" t="s">
        <v>79</v>
      </c>
      <c r="G369">
        <v>0.14000000000000001</v>
      </c>
      <c r="H369" t="s">
        <v>26</v>
      </c>
      <c r="I369">
        <v>-8</v>
      </c>
      <c r="J369" t="str">
        <f>HYPERLINK("https://www.eliteprospects.com/player/420027/lukas-klemm")</f>
        <v>https://www.eliteprospects.com/player/420027/lukas-klemm</v>
      </c>
      <c r="K369" t="s">
        <v>27</v>
      </c>
      <c r="L369" t="s">
        <v>28</v>
      </c>
      <c r="M369" t="s">
        <v>1296</v>
      </c>
      <c r="N369">
        <v>1</v>
      </c>
      <c r="O369" t="s">
        <v>71</v>
      </c>
      <c r="P369">
        <v>0.03</v>
      </c>
      <c r="Q369" t="s">
        <v>245</v>
      </c>
      <c r="R369">
        <v>28.6</v>
      </c>
      <c r="S369">
        <v>31.4</v>
      </c>
      <c r="T369">
        <v>28.6</v>
      </c>
      <c r="U369">
        <v>4.3</v>
      </c>
      <c r="V369">
        <v>7.1</v>
      </c>
    </row>
    <row r="370" spans="1:22" x14ac:dyDescent="0.25">
      <c r="A370" t="s">
        <v>1674</v>
      </c>
      <c r="B370" t="s">
        <v>150</v>
      </c>
      <c r="C370">
        <v>16</v>
      </c>
      <c r="D370" t="s">
        <v>132</v>
      </c>
      <c r="E370" t="s">
        <v>79</v>
      </c>
      <c r="F370" t="s">
        <v>79</v>
      </c>
      <c r="G370">
        <v>0.13</v>
      </c>
      <c r="H370" t="s">
        <v>57</v>
      </c>
      <c r="I370">
        <v>1</v>
      </c>
      <c r="J370" t="str">
        <f>HYPERLINK("https://www.eliteprospects.com/player/704503/bryce-ingles")</f>
        <v>https://www.eliteprospects.com/player/704503/bryce-ingles</v>
      </c>
      <c r="K370" t="s">
        <v>27</v>
      </c>
      <c r="L370" t="s">
        <v>28</v>
      </c>
      <c r="M370" t="s">
        <v>1296</v>
      </c>
      <c r="N370">
        <v>1</v>
      </c>
      <c r="O370" t="s">
        <v>71</v>
      </c>
      <c r="P370">
        <v>0.03</v>
      </c>
      <c r="Q370" t="s">
        <v>245</v>
      </c>
      <c r="R370">
        <v>28.6</v>
      </c>
      <c r="S370">
        <v>31.4</v>
      </c>
      <c r="T370">
        <v>28.6</v>
      </c>
      <c r="U370">
        <v>4.3</v>
      </c>
      <c r="V370">
        <v>7.1</v>
      </c>
    </row>
    <row r="371" spans="1:22" x14ac:dyDescent="0.25">
      <c r="A371" t="s">
        <v>1675</v>
      </c>
      <c r="B371" t="s">
        <v>288</v>
      </c>
      <c r="C371">
        <v>16</v>
      </c>
      <c r="D371" t="s">
        <v>132</v>
      </c>
      <c r="E371" t="s">
        <v>79</v>
      </c>
      <c r="F371" t="s">
        <v>79</v>
      </c>
      <c r="G371">
        <v>0.13</v>
      </c>
      <c r="H371" t="s">
        <v>57</v>
      </c>
      <c r="I371">
        <v>-4</v>
      </c>
      <c r="J371" t="str">
        <f>HYPERLINK("https://www.eliteprospects.com/player/563125/duncan-ramsay")</f>
        <v>https://www.eliteprospects.com/player/563125/duncan-ramsay</v>
      </c>
      <c r="K371" t="s">
        <v>27</v>
      </c>
      <c r="L371" t="s">
        <v>28</v>
      </c>
      <c r="M371" t="s">
        <v>1296</v>
      </c>
      <c r="N371">
        <v>3</v>
      </c>
      <c r="O371" t="s">
        <v>74</v>
      </c>
      <c r="P371">
        <v>0.03</v>
      </c>
      <c r="Q371" t="s">
        <v>245</v>
      </c>
      <c r="R371">
        <v>28.6</v>
      </c>
      <c r="S371">
        <v>31.4</v>
      </c>
      <c r="T371">
        <v>28.6</v>
      </c>
      <c r="U371">
        <v>4.3</v>
      </c>
      <c r="V371">
        <v>7.1</v>
      </c>
    </row>
    <row r="372" spans="1:22" x14ac:dyDescent="0.25">
      <c r="A372" t="s">
        <v>1676</v>
      </c>
      <c r="B372" t="s">
        <v>85</v>
      </c>
      <c r="C372">
        <v>16</v>
      </c>
      <c r="D372" t="s">
        <v>132</v>
      </c>
      <c r="E372" t="s">
        <v>79</v>
      </c>
      <c r="F372" t="s">
        <v>79</v>
      </c>
      <c r="G372">
        <v>0.13</v>
      </c>
      <c r="H372" t="s">
        <v>60</v>
      </c>
      <c r="I372">
        <v>1</v>
      </c>
      <c r="J372" t="str">
        <f>HYPERLINK("https://www.eliteprospects.com/player/470021/david-ma")</f>
        <v>https://www.eliteprospects.com/player/470021/david-ma</v>
      </c>
      <c r="K372" t="s">
        <v>27</v>
      </c>
      <c r="L372" t="s">
        <v>28</v>
      </c>
      <c r="M372" t="s">
        <v>1296</v>
      </c>
      <c r="N372">
        <v>5</v>
      </c>
      <c r="O372" t="s">
        <v>67</v>
      </c>
      <c r="P372">
        <v>0.03</v>
      </c>
      <c r="Q372" t="s">
        <v>245</v>
      </c>
      <c r="R372">
        <v>28.6</v>
      </c>
      <c r="S372">
        <v>31.4</v>
      </c>
      <c r="T372">
        <v>28.6</v>
      </c>
      <c r="U372">
        <v>4.3</v>
      </c>
      <c r="V372">
        <v>7.1</v>
      </c>
    </row>
    <row r="373" spans="1:22" x14ac:dyDescent="0.25">
      <c r="A373" t="s">
        <v>1677</v>
      </c>
      <c r="B373" t="s">
        <v>80</v>
      </c>
      <c r="C373">
        <v>17</v>
      </c>
      <c r="D373" t="s">
        <v>132</v>
      </c>
      <c r="E373" t="s">
        <v>79</v>
      </c>
      <c r="F373" t="s">
        <v>79</v>
      </c>
      <c r="G373">
        <v>0.12</v>
      </c>
      <c r="H373" t="s">
        <v>55</v>
      </c>
      <c r="I373">
        <v>-2</v>
      </c>
      <c r="J373" t="str">
        <f>HYPERLINK("https://www.eliteprospects.com/player/512291/carter-schade")</f>
        <v>https://www.eliteprospects.com/player/512291/carter-schade</v>
      </c>
      <c r="K373" t="s">
        <v>27</v>
      </c>
      <c r="L373" t="s">
        <v>28</v>
      </c>
      <c r="M373" t="s">
        <v>1296</v>
      </c>
      <c r="N373">
        <v>4</v>
      </c>
      <c r="O373" t="s">
        <v>30</v>
      </c>
      <c r="P373">
        <v>0.02</v>
      </c>
      <c r="Q373" t="s">
        <v>245</v>
      </c>
      <c r="R373">
        <v>28.6</v>
      </c>
      <c r="S373">
        <v>31.4</v>
      </c>
      <c r="T373">
        <v>28.6</v>
      </c>
      <c r="U373">
        <v>4.3</v>
      </c>
      <c r="V373">
        <v>7.1</v>
      </c>
    </row>
    <row r="374" spans="1:22" x14ac:dyDescent="0.25">
      <c r="A374" t="s">
        <v>1678</v>
      </c>
      <c r="B374" t="s">
        <v>158</v>
      </c>
      <c r="C374">
        <v>18</v>
      </c>
      <c r="D374" t="s">
        <v>132</v>
      </c>
      <c r="E374" t="s">
        <v>79</v>
      </c>
      <c r="F374" t="s">
        <v>79</v>
      </c>
      <c r="G374">
        <v>0.11</v>
      </c>
      <c r="H374" t="s">
        <v>57</v>
      </c>
      <c r="I374">
        <v>-11</v>
      </c>
      <c r="J374" t="str">
        <f>HYPERLINK("https://www.eliteprospects.com/player/603673/jackson-anderson")</f>
        <v>https://www.eliteprospects.com/player/603673/jackson-anderson</v>
      </c>
      <c r="K374" t="s">
        <v>27</v>
      </c>
      <c r="L374" t="s">
        <v>28</v>
      </c>
      <c r="M374" t="s">
        <v>1296</v>
      </c>
      <c r="N374">
        <v>1</v>
      </c>
      <c r="O374" t="s">
        <v>71</v>
      </c>
      <c r="P374">
        <v>0.02</v>
      </c>
      <c r="Q374" t="s">
        <v>245</v>
      </c>
      <c r="R374">
        <v>28.6</v>
      </c>
      <c r="S374">
        <v>31.4</v>
      </c>
      <c r="T374">
        <v>28.6</v>
      </c>
      <c r="U374">
        <v>4.3</v>
      </c>
      <c r="V374">
        <v>7.1</v>
      </c>
    </row>
    <row r="375" spans="1:22" x14ac:dyDescent="0.25">
      <c r="A375" t="s">
        <v>1679</v>
      </c>
      <c r="B375" t="s">
        <v>180</v>
      </c>
      <c r="C375">
        <v>20</v>
      </c>
      <c r="D375" t="s">
        <v>132</v>
      </c>
      <c r="E375" t="s">
        <v>79</v>
      </c>
      <c r="F375" t="s">
        <v>79</v>
      </c>
      <c r="G375">
        <v>0.1</v>
      </c>
      <c r="H375" t="s">
        <v>23</v>
      </c>
      <c r="I375">
        <v>-7</v>
      </c>
      <c r="J375" t="str">
        <f>HYPERLINK("https://www.eliteprospects.com/player/580444/jaedon-kerr")</f>
        <v>https://www.eliteprospects.com/player/580444/jaedon-kerr</v>
      </c>
      <c r="K375" t="s">
        <v>27</v>
      </c>
      <c r="L375" t="s">
        <v>28</v>
      </c>
      <c r="M375" t="s">
        <v>1296</v>
      </c>
      <c r="N375">
        <v>2</v>
      </c>
      <c r="O375" t="s">
        <v>43</v>
      </c>
      <c r="P375">
        <v>0.02</v>
      </c>
      <c r="Q375" t="s">
        <v>245</v>
      </c>
      <c r="R375">
        <v>28.6</v>
      </c>
      <c r="S375">
        <v>31.4</v>
      </c>
      <c r="T375">
        <v>28.6</v>
      </c>
      <c r="U375">
        <v>4.3</v>
      </c>
      <c r="V375">
        <v>7.1</v>
      </c>
    </row>
    <row r="376" spans="1:22" x14ac:dyDescent="0.25">
      <c r="A376" t="s">
        <v>1680</v>
      </c>
      <c r="B376" t="s">
        <v>238</v>
      </c>
      <c r="C376">
        <v>20</v>
      </c>
      <c r="D376" t="s">
        <v>132</v>
      </c>
      <c r="E376" t="s">
        <v>79</v>
      </c>
      <c r="F376" t="s">
        <v>79</v>
      </c>
      <c r="G376">
        <v>0.1</v>
      </c>
      <c r="H376" t="s">
        <v>23</v>
      </c>
      <c r="I376">
        <v>-11</v>
      </c>
      <c r="J376" t="str">
        <f>HYPERLINK("https://www.eliteprospects.com/player/632606/gunnar-vandamme")</f>
        <v>https://www.eliteprospects.com/player/632606/gunnar-vandamme</v>
      </c>
      <c r="K376" t="s">
        <v>27</v>
      </c>
      <c r="L376" t="s">
        <v>28</v>
      </c>
      <c r="M376" t="s">
        <v>1296</v>
      </c>
      <c r="N376">
        <v>3</v>
      </c>
      <c r="O376" t="s">
        <v>74</v>
      </c>
      <c r="P376">
        <v>0.02</v>
      </c>
      <c r="Q376" t="s">
        <v>245</v>
      </c>
      <c r="R376">
        <v>28.6</v>
      </c>
      <c r="S376">
        <v>31.4</v>
      </c>
      <c r="T376">
        <v>28.6</v>
      </c>
      <c r="U376">
        <v>4.3</v>
      </c>
      <c r="V376">
        <v>7.1</v>
      </c>
    </row>
    <row r="377" spans="1:22" x14ac:dyDescent="0.25">
      <c r="A377" t="s">
        <v>1681</v>
      </c>
      <c r="B377" t="s">
        <v>121</v>
      </c>
      <c r="C377">
        <v>20</v>
      </c>
      <c r="D377" t="s">
        <v>132</v>
      </c>
      <c r="E377" t="s">
        <v>79</v>
      </c>
      <c r="F377" t="s">
        <v>79</v>
      </c>
      <c r="G377">
        <v>0.1</v>
      </c>
      <c r="H377" t="s">
        <v>61</v>
      </c>
      <c r="I377">
        <v>4</v>
      </c>
      <c r="J377" t="str">
        <f>HYPERLINK("https://www.eliteprospects.com/player/526365/blake-dangos")</f>
        <v>https://www.eliteprospects.com/player/526365/blake-dangos</v>
      </c>
      <c r="K377" t="s">
        <v>27</v>
      </c>
      <c r="L377" t="s">
        <v>28</v>
      </c>
      <c r="M377" t="s">
        <v>1296</v>
      </c>
      <c r="N377">
        <v>4</v>
      </c>
      <c r="O377" t="s">
        <v>30</v>
      </c>
      <c r="P377">
        <v>0.02</v>
      </c>
      <c r="Q377" t="s">
        <v>245</v>
      </c>
      <c r="R377">
        <v>28.6</v>
      </c>
      <c r="S377">
        <v>31.4</v>
      </c>
      <c r="T377">
        <v>28.6</v>
      </c>
      <c r="U377">
        <v>4.3</v>
      </c>
      <c r="V377">
        <v>7.1</v>
      </c>
    </row>
    <row r="378" spans="1:22" x14ac:dyDescent="0.25">
      <c r="A378" t="s">
        <v>1682</v>
      </c>
      <c r="B378" t="s">
        <v>109</v>
      </c>
      <c r="C378">
        <v>20</v>
      </c>
      <c r="D378" t="s">
        <v>132</v>
      </c>
      <c r="E378" t="s">
        <v>79</v>
      </c>
      <c r="F378" t="s">
        <v>79</v>
      </c>
      <c r="G378">
        <v>0.1</v>
      </c>
      <c r="H378" t="s">
        <v>46</v>
      </c>
      <c r="I378">
        <v>9</v>
      </c>
      <c r="J378" t="str">
        <f>HYPERLINK("https://www.eliteprospects.com/player/637628/andrew-strathmann")</f>
        <v>https://www.eliteprospects.com/player/637628/andrew-strathmann</v>
      </c>
      <c r="K378" t="s">
        <v>27</v>
      </c>
      <c r="L378" t="s">
        <v>28</v>
      </c>
      <c r="M378" t="s">
        <v>1296</v>
      </c>
      <c r="N378">
        <v>2</v>
      </c>
      <c r="O378" t="s">
        <v>43</v>
      </c>
      <c r="P378">
        <v>0.02</v>
      </c>
      <c r="Q378" t="s">
        <v>245</v>
      </c>
      <c r="R378">
        <v>28.6</v>
      </c>
      <c r="S378">
        <v>31.4</v>
      </c>
      <c r="T378">
        <v>28.6</v>
      </c>
      <c r="U378">
        <v>4.3</v>
      </c>
      <c r="V378">
        <v>7.1</v>
      </c>
    </row>
    <row r="379" spans="1:22" x14ac:dyDescent="0.25">
      <c r="A379" t="s">
        <v>1683</v>
      </c>
      <c r="B379" t="s">
        <v>37</v>
      </c>
      <c r="C379">
        <v>21</v>
      </c>
      <c r="D379" t="s">
        <v>132</v>
      </c>
      <c r="E379" t="s">
        <v>79</v>
      </c>
      <c r="F379" t="s">
        <v>79</v>
      </c>
      <c r="G379">
        <v>0.1</v>
      </c>
      <c r="H379" t="s">
        <v>269</v>
      </c>
      <c r="I379">
        <v>7</v>
      </c>
      <c r="J379" t="str">
        <f>HYPERLINK("https://www.eliteprospects.com/player/717255/brady-cleveland")</f>
        <v>https://www.eliteprospects.com/player/717255/brady-cleveland</v>
      </c>
      <c r="K379" t="s">
        <v>27</v>
      </c>
      <c r="L379" t="s">
        <v>28</v>
      </c>
      <c r="M379" t="s">
        <v>1296</v>
      </c>
      <c r="N379">
        <v>3</v>
      </c>
      <c r="O379" t="s">
        <v>74</v>
      </c>
      <c r="P379">
        <v>0.02</v>
      </c>
      <c r="Q379" t="s">
        <v>245</v>
      </c>
      <c r="R379">
        <v>28.6</v>
      </c>
      <c r="S379">
        <v>31.4</v>
      </c>
      <c r="T379">
        <v>28.6</v>
      </c>
      <c r="U379">
        <v>4.3</v>
      </c>
      <c r="V379">
        <v>7.1</v>
      </c>
    </row>
    <row r="380" spans="1:22" x14ac:dyDescent="0.25">
      <c r="A380" t="s">
        <v>1684</v>
      </c>
      <c r="B380" t="s">
        <v>124</v>
      </c>
      <c r="C380">
        <v>22</v>
      </c>
      <c r="D380" t="s">
        <v>132</v>
      </c>
      <c r="E380" t="s">
        <v>79</v>
      </c>
      <c r="F380" t="s">
        <v>79</v>
      </c>
      <c r="G380">
        <v>0.09</v>
      </c>
      <c r="H380" t="s">
        <v>66</v>
      </c>
      <c r="I380">
        <v>-3</v>
      </c>
      <c r="J380" t="str">
        <f>HYPERLINK("https://www.eliteprospects.com/player/702975/michael-phelan")</f>
        <v>https://www.eliteprospects.com/player/702975/michael-phelan</v>
      </c>
      <c r="K380" t="s">
        <v>27</v>
      </c>
      <c r="L380" t="s">
        <v>28</v>
      </c>
      <c r="M380" t="s">
        <v>1296</v>
      </c>
      <c r="N380">
        <v>1</v>
      </c>
      <c r="O380" t="s">
        <v>71</v>
      </c>
      <c r="P380">
        <v>0.02</v>
      </c>
      <c r="Q380" t="s">
        <v>245</v>
      </c>
      <c r="R380">
        <v>28.6</v>
      </c>
      <c r="S380">
        <v>31.4</v>
      </c>
      <c r="T380">
        <v>28.6</v>
      </c>
      <c r="U380">
        <v>4.3</v>
      </c>
      <c r="V380">
        <v>7.1</v>
      </c>
    </row>
    <row r="381" spans="1:22" x14ac:dyDescent="0.25">
      <c r="A381" t="s">
        <v>1685</v>
      </c>
      <c r="B381" t="s">
        <v>148</v>
      </c>
      <c r="C381">
        <v>23</v>
      </c>
      <c r="D381" t="s">
        <v>132</v>
      </c>
      <c r="E381" t="s">
        <v>79</v>
      </c>
      <c r="F381" t="s">
        <v>79</v>
      </c>
      <c r="G381">
        <v>0.09</v>
      </c>
      <c r="H381" t="s">
        <v>26</v>
      </c>
      <c r="I381">
        <v>4</v>
      </c>
      <c r="J381" t="str">
        <f>HYPERLINK("https://www.eliteprospects.com/player/603581/maxwell-chakrabarti")</f>
        <v>https://www.eliteprospects.com/player/603581/maxwell-chakrabarti</v>
      </c>
      <c r="K381" t="s">
        <v>27</v>
      </c>
      <c r="L381" t="s">
        <v>28</v>
      </c>
      <c r="M381" t="s">
        <v>1296</v>
      </c>
      <c r="N381">
        <v>1</v>
      </c>
      <c r="O381" t="s">
        <v>71</v>
      </c>
      <c r="P381">
        <v>0.02</v>
      </c>
      <c r="Q381" t="s">
        <v>245</v>
      </c>
      <c r="R381">
        <v>28.6</v>
      </c>
      <c r="S381">
        <v>31.4</v>
      </c>
      <c r="T381">
        <v>28.6</v>
      </c>
      <c r="U381">
        <v>4.3</v>
      </c>
      <c r="V381">
        <v>7.1</v>
      </c>
    </row>
    <row r="382" spans="1:22" x14ac:dyDescent="0.25">
      <c r="A382" t="s">
        <v>1686</v>
      </c>
      <c r="B382" t="s">
        <v>362</v>
      </c>
      <c r="C382">
        <v>11</v>
      </c>
      <c r="D382" t="s">
        <v>260</v>
      </c>
      <c r="E382" t="s">
        <v>132</v>
      </c>
      <c r="F382" t="s">
        <v>260</v>
      </c>
      <c r="G382">
        <v>0.09</v>
      </c>
      <c r="H382" t="s">
        <v>79</v>
      </c>
      <c r="I382">
        <v>0</v>
      </c>
      <c r="J382" t="str">
        <f>HYPERLINK("https://www.eliteprospects.com/player/415040/tyler-nasca")</f>
        <v>https://www.eliteprospects.com/player/415040/tyler-nasca</v>
      </c>
      <c r="K382" t="s">
        <v>27</v>
      </c>
      <c r="L382" t="s">
        <v>28</v>
      </c>
      <c r="M382" t="s">
        <v>1296</v>
      </c>
      <c r="N382">
        <v>4</v>
      </c>
      <c r="O382" t="s">
        <v>30</v>
      </c>
      <c r="P382">
        <v>0.02</v>
      </c>
      <c r="Q382" t="s">
        <v>245</v>
      </c>
      <c r="R382">
        <v>28.6</v>
      </c>
      <c r="S382">
        <v>31.4</v>
      </c>
      <c r="T382">
        <v>28.6</v>
      </c>
      <c r="U382">
        <v>4.3</v>
      </c>
      <c r="V382">
        <v>7.1</v>
      </c>
    </row>
    <row r="383" spans="1:22" x14ac:dyDescent="0.25">
      <c r="A383" t="s">
        <v>1687</v>
      </c>
      <c r="B383" t="s">
        <v>73</v>
      </c>
      <c r="C383">
        <v>11</v>
      </c>
      <c r="D383" t="s">
        <v>260</v>
      </c>
      <c r="E383" t="s">
        <v>132</v>
      </c>
      <c r="F383" t="s">
        <v>260</v>
      </c>
      <c r="G383">
        <v>0.09</v>
      </c>
      <c r="H383" t="s">
        <v>57</v>
      </c>
      <c r="I383">
        <v>-1</v>
      </c>
      <c r="J383" t="str">
        <f>HYPERLINK("https://www.eliteprospects.com/player/693200/joe-belisle")</f>
        <v>https://www.eliteprospects.com/player/693200/joe-belisle</v>
      </c>
      <c r="K383" t="s">
        <v>27</v>
      </c>
      <c r="L383" t="s">
        <v>28</v>
      </c>
      <c r="M383" t="s">
        <v>1296</v>
      </c>
      <c r="N383">
        <v>1</v>
      </c>
      <c r="O383" t="s">
        <v>71</v>
      </c>
      <c r="P383">
        <v>0.02</v>
      </c>
      <c r="Q383" t="s">
        <v>245</v>
      </c>
      <c r="R383">
        <v>28.6</v>
      </c>
      <c r="S383">
        <v>31.4</v>
      </c>
      <c r="T383">
        <v>28.6</v>
      </c>
      <c r="U383">
        <v>4.3</v>
      </c>
      <c r="V383">
        <v>7.1</v>
      </c>
    </row>
    <row r="384" spans="1:22" x14ac:dyDescent="0.25">
      <c r="A384" t="s">
        <v>1688</v>
      </c>
      <c r="B384" t="s">
        <v>50</v>
      </c>
      <c r="C384">
        <v>11</v>
      </c>
      <c r="D384" t="s">
        <v>260</v>
      </c>
      <c r="E384" t="s">
        <v>132</v>
      </c>
      <c r="F384" t="s">
        <v>260</v>
      </c>
      <c r="G384">
        <v>0.09</v>
      </c>
      <c r="H384" t="s">
        <v>55</v>
      </c>
      <c r="I384">
        <v>3</v>
      </c>
      <c r="J384" t="str">
        <f>HYPERLINK("https://www.eliteprospects.com/player/603136/matthew-mania")</f>
        <v>https://www.eliteprospects.com/player/603136/matthew-mania</v>
      </c>
      <c r="K384" t="s">
        <v>27</v>
      </c>
      <c r="L384" t="s">
        <v>28</v>
      </c>
      <c r="M384" t="s">
        <v>1296</v>
      </c>
      <c r="N384">
        <v>5</v>
      </c>
      <c r="O384" t="s">
        <v>147</v>
      </c>
      <c r="P384">
        <v>0.02</v>
      </c>
      <c r="Q384" t="s">
        <v>245</v>
      </c>
      <c r="R384">
        <v>28.6</v>
      </c>
      <c r="S384">
        <v>31.4</v>
      </c>
      <c r="T384">
        <v>28.6</v>
      </c>
      <c r="U384">
        <v>4.3</v>
      </c>
      <c r="V384">
        <v>7.1</v>
      </c>
    </row>
    <row r="385" spans="1:22" x14ac:dyDescent="0.25">
      <c r="A385" t="s">
        <v>1689</v>
      </c>
      <c r="B385" t="s">
        <v>22</v>
      </c>
      <c r="C385">
        <v>13</v>
      </c>
      <c r="D385" t="s">
        <v>260</v>
      </c>
      <c r="E385" t="s">
        <v>132</v>
      </c>
      <c r="F385" t="s">
        <v>260</v>
      </c>
      <c r="G385">
        <v>0.08</v>
      </c>
      <c r="H385" t="s">
        <v>32</v>
      </c>
      <c r="I385">
        <v>-3</v>
      </c>
      <c r="J385" t="str">
        <f>HYPERLINK("https://www.eliteprospects.com/player/645494/tucker-ness")</f>
        <v>https://www.eliteprospects.com/player/645494/tucker-ness</v>
      </c>
      <c r="K385" t="s">
        <v>27</v>
      </c>
      <c r="L385" t="s">
        <v>28</v>
      </c>
      <c r="M385" t="s">
        <v>1296</v>
      </c>
      <c r="N385">
        <v>4</v>
      </c>
      <c r="O385" t="s">
        <v>30</v>
      </c>
      <c r="P385">
        <v>0.02</v>
      </c>
      <c r="Q385" t="s">
        <v>245</v>
      </c>
      <c r="R385">
        <v>28.6</v>
      </c>
      <c r="S385">
        <v>31.4</v>
      </c>
      <c r="T385">
        <v>28.6</v>
      </c>
      <c r="U385">
        <v>4.3</v>
      </c>
      <c r="V385">
        <v>7.1</v>
      </c>
    </row>
    <row r="386" spans="1:22" x14ac:dyDescent="0.25">
      <c r="A386" t="s">
        <v>1690</v>
      </c>
      <c r="B386" t="s">
        <v>82</v>
      </c>
      <c r="C386">
        <v>14</v>
      </c>
      <c r="D386" t="s">
        <v>260</v>
      </c>
      <c r="E386" t="s">
        <v>132</v>
      </c>
      <c r="F386" t="s">
        <v>260</v>
      </c>
      <c r="G386">
        <v>7.0000000000000007E-2</v>
      </c>
      <c r="H386" t="s">
        <v>26</v>
      </c>
      <c r="I386">
        <v>4</v>
      </c>
      <c r="J386" t="str">
        <f>HYPERLINK("https://www.eliteprospects.com/player/572385/benjamin-vigneault")</f>
        <v>https://www.eliteprospects.com/player/572385/benjamin-vigneault</v>
      </c>
      <c r="K386" t="s">
        <v>27</v>
      </c>
      <c r="L386" t="s">
        <v>28</v>
      </c>
      <c r="M386" t="s">
        <v>1296</v>
      </c>
      <c r="N386">
        <v>5</v>
      </c>
      <c r="O386" t="s">
        <v>207</v>
      </c>
      <c r="P386">
        <v>0.01</v>
      </c>
      <c r="Q386" t="s">
        <v>245</v>
      </c>
      <c r="R386">
        <v>28.6</v>
      </c>
      <c r="S386">
        <v>31.4</v>
      </c>
      <c r="T386">
        <v>28.6</v>
      </c>
      <c r="U386">
        <v>4.3</v>
      </c>
      <c r="V386">
        <v>7.1</v>
      </c>
    </row>
    <row r="387" spans="1:22" x14ac:dyDescent="0.25">
      <c r="A387" t="s">
        <v>1691</v>
      </c>
      <c r="B387" t="s">
        <v>90</v>
      </c>
      <c r="C387">
        <v>14</v>
      </c>
      <c r="D387" t="s">
        <v>260</v>
      </c>
      <c r="E387" t="s">
        <v>132</v>
      </c>
      <c r="F387" t="s">
        <v>260</v>
      </c>
      <c r="G387">
        <v>7.0000000000000007E-2</v>
      </c>
      <c r="H387" t="s">
        <v>60</v>
      </c>
      <c r="I387">
        <v>3</v>
      </c>
      <c r="J387" t="str">
        <f>HYPERLINK("https://www.eliteprospects.com/player/511963/liam-lesakowski")</f>
        <v>https://www.eliteprospects.com/player/511963/liam-lesakowski</v>
      </c>
      <c r="K387" t="s">
        <v>27</v>
      </c>
      <c r="L387" t="s">
        <v>28</v>
      </c>
      <c r="M387" t="s">
        <v>1296</v>
      </c>
      <c r="N387">
        <v>3</v>
      </c>
      <c r="O387" t="s">
        <v>74</v>
      </c>
      <c r="P387">
        <v>0.01</v>
      </c>
      <c r="Q387" t="s">
        <v>245</v>
      </c>
      <c r="R387">
        <v>28.6</v>
      </c>
      <c r="S387">
        <v>31.4</v>
      </c>
      <c r="T387">
        <v>28.6</v>
      </c>
      <c r="U387">
        <v>4.3</v>
      </c>
      <c r="V387">
        <v>7.1</v>
      </c>
    </row>
    <row r="388" spans="1:22" x14ac:dyDescent="0.25">
      <c r="A388" t="s">
        <v>1692</v>
      </c>
      <c r="B388" t="s">
        <v>128</v>
      </c>
      <c r="C388">
        <v>15</v>
      </c>
      <c r="D388" t="s">
        <v>260</v>
      </c>
      <c r="E388" t="s">
        <v>132</v>
      </c>
      <c r="F388" t="s">
        <v>260</v>
      </c>
      <c r="G388">
        <v>7.0000000000000007E-2</v>
      </c>
      <c r="H388" t="s">
        <v>132</v>
      </c>
      <c r="I388">
        <v>-3</v>
      </c>
      <c r="J388" t="str">
        <f>HYPERLINK("https://www.eliteprospects.com/player/557689/rihards-simanovics")</f>
        <v>https://www.eliteprospects.com/player/557689/rihards-simanovics</v>
      </c>
      <c r="K388" t="s">
        <v>27</v>
      </c>
      <c r="L388" t="s">
        <v>28</v>
      </c>
      <c r="M388" t="s">
        <v>1296</v>
      </c>
      <c r="N388">
        <v>3</v>
      </c>
      <c r="O388" t="s">
        <v>74</v>
      </c>
      <c r="P388">
        <v>0.01</v>
      </c>
      <c r="Q388" t="s">
        <v>245</v>
      </c>
      <c r="R388">
        <v>28.6</v>
      </c>
      <c r="S388">
        <v>31.4</v>
      </c>
      <c r="T388">
        <v>28.6</v>
      </c>
      <c r="U388">
        <v>4.3</v>
      </c>
      <c r="V388">
        <v>7.1</v>
      </c>
    </row>
    <row r="389" spans="1:22" x14ac:dyDescent="0.25">
      <c r="A389" t="s">
        <v>1693</v>
      </c>
      <c r="B389" t="s">
        <v>234</v>
      </c>
      <c r="C389">
        <v>15</v>
      </c>
      <c r="D389" t="s">
        <v>260</v>
      </c>
      <c r="E389" t="s">
        <v>132</v>
      </c>
      <c r="F389" t="s">
        <v>260</v>
      </c>
      <c r="G389">
        <v>7.0000000000000007E-2</v>
      </c>
      <c r="H389" t="s">
        <v>66</v>
      </c>
      <c r="I389">
        <v>-3</v>
      </c>
      <c r="J389" t="str">
        <f>HYPERLINK("https://www.eliteprospects.com/player/586599/ashton-bynum")</f>
        <v>https://www.eliteprospects.com/player/586599/ashton-bynum</v>
      </c>
      <c r="K389" t="s">
        <v>27</v>
      </c>
      <c r="L389" t="s">
        <v>28</v>
      </c>
      <c r="M389" t="s">
        <v>1296</v>
      </c>
      <c r="N389">
        <v>1</v>
      </c>
      <c r="O389" t="s">
        <v>71</v>
      </c>
      <c r="P389">
        <v>0.01</v>
      </c>
      <c r="Q389" t="s">
        <v>245</v>
      </c>
      <c r="R389">
        <v>28.6</v>
      </c>
      <c r="S389">
        <v>31.4</v>
      </c>
      <c r="T389">
        <v>28.6</v>
      </c>
      <c r="U389">
        <v>4.3</v>
      </c>
      <c r="V389">
        <v>7.1</v>
      </c>
    </row>
    <row r="390" spans="1:22" x14ac:dyDescent="0.25">
      <c r="A390" t="s">
        <v>1694</v>
      </c>
      <c r="B390" t="s">
        <v>119</v>
      </c>
      <c r="C390">
        <v>16</v>
      </c>
      <c r="D390" t="s">
        <v>260</v>
      </c>
      <c r="E390" t="s">
        <v>132</v>
      </c>
      <c r="F390" t="s">
        <v>260</v>
      </c>
      <c r="G390">
        <v>0.06</v>
      </c>
      <c r="H390" t="s">
        <v>132</v>
      </c>
      <c r="I390">
        <v>-1</v>
      </c>
      <c r="J390" t="str">
        <f>HYPERLINK("https://www.eliteprospects.com/player/623740/axel-begley")</f>
        <v>https://www.eliteprospects.com/player/623740/axel-begley</v>
      </c>
      <c r="K390" t="s">
        <v>27</v>
      </c>
      <c r="L390" t="s">
        <v>28</v>
      </c>
      <c r="M390" t="s">
        <v>1296</v>
      </c>
      <c r="N390">
        <v>3</v>
      </c>
      <c r="O390" t="s">
        <v>74</v>
      </c>
      <c r="P390">
        <v>0.01</v>
      </c>
      <c r="Q390" t="s">
        <v>245</v>
      </c>
      <c r="R390">
        <v>28.6</v>
      </c>
      <c r="S390">
        <v>31.4</v>
      </c>
      <c r="T390">
        <v>28.6</v>
      </c>
      <c r="U390">
        <v>4.3</v>
      </c>
      <c r="V390">
        <v>7.1</v>
      </c>
    </row>
    <row r="391" spans="1:22" x14ac:dyDescent="0.25">
      <c r="A391" t="s">
        <v>1695</v>
      </c>
      <c r="B391" t="s">
        <v>205</v>
      </c>
      <c r="C391">
        <v>16</v>
      </c>
      <c r="D391" t="s">
        <v>260</v>
      </c>
      <c r="E391" t="s">
        <v>132</v>
      </c>
      <c r="F391" t="s">
        <v>260</v>
      </c>
      <c r="G391">
        <v>0.06</v>
      </c>
      <c r="H391" t="s">
        <v>57</v>
      </c>
      <c r="I391">
        <v>11</v>
      </c>
      <c r="J391" t="str">
        <f>HYPERLINK("https://www.eliteprospects.com/player/511931/ryan-williams")</f>
        <v>https://www.eliteprospects.com/player/511931/ryan-williams</v>
      </c>
      <c r="K391" t="s">
        <v>27</v>
      </c>
      <c r="L391" t="s">
        <v>28</v>
      </c>
      <c r="M391" t="s">
        <v>1296</v>
      </c>
      <c r="N391">
        <v>2</v>
      </c>
      <c r="O391" t="s">
        <v>43</v>
      </c>
      <c r="P391">
        <v>0.01</v>
      </c>
      <c r="Q391" t="s">
        <v>245</v>
      </c>
      <c r="R391">
        <v>28.6</v>
      </c>
      <c r="S391">
        <v>31.4</v>
      </c>
      <c r="T391">
        <v>28.6</v>
      </c>
      <c r="U391">
        <v>4.3</v>
      </c>
      <c r="V391">
        <v>7.1</v>
      </c>
    </row>
    <row r="392" spans="1:22" x14ac:dyDescent="0.25">
      <c r="A392" t="s">
        <v>1696</v>
      </c>
      <c r="B392" t="s">
        <v>120</v>
      </c>
      <c r="C392">
        <v>18</v>
      </c>
      <c r="D392" t="s">
        <v>260</v>
      </c>
      <c r="E392" t="s">
        <v>132</v>
      </c>
      <c r="F392" t="s">
        <v>260</v>
      </c>
      <c r="G392">
        <v>0.06</v>
      </c>
      <c r="H392" t="s">
        <v>39</v>
      </c>
      <c r="I392">
        <v>0</v>
      </c>
      <c r="J392" t="str">
        <f>HYPERLINK("https://www.eliteprospects.com/player/597634/will-skahan")</f>
        <v>https://www.eliteprospects.com/player/597634/will-skahan</v>
      </c>
      <c r="K392" t="s">
        <v>27</v>
      </c>
      <c r="L392" t="s">
        <v>28</v>
      </c>
      <c r="M392" t="s">
        <v>1296</v>
      </c>
      <c r="N392">
        <v>2</v>
      </c>
      <c r="O392" t="s">
        <v>43</v>
      </c>
      <c r="P392">
        <v>0.01</v>
      </c>
      <c r="Q392" t="s">
        <v>245</v>
      </c>
      <c r="R392">
        <v>28.6</v>
      </c>
      <c r="S392">
        <v>31.4</v>
      </c>
      <c r="T392">
        <v>28.6</v>
      </c>
      <c r="U392">
        <v>4.3</v>
      </c>
      <c r="V392">
        <v>7.1</v>
      </c>
    </row>
    <row r="393" spans="1:22" x14ac:dyDescent="0.25">
      <c r="A393" t="s">
        <v>1697</v>
      </c>
      <c r="B393" t="s">
        <v>113</v>
      </c>
      <c r="C393">
        <v>18</v>
      </c>
      <c r="D393" t="s">
        <v>260</v>
      </c>
      <c r="E393" t="s">
        <v>132</v>
      </c>
      <c r="F393" t="s">
        <v>260</v>
      </c>
      <c r="G393">
        <v>0.06</v>
      </c>
      <c r="H393" t="s">
        <v>33</v>
      </c>
      <c r="I393">
        <v>0</v>
      </c>
      <c r="J393" t="str">
        <f>HYPERLINK("https://www.eliteprospects.com/player/623001/bryce-strand")</f>
        <v>https://www.eliteprospects.com/player/623001/bryce-strand</v>
      </c>
      <c r="K393" t="s">
        <v>27</v>
      </c>
      <c r="L393" t="s">
        <v>28</v>
      </c>
      <c r="M393" t="s">
        <v>1296</v>
      </c>
      <c r="N393">
        <v>1</v>
      </c>
      <c r="O393" t="s">
        <v>71</v>
      </c>
      <c r="P393">
        <v>0.01</v>
      </c>
      <c r="Q393" t="s">
        <v>245</v>
      </c>
      <c r="R393">
        <v>28.6</v>
      </c>
      <c r="S393">
        <v>31.4</v>
      </c>
      <c r="T393">
        <v>28.6</v>
      </c>
      <c r="U393">
        <v>4.3</v>
      </c>
      <c r="V393">
        <v>7.1</v>
      </c>
    </row>
    <row r="394" spans="1:22" x14ac:dyDescent="0.25">
      <c r="A394" t="s">
        <v>1698</v>
      </c>
      <c r="B394" t="s">
        <v>116</v>
      </c>
      <c r="C394">
        <v>19</v>
      </c>
      <c r="D394" t="s">
        <v>260</v>
      </c>
      <c r="E394" t="s">
        <v>132</v>
      </c>
      <c r="F394" t="s">
        <v>260</v>
      </c>
      <c r="G394">
        <v>0.05</v>
      </c>
      <c r="H394" t="s">
        <v>280</v>
      </c>
      <c r="I394">
        <v>-9</v>
      </c>
      <c r="J394" t="str">
        <f>HYPERLINK("https://www.eliteprospects.com/player/472609/isack-bandu")</f>
        <v>https://www.eliteprospects.com/player/472609/isack-bandu</v>
      </c>
      <c r="K394" t="s">
        <v>27</v>
      </c>
      <c r="L394" t="s">
        <v>28</v>
      </c>
      <c r="M394" t="s">
        <v>1296</v>
      </c>
      <c r="N394">
        <v>4</v>
      </c>
      <c r="O394" t="s">
        <v>30</v>
      </c>
      <c r="P394">
        <v>0.01</v>
      </c>
      <c r="Q394" t="s">
        <v>245</v>
      </c>
      <c r="R394">
        <v>28.6</v>
      </c>
      <c r="S394">
        <v>31.4</v>
      </c>
      <c r="T394">
        <v>28.6</v>
      </c>
      <c r="U394">
        <v>4.3</v>
      </c>
      <c r="V394">
        <v>7.1</v>
      </c>
    </row>
    <row r="395" spans="1:22" x14ac:dyDescent="0.25">
      <c r="A395" t="s">
        <v>1699</v>
      </c>
      <c r="B395" t="s">
        <v>145</v>
      </c>
      <c r="C395">
        <v>23</v>
      </c>
      <c r="D395" t="s">
        <v>260</v>
      </c>
      <c r="E395" t="s">
        <v>132</v>
      </c>
      <c r="F395" t="s">
        <v>260</v>
      </c>
      <c r="G395">
        <v>0.04</v>
      </c>
      <c r="H395" t="s">
        <v>57</v>
      </c>
      <c r="I395">
        <v>3</v>
      </c>
      <c r="J395" t="str">
        <f>HYPERLINK("https://www.eliteprospects.com/player/506280/kent-anderson")</f>
        <v>https://www.eliteprospects.com/player/506280/kent-anderson</v>
      </c>
      <c r="K395" t="s">
        <v>27</v>
      </c>
      <c r="L395" t="s">
        <v>28</v>
      </c>
      <c r="M395" t="s">
        <v>1296</v>
      </c>
      <c r="N395">
        <v>4</v>
      </c>
      <c r="O395" t="s">
        <v>30</v>
      </c>
      <c r="P395">
        <v>0.01</v>
      </c>
      <c r="Q395" t="s">
        <v>245</v>
      </c>
      <c r="R395">
        <v>28.6</v>
      </c>
      <c r="S395">
        <v>31.4</v>
      </c>
      <c r="T395">
        <v>28.6</v>
      </c>
      <c r="U395">
        <v>4.3</v>
      </c>
      <c r="V395">
        <v>7.1</v>
      </c>
    </row>
    <row r="396" spans="1:22" x14ac:dyDescent="0.25">
      <c r="A396" t="s">
        <v>1700</v>
      </c>
      <c r="B396" t="s">
        <v>121</v>
      </c>
      <c r="C396">
        <v>10</v>
      </c>
      <c r="D396" t="s">
        <v>132</v>
      </c>
      <c r="E396" t="s">
        <v>260</v>
      </c>
      <c r="F396" t="s">
        <v>260</v>
      </c>
      <c r="G396">
        <v>0.1</v>
      </c>
      <c r="H396" t="s">
        <v>132</v>
      </c>
      <c r="I396">
        <v>-2</v>
      </c>
      <c r="J396" t="str">
        <f>HYPERLINK("https://www.eliteprospects.com/player/714074/jack-darby")</f>
        <v>https://www.eliteprospects.com/player/714074/jack-darby</v>
      </c>
      <c r="K396" t="s">
        <v>27</v>
      </c>
      <c r="L396" t="s">
        <v>28</v>
      </c>
      <c r="M396" t="s">
        <v>1296</v>
      </c>
      <c r="N396">
        <v>1</v>
      </c>
      <c r="O396" t="s">
        <v>71</v>
      </c>
      <c r="P396">
        <v>0.02</v>
      </c>
      <c r="Q396" t="s">
        <v>245</v>
      </c>
      <c r="R396">
        <v>28.6</v>
      </c>
      <c r="S396">
        <v>31.4</v>
      </c>
      <c r="T396">
        <v>28.6</v>
      </c>
      <c r="U396">
        <v>4.3</v>
      </c>
      <c r="V396">
        <v>7.1</v>
      </c>
    </row>
    <row r="397" spans="1:22" x14ac:dyDescent="0.25">
      <c r="A397" t="s">
        <v>1701</v>
      </c>
      <c r="B397" t="s">
        <v>131</v>
      </c>
      <c r="C397">
        <v>11</v>
      </c>
      <c r="D397" t="s">
        <v>132</v>
      </c>
      <c r="E397" t="s">
        <v>260</v>
      </c>
      <c r="F397" t="s">
        <v>260</v>
      </c>
      <c r="G397">
        <v>0.09</v>
      </c>
      <c r="H397" t="s">
        <v>132</v>
      </c>
      <c r="I397">
        <v>2</v>
      </c>
      <c r="J397" t="str">
        <f>HYPERLINK("https://www.eliteprospects.com/player/549062/liam-chapman")</f>
        <v>https://www.eliteprospects.com/player/549062/liam-chapman</v>
      </c>
      <c r="K397" t="s">
        <v>27</v>
      </c>
      <c r="L397" t="s">
        <v>28</v>
      </c>
      <c r="M397" t="s">
        <v>1296</v>
      </c>
      <c r="N397">
        <v>1</v>
      </c>
      <c r="O397" t="s">
        <v>71</v>
      </c>
      <c r="P397">
        <v>0.02</v>
      </c>
      <c r="Q397" t="s">
        <v>245</v>
      </c>
      <c r="R397">
        <v>28.6</v>
      </c>
      <c r="S397">
        <v>31.4</v>
      </c>
      <c r="T397">
        <v>28.6</v>
      </c>
      <c r="U397">
        <v>4.3</v>
      </c>
      <c r="V397">
        <v>7.1</v>
      </c>
    </row>
    <row r="398" spans="1:22" x14ac:dyDescent="0.25">
      <c r="A398" t="s">
        <v>1702</v>
      </c>
      <c r="B398" t="s">
        <v>177</v>
      </c>
      <c r="C398">
        <v>11</v>
      </c>
      <c r="D398" t="s">
        <v>132</v>
      </c>
      <c r="E398" t="s">
        <v>260</v>
      </c>
      <c r="F398" t="s">
        <v>260</v>
      </c>
      <c r="G398">
        <v>0.09</v>
      </c>
      <c r="H398" t="s">
        <v>132</v>
      </c>
      <c r="I398">
        <v>-2</v>
      </c>
      <c r="J398" t="str">
        <f>HYPERLINK("https://www.eliteprospects.com/player/426165/ray-murakami")</f>
        <v>https://www.eliteprospects.com/player/426165/ray-murakami</v>
      </c>
      <c r="K398" t="s">
        <v>27</v>
      </c>
      <c r="L398" t="s">
        <v>28</v>
      </c>
      <c r="M398" t="s">
        <v>1296</v>
      </c>
      <c r="N398">
        <v>2</v>
      </c>
      <c r="O398" t="s">
        <v>43</v>
      </c>
      <c r="P398">
        <v>0.02</v>
      </c>
      <c r="Q398" t="s">
        <v>245</v>
      </c>
      <c r="R398">
        <v>28.6</v>
      </c>
      <c r="S398">
        <v>31.4</v>
      </c>
      <c r="T398">
        <v>28.6</v>
      </c>
      <c r="U398">
        <v>4.3</v>
      </c>
      <c r="V398">
        <v>7.1</v>
      </c>
    </row>
    <row r="399" spans="1:22" x14ac:dyDescent="0.25">
      <c r="A399" t="s">
        <v>1703</v>
      </c>
      <c r="B399" t="s">
        <v>134</v>
      </c>
      <c r="C399">
        <v>11</v>
      </c>
      <c r="D399" t="s">
        <v>132</v>
      </c>
      <c r="E399" t="s">
        <v>260</v>
      </c>
      <c r="F399" t="s">
        <v>260</v>
      </c>
      <c r="G399">
        <v>0.09</v>
      </c>
      <c r="H399" t="s">
        <v>79</v>
      </c>
      <c r="I399">
        <v>0</v>
      </c>
      <c r="J399" t="str">
        <f>HYPERLINK("https://www.eliteprospects.com/player/582767/joseph-messina")</f>
        <v>https://www.eliteprospects.com/player/582767/joseph-messina</v>
      </c>
      <c r="K399" t="s">
        <v>27</v>
      </c>
      <c r="L399" t="s">
        <v>28</v>
      </c>
      <c r="M399" t="s">
        <v>1296</v>
      </c>
      <c r="N399">
        <v>3</v>
      </c>
      <c r="O399" t="s">
        <v>74</v>
      </c>
      <c r="P399">
        <v>0.02</v>
      </c>
      <c r="Q399" t="s">
        <v>245</v>
      </c>
      <c r="R399">
        <v>28.6</v>
      </c>
      <c r="S399">
        <v>31.4</v>
      </c>
      <c r="T399">
        <v>28.6</v>
      </c>
      <c r="U399">
        <v>4.3</v>
      </c>
      <c r="V399">
        <v>7.1</v>
      </c>
    </row>
    <row r="400" spans="1:22" x14ac:dyDescent="0.25">
      <c r="A400" t="s">
        <v>1704</v>
      </c>
      <c r="B400" t="s">
        <v>59</v>
      </c>
      <c r="C400">
        <v>11</v>
      </c>
      <c r="D400" t="s">
        <v>132</v>
      </c>
      <c r="E400" t="s">
        <v>260</v>
      </c>
      <c r="F400" t="s">
        <v>260</v>
      </c>
      <c r="G400">
        <v>0.09</v>
      </c>
      <c r="H400" t="s">
        <v>60</v>
      </c>
      <c r="I400">
        <v>-3</v>
      </c>
      <c r="J400" t="str">
        <f>HYPERLINK("https://www.eliteprospects.com/player/422417/bodie-nobes")</f>
        <v>https://www.eliteprospects.com/player/422417/bodie-nobes</v>
      </c>
      <c r="K400" t="s">
        <v>27</v>
      </c>
      <c r="L400" t="s">
        <v>28</v>
      </c>
      <c r="M400" t="s">
        <v>1296</v>
      </c>
      <c r="N400">
        <v>3</v>
      </c>
      <c r="O400" t="s">
        <v>74</v>
      </c>
      <c r="P400">
        <v>0.02</v>
      </c>
      <c r="Q400" t="s">
        <v>245</v>
      </c>
      <c r="R400">
        <v>28.6</v>
      </c>
      <c r="S400">
        <v>31.4</v>
      </c>
      <c r="T400">
        <v>28.6</v>
      </c>
      <c r="U400">
        <v>4.3</v>
      </c>
      <c r="V400">
        <v>7.1</v>
      </c>
    </row>
    <row r="401" spans="1:22" x14ac:dyDescent="0.25">
      <c r="A401" t="s">
        <v>1705</v>
      </c>
      <c r="B401" t="s">
        <v>224</v>
      </c>
      <c r="C401">
        <v>12</v>
      </c>
      <c r="D401" t="s">
        <v>132</v>
      </c>
      <c r="E401" t="s">
        <v>260</v>
      </c>
      <c r="F401" t="s">
        <v>260</v>
      </c>
      <c r="G401">
        <v>0.08</v>
      </c>
      <c r="H401" t="s">
        <v>57</v>
      </c>
      <c r="I401">
        <v>-6</v>
      </c>
      <c r="J401" t="str">
        <f>HYPERLINK("https://www.eliteprospects.com/player/478357/luke-van-why")</f>
        <v>https://www.eliteprospects.com/player/478357/luke-van-why</v>
      </c>
      <c r="K401" t="s">
        <v>27</v>
      </c>
      <c r="L401" t="s">
        <v>28</v>
      </c>
      <c r="M401" t="s">
        <v>1296</v>
      </c>
      <c r="N401">
        <v>3</v>
      </c>
      <c r="O401" t="s">
        <v>74</v>
      </c>
      <c r="P401">
        <v>0.02</v>
      </c>
      <c r="Q401" t="s">
        <v>245</v>
      </c>
      <c r="R401">
        <v>28.6</v>
      </c>
      <c r="S401">
        <v>31.4</v>
      </c>
      <c r="T401">
        <v>28.6</v>
      </c>
      <c r="U401">
        <v>4.3</v>
      </c>
      <c r="V401">
        <v>7.1</v>
      </c>
    </row>
    <row r="402" spans="1:22" x14ac:dyDescent="0.25">
      <c r="A402" t="s">
        <v>1706</v>
      </c>
      <c r="B402" t="s">
        <v>64</v>
      </c>
      <c r="C402">
        <v>13</v>
      </c>
      <c r="D402" t="s">
        <v>132</v>
      </c>
      <c r="E402" t="s">
        <v>260</v>
      </c>
      <c r="F402" t="s">
        <v>260</v>
      </c>
      <c r="G402">
        <v>0.08</v>
      </c>
      <c r="H402" t="s">
        <v>66</v>
      </c>
      <c r="I402">
        <v>0</v>
      </c>
      <c r="J402" t="str">
        <f>HYPERLINK("https://www.eliteprospects.com/player/636405/colton-jamieson")</f>
        <v>https://www.eliteprospects.com/player/636405/colton-jamieson</v>
      </c>
      <c r="K402" t="s">
        <v>27</v>
      </c>
      <c r="L402" t="s">
        <v>28</v>
      </c>
      <c r="M402" t="s">
        <v>1296</v>
      </c>
      <c r="N402">
        <v>1</v>
      </c>
      <c r="O402" t="s">
        <v>71</v>
      </c>
      <c r="P402">
        <v>0.02</v>
      </c>
      <c r="Q402" t="s">
        <v>245</v>
      </c>
      <c r="R402">
        <v>28.6</v>
      </c>
      <c r="S402">
        <v>31.4</v>
      </c>
      <c r="T402">
        <v>28.6</v>
      </c>
      <c r="U402">
        <v>4.3</v>
      </c>
      <c r="V402">
        <v>7.1</v>
      </c>
    </row>
    <row r="403" spans="1:22" x14ac:dyDescent="0.25">
      <c r="A403" t="s">
        <v>1707</v>
      </c>
      <c r="B403" t="s">
        <v>202</v>
      </c>
      <c r="C403">
        <v>13</v>
      </c>
      <c r="D403" t="s">
        <v>132</v>
      </c>
      <c r="E403" t="s">
        <v>260</v>
      </c>
      <c r="F403" t="s">
        <v>260</v>
      </c>
      <c r="G403">
        <v>0.08</v>
      </c>
      <c r="H403" t="s">
        <v>57</v>
      </c>
      <c r="I403">
        <v>-4</v>
      </c>
      <c r="J403" t="str">
        <f>HYPERLINK("https://www.eliteprospects.com/player/664611/joe-gramer")</f>
        <v>https://www.eliteprospects.com/player/664611/joe-gramer</v>
      </c>
      <c r="K403" t="s">
        <v>27</v>
      </c>
      <c r="L403" t="s">
        <v>28</v>
      </c>
      <c r="M403" t="s">
        <v>1296</v>
      </c>
      <c r="N403">
        <v>3</v>
      </c>
      <c r="O403" t="s">
        <v>1708</v>
      </c>
      <c r="P403">
        <v>0.02</v>
      </c>
      <c r="Q403" t="s">
        <v>245</v>
      </c>
      <c r="R403">
        <v>28.6</v>
      </c>
      <c r="S403">
        <v>31.4</v>
      </c>
      <c r="T403">
        <v>28.6</v>
      </c>
      <c r="U403">
        <v>4.3</v>
      </c>
      <c r="V403">
        <v>7.1</v>
      </c>
    </row>
    <row r="404" spans="1:22" x14ac:dyDescent="0.25">
      <c r="A404" t="s">
        <v>1709</v>
      </c>
      <c r="B404" t="s">
        <v>82</v>
      </c>
      <c r="C404">
        <v>14</v>
      </c>
      <c r="D404" t="s">
        <v>132</v>
      </c>
      <c r="E404" t="s">
        <v>260</v>
      </c>
      <c r="F404" t="s">
        <v>260</v>
      </c>
      <c r="G404">
        <v>7.0000000000000007E-2</v>
      </c>
      <c r="H404" t="s">
        <v>66</v>
      </c>
      <c r="I404">
        <v>-1</v>
      </c>
      <c r="J404" t="str">
        <f>HYPERLINK("https://www.eliteprospects.com/player/529249/isa-parekh")</f>
        <v>https://www.eliteprospects.com/player/529249/isa-parekh</v>
      </c>
      <c r="K404" t="s">
        <v>27</v>
      </c>
      <c r="L404" t="s">
        <v>28</v>
      </c>
      <c r="M404" t="s">
        <v>1296</v>
      </c>
      <c r="N404">
        <v>2</v>
      </c>
      <c r="O404" t="s">
        <v>43</v>
      </c>
      <c r="P404">
        <v>0.01</v>
      </c>
      <c r="Q404" t="s">
        <v>245</v>
      </c>
      <c r="R404">
        <v>28.6</v>
      </c>
      <c r="S404">
        <v>31.4</v>
      </c>
      <c r="T404">
        <v>28.6</v>
      </c>
      <c r="U404">
        <v>4.3</v>
      </c>
      <c r="V404">
        <v>7.1</v>
      </c>
    </row>
    <row r="405" spans="1:22" x14ac:dyDescent="0.25">
      <c r="A405" t="s">
        <v>1710</v>
      </c>
      <c r="B405" t="s">
        <v>238</v>
      </c>
      <c r="C405">
        <v>15</v>
      </c>
      <c r="D405" t="s">
        <v>132</v>
      </c>
      <c r="E405" t="s">
        <v>260</v>
      </c>
      <c r="F405" t="s">
        <v>260</v>
      </c>
      <c r="G405">
        <v>7.0000000000000007E-2</v>
      </c>
      <c r="H405" t="s">
        <v>79</v>
      </c>
      <c r="I405">
        <v>-5</v>
      </c>
      <c r="J405" t="str">
        <f>HYPERLINK("https://www.eliteprospects.com/player/598317/lucas-lemieux")</f>
        <v>https://www.eliteprospects.com/player/598317/lucas-lemieux</v>
      </c>
      <c r="K405" t="s">
        <v>27</v>
      </c>
      <c r="L405" t="s">
        <v>28</v>
      </c>
      <c r="M405" t="s">
        <v>1296</v>
      </c>
      <c r="N405">
        <v>1</v>
      </c>
      <c r="O405" t="s">
        <v>71</v>
      </c>
      <c r="P405">
        <v>0.01</v>
      </c>
      <c r="Q405" t="s">
        <v>245</v>
      </c>
      <c r="R405">
        <v>28.6</v>
      </c>
      <c r="S405">
        <v>31.4</v>
      </c>
      <c r="T405">
        <v>28.6</v>
      </c>
      <c r="U405">
        <v>4.3</v>
      </c>
      <c r="V405">
        <v>7.1</v>
      </c>
    </row>
    <row r="406" spans="1:22" x14ac:dyDescent="0.25">
      <c r="A406" t="s">
        <v>1711</v>
      </c>
      <c r="B406" t="s">
        <v>114</v>
      </c>
      <c r="C406">
        <v>15</v>
      </c>
      <c r="D406" t="s">
        <v>132</v>
      </c>
      <c r="E406" t="s">
        <v>260</v>
      </c>
      <c r="F406" t="s">
        <v>260</v>
      </c>
      <c r="G406">
        <v>7.0000000000000007E-2</v>
      </c>
      <c r="H406" t="s">
        <v>66</v>
      </c>
      <c r="I406">
        <v>-5</v>
      </c>
      <c r="J406" t="str">
        <f>HYPERLINK("https://www.eliteprospects.com/player/623773/brady-yakesh")</f>
        <v>https://www.eliteprospects.com/player/623773/brady-yakesh</v>
      </c>
      <c r="K406" t="s">
        <v>27</v>
      </c>
      <c r="L406" t="s">
        <v>28</v>
      </c>
      <c r="M406" t="s">
        <v>1296</v>
      </c>
      <c r="N406">
        <v>2</v>
      </c>
      <c r="O406" t="s">
        <v>43</v>
      </c>
      <c r="P406">
        <v>0.01</v>
      </c>
      <c r="Q406" t="s">
        <v>245</v>
      </c>
      <c r="R406">
        <v>28.6</v>
      </c>
      <c r="S406">
        <v>31.4</v>
      </c>
      <c r="T406">
        <v>28.6</v>
      </c>
      <c r="U406">
        <v>4.3</v>
      </c>
      <c r="V406">
        <v>7.1</v>
      </c>
    </row>
    <row r="407" spans="1:22" x14ac:dyDescent="0.25">
      <c r="A407" t="s">
        <v>1712</v>
      </c>
      <c r="B407" t="s">
        <v>205</v>
      </c>
      <c r="C407">
        <v>15</v>
      </c>
      <c r="D407" t="s">
        <v>132</v>
      </c>
      <c r="E407" t="s">
        <v>260</v>
      </c>
      <c r="F407" t="s">
        <v>260</v>
      </c>
      <c r="G407">
        <v>7.0000000000000007E-2</v>
      </c>
      <c r="H407" t="s">
        <v>66</v>
      </c>
      <c r="I407">
        <v>-3</v>
      </c>
      <c r="J407" t="str">
        <f>HYPERLINK("https://www.eliteprospects.com/player/648864/brock-reinhart")</f>
        <v>https://www.eliteprospects.com/player/648864/brock-reinhart</v>
      </c>
      <c r="K407" t="s">
        <v>27</v>
      </c>
      <c r="L407" t="s">
        <v>28</v>
      </c>
      <c r="M407" t="s">
        <v>1296</v>
      </c>
      <c r="N407">
        <v>1</v>
      </c>
      <c r="O407" t="s">
        <v>71</v>
      </c>
      <c r="P407">
        <v>0.01</v>
      </c>
      <c r="Q407" t="s">
        <v>245</v>
      </c>
      <c r="R407">
        <v>28.6</v>
      </c>
      <c r="S407">
        <v>31.4</v>
      </c>
      <c r="T407">
        <v>28.6</v>
      </c>
      <c r="U407">
        <v>4.3</v>
      </c>
      <c r="V407">
        <v>7.1</v>
      </c>
    </row>
    <row r="408" spans="1:22" x14ac:dyDescent="0.25">
      <c r="A408" t="s">
        <v>1713</v>
      </c>
      <c r="B408" t="s">
        <v>120</v>
      </c>
      <c r="C408">
        <v>16</v>
      </c>
      <c r="D408" t="s">
        <v>132</v>
      </c>
      <c r="E408" t="s">
        <v>260</v>
      </c>
      <c r="F408" t="s">
        <v>260</v>
      </c>
      <c r="G408">
        <v>0.06</v>
      </c>
      <c r="H408" t="s">
        <v>79</v>
      </c>
      <c r="I408">
        <v>1</v>
      </c>
      <c r="J408" t="str">
        <f>HYPERLINK("https://www.eliteprospects.com/player/644924/kristian-kostadinski")</f>
        <v>https://www.eliteprospects.com/player/644924/kristian-kostadinski</v>
      </c>
      <c r="K408" t="s">
        <v>27</v>
      </c>
      <c r="L408" t="s">
        <v>28</v>
      </c>
      <c r="M408" t="s">
        <v>1296</v>
      </c>
      <c r="N408">
        <v>1</v>
      </c>
      <c r="O408" t="s">
        <v>71</v>
      </c>
      <c r="P408">
        <v>0.01</v>
      </c>
      <c r="Q408" t="s">
        <v>245</v>
      </c>
      <c r="R408">
        <v>28.6</v>
      </c>
      <c r="S408">
        <v>31.4</v>
      </c>
      <c r="T408">
        <v>28.6</v>
      </c>
      <c r="U408">
        <v>4.3</v>
      </c>
      <c r="V408">
        <v>7.1</v>
      </c>
    </row>
    <row r="409" spans="1:22" x14ac:dyDescent="0.25">
      <c r="A409" t="s">
        <v>1714</v>
      </c>
      <c r="B409" t="s">
        <v>161</v>
      </c>
      <c r="C409">
        <v>16</v>
      </c>
      <c r="D409" t="s">
        <v>132</v>
      </c>
      <c r="E409" t="s">
        <v>260</v>
      </c>
      <c r="F409" t="s">
        <v>260</v>
      </c>
      <c r="G409">
        <v>0.06</v>
      </c>
      <c r="H409" t="s">
        <v>79</v>
      </c>
      <c r="I409">
        <v>1</v>
      </c>
      <c r="J409" t="str">
        <f>HYPERLINK("https://www.eliteprospects.com/player/623739/nick-baer")</f>
        <v>https://www.eliteprospects.com/player/623739/nick-baer</v>
      </c>
      <c r="K409" t="s">
        <v>27</v>
      </c>
      <c r="L409" t="s">
        <v>28</v>
      </c>
      <c r="M409" t="s">
        <v>1296</v>
      </c>
      <c r="N409">
        <v>2</v>
      </c>
      <c r="O409" t="s">
        <v>43</v>
      </c>
      <c r="P409">
        <v>0.01</v>
      </c>
      <c r="Q409" t="s">
        <v>245</v>
      </c>
      <c r="R409">
        <v>28.6</v>
      </c>
      <c r="S409">
        <v>31.4</v>
      </c>
      <c r="T409">
        <v>28.6</v>
      </c>
      <c r="U409">
        <v>4.3</v>
      </c>
      <c r="V409">
        <v>7.1</v>
      </c>
    </row>
    <row r="410" spans="1:22" x14ac:dyDescent="0.25">
      <c r="A410" t="s">
        <v>1715</v>
      </c>
      <c r="B410" t="s">
        <v>177</v>
      </c>
      <c r="C410">
        <v>16</v>
      </c>
      <c r="D410" t="s">
        <v>132</v>
      </c>
      <c r="E410" t="s">
        <v>260</v>
      </c>
      <c r="F410" t="s">
        <v>260</v>
      </c>
      <c r="G410">
        <v>0.06</v>
      </c>
      <c r="H410" t="s">
        <v>26</v>
      </c>
      <c r="I410">
        <v>3</v>
      </c>
      <c r="J410" t="str">
        <f>HYPERLINK("https://www.eliteprospects.com/player/535647/cameron-eke")</f>
        <v>https://www.eliteprospects.com/player/535647/cameron-eke</v>
      </c>
      <c r="K410" t="s">
        <v>27</v>
      </c>
      <c r="L410" t="s">
        <v>28</v>
      </c>
      <c r="M410" t="s">
        <v>1296</v>
      </c>
      <c r="N410">
        <v>1</v>
      </c>
      <c r="O410" t="s">
        <v>71</v>
      </c>
      <c r="P410">
        <v>0.01</v>
      </c>
      <c r="Q410" t="s">
        <v>245</v>
      </c>
      <c r="R410">
        <v>28.6</v>
      </c>
      <c r="S410">
        <v>31.4</v>
      </c>
      <c r="T410">
        <v>28.6</v>
      </c>
      <c r="U410">
        <v>4.3</v>
      </c>
      <c r="V410">
        <v>7.1</v>
      </c>
    </row>
    <row r="411" spans="1:22" x14ac:dyDescent="0.25">
      <c r="A411" t="s">
        <v>1716</v>
      </c>
      <c r="B411" t="s">
        <v>124</v>
      </c>
      <c r="C411">
        <v>16</v>
      </c>
      <c r="D411" t="s">
        <v>132</v>
      </c>
      <c r="E411" t="s">
        <v>260</v>
      </c>
      <c r="F411" t="s">
        <v>260</v>
      </c>
      <c r="G411">
        <v>0.06</v>
      </c>
      <c r="H411" t="s">
        <v>39</v>
      </c>
      <c r="I411">
        <v>-4</v>
      </c>
      <c r="J411" t="str">
        <f>HYPERLINK("https://www.eliteprospects.com/player/418235/kyle-aucoin")</f>
        <v>https://www.eliteprospects.com/player/418235/kyle-aucoin</v>
      </c>
      <c r="K411" t="s">
        <v>27</v>
      </c>
      <c r="L411" t="s">
        <v>28</v>
      </c>
      <c r="M411" t="s">
        <v>1296</v>
      </c>
      <c r="N411">
        <v>5</v>
      </c>
      <c r="O411" t="s">
        <v>67</v>
      </c>
      <c r="P411">
        <v>0.01</v>
      </c>
      <c r="Q411" t="s">
        <v>245</v>
      </c>
      <c r="R411">
        <v>28.6</v>
      </c>
      <c r="S411">
        <v>31.4</v>
      </c>
      <c r="T411">
        <v>28.6</v>
      </c>
      <c r="U411">
        <v>4.3</v>
      </c>
      <c r="V411">
        <v>7.1</v>
      </c>
    </row>
    <row r="412" spans="1:22" x14ac:dyDescent="0.25">
      <c r="A412" t="s">
        <v>1717</v>
      </c>
      <c r="B412" t="s">
        <v>83</v>
      </c>
      <c r="C412">
        <v>17</v>
      </c>
      <c r="D412" t="s">
        <v>132</v>
      </c>
      <c r="E412" t="s">
        <v>260</v>
      </c>
      <c r="F412" t="s">
        <v>260</v>
      </c>
      <c r="G412">
        <v>0.06</v>
      </c>
      <c r="H412" t="s">
        <v>26</v>
      </c>
      <c r="I412">
        <v>-1</v>
      </c>
      <c r="J412" t="str">
        <f>HYPERLINK("https://www.eliteprospects.com/player/411232/tucker-mcrae")</f>
        <v>https://www.eliteprospects.com/player/411232/tucker-mcrae</v>
      </c>
      <c r="K412" t="s">
        <v>27</v>
      </c>
      <c r="L412" t="s">
        <v>28</v>
      </c>
      <c r="M412" t="s">
        <v>1296</v>
      </c>
      <c r="N412">
        <v>4</v>
      </c>
      <c r="O412" t="s">
        <v>30</v>
      </c>
      <c r="P412">
        <v>0.01</v>
      </c>
      <c r="Q412" t="s">
        <v>245</v>
      </c>
      <c r="R412">
        <v>28.6</v>
      </c>
      <c r="S412">
        <v>31.4</v>
      </c>
      <c r="T412">
        <v>28.6</v>
      </c>
      <c r="U412">
        <v>4.3</v>
      </c>
      <c r="V412">
        <v>7.1</v>
      </c>
    </row>
    <row r="413" spans="1:22" x14ac:dyDescent="0.25">
      <c r="A413" t="s">
        <v>1718</v>
      </c>
      <c r="B413" t="s">
        <v>174</v>
      </c>
      <c r="C413">
        <v>18</v>
      </c>
      <c r="D413" t="s">
        <v>132</v>
      </c>
      <c r="E413" t="s">
        <v>260</v>
      </c>
      <c r="F413" t="s">
        <v>260</v>
      </c>
      <c r="G413">
        <v>0.06</v>
      </c>
      <c r="H413" t="s">
        <v>26</v>
      </c>
      <c r="I413">
        <v>-6</v>
      </c>
      <c r="J413" t="str">
        <f>HYPERLINK("https://www.eliteprospects.com/player/473290/oscar-plandowski")</f>
        <v>https://www.eliteprospects.com/player/473290/oscar-plandowski</v>
      </c>
      <c r="K413" t="s">
        <v>27</v>
      </c>
      <c r="L413" t="s">
        <v>28</v>
      </c>
      <c r="M413" t="s">
        <v>1296</v>
      </c>
      <c r="N413">
        <v>6</v>
      </c>
      <c r="O413" t="s">
        <v>99</v>
      </c>
      <c r="P413">
        <v>0.01</v>
      </c>
      <c r="Q413" t="s">
        <v>245</v>
      </c>
      <c r="R413">
        <v>28.6</v>
      </c>
      <c r="S413">
        <v>31.4</v>
      </c>
      <c r="T413">
        <v>28.6</v>
      </c>
      <c r="U413">
        <v>4.3</v>
      </c>
      <c r="V413">
        <v>7.1</v>
      </c>
    </row>
    <row r="414" spans="1:22" x14ac:dyDescent="0.25">
      <c r="A414" t="s">
        <v>1719</v>
      </c>
      <c r="B414" t="s">
        <v>119</v>
      </c>
      <c r="C414">
        <v>19</v>
      </c>
      <c r="D414" t="s">
        <v>132</v>
      </c>
      <c r="E414" t="s">
        <v>260</v>
      </c>
      <c r="F414" t="s">
        <v>260</v>
      </c>
      <c r="G414">
        <v>0.05</v>
      </c>
      <c r="H414" t="s">
        <v>57</v>
      </c>
      <c r="I414">
        <v>-6</v>
      </c>
      <c r="J414" t="str">
        <f>HYPERLINK("https://www.eliteprospects.com/player/597843/finn-mclaughlin")</f>
        <v>https://www.eliteprospects.com/player/597843/finn-mclaughlin</v>
      </c>
      <c r="K414" t="s">
        <v>27</v>
      </c>
      <c r="L414" t="s">
        <v>28</v>
      </c>
      <c r="M414" t="s">
        <v>1296</v>
      </c>
      <c r="N414">
        <v>1</v>
      </c>
      <c r="O414" t="s">
        <v>71</v>
      </c>
      <c r="P414">
        <v>0.01</v>
      </c>
      <c r="Q414" t="s">
        <v>245</v>
      </c>
      <c r="R414">
        <v>28.6</v>
      </c>
      <c r="S414">
        <v>31.4</v>
      </c>
      <c r="T414">
        <v>28.6</v>
      </c>
      <c r="U414">
        <v>4.3</v>
      </c>
      <c r="V414">
        <v>7.1</v>
      </c>
    </row>
    <row r="415" spans="1:22" x14ac:dyDescent="0.25">
      <c r="A415" t="s">
        <v>1720</v>
      </c>
      <c r="B415" t="s">
        <v>116</v>
      </c>
      <c r="C415">
        <v>19</v>
      </c>
      <c r="D415" t="s">
        <v>132</v>
      </c>
      <c r="E415" t="s">
        <v>260</v>
      </c>
      <c r="F415" t="s">
        <v>260</v>
      </c>
      <c r="G415">
        <v>0.05</v>
      </c>
      <c r="H415" t="s">
        <v>32</v>
      </c>
      <c r="I415">
        <v>-10</v>
      </c>
      <c r="J415" t="str">
        <f>HYPERLINK("https://www.eliteprospects.com/player/478378/jan-olenginski")</f>
        <v>https://www.eliteprospects.com/player/478378/jan-olenginski</v>
      </c>
      <c r="K415" t="s">
        <v>27</v>
      </c>
      <c r="L415" t="s">
        <v>28</v>
      </c>
      <c r="M415" t="s">
        <v>1296</v>
      </c>
      <c r="N415">
        <v>3</v>
      </c>
      <c r="O415" t="s">
        <v>74</v>
      </c>
      <c r="P415">
        <v>0.01</v>
      </c>
      <c r="Q415" t="s">
        <v>245</v>
      </c>
      <c r="R415">
        <v>28.6</v>
      </c>
      <c r="S415">
        <v>31.4</v>
      </c>
      <c r="T415">
        <v>28.6</v>
      </c>
      <c r="U415">
        <v>4.3</v>
      </c>
      <c r="V415">
        <v>7.1</v>
      </c>
    </row>
    <row r="416" spans="1:22" x14ac:dyDescent="0.25">
      <c r="A416" t="s">
        <v>1721</v>
      </c>
      <c r="B416" t="s">
        <v>163</v>
      </c>
      <c r="C416">
        <v>19</v>
      </c>
      <c r="D416" t="s">
        <v>132</v>
      </c>
      <c r="E416" t="s">
        <v>260</v>
      </c>
      <c r="F416" t="s">
        <v>260</v>
      </c>
      <c r="G416">
        <v>0.05</v>
      </c>
      <c r="H416" t="s">
        <v>39</v>
      </c>
      <c r="I416">
        <v>-2</v>
      </c>
      <c r="J416" t="str">
        <f>HYPERLINK("https://www.eliteprospects.com/player/472442/tomas-machu")</f>
        <v>https://www.eliteprospects.com/player/472442/tomas-machu</v>
      </c>
      <c r="K416" t="s">
        <v>27</v>
      </c>
      <c r="L416" t="s">
        <v>28</v>
      </c>
      <c r="M416" t="s">
        <v>1296</v>
      </c>
      <c r="N416">
        <v>2</v>
      </c>
      <c r="O416" t="s">
        <v>43</v>
      </c>
      <c r="P416">
        <v>0.01</v>
      </c>
      <c r="Q416" t="s">
        <v>245</v>
      </c>
      <c r="R416">
        <v>28.6</v>
      </c>
      <c r="S416">
        <v>31.4</v>
      </c>
      <c r="T416">
        <v>28.6</v>
      </c>
      <c r="U416">
        <v>4.3</v>
      </c>
      <c r="V416">
        <v>7.1</v>
      </c>
    </row>
    <row r="417" spans="1:22" x14ac:dyDescent="0.25">
      <c r="A417" t="s">
        <v>1722</v>
      </c>
      <c r="B417" t="s">
        <v>255</v>
      </c>
      <c r="C417">
        <v>19</v>
      </c>
      <c r="D417" t="s">
        <v>132</v>
      </c>
      <c r="E417" t="s">
        <v>260</v>
      </c>
      <c r="F417" t="s">
        <v>260</v>
      </c>
      <c r="G417">
        <v>0.05</v>
      </c>
      <c r="H417" t="s">
        <v>39</v>
      </c>
      <c r="I417">
        <v>-2</v>
      </c>
      <c r="J417" t="str">
        <f>HYPERLINK("https://www.eliteprospects.com/player/553224/david-posma")</f>
        <v>https://www.eliteprospects.com/player/553224/david-posma</v>
      </c>
      <c r="K417" t="s">
        <v>27</v>
      </c>
      <c r="L417" t="s">
        <v>28</v>
      </c>
      <c r="M417" t="s">
        <v>1296</v>
      </c>
      <c r="N417">
        <v>4</v>
      </c>
      <c r="O417" t="s">
        <v>30</v>
      </c>
      <c r="P417">
        <v>0.01</v>
      </c>
      <c r="Q417" t="s">
        <v>245</v>
      </c>
      <c r="R417">
        <v>28.6</v>
      </c>
      <c r="S417">
        <v>31.4</v>
      </c>
      <c r="T417">
        <v>28.6</v>
      </c>
      <c r="U417">
        <v>4.3</v>
      </c>
      <c r="V417">
        <v>7.1</v>
      </c>
    </row>
    <row r="418" spans="1:22" x14ac:dyDescent="0.25">
      <c r="A418" t="s">
        <v>1723</v>
      </c>
      <c r="B418" t="s">
        <v>205</v>
      </c>
      <c r="C418">
        <v>20</v>
      </c>
      <c r="D418" t="s">
        <v>132</v>
      </c>
      <c r="E418" t="s">
        <v>260</v>
      </c>
      <c r="F418" t="s">
        <v>260</v>
      </c>
      <c r="G418">
        <v>0.05</v>
      </c>
      <c r="H418" t="s">
        <v>84</v>
      </c>
      <c r="I418">
        <v>5</v>
      </c>
      <c r="J418" t="str">
        <f>HYPERLINK("https://www.eliteprospects.com/player/478397/kevin-scott")</f>
        <v>https://www.eliteprospects.com/player/478397/kevin-scott</v>
      </c>
      <c r="K418" t="s">
        <v>27</v>
      </c>
      <c r="L418" t="s">
        <v>28</v>
      </c>
      <c r="M418" t="s">
        <v>1296</v>
      </c>
      <c r="N418">
        <v>3</v>
      </c>
      <c r="O418" t="s">
        <v>74</v>
      </c>
      <c r="P418">
        <v>0.01</v>
      </c>
      <c r="Q418" t="s">
        <v>245</v>
      </c>
      <c r="R418">
        <v>28.6</v>
      </c>
      <c r="S418">
        <v>31.4</v>
      </c>
      <c r="T418">
        <v>28.6</v>
      </c>
      <c r="U418">
        <v>4.3</v>
      </c>
      <c r="V418">
        <v>7.1</v>
      </c>
    </row>
    <row r="419" spans="1:22" x14ac:dyDescent="0.25">
      <c r="A419" t="s">
        <v>1724</v>
      </c>
      <c r="B419" t="s">
        <v>130</v>
      </c>
      <c r="C419">
        <v>20</v>
      </c>
      <c r="D419" t="s">
        <v>132</v>
      </c>
      <c r="E419" t="s">
        <v>260</v>
      </c>
      <c r="F419" t="s">
        <v>260</v>
      </c>
      <c r="G419">
        <v>0.05</v>
      </c>
      <c r="H419" t="s">
        <v>125</v>
      </c>
      <c r="I419">
        <v>3</v>
      </c>
      <c r="J419" t="str">
        <f>HYPERLINK("https://www.eliteprospects.com/player/475353/cameron-kungle")</f>
        <v>https://www.eliteprospects.com/player/475353/cameron-kungle</v>
      </c>
      <c r="K419" t="s">
        <v>27</v>
      </c>
      <c r="L419" t="s">
        <v>28</v>
      </c>
      <c r="M419" t="s">
        <v>1296</v>
      </c>
      <c r="N419">
        <v>3</v>
      </c>
      <c r="O419" t="s">
        <v>74</v>
      </c>
      <c r="P419">
        <v>0.01</v>
      </c>
      <c r="Q419" t="s">
        <v>245</v>
      </c>
      <c r="R419">
        <v>28.6</v>
      </c>
      <c r="S419">
        <v>31.4</v>
      </c>
      <c r="T419">
        <v>28.6</v>
      </c>
      <c r="U419">
        <v>4.3</v>
      </c>
      <c r="V419">
        <v>7.1</v>
      </c>
    </row>
    <row r="420" spans="1:22" x14ac:dyDescent="0.25">
      <c r="A420" t="s">
        <v>1725</v>
      </c>
      <c r="B420" t="s">
        <v>161</v>
      </c>
      <c r="C420">
        <v>21</v>
      </c>
      <c r="D420" t="s">
        <v>132</v>
      </c>
      <c r="E420" t="s">
        <v>260</v>
      </c>
      <c r="F420" t="s">
        <v>260</v>
      </c>
      <c r="G420">
        <v>0.05</v>
      </c>
      <c r="H420" t="s">
        <v>51</v>
      </c>
      <c r="I420">
        <v>2</v>
      </c>
      <c r="J420" t="str">
        <f>HYPERLINK("https://www.eliteprospects.com/player/573945/matteo-mann")</f>
        <v>https://www.eliteprospects.com/player/573945/matteo-mann</v>
      </c>
      <c r="K420" t="s">
        <v>27</v>
      </c>
      <c r="L420" t="s">
        <v>28</v>
      </c>
      <c r="M420" t="s">
        <v>1296</v>
      </c>
      <c r="N420">
        <v>6</v>
      </c>
      <c r="O420" t="s">
        <v>99</v>
      </c>
      <c r="P420">
        <v>0.01</v>
      </c>
      <c r="Q420" t="s">
        <v>245</v>
      </c>
      <c r="R420">
        <v>28.6</v>
      </c>
      <c r="S420">
        <v>31.4</v>
      </c>
      <c r="T420">
        <v>28.6</v>
      </c>
      <c r="U420">
        <v>4.3</v>
      </c>
      <c r="V420">
        <v>7.1</v>
      </c>
    </row>
    <row r="421" spans="1:22" x14ac:dyDescent="0.25">
      <c r="A421" t="s">
        <v>1726</v>
      </c>
      <c r="B421" t="s">
        <v>106</v>
      </c>
      <c r="C421">
        <v>21</v>
      </c>
      <c r="D421" t="s">
        <v>132</v>
      </c>
      <c r="E421" t="s">
        <v>260</v>
      </c>
      <c r="F421" t="s">
        <v>260</v>
      </c>
      <c r="G421">
        <v>0.05</v>
      </c>
      <c r="H421" t="s">
        <v>24</v>
      </c>
      <c r="I421">
        <v>-3</v>
      </c>
      <c r="J421" t="str">
        <f>HYPERLINK("https://www.eliteprospects.com/player/651974/jack-sparkes")</f>
        <v>https://www.eliteprospects.com/player/651974/jack-sparkes</v>
      </c>
      <c r="K421" t="s">
        <v>27</v>
      </c>
      <c r="L421" t="s">
        <v>28</v>
      </c>
      <c r="M421" t="s">
        <v>1296</v>
      </c>
      <c r="N421">
        <v>2</v>
      </c>
      <c r="O421" t="s">
        <v>43</v>
      </c>
      <c r="P421">
        <v>0.01</v>
      </c>
      <c r="Q421" t="s">
        <v>245</v>
      </c>
      <c r="R421">
        <v>28.6</v>
      </c>
      <c r="S421">
        <v>31.4</v>
      </c>
      <c r="T421">
        <v>28.6</v>
      </c>
      <c r="U421">
        <v>4.3</v>
      </c>
      <c r="V421">
        <v>7.1</v>
      </c>
    </row>
    <row r="422" spans="1:22" x14ac:dyDescent="0.25">
      <c r="A422" t="s">
        <v>1727</v>
      </c>
      <c r="B422" t="s">
        <v>146</v>
      </c>
      <c r="C422">
        <v>22</v>
      </c>
      <c r="D422" t="s">
        <v>132</v>
      </c>
      <c r="E422" t="s">
        <v>260</v>
      </c>
      <c r="F422" t="s">
        <v>260</v>
      </c>
      <c r="G422">
        <v>0.05</v>
      </c>
      <c r="H422" t="s">
        <v>132</v>
      </c>
      <c r="I422">
        <v>-3</v>
      </c>
      <c r="J422" t="str">
        <f>HYPERLINK("https://www.eliteprospects.com/player/486071/luke-antonacci")</f>
        <v>https://www.eliteprospects.com/player/486071/luke-antonacci</v>
      </c>
      <c r="K422" t="s">
        <v>27</v>
      </c>
      <c r="L422" t="s">
        <v>28</v>
      </c>
      <c r="M422" t="s">
        <v>1296</v>
      </c>
      <c r="N422">
        <v>4</v>
      </c>
      <c r="O422" t="s">
        <v>30</v>
      </c>
      <c r="P422">
        <v>0.01</v>
      </c>
      <c r="Q422" t="s">
        <v>245</v>
      </c>
      <c r="R422">
        <v>28.6</v>
      </c>
      <c r="S422">
        <v>31.4</v>
      </c>
      <c r="T422">
        <v>28.6</v>
      </c>
      <c r="U422">
        <v>4.3</v>
      </c>
      <c r="V422">
        <v>7.1</v>
      </c>
    </row>
    <row r="423" spans="1:22" x14ac:dyDescent="0.25">
      <c r="A423" t="s">
        <v>1728</v>
      </c>
      <c r="B423" t="s">
        <v>113</v>
      </c>
      <c r="C423">
        <v>22</v>
      </c>
      <c r="D423" t="s">
        <v>132</v>
      </c>
      <c r="E423" t="s">
        <v>260</v>
      </c>
      <c r="F423" t="s">
        <v>260</v>
      </c>
      <c r="G423">
        <v>0.05</v>
      </c>
      <c r="H423" t="s">
        <v>79</v>
      </c>
      <c r="I423">
        <v>0</v>
      </c>
      <c r="J423" t="str">
        <f>HYPERLINK("https://www.eliteprospects.com/player/664617/liam-hupka")</f>
        <v>https://www.eliteprospects.com/player/664617/liam-hupka</v>
      </c>
      <c r="K423" t="s">
        <v>27</v>
      </c>
      <c r="L423" t="s">
        <v>28</v>
      </c>
      <c r="M423" t="s">
        <v>1296</v>
      </c>
      <c r="N423">
        <v>1</v>
      </c>
      <c r="O423" t="s">
        <v>71</v>
      </c>
      <c r="P423">
        <v>0.01</v>
      </c>
      <c r="Q423" t="s">
        <v>245</v>
      </c>
      <c r="R423">
        <v>28.6</v>
      </c>
      <c r="S423">
        <v>31.4</v>
      </c>
      <c r="T423">
        <v>28.6</v>
      </c>
      <c r="U423">
        <v>4.3</v>
      </c>
      <c r="V423">
        <v>7.1</v>
      </c>
    </row>
    <row r="424" spans="1:22" x14ac:dyDescent="0.25">
      <c r="A424" t="s">
        <v>1729</v>
      </c>
      <c r="B424" t="s">
        <v>148</v>
      </c>
      <c r="C424">
        <v>22</v>
      </c>
      <c r="D424" t="s">
        <v>132</v>
      </c>
      <c r="E424" t="s">
        <v>260</v>
      </c>
      <c r="F424" t="s">
        <v>260</v>
      </c>
      <c r="G424">
        <v>0.05</v>
      </c>
      <c r="H424" t="s">
        <v>66</v>
      </c>
      <c r="I424">
        <v>3</v>
      </c>
      <c r="J424" t="str">
        <f>HYPERLINK("https://www.eliteprospects.com/player/497305/will-svenddal")</f>
        <v>https://www.eliteprospects.com/player/497305/will-svenddal</v>
      </c>
      <c r="K424" t="s">
        <v>27</v>
      </c>
      <c r="L424" t="s">
        <v>28</v>
      </c>
      <c r="M424" t="s">
        <v>1296</v>
      </c>
      <c r="N424">
        <v>3</v>
      </c>
      <c r="O424" t="s">
        <v>74</v>
      </c>
      <c r="P424">
        <v>0.01</v>
      </c>
      <c r="Q424" t="s">
        <v>245</v>
      </c>
      <c r="R424">
        <v>28.6</v>
      </c>
      <c r="S424">
        <v>31.4</v>
      </c>
      <c r="T424">
        <v>28.6</v>
      </c>
      <c r="U424">
        <v>4.3</v>
      </c>
      <c r="V424">
        <v>7.1</v>
      </c>
    </row>
    <row r="425" spans="1:22" x14ac:dyDescent="0.25">
      <c r="A425" t="s">
        <v>1730</v>
      </c>
      <c r="B425" t="s">
        <v>215</v>
      </c>
      <c r="C425">
        <v>24</v>
      </c>
      <c r="D425" t="s">
        <v>132</v>
      </c>
      <c r="E425" t="s">
        <v>260</v>
      </c>
      <c r="F425" t="s">
        <v>260</v>
      </c>
      <c r="G425">
        <v>0.04</v>
      </c>
      <c r="H425" t="s">
        <v>32</v>
      </c>
      <c r="I425">
        <v>-11</v>
      </c>
      <c r="J425" t="str">
        <f>HYPERLINK("https://www.eliteprospects.com/player/634009/anthony-cliche")</f>
        <v>https://www.eliteprospects.com/player/634009/anthony-cliche</v>
      </c>
      <c r="K425" t="s">
        <v>27</v>
      </c>
      <c r="L425" t="s">
        <v>28</v>
      </c>
      <c r="M425" t="s">
        <v>1296</v>
      </c>
      <c r="N425">
        <v>2</v>
      </c>
      <c r="O425" t="s">
        <v>43</v>
      </c>
      <c r="P425">
        <v>0.01</v>
      </c>
      <c r="Q425" t="s">
        <v>245</v>
      </c>
      <c r="R425">
        <v>28.6</v>
      </c>
      <c r="S425">
        <v>31.4</v>
      </c>
      <c r="T425">
        <v>28.6</v>
      </c>
      <c r="U425">
        <v>4.3</v>
      </c>
      <c r="V425">
        <v>7.1</v>
      </c>
    </row>
    <row r="426" spans="1:22" x14ac:dyDescent="0.25">
      <c r="A426" t="s">
        <v>1731</v>
      </c>
      <c r="B426" t="s">
        <v>64</v>
      </c>
      <c r="C426">
        <v>10</v>
      </c>
      <c r="D426" t="s">
        <v>132</v>
      </c>
      <c r="E426" t="s">
        <v>132</v>
      </c>
      <c r="F426" t="s">
        <v>132</v>
      </c>
      <c r="G426">
        <v>0</v>
      </c>
      <c r="H426" t="s">
        <v>132</v>
      </c>
      <c r="I426">
        <v>0</v>
      </c>
      <c r="J426" t="str">
        <f>HYPERLINK("https://www.eliteprospects.com/player/645485/carson-peters")</f>
        <v>https://www.eliteprospects.com/player/645485/carson-peters</v>
      </c>
      <c r="K426" t="s">
        <v>27</v>
      </c>
      <c r="L426" t="s">
        <v>28</v>
      </c>
      <c r="M426" t="s">
        <v>1296</v>
      </c>
      <c r="N426">
        <v>4</v>
      </c>
      <c r="O426" t="s">
        <v>30</v>
      </c>
      <c r="P426">
        <v>0</v>
      </c>
      <c r="Q426" t="s">
        <v>245</v>
      </c>
      <c r="R426">
        <v>28.6</v>
      </c>
      <c r="S426">
        <v>31.4</v>
      </c>
      <c r="T426">
        <v>28.6</v>
      </c>
      <c r="U426">
        <v>4.3</v>
      </c>
      <c r="V426">
        <v>7.1</v>
      </c>
    </row>
    <row r="427" spans="1:22" x14ac:dyDescent="0.25">
      <c r="A427" t="s">
        <v>1732</v>
      </c>
      <c r="B427" t="s">
        <v>88</v>
      </c>
      <c r="C427">
        <v>10</v>
      </c>
      <c r="D427" t="s">
        <v>132</v>
      </c>
      <c r="E427" t="s">
        <v>132</v>
      </c>
      <c r="F427" t="s">
        <v>132</v>
      </c>
      <c r="G427">
        <v>0</v>
      </c>
      <c r="H427" t="s">
        <v>132</v>
      </c>
      <c r="I427">
        <v>0</v>
      </c>
      <c r="J427" t="str">
        <f>HYPERLINK("https://www.eliteprospects.com/player/664616/simon-houge")</f>
        <v>https://www.eliteprospects.com/player/664616/simon-houge</v>
      </c>
      <c r="K427" t="s">
        <v>27</v>
      </c>
      <c r="L427" t="s">
        <v>28</v>
      </c>
      <c r="M427" t="s">
        <v>1296</v>
      </c>
      <c r="N427">
        <v>1</v>
      </c>
      <c r="O427" t="s">
        <v>71</v>
      </c>
      <c r="P427">
        <v>0</v>
      </c>
      <c r="Q427" t="s">
        <v>245</v>
      </c>
      <c r="R427">
        <v>28.6</v>
      </c>
      <c r="S427">
        <v>31.4</v>
      </c>
      <c r="T427">
        <v>28.6</v>
      </c>
      <c r="U427">
        <v>4.3</v>
      </c>
      <c r="V427">
        <v>7.1</v>
      </c>
    </row>
    <row r="428" spans="1:22" x14ac:dyDescent="0.25">
      <c r="A428" t="s">
        <v>1733</v>
      </c>
      <c r="B428" t="s">
        <v>162</v>
      </c>
      <c r="C428">
        <v>10</v>
      </c>
      <c r="D428" t="s">
        <v>132</v>
      </c>
      <c r="E428" t="s">
        <v>132</v>
      </c>
      <c r="F428" t="s">
        <v>132</v>
      </c>
      <c r="G428">
        <v>0</v>
      </c>
      <c r="H428" t="s">
        <v>79</v>
      </c>
      <c r="I428">
        <v>0</v>
      </c>
      <c r="J428" t="str">
        <f>HYPERLINK("https://www.eliteprospects.com/player/659502/jack-farrell")</f>
        <v>https://www.eliteprospects.com/player/659502/jack-farrell</v>
      </c>
      <c r="K428" t="s">
        <v>27</v>
      </c>
      <c r="L428" t="s">
        <v>28</v>
      </c>
      <c r="M428" t="s">
        <v>1296</v>
      </c>
      <c r="N428">
        <v>1</v>
      </c>
      <c r="O428" t="s">
        <v>71</v>
      </c>
      <c r="P428">
        <v>0</v>
      </c>
      <c r="Q428" t="s">
        <v>245</v>
      </c>
      <c r="R428">
        <v>28.6</v>
      </c>
      <c r="S428">
        <v>31.4</v>
      </c>
      <c r="T428">
        <v>28.6</v>
      </c>
      <c r="U428">
        <v>4.3</v>
      </c>
      <c r="V428">
        <v>7.1</v>
      </c>
    </row>
    <row r="429" spans="1:22" x14ac:dyDescent="0.25">
      <c r="A429" t="s">
        <v>1734</v>
      </c>
      <c r="B429" t="s">
        <v>312</v>
      </c>
      <c r="C429">
        <v>10</v>
      </c>
      <c r="D429" t="s">
        <v>132</v>
      </c>
      <c r="E429" t="s">
        <v>132</v>
      </c>
      <c r="F429" t="s">
        <v>132</v>
      </c>
      <c r="G429">
        <v>0</v>
      </c>
      <c r="H429" t="s">
        <v>79</v>
      </c>
      <c r="I429">
        <v>-4</v>
      </c>
      <c r="J429" t="str">
        <f>HYPERLINK("https://www.eliteprospects.com/player/479831/nolan-gagnon")</f>
        <v>https://www.eliteprospects.com/player/479831/nolan-gagnon</v>
      </c>
      <c r="K429" t="s">
        <v>27</v>
      </c>
      <c r="L429" t="s">
        <v>28</v>
      </c>
      <c r="M429" t="s">
        <v>1296</v>
      </c>
      <c r="N429">
        <v>2</v>
      </c>
      <c r="O429" t="s">
        <v>43</v>
      </c>
      <c r="P429">
        <v>0</v>
      </c>
      <c r="Q429" t="s">
        <v>245</v>
      </c>
      <c r="R429">
        <v>28.6</v>
      </c>
      <c r="S429">
        <v>31.4</v>
      </c>
      <c r="T429">
        <v>28.6</v>
      </c>
      <c r="U429">
        <v>4.3</v>
      </c>
      <c r="V429">
        <v>7.1</v>
      </c>
    </row>
    <row r="430" spans="1:22" x14ac:dyDescent="0.25">
      <c r="A430" t="s">
        <v>1735</v>
      </c>
      <c r="B430" t="s">
        <v>131</v>
      </c>
      <c r="C430">
        <v>10</v>
      </c>
      <c r="D430" t="s">
        <v>132</v>
      </c>
      <c r="E430" t="s">
        <v>132</v>
      </c>
      <c r="F430" t="s">
        <v>132</v>
      </c>
      <c r="G430">
        <v>0</v>
      </c>
      <c r="H430" t="s">
        <v>79</v>
      </c>
      <c r="I430">
        <v>-1</v>
      </c>
      <c r="J430" t="str">
        <f>HYPERLINK("https://www.eliteprospects.com/player/495925/jon-bell")</f>
        <v>https://www.eliteprospects.com/player/495925/jon-bell</v>
      </c>
      <c r="K430" t="s">
        <v>27</v>
      </c>
      <c r="L430" t="s">
        <v>28</v>
      </c>
      <c r="M430" t="s">
        <v>1296</v>
      </c>
      <c r="N430">
        <v>3</v>
      </c>
      <c r="O430" t="s">
        <v>74</v>
      </c>
      <c r="P430">
        <v>0</v>
      </c>
      <c r="Q430" t="s">
        <v>245</v>
      </c>
      <c r="R430">
        <v>28.6</v>
      </c>
      <c r="S430">
        <v>31.4</v>
      </c>
      <c r="T430">
        <v>28.6</v>
      </c>
      <c r="U430">
        <v>4.3</v>
      </c>
      <c r="V430">
        <v>7.1</v>
      </c>
    </row>
    <row r="431" spans="1:22" x14ac:dyDescent="0.25">
      <c r="A431" t="s">
        <v>1736</v>
      </c>
      <c r="B431" t="s">
        <v>44</v>
      </c>
      <c r="C431">
        <v>10</v>
      </c>
      <c r="D431" t="s">
        <v>132</v>
      </c>
      <c r="E431" t="s">
        <v>132</v>
      </c>
      <c r="F431" t="s">
        <v>132</v>
      </c>
      <c r="G431">
        <v>0</v>
      </c>
      <c r="H431" t="s">
        <v>66</v>
      </c>
      <c r="I431">
        <v>-3</v>
      </c>
      <c r="J431" t="str">
        <f>HYPERLINK("https://www.eliteprospects.com/player/554233/kasper-vaharautio")</f>
        <v>https://www.eliteprospects.com/player/554233/kasper-vaharautio</v>
      </c>
      <c r="K431" t="s">
        <v>27</v>
      </c>
      <c r="L431" t="s">
        <v>28</v>
      </c>
      <c r="M431" t="s">
        <v>1296</v>
      </c>
      <c r="N431">
        <v>4</v>
      </c>
      <c r="O431" t="s">
        <v>30</v>
      </c>
      <c r="P431">
        <v>0</v>
      </c>
      <c r="Q431" t="s">
        <v>245</v>
      </c>
      <c r="R431">
        <v>28.6</v>
      </c>
      <c r="S431">
        <v>31.4</v>
      </c>
      <c r="T431">
        <v>28.6</v>
      </c>
      <c r="U431">
        <v>4.3</v>
      </c>
      <c r="V431">
        <v>7.1</v>
      </c>
    </row>
    <row r="432" spans="1:22" x14ac:dyDescent="0.25">
      <c r="A432" t="s">
        <v>1737</v>
      </c>
      <c r="B432" t="s">
        <v>205</v>
      </c>
      <c r="C432">
        <v>11</v>
      </c>
      <c r="D432" t="s">
        <v>132</v>
      </c>
      <c r="E432" t="s">
        <v>132</v>
      </c>
      <c r="F432" t="s">
        <v>132</v>
      </c>
      <c r="G432">
        <v>0</v>
      </c>
      <c r="H432" t="s">
        <v>79</v>
      </c>
      <c r="I432">
        <v>-5</v>
      </c>
      <c r="J432" t="str">
        <f>HYPERLINK("https://www.eliteprospects.com/player/400904/gustav-blom")</f>
        <v>https://www.eliteprospects.com/player/400904/gustav-blom</v>
      </c>
      <c r="K432" t="s">
        <v>27</v>
      </c>
      <c r="L432" t="s">
        <v>28</v>
      </c>
      <c r="M432" t="s">
        <v>1296</v>
      </c>
      <c r="N432">
        <v>4</v>
      </c>
      <c r="O432" t="s">
        <v>30</v>
      </c>
      <c r="P432">
        <v>0</v>
      </c>
      <c r="Q432" t="s">
        <v>245</v>
      </c>
      <c r="R432">
        <v>28.6</v>
      </c>
      <c r="S432">
        <v>31.4</v>
      </c>
      <c r="T432">
        <v>28.6</v>
      </c>
      <c r="U432">
        <v>4.3</v>
      </c>
      <c r="V432">
        <v>7.1</v>
      </c>
    </row>
    <row r="433" spans="1:22" x14ac:dyDescent="0.25">
      <c r="A433" t="s">
        <v>1738</v>
      </c>
      <c r="B433" t="s">
        <v>234</v>
      </c>
      <c r="C433">
        <v>11</v>
      </c>
      <c r="D433" t="s">
        <v>132</v>
      </c>
      <c r="E433" t="s">
        <v>132</v>
      </c>
      <c r="F433" t="s">
        <v>132</v>
      </c>
      <c r="G433">
        <v>0</v>
      </c>
      <c r="H433" t="s">
        <v>79</v>
      </c>
      <c r="I433">
        <v>1</v>
      </c>
      <c r="J433" t="str">
        <f>HYPERLINK("https://www.eliteprospects.com/player/651979/jack-hewitt")</f>
        <v>https://www.eliteprospects.com/player/651979/jack-hewitt</v>
      </c>
      <c r="K433" t="s">
        <v>27</v>
      </c>
      <c r="L433" t="s">
        <v>28</v>
      </c>
      <c r="M433" t="s">
        <v>1296</v>
      </c>
      <c r="N433">
        <v>2</v>
      </c>
      <c r="O433" t="s">
        <v>43</v>
      </c>
      <c r="P433">
        <v>0</v>
      </c>
      <c r="Q433" t="s">
        <v>245</v>
      </c>
      <c r="R433">
        <v>28.6</v>
      </c>
      <c r="S433">
        <v>31.4</v>
      </c>
      <c r="T433">
        <v>28.6</v>
      </c>
      <c r="U433">
        <v>4.3</v>
      </c>
      <c r="V433">
        <v>7.1</v>
      </c>
    </row>
    <row r="434" spans="1:22" x14ac:dyDescent="0.25">
      <c r="A434" t="s">
        <v>1739</v>
      </c>
      <c r="B434" t="s">
        <v>116</v>
      </c>
      <c r="C434">
        <v>11</v>
      </c>
      <c r="D434" t="s">
        <v>132</v>
      </c>
      <c r="E434" t="s">
        <v>132</v>
      </c>
      <c r="F434" t="s">
        <v>132</v>
      </c>
      <c r="G434">
        <v>0</v>
      </c>
      <c r="H434" t="s">
        <v>66</v>
      </c>
      <c r="I434">
        <v>-4</v>
      </c>
      <c r="J434" t="str">
        <f>HYPERLINK("https://www.eliteprospects.com/player/675870/teddy-mallgrave")</f>
        <v>https://www.eliteprospects.com/player/675870/teddy-mallgrave</v>
      </c>
      <c r="K434" t="s">
        <v>27</v>
      </c>
      <c r="L434" t="s">
        <v>28</v>
      </c>
      <c r="M434" t="s">
        <v>1296</v>
      </c>
      <c r="N434">
        <v>1</v>
      </c>
      <c r="O434" t="s">
        <v>71</v>
      </c>
      <c r="P434">
        <v>0</v>
      </c>
      <c r="Q434" t="s">
        <v>245</v>
      </c>
      <c r="R434">
        <v>28.6</v>
      </c>
      <c r="S434">
        <v>31.4</v>
      </c>
      <c r="T434">
        <v>28.6</v>
      </c>
      <c r="U434">
        <v>4.3</v>
      </c>
      <c r="V434">
        <v>7.1</v>
      </c>
    </row>
    <row r="435" spans="1:22" x14ac:dyDescent="0.25">
      <c r="A435" t="s">
        <v>1740</v>
      </c>
      <c r="B435" t="s">
        <v>288</v>
      </c>
      <c r="C435">
        <v>12</v>
      </c>
      <c r="D435" t="s">
        <v>132</v>
      </c>
      <c r="E435" t="s">
        <v>132</v>
      </c>
      <c r="F435" t="s">
        <v>132</v>
      </c>
      <c r="G435">
        <v>0</v>
      </c>
      <c r="H435" t="s">
        <v>132</v>
      </c>
      <c r="I435">
        <v>-3</v>
      </c>
      <c r="J435" t="str">
        <f>HYPERLINK("https://www.eliteprospects.com/player/701591/charlie-kinsman")</f>
        <v>https://www.eliteprospects.com/player/701591/charlie-kinsman</v>
      </c>
      <c r="K435" t="s">
        <v>27</v>
      </c>
      <c r="L435" t="s">
        <v>28</v>
      </c>
      <c r="M435" t="s">
        <v>1296</v>
      </c>
      <c r="N435">
        <v>2</v>
      </c>
      <c r="O435" t="s">
        <v>43</v>
      </c>
      <c r="P435">
        <v>0</v>
      </c>
      <c r="Q435" t="s">
        <v>245</v>
      </c>
      <c r="R435">
        <v>28.6</v>
      </c>
      <c r="S435">
        <v>31.4</v>
      </c>
      <c r="T435">
        <v>28.6</v>
      </c>
      <c r="U435">
        <v>4.3</v>
      </c>
      <c r="V435">
        <v>7.1</v>
      </c>
    </row>
    <row r="436" spans="1:22" x14ac:dyDescent="0.25">
      <c r="A436" t="s">
        <v>1741</v>
      </c>
      <c r="B436" t="s">
        <v>101</v>
      </c>
      <c r="C436">
        <v>12</v>
      </c>
      <c r="D436" t="s">
        <v>132</v>
      </c>
      <c r="E436" t="s">
        <v>132</v>
      </c>
      <c r="F436" t="s">
        <v>132</v>
      </c>
      <c r="G436">
        <v>0</v>
      </c>
      <c r="H436" t="s">
        <v>79</v>
      </c>
      <c r="I436">
        <v>2</v>
      </c>
      <c r="J436" t="str">
        <f>HYPERLINK("https://www.eliteprospects.com/player/689837/noah-jones")</f>
        <v>https://www.eliteprospects.com/player/689837/noah-jones</v>
      </c>
      <c r="K436" t="s">
        <v>27</v>
      </c>
      <c r="L436" t="s">
        <v>28</v>
      </c>
      <c r="M436" t="s">
        <v>1296</v>
      </c>
      <c r="N436">
        <v>1</v>
      </c>
      <c r="O436" t="s">
        <v>71</v>
      </c>
      <c r="P436">
        <v>0</v>
      </c>
      <c r="Q436" t="s">
        <v>245</v>
      </c>
      <c r="R436">
        <v>28.6</v>
      </c>
      <c r="S436">
        <v>31.4</v>
      </c>
      <c r="T436">
        <v>28.6</v>
      </c>
      <c r="U436">
        <v>4.3</v>
      </c>
      <c r="V436">
        <v>7.1</v>
      </c>
    </row>
    <row r="437" spans="1:22" x14ac:dyDescent="0.25">
      <c r="A437" t="s">
        <v>1742</v>
      </c>
      <c r="B437" t="s">
        <v>222</v>
      </c>
      <c r="C437">
        <v>12</v>
      </c>
      <c r="D437" t="s">
        <v>132</v>
      </c>
      <c r="E437" t="s">
        <v>132</v>
      </c>
      <c r="F437" t="s">
        <v>132</v>
      </c>
      <c r="G437">
        <v>0</v>
      </c>
      <c r="H437" t="s">
        <v>79</v>
      </c>
      <c r="I437">
        <v>-3</v>
      </c>
      <c r="J437" t="str">
        <f>HYPERLINK("https://www.eliteprospects.com/player/478684/bayard-hall")</f>
        <v>https://www.eliteprospects.com/player/478684/bayard-hall</v>
      </c>
      <c r="K437" t="s">
        <v>27</v>
      </c>
      <c r="L437" t="s">
        <v>28</v>
      </c>
      <c r="M437" t="s">
        <v>1296</v>
      </c>
      <c r="N437">
        <v>4</v>
      </c>
      <c r="O437" t="s">
        <v>30</v>
      </c>
      <c r="P437">
        <v>0</v>
      </c>
      <c r="Q437" t="s">
        <v>245</v>
      </c>
      <c r="R437">
        <v>28.6</v>
      </c>
      <c r="S437">
        <v>31.4</v>
      </c>
      <c r="T437">
        <v>28.6</v>
      </c>
      <c r="U437">
        <v>4.3</v>
      </c>
      <c r="V437">
        <v>7.1</v>
      </c>
    </row>
    <row r="438" spans="1:22" x14ac:dyDescent="0.25">
      <c r="A438" t="s">
        <v>1743</v>
      </c>
      <c r="B438" t="s">
        <v>288</v>
      </c>
      <c r="C438">
        <v>12</v>
      </c>
      <c r="D438" t="s">
        <v>132</v>
      </c>
      <c r="E438" t="s">
        <v>132</v>
      </c>
      <c r="F438" t="s">
        <v>132</v>
      </c>
      <c r="G438">
        <v>0</v>
      </c>
      <c r="H438" t="s">
        <v>79</v>
      </c>
      <c r="I438">
        <v>-5</v>
      </c>
      <c r="J438" t="str">
        <f>HYPERLINK("https://www.eliteprospects.com/player/478622/dylan-gratton")</f>
        <v>https://www.eliteprospects.com/player/478622/dylan-gratton</v>
      </c>
      <c r="K438" t="s">
        <v>27</v>
      </c>
      <c r="L438" t="s">
        <v>28</v>
      </c>
      <c r="M438" t="s">
        <v>1296</v>
      </c>
      <c r="N438">
        <v>4</v>
      </c>
      <c r="O438" t="s">
        <v>30</v>
      </c>
      <c r="P438">
        <v>0</v>
      </c>
      <c r="Q438" t="s">
        <v>245</v>
      </c>
      <c r="R438">
        <v>28.6</v>
      </c>
      <c r="S438">
        <v>31.4</v>
      </c>
      <c r="T438">
        <v>28.6</v>
      </c>
      <c r="U438">
        <v>4.3</v>
      </c>
      <c r="V438">
        <v>7.1</v>
      </c>
    </row>
    <row r="439" spans="1:22" x14ac:dyDescent="0.25">
      <c r="A439" t="s">
        <v>1744</v>
      </c>
      <c r="B439" t="s">
        <v>288</v>
      </c>
      <c r="C439">
        <v>12</v>
      </c>
      <c r="D439" t="s">
        <v>132</v>
      </c>
      <c r="E439" t="s">
        <v>132</v>
      </c>
      <c r="F439" t="s">
        <v>132</v>
      </c>
      <c r="G439">
        <v>0</v>
      </c>
      <c r="H439" t="s">
        <v>66</v>
      </c>
      <c r="I439">
        <v>-5</v>
      </c>
      <c r="J439" t="str">
        <f>HYPERLINK("https://www.eliteprospects.com/player/549060/p.j.-forgione")</f>
        <v>https://www.eliteprospects.com/player/549060/p.j.-forgione</v>
      </c>
      <c r="K439" t="s">
        <v>27</v>
      </c>
      <c r="L439" t="s">
        <v>28</v>
      </c>
      <c r="M439" t="s">
        <v>1296</v>
      </c>
      <c r="N439">
        <v>5</v>
      </c>
      <c r="O439" t="s">
        <v>147</v>
      </c>
      <c r="P439">
        <v>0</v>
      </c>
      <c r="Q439" t="s">
        <v>245</v>
      </c>
      <c r="R439">
        <v>28.6</v>
      </c>
      <c r="S439">
        <v>31.4</v>
      </c>
      <c r="T439">
        <v>28.6</v>
      </c>
      <c r="U439">
        <v>4.3</v>
      </c>
      <c r="V439">
        <v>7.1</v>
      </c>
    </row>
    <row r="440" spans="1:22" x14ac:dyDescent="0.25">
      <c r="A440" t="s">
        <v>1745</v>
      </c>
      <c r="B440" t="s">
        <v>130</v>
      </c>
      <c r="C440">
        <v>12</v>
      </c>
      <c r="D440" t="s">
        <v>132</v>
      </c>
      <c r="E440" t="s">
        <v>132</v>
      </c>
      <c r="F440" t="s">
        <v>132</v>
      </c>
      <c r="G440">
        <v>0</v>
      </c>
      <c r="H440" t="s">
        <v>66</v>
      </c>
      <c r="I440">
        <v>-2</v>
      </c>
      <c r="J440" t="str">
        <f>HYPERLINK("https://www.eliteprospects.com/player/551572/matthew-campbell")</f>
        <v>https://www.eliteprospects.com/player/551572/matthew-campbell</v>
      </c>
      <c r="K440" t="s">
        <v>27</v>
      </c>
      <c r="L440" t="s">
        <v>28</v>
      </c>
      <c r="M440" t="s">
        <v>1296</v>
      </c>
      <c r="N440">
        <v>4</v>
      </c>
      <c r="O440" t="s">
        <v>30</v>
      </c>
      <c r="P440">
        <v>0</v>
      </c>
      <c r="Q440" t="s">
        <v>245</v>
      </c>
      <c r="R440">
        <v>28.6</v>
      </c>
      <c r="S440">
        <v>31.4</v>
      </c>
      <c r="T440">
        <v>28.6</v>
      </c>
      <c r="U440">
        <v>4.3</v>
      </c>
      <c r="V440">
        <v>7.1</v>
      </c>
    </row>
    <row r="441" spans="1:22" x14ac:dyDescent="0.25">
      <c r="A441" t="s">
        <v>1746</v>
      </c>
      <c r="B441" t="s">
        <v>215</v>
      </c>
      <c r="C441">
        <v>12</v>
      </c>
      <c r="D441" t="s">
        <v>132</v>
      </c>
      <c r="E441" t="s">
        <v>132</v>
      </c>
      <c r="F441" t="s">
        <v>132</v>
      </c>
      <c r="G441">
        <v>0</v>
      </c>
      <c r="H441" t="s">
        <v>26</v>
      </c>
      <c r="I441">
        <v>-7</v>
      </c>
      <c r="J441" t="str">
        <f>HYPERLINK("https://www.eliteprospects.com/player/535818/evan-johnson")</f>
        <v>https://www.eliteprospects.com/player/535818/evan-johnson</v>
      </c>
      <c r="K441" t="s">
        <v>27</v>
      </c>
      <c r="L441" t="s">
        <v>28</v>
      </c>
      <c r="M441" t="s">
        <v>1296</v>
      </c>
      <c r="N441">
        <v>1</v>
      </c>
      <c r="O441" t="s">
        <v>71</v>
      </c>
      <c r="P441">
        <v>0</v>
      </c>
      <c r="Q441" t="s">
        <v>245</v>
      </c>
      <c r="R441">
        <v>28.6</v>
      </c>
      <c r="S441">
        <v>31.4</v>
      </c>
      <c r="T441">
        <v>28.6</v>
      </c>
      <c r="U441">
        <v>4.3</v>
      </c>
      <c r="V441">
        <v>7.1</v>
      </c>
    </row>
    <row r="442" spans="1:22" x14ac:dyDescent="0.25">
      <c r="A442" t="s">
        <v>1747</v>
      </c>
      <c r="B442" t="s">
        <v>224</v>
      </c>
      <c r="C442">
        <v>13</v>
      </c>
      <c r="D442" t="s">
        <v>132</v>
      </c>
      <c r="E442" t="s">
        <v>132</v>
      </c>
      <c r="F442" t="s">
        <v>132</v>
      </c>
      <c r="G442">
        <v>0</v>
      </c>
      <c r="H442" t="s">
        <v>57</v>
      </c>
      <c r="I442">
        <v>-1</v>
      </c>
      <c r="J442" t="str">
        <f>HYPERLINK("https://www.eliteprospects.com/player/496438/j.r.-ashmead")</f>
        <v>https://www.eliteprospects.com/player/496438/j.r.-ashmead</v>
      </c>
      <c r="K442" t="s">
        <v>27</v>
      </c>
      <c r="L442" t="s">
        <v>28</v>
      </c>
      <c r="M442" t="s">
        <v>1296</v>
      </c>
      <c r="N442">
        <v>2</v>
      </c>
      <c r="O442" t="s">
        <v>43</v>
      </c>
      <c r="P442">
        <v>0</v>
      </c>
      <c r="Q442" t="s">
        <v>245</v>
      </c>
      <c r="R442">
        <v>28.6</v>
      </c>
      <c r="S442">
        <v>31.4</v>
      </c>
      <c r="T442">
        <v>28.6</v>
      </c>
      <c r="U442">
        <v>4.3</v>
      </c>
      <c r="V442">
        <v>7.1</v>
      </c>
    </row>
    <row r="443" spans="1:22" x14ac:dyDescent="0.25">
      <c r="A443" t="s">
        <v>1748</v>
      </c>
      <c r="B443" t="s">
        <v>150</v>
      </c>
      <c r="C443">
        <v>13</v>
      </c>
      <c r="D443" t="s">
        <v>132</v>
      </c>
      <c r="E443" t="s">
        <v>132</v>
      </c>
      <c r="F443" t="s">
        <v>132</v>
      </c>
      <c r="G443">
        <v>0</v>
      </c>
      <c r="H443" t="s">
        <v>57</v>
      </c>
      <c r="I443">
        <v>-6</v>
      </c>
      <c r="J443" t="str">
        <f>HYPERLINK("https://www.eliteprospects.com/player/603640/chris-romaine")</f>
        <v>https://www.eliteprospects.com/player/603640/chris-romaine</v>
      </c>
      <c r="K443" t="s">
        <v>27</v>
      </c>
      <c r="L443" t="s">
        <v>28</v>
      </c>
      <c r="M443" t="s">
        <v>1296</v>
      </c>
      <c r="N443">
        <v>2</v>
      </c>
      <c r="O443" t="s">
        <v>43</v>
      </c>
      <c r="P443">
        <v>0</v>
      </c>
      <c r="Q443" t="s">
        <v>245</v>
      </c>
      <c r="R443">
        <v>28.6</v>
      </c>
      <c r="S443">
        <v>31.4</v>
      </c>
      <c r="T443">
        <v>28.6</v>
      </c>
      <c r="U443">
        <v>4.3</v>
      </c>
      <c r="V443">
        <v>7.1</v>
      </c>
    </row>
    <row r="444" spans="1:22" x14ac:dyDescent="0.25">
      <c r="A444" t="s">
        <v>1749</v>
      </c>
      <c r="B444" t="s">
        <v>103</v>
      </c>
      <c r="C444">
        <v>14</v>
      </c>
      <c r="D444" t="s">
        <v>132</v>
      </c>
      <c r="E444" t="s">
        <v>132</v>
      </c>
      <c r="F444" t="s">
        <v>132</v>
      </c>
      <c r="G444">
        <v>0</v>
      </c>
      <c r="H444" t="s">
        <v>132</v>
      </c>
      <c r="I444">
        <v>-2</v>
      </c>
      <c r="J444" t="str">
        <f>HYPERLINK("https://www.eliteprospects.com/player/723502/coleson-hanrahan")</f>
        <v>https://www.eliteprospects.com/player/723502/coleson-hanrahan</v>
      </c>
      <c r="K444" t="s">
        <v>27</v>
      </c>
      <c r="L444" t="s">
        <v>28</v>
      </c>
      <c r="M444" t="s">
        <v>1296</v>
      </c>
      <c r="N444">
        <v>1</v>
      </c>
      <c r="O444" t="s">
        <v>71</v>
      </c>
      <c r="P444">
        <v>0</v>
      </c>
      <c r="Q444" t="s">
        <v>245</v>
      </c>
      <c r="R444">
        <v>28.6</v>
      </c>
      <c r="S444">
        <v>31.4</v>
      </c>
      <c r="T444">
        <v>28.6</v>
      </c>
      <c r="U444">
        <v>4.3</v>
      </c>
      <c r="V444">
        <v>7.1</v>
      </c>
    </row>
    <row r="445" spans="1:22" x14ac:dyDescent="0.25">
      <c r="A445" t="s">
        <v>1750</v>
      </c>
      <c r="B445" t="s">
        <v>167</v>
      </c>
      <c r="C445">
        <v>14</v>
      </c>
      <c r="D445" t="s">
        <v>132</v>
      </c>
      <c r="E445" t="s">
        <v>132</v>
      </c>
      <c r="F445" t="s">
        <v>132</v>
      </c>
      <c r="G445">
        <v>0</v>
      </c>
      <c r="H445" t="s">
        <v>26</v>
      </c>
      <c r="I445">
        <v>-8</v>
      </c>
      <c r="J445" t="str">
        <f>HYPERLINK("https://www.eliteprospects.com/player/705815/sean-keohane")</f>
        <v>https://www.eliteprospects.com/player/705815/sean-keohane</v>
      </c>
      <c r="K445" t="s">
        <v>27</v>
      </c>
      <c r="L445" t="s">
        <v>28</v>
      </c>
      <c r="M445" t="s">
        <v>1296</v>
      </c>
      <c r="N445">
        <v>2</v>
      </c>
      <c r="O445" t="s">
        <v>43</v>
      </c>
      <c r="P445">
        <v>0</v>
      </c>
      <c r="Q445" t="s">
        <v>245</v>
      </c>
      <c r="R445">
        <v>28.6</v>
      </c>
      <c r="S445">
        <v>31.4</v>
      </c>
      <c r="T445">
        <v>28.6</v>
      </c>
      <c r="U445">
        <v>4.3</v>
      </c>
      <c r="V445">
        <v>7.1</v>
      </c>
    </row>
    <row r="446" spans="1:22" x14ac:dyDescent="0.25">
      <c r="A446" t="s">
        <v>1751</v>
      </c>
      <c r="B446" t="s">
        <v>68</v>
      </c>
      <c r="C446">
        <v>15</v>
      </c>
      <c r="D446" t="s">
        <v>132</v>
      </c>
      <c r="E446" t="s">
        <v>132</v>
      </c>
      <c r="F446" t="s">
        <v>132</v>
      </c>
      <c r="G446">
        <v>0</v>
      </c>
      <c r="H446" t="s">
        <v>132</v>
      </c>
      <c r="I446">
        <v>-3</v>
      </c>
      <c r="J446" t="str">
        <f>HYPERLINK("https://www.eliteprospects.com/player/639712/brady-schultz")</f>
        <v>https://www.eliteprospects.com/player/639712/brady-schultz</v>
      </c>
      <c r="K446" t="s">
        <v>27</v>
      </c>
      <c r="L446" t="s">
        <v>28</v>
      </c>
      <c r="M446" t="s">
        <v>1296</v>
      </c>
      <c r="N446">
        <v>5</v>
      </c>
      <c r="O446" t="s">
        <v>207</v>
      </c>
      <c r="P446">
        <v>0</v>
      </c>
      <c r="Q446" t="s">
        <v>245</v>
      </c>
      <c r="R446">
        <v>28.6</v>
      </c>
      <c r="S446">
        <v>31.4</v>
      </c>
      <c r="T446">
        <v>28.6</v>
      </c>
      <c r="U446">
        <v>4.3</v>
      </c>
      <c r="V446">
        <v>7.1</v>
      </c>
    </row>
    <row r="447" spans="1:22" x14ac:dyDescent="0.25">
      <c r="A447" t="s">
        <v>1752</v>
      </c>
      <c r="B447" t="s">
        <v>124</v>
      </c>
      <c r="C447">
        <v>15</v>
      </c>
      <c r="D447" t="s">
        <v>132</v>
      </c>
      <c r="E447" t="s">
        <v>132</v>
      </c>
      <c r="F447" t="s">
        <v>132</v>
      </c>
      <c r="G447">
        <v>0</v>
      </c>
      <c r="H447" t="s">
        <v>66</v>
      </c>
      <c r="I447">
        <v>-5</v>
      </c>
      <c r="J447" t="str">
        <f>HYPERLINK("https://www.eliteprospects.com/player/201720/nick-donato")</f>
        <v>https://www.eliteprospects.com/player/201720/nick-donato</v>
      </c>
      <c r="K447" t="s">
        <v>27</v>
      </c>
      <c r="L447" t="s">
        <v>28</v>
      </c>
      <c r="M447" t="s">
        <v>1296</v>
      </c>
      <c r="N447">
        <v>4</v>
      </c>
      <c r="O447" t="s">
        <v>30</v>
      </c>
      <c r="P447">
        <v>0</v>
      </c>
      <c r="Q447" t="s">
        <v>245</v>
      </c>
      <c r="R447">
        <v>28.6</v>
      </c>
      <c r="S447">
        <v>31.4</v>
      </c>
      <c r="T447">
        <v>28.6</v>
      </c>
      <c r="U447">
        <v>4.3</v>
      </c>
      <c r="V447">
        <v>7.1</v>
      </c>
    </row>
    <row r="448" spans="1:22" x14ac:dyDescent="0.25">
      <c r="A448" t="s">
        <v>1753</v>
      </c>
      <c r="B448" t="s">
        <v>362</v>
      </c>
      <c r="C448">
        <v>15</v>
      </c>
      <c r="D448" t="s">
        <v>132</v>
      </c>
      <c r="E448" t="s">
        <v>132</v>
      </c>
      <c r="F448" t="s">
        <v>132</v>
      </c>
      <c r="G448">
        <v>0</v>
      </c>
      <c r="H448" t="s">
        <v>66</v>
      </c>
      <c r="I448">
        <v>-4</v>
      </c>
      <c r="J448" t="str">
        <f>HYPERLINK("https://www.eliteprospects.com/player/477550/jaryd-sych")</f>
        <v>https://www.eliteprospects.com/player/477550/jaryd-sych</v>
      </c>
      <c r="K448" t="s">
        <v>27</v>
      </c>
      <c r="L448" t="s">
        <v>28</v>
      </c>
      <c r="M448" t="s">
        <v>1296</v>
      </c>
      <c r="N448">
        <v>3</v>
      </c>
      <c r="O448" t="s">
        <v>74</v>
      </c>
      <c r="P448">
        <v>0</v>
      </c>
      <c r="Q448" t="s">
        <v>245</v>
      </c>
      <c r="R448">
        <v>28.6</v>
      </c>
      <c r="S448">
        <v>31.4</v>
      </c>
      <c r="T448">
        <v>28.6</v>
      </c>
      <c r="U448">
        <v>4.3</v>
      </c>
      <c r="V448">
        <v>7.1</v>
      </c>
    </row>
    <row r="449" spans="1:22" x14ac:dyDescent="0.25">
      <c r="A449" t="s">
        <v>1754</v>
      </c>
      <c r="B449" t="s">
        <v>234</v>
      </c>
      <c r="C449">
        <v>15</v>
      </c>
      <c r="D449" t="s">
        <v>132</v>
      </c>
      <c r="E449" t="s">
        <v>132</v>
      </c>
      <c r="F449" t="s">
        <v>132</v>
      </c>
      <c r="G449">
        <v>0</v>
      </c>
      <c r="H449" t="s">
        <v>57</v>
      </c>
      <c r="I449">
        <v>-2</v>
      </c>
      <c r="J449" t="str">
        <f>HYPERLINK("https://www.eliteprospects.com/player/499084/nick-traggio")</f>
        <v>https://www.eliteprospects.com/player/499084/nick-traggio</v>
      </c>
      <c r="K449" t="s">
        <v>27</v>
      </c>
      <c r="L449" t="s">
        <v>28</v>
      </c>
      <c r="M449" t="s">
        <v>1296</v>
      </c>
      <c r="N449">
        <v>4</v>
      </c>
      <c r="O449" t="s">
        <v>30</v>
      </c>
      <c r="P449">
        <v>0</v>
      </c>
      <c r="Q449" t="s">
        <v>245</v>
      </c>
      <c r="R449">
        <v>28.6</v>
      </c>
      <c r="S449">
        <v>31.4</v>
      </c>
      <c r="T449">
        <v>28.6</v>
      </c>
      <c r="U449">
        <v>4.3</v>
      </c>
      <c r="V449">
        <v>7.1</v>
      </c>
    </row>
    <row r="450" spans="1:22" x14ac:dyDescent="0.25">
      <c r="A450" t="s">
        <v>1755</v>
      </c>
      <c r="B450" t="s">
        <v>362</v>
      </c>
      <c r="C450">
        <v>15</v>
      </c>
      <c r="D450" t="s">
        <v>132</v>
      </c>
      <c r="E450" t="s">
        <v>132</v>
      </c>
      <c r="F450" t="s">
        <v>132</v>
      </c>
      <c r="G450">
        <v>0</v>
      </c>
      <c r="H450" t="s">
        <v>32</v>
      </c>
      <c r="I450">
        <v>-9</v>
      </c>
      <c r="J450" t="str">
        <f>HYPERLINK("https://www.eliteprospects.com/player/675929/kaden-muir")</f>
        <v>https://www.eliteprospects.com/player/675929/kaden-muir</v>
      </c>
      <c r="K450" t="s">
        <v>27</v>
      </c>
      <c r="L450" t="s">
        <v>28</v>
      </c>
      <c r="M450" t="s">
        <v>1296</v>
      </c>
      <c r="N450">
        <v>2</v>
      </c>
      <c r="O450" t="s">
        <v>43</v>
      </c>
      <c r="P450">
        <v>0</v>
      </c>
      <c r="Q450" t="s">
        <v>245</v>
      </c>
      <c r="R450">
        <v>28.6</v>
      </c>
      <c r="S450">
        <v>31.4</v>
      </c>
      <c r="T450">
        <v>28.6</v>
      </c>
      <c r="U450">
        <v>4.3</v>
      </c>
      <c r="V450">
        <v>7.1</v>
      </c>
    </row>
    <row r="451" spans="1:22" x14ac:dyDescent="0.25">
      <c r="A451" t="s">
        <v>1756</v>
      </c>
      <c r="B451" t="s">
        <v>37</v>
      </c>
      <c r="C451">
        <v>16</v>
      </c>
      <c r="D451" t="s">
        <v>132</v>
      </c>
      <c r="E451" t="s">
        <v>132</v>
      </c>
      <c r="F451" t="s">
        <v>132</v>
      </c>
      <c r="G451">
        <v>0</v>
      </c>
      <c r="H451" t="s">
        <v>79</v>
      </c>
      <c r="I451">
        <v>-1</v>
      </c>
      <c r="J451" t="str">
        <f>HYPERLINK("https://www.eliteprospects.com/player/339291/riley-bodnarchuk")</f>
        <v>https://www.eliteprospects.com/player/339291/riley-bodnarchuk</v>
      </c>
      <c r="K451" t="s">
        <v>27</v>
      </c>
      <c r="L451" t="s">
        <v>28</v>
      </c>
      <c r="M451" t="s">
        <v>1296</v>
      </c>
      <c r="N451">
        <v>4</v>
      </c>
      <c r="O451" t="s">
        <v>30</v>
      </c>
      <c r="P451">
        <v>0</v>
      </c>
      <c r="Q451" t="s">
        <v>245</v>
      </c>
      <c r="R451">
        <v>28.6</v>
      </c>
      <c r="S451">
        <v>31.4</v>
      </c>
      <c r="T451">
        <v>28.6</v>
      </c>
      <c r="U451">
        <v>4.3</v>
      </c>
      <c r="V451">
        <v>7.1</v>
      </c>
    </row>
    <row r="452" spans="1:22" x14ac:dyDescent="0.25">
      <c r="A452" t="s">
        <v>1757</v>
      </c>
      <c r="B452" t="s">
        <v>222</v>
      </c>
      <c r="C452">
        <v>16</v>
      </c>
      <c r="D452" t="s">
        <v>132</v>
      </c>
      <c r="E452" t="s">
        <v>132</v>
      </c>
      <c r="F452" t="s">
        <v>132</v>
      </c>
      <c r="G452">
        <v>0</v>
      </c>
      <c r="H452" t="s">
        <v>66</v>
      </c>
      <c r="I452">
        <v>-1</v>
      </c>
      <c r="J452" t="str">
        <f>HYPERLINK("https://www.eliteprospects.com/player/499252/tucker-hartmann")</f>
        <v>https://www.eliteprospects.com/player/499252/tucker-hartmann</v>
      </c>
      <c r="K452" t="s">
        <v>27</v>
      </c>
      <c r="L452" t="s">
        <v>28</v>
      </c>
      <c r="M452" t="s">
        <v>1296</v>
      </c>
      <c r="N452">
        <v>4</v>
      </c>
      <c r="O452" t="s">
        <v>30</v>
      </c>
      <c r="P452">
        <v>0</v>
      </c>
      <c r="Q452" t="s">
        <v>245</v>
      </c>
      <c r="R452">
        <v>28.6</v>
      </c>
      <c r="S452">
        <v>31.4</v>
      </c>
      <c r="T452">
        <v>28.6</v>
      </c>
      <c r="U452">
        <v>4.3</v>
      </c>
      <c r="V452">
        <v>7.1</v>
      </c>
    </row>
    <row r="453" spans="1:22" x14ac:dyDescent="0.25">
      <c r="A453" t="s">
        <v>1758</v>
      </c>
      <c r="B453" t="s">
        <v>362</v>
      </c>
      <c r="C453">
        <v>17</v>
      </c>
      <c r="D453" t="s">
        <v>132</v>
      </c>
      <c r="E453" t="s">
        <v>132</v>
      </c>
      <c r="F453" t="s">
        <v>132</v>
      </c>
      <c r="G453">
        <v>0</v>
      </c>
      <c r="H453" t="s">
        <v>57</v>
      </c>
      <c r="I453">
        <v>-14</v>
      </c>
      <c r="J453" t="str">
        <f>HYPERLINK("https://www.eliteprospects.com/player/364222/caleb-price")</f>
        <v>https://www.eliteprospects.com/player/364222/caleb-price</v>
      </c>
      <c r="K453" t="s">
        <v>27</v>
      </c>
      <c r="L453" t="s">
        <v>28</v>
      </c>
      <c r="M453" t="s">
        <v>1296</v>
      </c>
      <c r="N453">
        <v>4</v>
      </c>
      <c r="O453" t="s">
        <v>30</v>
      </c>
      <c r="P453">
        <v>0</v>
      </c>
      <c r="Q453" t="s">
        <v>245</v>
      </c>
      <c r="R453">
        <v>28.6</v>
      </c>
      <c r="S453">
        <v>31.4</v>
      </c>
      <c r="T453">
        <v>28.6</v>
      </c>
      <c r="U453">
        <v>4.3</v>
      </c>
      <c r="V453">
        <v>7.1</v>
      </c>
    </row>
    <row r="454" spans="1:22" x14ac:dyDescent="0.25">
      <c r="A454" t="s">
        <v>1759</v>
      </c>
      <c r="B454" t="s">
        <v>195</v>
      </c>
      <c r="C454">
        <v>18</v>
      </c>
      <c r="D454" t="s">
        <v>132</v>
      </c>
      <c r="E454" t="s">
        <v>132</v>
      </c>
      <c r="F454" t="s">
        <v>132</v>
      </c>
      <c r="G454">
        <v>0</v>
      </c>
      <c r="H454" t="s">
        <v>23</v>
      </c>
      <c r="I454">
        <v>-7</v>
      </c>
      <c r="J454" t="str">
        <f>HYPERLINK("https://www.eliteprospects.com/player/851367/carter-amico")</f>
        <v>https://www.eliteprospects.com/player/851367/carter-amico</v>
      </c>
      <c r="K454" t="s">
        <v>27</v>
      </c>
      <c r="L454" t="s">
        <v>28</v>
      </c>
      <c r="M454" t="s">
        <v>1296</v>
      </c>
      <c r="N454">
        <v>1</v>
      </c>
      <c r="O454" t="s">
        <v>71</v>
      </c>
      <c r="P454">
        <v>0</v>
      </c>
      <c r="Q454" t="s">
        <v>245</v>
      </c>
      <c r="R454">
        <v>28.6</v>
      </c>
      <c r="S454">
        <v>31.4</v>
      </c>
      <c r="T454">
        <v>28.6</v>
      </c>
      <c r="U454">
        <v>4.3</v>
      </c>
      <c r="V454">
        <v>7.1</v>
      </c>
    </row>
    <row r="455" spans="1:22" x14ac:dyDescent="0.25">
      <c r="A455" t="s">
        <v>1760</v>
      </c>
      <c r="B455" t="s">
        <v>312</v>
      </c>
      <c r="C455">
        <v>18</v>
      </c>
      <c r="D455" t="s">
        <v>132</v>
      </c>
      <c r="E455" t="s">
        <v>132</v>
      </c>
      <c r="F455" t="s">
        <v>132</v>
      </c>
      <c r="G455">
        <v>0</v>
      </c>
      <c r="H455" t="s">
        <v>55</v>
      </c>
      <c r="I455">
        <v>-9</v>
      </c>
      <c r="J455" t="str">
        <f>HYPERLINK("https://www.eliteprospects.com/player/551352/john-paul-steele")</f>
        <v>https://www.eliteprospects.com/player/551352/john-paul-steele</v>
      </c>
      <c r="K455" t="s">
        <v>27</v>
      </c>
      <c r="L455" t="s">
        <v>28</v>
      </c>
      <c r="M455" t="s">
        <v>1296</v>
      </c>
      <c r="N455">
        <v>2</v>
      </c>
      <c r="O455" t="s">
        <v>43</v>
      </c>
      <c r="P455">
        <v>0</v>
      </c>
      <c r="Q455" t="s">
        <v>245</v>
      </c>
      <c r="R455">
        <v>28.6</v>
      </c>
      <c r="S455">
        <v>31.4</v>
      </c>
      <c r="T455">
        <v>28.6</v>
      </c>
      <c r="U455">
        <v>4.3</v>
      </c>
      <c r="V455">
        <v>7.1</v>
      </c>
    </row>
    <row r="456" spans="1:22" x14ac:dyDescent="0.25">
      <c r="A456" t="s">
        <v>1761</v>
      </c>
      <c r="B456" t="s">
        <v>177</v>
      </c>
      <c r="C456">
        <v>19</v>
      </c>
      <c r="D456" t="s">
        <v>132</v>
      </c>
      <c r="E456" t="s">
        <v>132</v>
      </c>
      <c r="F456" t="s">
        <v>132</v>
      </c>
      <c r="G456">
        <v>0</v>
      </c>
      <c r="H456" t="s">
        <v>57</v>
      </c>
      <c r="I456">
        <v>-9</v>
      </c>
      <c r="J456" t="str">
        <f>HYPERLINK("https://www.eliteprospects.com/player/477336/ross-roloson")</f>
        <v>https://www.eliteprospects.com/player/477336/ross-roloson</v>
      </c>
      <c r="K456" t="s">
        <v>27</v>
      </c>
      <c r="L456" t="s">
        <v>28</v>
      </c>
      <c r="M456" t="s">
        <v>1296</v>
      </c>
      <c r="N456">
        <v>3</v>
      </c>
      <c r="O456" t="s">
        <v>74</v>
      </c>
      <c r="P456">
        <v>0</v>
      </c>
      <c r="Q456" t="s">
        <v>245</v>
      </c>
      <c r="R456">
        <v>28.6</v>
      </c>
      <c r="S456">
        <v>31.4</v>
      </c>
      <c r="T456">
        <v>28.6</v>
      </c>
      <c r="U456">
        <v>4.3</v>
      </c>
      <c r="V456">
        <v>7.1</v>
      </c>
    </row>
    <row r="457" spans="1:22" x14ac:dyDescent="0.25">
      <c r="A457" t="s">
        <v>1762</v>
      </c>
      <c r="B457" t="s">
        <v>255</v>
      </c>
      <c r="C457">
        <v>20</v>
      </c>
      <c r="D457" t="s">
        <v>132</v>
      </c>
      <c r="E457" t="s">
        <v>132</v>
      </c>
      <c r="F457" t="s">
        <v>132</v>
      </c>
      <c r="G457">
        <v>0</v>
      </c>
      <c r="H457" t="s">
        <v>66</v>
      </c>
      <c r="I457">
        <v>-9</v>
      </c>
      <c r="J457" t="str">
        <f>HYPERLINK("https://www.eliteprospects.com/player/655465/devon-carlstrom")</f>
        <v>https://www.eliteprospects.com/player/655465/devon-carlstrom</v>
      </c>
      <c r="K457" t="s">
        <v>27</v>
      </c>
      <c r="L457" t="s">
        <v>28</v>
      </c>
      <c r="M457" t="s">
        <v>1296</v>
      </c>
      <c r="N457">
        <v>3</v>
      </c>
      <c r="O457" t="s">
        <v>74</v>
      </c>
      <c r="P457">
        <v>0</v>
      </c>
      <c r="Q457" t="s">
        <v>245</v>
      </c>
      <c r="R457">
        <v>28.6</v>
      </c>
      <c r="S457">
        <v>31.4</v>
      </c>
      <c r="T457">
        <v>28.6</v>
      </c>
      <c r="U457">
        <v>4.3</v>
      </c>
      <c r="V457">
        <v>7.1</v>
      </c>
    </row>
    <row r="458" spans="1:22" x14ac:dyDescent="0.25">
      <c r="A458" t="s">
        <v>1763</v>
      </c>
      <c r="B458" t="s">
        <v>180</v>
      </c>
      <c r="C458">
        <v>20</v>
      </c>
      <c r="D458" t="s">
        <v>132</v>
      </c>
      <c r="E458" t="s">
        <v>132</v>
      </c>
      <c r="F458" t="s">
        <v>132</v>
      </c>
      <c r="G458">
        <v>0</v>
      </c>
      <c r="H458" t="s">
        <v>26</v>
      </c>
      <c r="I458">
        <v>-17</v>
      </c>
      <c r="J458" t="str">
        <f>HYPERLINK("https://www.eliteprospects.com/player/512130/jimmy-jurcev")</f>
        <v>https://www.eliteprospects.com/player/512130/jimmy-jurcev</v>
      </c>
      <c r="K458" t="s">
        <v>27</v>
      </c>
      <c r="L458" t="s">
        <v>28</v>
      </c>
      <c r="M458" t="s">
        <v>1296</v>
      </c>
      <c r="N458">
        <v>2</v>
      </c>
      <c r="O458" t="s">
        <v>43</v>
      </c>
      <c r="P458">
        <v>0</v>
      </c>
      <c r="Q458" t="s">
        <v>245</v>
      </c>
      <c r="R458">
        <v>28.6</v>
      </c>
      <c r="S458">
        <v>31.4</v>
      </c>
      <c r="T458">
        <v>28.6</v>
      </c>
      <c r="U458">
        <v>4.3</v>
      </c>
      <c r="V458">
        <v>7.1</v>
      </c>
    </row>
    <row r="459" spans="1:22" x14ac:dyDescent="0.25">
      <c r="A459" t="s">
        <v>1764</v>
      </c>
      <c r="B459" t="s">
        <v>22</v>
      </c>
      <c r="C459">
        <v>20</v>
      </c>
      <c r="D459" t="s">
        <v>132</v>
      </c>
      <c r="E459" t="s">
        <v>132</v>
      </c>
      <c r="F459" t="s">
        <v>132</v>
      </c>
      <c r="G459">
        <v>0</v>
      </c>
      <c r="H459" t="s">
        <v>55</v>
      </c>
      <c r="I459">
        <v>0</v>
      </c>
      <c r="J459" t="str">
        <f>HYPERLINK("https://www.eliteprospects.com/player/863700/lincoln-kuehne")</f>
        <v>https://www.eliteprospects.com/player/863700/lincoln-kuehne</v>
      </c>
      <c r="K459" t="s">
        <v>27</v>
      </c>
      <c r="L459" t="s">
        <v>28</v>
      </c>
      <c r="M459" t="s">
        <v>1296</v>
      </c>
      <c r="N459">
        <v>1</v>
      </c>
      <c r="O459" t="s">
        <v>71</v>
      </c>
      <c r="P459">
        <v>0</v>
      </c>
      <c r="Q459" t="s">
        <v>245</v>
      </c>
      <c r="R459">
        <v>28.6</v>
      </c>
      <c r="S459">
        <v>31.4</v>
      </c>
      <c r="T459">
        <v>28.6</v>
      </c>
      <c r="U459">
        <v>4.3</v>
      </c>
      <c r="V459">
        <v>7.1</v>
      </c>
    </row>
    <row r="460" spans="1:22" x14ac:dyDescent="0.25">
      <c r="A460" t="s">
        <v>1765</v>
      </c>
      <c r="B460" t="s">
        <v>215</v>
      </c>
      <c r="C460">
        <v>21</v>
      </c>
      <c r="D460" t="s">
        <v>132</v>
      </c>
      <c r="E460" t="s">
        <v>132</v>
      </c>
      <c r="F460" t="s">
        <v>132</v>
      </c>
      <c r="G460">
        <v>0</v>
      </c>
      <c r="H460" t="s">
        <v>57</v>
      </c>
      <c r="I460">
        <v>-12</v>
      </c>
      <c r="J460" t="str">
        <f>HYPERLINK("https://www.eliteprospects.com/player/290337/nicolas-ardanaz")</f>
        <v>https://www.eliteprospects.com/player/290337/nicolas-ardanaz</v>
      </c>
      <c r="K460" t="s">
        <v>27</v>
      </c>
      <c r="L460" t="s">
        <v>28</v>
      </c>
      <c r="M460" t="s">
        <v>1296</v>
      </c>
      <c r="N460">
        <v>4</v>
      </c>
      <c r="O460" t="s">
        <v>30</v>
      </c>
      <c r="P460">
        <v>0</v>
      </c>
      <c r="Q460" t="s">
        <v>245</v>
      </c>
      <c r="R460">
        <v>28.6</v>
      </c>
      <c r="S460">
        <v>31.4</v>
      </c>
      <c r="T460">
        <v>28.6</v>
      </c>
      <c r="U460">
        <v>4.3</v>
      </c>
      <c r="V460">
        <v>7.1</v>
      </c>
    </row>
    <row r="461" spans="1:22" x14ac:dyDescent="0.25">
      <c r="A461" t="s">
        <v>1766</v>
      </c>
      <c r="B461" t="s">
        <v>215</v>
      </c>
      <c r="C461">
        <v>23</v>
      </c>
      <c r="D461" t="s">
        <v>132</v>
      </c>
      <c r="E461" t="s">
        <v>132</v>
      </c>
      <c r="F461" t="s">
        <v>132</v>
      </c>
      <c r="G461">
        <v>0</v>
      </c>
      <c r="H461" t="s">
        <v>23</v>
      </c>
      <c r="I461">
        <v>-11</v>
      </c>
      <c r="J461" t="str">
        <f>HYPERLINK("https://www.eliteprospects.com/player/524857/zane-demsey")</f>
        <v>https://www.eliteprospects.com/player/524857/zane-demsey</v>
      </c>
      <c r="K461" t="s">
        <v>27</v>
      </c>
      <c r="L461" t="s">
        <v>28</v>
      </c>
      <c r="M461" t="s">
        <v>1296</v>
      </c>
      <c r="N461">
        <v>4</v>
      </c>
      <c r="O461" t="s">
        <v>30</v>
      </c>
      <c r="P461">
        <v>0</v>
      </c>
      <c r="Q461" t="s">
        <v>245</v>
      </c>
      <c r="R461">
        <v>28.6</v>
      </c>
      <c r="S461">
        <v>31.4</v>
      </c>
      <c r="T461">
        <v>28.6</v>
      </c>
      <c r="U461">
        <v>4.3</v>
      </c>
      <c r="V461">
        <v>7.1</v>
      </c>
    </row>
    <row r="462" spans="1:22" x14ac:dyDescent="0.25">
      <c r="A462" t="s">
        <v>1767</v>
      </c>
      <c r="B462" t="s">
        <v>520</v>
      </c>
      <c r="C462">
        <v>41</v>
      </c>
      <c r="D462" t="s">
        <v>45</v>
      </c>
      <c r="E462" t="s">
        <v>518</v>
      </c>
      <c r="F462" t="s">
        <v>136</v>
      </c>
      <c r="G462">
        <v>1.1200000000000001</v>
      </c>
      <c r="H462" t="s">
        <v>33</v>
      </c>
      <c r="I462">
        <v>20</v>
      </c>
      <c r="J462" t="str">
        <f>HYPERLINK("https://www.eliteprospects.com/player/617221/carson-woodall")</f>
        <v>https://www.eliteprospects.com/player/617221/carson-woodall</v>
      </c>
      <c r="K462" t="s">
        <v>27</v>
      </c>
      <c r="L462" t="s">
        <v>485</v>
      </c>
      <c r="M462" t="s">
        <v>1296</v>
      </c>
      <c r="N462">
        <v>4</v>
      </c>
      <c r="O462" t="s">
        <v>486</v>
      </c>
      <c r="P462">
        <v>0.16</v>
      </c>
      <c r="Q462" t="s">
        <v>1300</v>
      </c>
      <c r="R462">
        <v>30.8</v>
      </c>
      <c r="S462">
        <v>20.5</v>
      </c>
      <c r="T462">
        <v>10.3</v>
      </c>
      <c r="U462">
        <v>10.3</v>
      </c>
      <c r="V462">
        <v>28.2</v>
      </c>
    </row>
    <row r="463" spans="1:22" x14ac:dyDescent="0.25">
      <c r="A463" t="s">
        <v>1768</v>
      </c>
      <c r="B463" t="s">
        <v>510</v>
      </c>
      <c r="C463">
        <v>34</v>
      </c>
      <c r="D463" t="s">
        <v>41</v>
      </c>
      <c r="E463" t="s">
        <v>84</v>
      </c>
      <c r="F463" t="s">
        <v>53</v>
      </c>
      <c r="G463">
        <v>1.1200000000000001</v>
      </c>
      <c r="H463" t="s">
        <v>40</v>
      </c>
      <c r="I463">
        <v>26</v>
      </c>
      <c r="J463" t="str">
        <f>HYPERLINK("https://www.eliteprospects.com/player/576955/chase-reid")</f>
        <v>https://www.eliteprospects.com/player/576955/chase-reid</v>
      </c>
      <c r="K463" t="s">
        <v>27</v>
      </c>
      <c r="L463" t="s">
        <v>485</v>
      </c>
      <c r="M463" t="s">
        <v>1296</v>
      </c>
      <c r="N463">
        <v>2</v>
      </c>
      <c r="O463" t="s">
        <v>501</v>
      </c>
      <c r="P463">
        <v>0.16</v>
      </c>
      <c r="Q463" t="s">
        <v>1300</v>
      </c>
      <c r="R463">
        <v>30.8</v>
      </c>
      <c r="S463">
        <v>20.5</v>
      </c>
      <c r="T463">
        <v>10.3</v>
      </c>
      <c r="U463">
        <v>10.3</v>
      </c>
      <c r="V463">
        <v>28.2</v>
      </c>
    </row>
    <row r="464" spans="1:22" x14ac:dyDescent="0.25">
      <c r="A464" t="s">
        <v>1769</v>
      </c>
      <c r="B464" t="s">
        <v>520</v>
      </c>
      <c r="C464">
        <v>35</v>
      </c>
      <c r="D464" t="s">
        <v>69</v>
      </c>
      <c r="E464" t="s">
        <v>125</v>
      </c>
      <c r="F464" t="s">
        <v>518</v>
      </c>
      <c r="G464">
        <v>1.06</v>
      </c>
      <c r="H464" t="s">
        <v>32</v>
      </c>
      <c r="I464">
        <v>13</v>
      </c>
      <c r="J464" t="str">
        <f>HYPERLINK("https://www.eliteprospects.com/player/597708/anthony-cristoforo")</f>
        <v>https://www.eliteprospects.com/player/597708/anthony-cristoforo</v>
      </c>
      <c r="K464" t="s">
        <v>27</v>
      </c>
      <c r="L464" t="s">
        <v>485</v>
      </c>
      <c r="M464" t="s">
        <v>1296</v>
      </c>
      <c r="N464">
        <v>4</v>
      </c>
      <c r="O464" t="s">
        <v>486</v>
      </c>
      <c r="P464">
        <v>0.15</v>
      </c>
      <c r="Q464" t="s">
        <v>1300</v>
      </c>
      <c r="R464">
        <v>30.8</v>
      </c>
      <c r="S464">
        <v>20.5</v>
      </c>
      <c r="T464">
        <v>10.3</v>
      </c>
      <c r="U464">
        <v>10.3</v>
      </c>
      <c r="V464">
        <v>28.2</v>
      </c>
    </row>
    <row r="465" spans="1:22" x14ac:dyDescent="0.25">
      <c r="A465" t="s">
        <v>1770</v>
      </c>
      <c r="B465" t="s">
        <v>515</v>
      </c>
      <c r="C465">
        <v>30</v>
      </c>
      <c r="D465" t="s">
        <v>33</v>
      </c>
      <c r="E465" t="s">
        <v>41</v>
      </c>
      <c r="F465" t="s">
        <v>280</v>
      </c>
      <c r="G465">
        <v>1.2</v>
      </c>
      <c r="H465" t="s">
        <v>513</v>
      </c>
      <c r="I465">
        <v>24</v>
      </c>
      <c r="J465" t="str">
        <f>HYPERLINK("https://www.eliteprospects.com/player/911129/kashawn-aitcheson")</f>
        <v>https://www.eliteprospects.com/player/911129/kashawn-aitcheson</v>
      </c>
      <c r="K465" t="s">
        <v>27</v>
      </c>
      <c r="L465" t="s">
        <v>485</v>
      </c>
      <c r="M465" t="s">
        <v>1296</v>
      </c>
      <c r="N465">
        <v>4</v>
      </c>
      <c r="O465" t="s">
        <v>486</v>
      </c>
      <c r="P465">
        <v>0.17</v>
      </c>
      <c r="Q465" t="s">
        <v>1300</v>
      </c>
      <c r="R465">
        <v>30.8</v>
      </c>
      <c r="S465">
        <v>20.5</v>
      </c>
      <c r="T465">
        <v>10.3</v>
      </c>
      <c r="U465">
        <v>10.3</v>
      </c>
      <c r="V465">
        <v>28.2</v>
      </c>
    </row>
    <row r="466" spans="1:22" x14ac:dyDescent="0.25">
      <c r="A466" t="s">
        <v>1771</v>
      </c>
      <c r="B466" t="s">
        <v>493</v>
      </c>
      <c r="C466">
        <v>28</v>
      </c>
      <c r="D466" t="s">
        <v>65</v>
      </c>
      <c r="E466" t="s">
        <v>24</v>
      </c>
      <c r="F466" t="s">
        <v>269</v>
      </c>
      <c r="G466">
        <v>1.18</v>
      </c>
      <c r="H466" t="s">
        <v>51</v>
      </c>
      <c r="I466">
        <v>23</v>
      </c>
      <c r="J466" t="str">
        <f>HYPERLINK("https://www.eliteprospects.com/player/755151/adam-ji%C5%99icek")</f>
        <v>https://www.eliteprospects.com/player/755151/adam-ji%C5%99icek</v>
      </c>
      <c r="K466" t="s">
        <v>27</v>
      </c>
      <c r="L466" t="s">
        <v>485</v>
      </c>
      <c r="M466" t="s">
        <v>1296</v>
      </c>
      <c r="N466">
        <v>2</v>
      </c>
      <c r="O466" t="s">
        <v>501</v>
      </c>
      <c r="P466">
        <v>0.17</v>
      </c>
      <c r="Q466" t="s">
        <v>1300</v>
      </c>
      <c r="R466">
        <v>30.8</v>
      </c>
      <c r="S466">
        <v>20.5</v>
      </c>
      <c r="T466">
        <v>10.3</v>
      </c>
      <c r="U466">
        <v>10.3</v>
      </c>
      <c r="V466">
        <v>28.2</v>
      </c>
    </row>
    <row r="467" spans="1:22" x14ac:dyDescent="0.25">
      <c r="A467" t="s">
        <v>1772</v>
      </c>
      <c r="B467" t="s">
        <v>496</v>
      </c>
      <c r="C467">
        <v>41</v>
      </c>
      <c r="D467" t="s">
        <v>78</v>
      </c>
      <c r="E467" t="s">
        <v>125</v>
      </c>
      <c r="F467" t="s">
        <v>269</v>
      </c>
      <c r="G467">
        <v>0.8</v>
      </c>
      <c r="H467" t="s">
        <v>265</v>
      </c>
      <c r="I467">
        <v>-5</v>
      </c>
      <c r="J467" t="str">
        <f>HYPERLINK("https://www.eliteprospects.com/player/747321/levi-harper")</f>
        <v>https://www.eliteprospects.com/player/747321/levi-harper</v>
      </c>
      <c r="K467" t="s">
        <v>27</v>
      </c>
      <c r="L467" t="s">
        <v>485</v>
      </c>
      <c r="M467" t="s">
        <v>1296</v>
      </c>
      <c r="N467">
        <v>1</v>
      </c>
      <c r="O467" t="s">
        <v>494</v>
      </c>
      <c r="P467">
        <v>0.12</v>
      </c>
      <c r="Q467" t="s">
        <v>1300</v>
      </c>
      <c r="R467">
        <v>30.8</v>
      </c>
      <c r="S467">
        <v>20.5</v>
      </c>
      <c r="T467">
        <v>10.3</v>
      </c>
      <c r="U467">
        <v>10.3</v>
      </c>
      <c r="V467">
        <v>28.2</v>
      </c>
    </row>
    <row r="468" spans="1:22" x14ac:dyDescent="0.25">
      <c r="A468" t="s">
        <v>1773</v>
      </c>
      <c r="B468" t="s">
        <v>521</v>
      </c>
      <c r="C468">
        <v>41</v>
      </c>
      <c r="D468" t="s">
        <v>140</v>
      </c>
      <c r="E468" t="s">
        <v>61</v>
      </c>
      <c r="F468" t="s">
        <v>40</v>
      </c>
      <c r="G468">
        <v>0.73</v>
      </c>
      <c r="H468" t="s">
        <v>55</v>
      </c>
      <c r="I468">
        <v>23</v>
      </c>
      <c r="J468" t="str">
        <f>HYPERLINK("https://www.eliteprospects.com/player/890491/kohyn-eshkawkogan")</f>
        <v>https://www.eliteprospects.com/player/890491/kohyn-eshkawkogan</v>
      </c>
      <c r="K468" t="s">
        <v>27</v>
      </c>
      <c r="L468" t="s">
        <v>485</v>
      </c>
      <c r="M468" t="s">
        <v>1296</v>
      </c>
      <c r="N468">
        <v>2</v>
      </c>
      <c r="O468" t="s">
        <v>501</v>
      </c>
      <c r="P468">
        <v>0.11</v>
      </c>
      <c r="Q468" t="s">
        <v>1325</v>
      </c>
      <c r="R468">
        <v>27.3</v>
      </c>
      <c r="S468">
        <v>22.7</v>
      </c>
      <c r="T468">
        <v>27.3</v>
      </c>
      <c r="U468">
        <v>4.5</v>
      </c>
      <c r="V468">
        <v>18.2</v>
      </c>
    </row>
    <row r="469" spans="1:22" x14ac:dyDescent="0.25">
      <c r="A469" t="s">
        <v>1774</v>
      </c>
      <c r="B469" t="s">
        <v>504</v>
      </c>
      <c r="C469">
        <v>30</v>
      </c>
      <c r="D469" t="s">
        <v>45</v>
      </c>
      <c r="E469" t="s">
        <v>24</v>
      </c>
      <c r="F469" t="s">
        <v>46</v>
      </c>
      <c r="G469">
        <v>0.97</v>
      </c>
      <c r="H469" t="s">
        <v>38</v>
      </c>
      <c r="I469">
        <v>15</v>
      </c>
      <c r="J469" t="str">
        <f>HYPERLINK("https://www.eliteprospects.com/player/577216/cameron-reid")</f>
        <v>https://www.eliteprospects.com/player/577216/cameron-reid</v>
      </c>
      <c r="K469" t="s">
        <v>27</v>
      </c>
      <c r="L469" t="s">
        <v>485</v>
      </c>
      <c r="M469" t="s">
        <v>1296</v>
      </c>
      <c r="N469">
        <v>3</v>
      </c>
      <c r="O469" t="s">
        <v>492</v>
      </c>
      <c r="P469">
        <v>0.14000000000000001</v>
      </c>
      <c r="Q469" t="s">
        <v>1300</v>
      </c>
      <c r="R469">
        <v>30.8</v>
      </c>
      <c r="S469">
        <v>20.5</v>
      </c>
      <c r="T469">
        <v>10.3</v>
      </c>
      <c r="U469">
        <v>10.3</v>
      </c>
      <c r="V469">
        <v>28.2</v>
      </c>
    </row>
    <row r="470" spans="1:22" x14ac:dyDescent="0.25">
      <c r="A470" t="s">
        <v>1775</v>
      </c>
      <c r="B470" t="s">
        <v>488</v>
      </c>
      <c r="C470">
        <v>38</v>
      </c>
      <c r="D470" t="s">
        <v>45</v>
      </c>
      <c r="E470" t="s">
        <v>24</v>
      </c>
      <c r="F470" t="s">
        <v>46</v>
      </c>
      <c r="G470">
        <v>0.76</v>
      </c>
      <c r="H470" t="s">
        <v>55</v>
      </c>
      <c r="I470">
        <v>-14</v>
      </c>
      <c r="J470" t="str">
        <f>HYPERLINK("https://www.eliteprospects.com/player/835568/artyom-gonchar")</f>
        <v>https://www.eliteprospects.com/player/835568/artyom-gonchar</v>
      </c>
      <c r="K470" t="s">
        <v>27</v>
      </c>
      <c r="L470" t="s">
        <v>485</v>
      </c>
      <c r="M470" t="s">
        <v>1296</v>
      </c>
      <c r="N470">
        <v>1</v>
      </c>
      <c r="O470" t="s">
        <v>494</v>
      </c>
      <c r="P470">
        <v>0.11</v>
      </c>
      <c r="Q470" t="s">
        <v>1325</v>
      </c>
      <c r="R470">
        <v>27.3</v>
      </c>
      <c r="S470">
        <v>22.7</v>
      </c>
      <c r="T470">
        <v>27.3</v>
      </c>
      <c r="U470">
        <v>4.5</v>
      </c>
      <c r="V470">
        <v>18.2</v>
      </c>
    </row>
    <row r="471" spans="1:22" x14ac:dyDescent="0.25">
      <c r="A471" t="s">
        <v>1776</v>
      </c>
      <c r="B471" t="s">
        <v>498</v>
      </c>
      <c r="C471">
        <v>41</v>
      </c>
      <c r="D471" t="s">
        <v>78</v>
      </c>
      <c r="E471" t="s">
        <v>47</v>
      </c>
      <c r="F471" t="s">
        <v>46</v>
      </c>
      <c r="G471">
        <v>0.71</v>
      </c>
      <c r="H471" t="s">
        <v>24</v>
      </c>
      <c r="I471">
        <v>2</v>
      </c>
      <c r="J471" t="str">
        <f>HYPERLINK("https://www.eliteprospects.com/player/685530/lenny-greenberg")</f>
        <v>https://www.eliteprospects.com/player/685530/lenny-greenberg</v>
      </c>
      <c r="K471" t="s">
        <v>27</v>
      </c>
      <c r="L471" t="s">
        <v>485</v>
      </c>
      <c r="M471" t="s">
        <v>1296</v>
      </c>
      <c r="N471">
        <v>2</v>
      </c>
      <c r="O471" t="s">
        <v>501</v>
      </c>
      <c r="P471">
        <v>0.1</v>
      </c>
      <c r="Q471" t="s">
        <v>1325</v>
      </c>
      <c r="R471">
        <v>27.3</v>
      </c>
      <c r="S471">
        <v>22.7</v>
      </c>
      <c r="T471">
        <v>27.3</v>
      </c>
      <c r="U471">
        <v>4.5</v>
      </c>
      <c r="V471">
        <v>18.2</v>
      </c>
    </row>
    <row r="472" spans="1:22" x14ac:dyDescent="0.25">
      <c r="A472" t="s">
        <v>1777</v>
      </c>
      <c r="B472" t="s">
        <v>498</v>
      </c>
      <c r="C472">
        <v>40</v>
      </c>
      <c r="D472" t="s">
        <v>79</v>
      </c>
      <c r="E472" t="s">
        <v>125</v>
      </c>
      <c r="F472" t="s">
        <v>52</v>
      </c>
      <c r="G472">
        <v>0.7</v>
      </c>
      <c r="H472" t="s">
        <v>24</v>
      </c>
      <c r="I472">
        <v>-12</v>
      </c>
      <c r="J472" t="str">
        <f>HYPERLINK("https://www.eliteprospects.com/player/812551/john-alex-banks")</f>
        <v>https://www.eliteprospects.com/player/812551/john-alex-banks</v>
      </c>
      <c r="K472" t="s">
        <v>27</v>
      </c>
      <c r="L472" t="s">
        <v>485</v>
      </c>
      <c r="M472" t="s">
        <v>1296</v>
      </c>
      <c r="N472">
        <v>1</v>
      </c>
      <c r="O472" t="s">
        <v>494</v>
      </c>
      <c r="P472">
        <v>0.1</v>
      </c>
      <c r="Q472" t="s">
        <v>1325</v>
      </c>
      <c r="R472">
        <v>27.3</v>
      </c>
      <c r="S472">
        <v>22.7</v>
      </c>
      <c r="T472">
        <v>27.3</v>
      </c>
      <c r="U472">
        <v>4.5</v>
      </c>
      <c r="V472">
        <v>18.2</v>
      </c>
    </row>
    <row r="473" spans="1:22" x14ac:dyDescent="0.25">
      <c r="A473" t="s">
        <v>1778</v>
      </c>
      <c r="B473" t="s">
        <v>507</v>
      </c>
      <c r="C473">
        <v>39</v>
      </c>
      <c r="D473" t="s">
        <v>69</v>
      </c>
      <c r="E473" t="s">
        <v>38</v>
      </c>
      <c r="F473" t="s">
        <v>61</v>
      </c>
      <c r="G473">
        <v>0.69</v>
      </c>
      <c r="H473" t="s">
        <v>136</v>
      </c>
      <c r="I473">
        <v>15</v>
      </c>
      <c r="J473" t="str">
        <f>HYPERLINK("https://www.eliteprospects.com/player/878802/jared-woolley")</f>
        <v>https://www.eliteprospects.com/player/878802/jared-woolley</v>
      </c>
      <c r="K473" t="s">
        <v>27</v>
      </c>
      <c r="L473" t="s">
        <v>485</v>
      </c>
      <c r="M473" t="s">
        <v>1296</v>
      </c>
      <c r="N473">
        <v>3</v>
      </c>
      <c r="O473" t="s">
        <v>492</v>
      </c>
      <c r="P473">
        <v>0.1</v>
      </c>
      <c r="Q473" t="s">
        <v>1325</v>
      </c>
      <c r="R473">
        <v>27.3</v>
      </c>
      <c r="S473">
        <v>22.7</v>
      </c>
      <c r="T473">
        <v>27.3</v>
      </c>
      <c r="U473">
        <v>4.5</v>
      </c>
      <c r="V473">
        <v>18.2</v>
      </c>
    </row>
    <row r="474" spans="1:22" x14ac:dyDescent="0.25">
      <c r="A474" t="s">
        <v>1779</v>
      </c>
      <c r="B474" t="s">
        <v>484</v>
      </c>
      <c r="C474">
        <v>41</v>
      </c>
      <c r="D474" t="s">
        <v>57</v>
      </c>
      <c r="E474" t="s">
        <v>33</v>
      </c>
      <c r="F474" t="s">
        <v>61</v>
      </c>
      <c r="G474">
        <v>0.66</v>
      </c>
      <c r="H474" t="s">
        <v>24</v>
      </c>
      <c r="I474">
        <v>9</v>
      </c>
      <c r="J474" t="str">
        <f>HYPERLINK("https://www.eliteprospects.com/player/682666/urban-podrekar")</f>
        <v>https://www.eliteprospects.com/player/682666/urban-podrekar</v>
      </c>
      <c r="K474" t="s">
        <v>27</v>
      </c>
      <c r="L474" t="s">
        <v>485</v>
      </c>
      <c r="M474" t="s">
        <v>1296</v>
      </c>
      <c r="N474">
        <v>3</v>
      </c>
      <c r="O474" t="s">
        <v>492</v>
      </c>
      <c r="P474">
        <v>0.1</v>
      </c>
      <c r="Q474" t="s">
        <v>1325</v>
      </c>
      <c r="R474">
        <v>27.3</v>
      </c>
      <c r="S474">
        <v>22.7</v>
      </c>
      <c r="T474">
        <v>27.3</v>
      </c>
      <c r="U474">
        <v>4.5</v>
      </c>
      <c r="V474">
        <v>18.2</v>
      </c>
    </row>
    <row r="475" spans="1:22" x14ac:dyDescent="0.25">
      <c r="A475" t="s">
        <v>1780</v>
      </c>
      <c r="B475" t="s">
        <v>507</v>
      </c>
      <c r="C475">
        <v>37</v>
      </c>
      <c r="D475" t="s">
        <v>66</v>
      </c>
      <c r="E475" t="s">
        <v>47</v>
      </c>
      <c r="F475" t="s">
        <v>125</v>
      </c>
      <c r="G475">
        <v>0.7</v>
      </c>
      <c r="H475" t="s">
        <v>544</v>
      </c>
      <c r="I475">
        <v>-6</v>
      </c>
      <c r="J475" t="str">
        <f>HYPERLINK("https://www.eliteprospects.com/player/692910/lukas-fischer")</f>
        <v>https://www.eliteprospects.com/player/692910/lukas-fischer</v>
      </c>
      <c r="K475" t="s">
        <v>27</v>
      </c>
      <c r="L475" t="s">
        <v>485</v>
      </c>
      <c r="M475" t="s">
        <v>1296</v>
      </c>
      <c r="N475">
        <v>4</v>
      </c>
      <c r="O475" t="s">
        <v>486</v>
      </c>
      <c r="P475">
        <v>0.1</v>
      </c>
      <c r="Q475" t="s">
        <v>1325</v>
      </c>
      <c r="R475">
        <v>27.3</v>
      </c>
      <c r="S475">
        <v>22.7</v>
      </c>
      <c r="T475">
        <v>27.3</v>
      </c>
      <c r="U475">
        <v>4.5</v>
      </c>
      <c r="V475">
        <v>18.2</v>
      </c>
    </row>
    <row r="476" spans="1:22" x14ac:dyDescent="0.25">
      <c r="A476" t="s">
        <v>1781</v>
      </c>
      <c r="B476" t="s">
        <v>507</v>
      </c>
      <c r="C476">
        <v>41</v>
      </c>
      <c r="D476" t="s">
        <v>66</v>
      </c>
      <c r="E476" t="s">
        <v>47</v>
      </c>
      <c r="F476" t="s">
        <v>125</v>
      </c>
      <c r="G476">
        <v>0.63</v>
      </c>
      <c r="H476" t="s">
        <v>125</v>
      </c>
      <c r="I476">
        <v>4</v>
      </c>
      <c r="J476" t="str">
        <f>HYPERLINK("https://www.eliteprospects.com/player/814143/parker-von-richter")</f>
        <v>https://www.eliteprospects.com/player/814143/parker-von-richter</v>
      </c>
      <c r="K476" t="s">
        <v>27</v>
      </c>
      <c r="L476" t="s">
        <v>485</v>
      </c>
      <c r="M476" t="s">
        <v>1296</v>
      </c>
      <c r="N476">
        <v>4</v>
      </c>
      <c r="O476" t="s">
        <v>486</v>
      </c>
      <c r="P476">
        <v>0.09</v>
      </c>
      <c r="Q476" t="s">
        <v>1325</v>
      </c>
      <c r="R476">
        <v>27.3</v>
      </c>
      <c r="S476">
        <v>22.7</v>
      </c>
      <c r="T476">
        <v>27.3</v>
      </c>
      <c r="U476">
        <v>4.5</v>
      </c>
      <c r="V476">
        <v>18.2</v>
      </c>
    </row>
    <row r="477" spans="1:22" x14ac:dyDescent="0.25">
      <c r="A477" t="s">
        <v>1782</v>
      </c>
      <c r="B477" t="s">
        <v>507</v>
      </c>
      <c r="C477">
        <v>29</v>
      </c>
      <c r="D477" t="s">
        <v>26</v>
      </c>
      <c r="E477" t="s">
        <v>60</v>
      </c>
      <c r="F477" t="s">
        <v>75</v>
      </c>
      <c r="G477">
        <v>0.86</v>
      </c>
      <c r="H477" t="s">
        <v>26</v>
      </c>
      <c r="I477">
        <v>10</v>
      </c>
      <c r="J477" t="str">
        <f>HYPERLINK("https://www.eliteprospects.com/player/619063/jakub-fibigr")</f>
        <v>https://www.eliteprospects.com/player/619063/jakub-fibigr</v>
      </c>
      <c r="K477" t="s">
        <v>27</v>
      </c>
      <c r="L477" t="s">
        <v>485</v>
      </c>
      <c r="M477" t="s">
        <v>1296</v>
      </c>
      <c r="N477">
        <v>3</v>
      </c>
      <c r="O477" t="s">
        <v>492</v>
      </c>
      <c r="P477">
        <v>0.12</v>
      </c>
      <c r="Q477" t="s">
        <v>1300</v>
      </c>
      <c r="R477">
        <v>30.8</v>
      </c>
      <c r="S477">
        <v>20.5</v>
      </c>
      <c r="T477">
        <v>10.3</v>
      </c>
      <c r="U477">
        <v>10.3</v>
      </c>
      <c r="V477">
        <v>28.2</v>
      </c>
    </row>
    <row r="478" spans="1:22" x14ac:dyDescent="0.25">
      <c r="A478" t="s">
        <v>1783</v>
      </c>
      <c r="B478" t="s">
        <v>507</v>
      </c>
      <c r="C478">
        <v>41</v>
      </c>
      <c r="D478" t="s">
        <v>78</v>
      </c>
      <c r="E478" t="s">
        <v>60</v>
      </c>
      <c r="F478" t="s">
        <v>81</v>
      </c>
      <c r="G478">
        <v>0.59</v>
      </c>
      <c r="H478" t="s">
        <v>55</v>
      </c>
      <c r="I478">
        <v>23</v>
      </c>
      <c r="J478" t="str">
        <f>HYPERLINK("https://www.eliteprospects.com/player/595304/jakub-chromiak")</f>
        <v>https://www.eliteprospects.com/player/595304/jakub-chromiak</v>
      </c>
      <c r="K478" t="s">
        <v>27</v>
      </c>
      <c r="L478" t="s">
        <v>485</v>
      </c>
      <c r="M478" t="s">
        <v>1296</v>
      </c>
      <c r="N478">
        <v>4</v>
      </c>
      <c r="O478" t="s">
        <v>486</v>
      </c>
      <c r="P478">
        <v>0.08</v>
      </c>
      <c r="Q478" t="s">
        <v>1325</v>
      </c>
      <c r="R478">
        <v>30</v>
      </c>
      <c r="S478">
        <v>25</v>
      </c>
      <c r="T478">
        <v>32.5</v>
      </c>
      <c r="U478">
        <v>5</v>
      </c>
      <c r="V478">
        <v>7.5</v>
      </c>
    </row>
    <row r="479" spans="1:22" x14ac:dyDescent="0.25">
      <c r="A479" t="s">
        <v>1784</v>
      </c>
      <c r="B479" t="s">
        <v>532</v>
      </c>
      <c r="C479">
        <v>41</v>
      </c>
      <c r="D479" t="s">
        <v>96</v>
      </c>
      <c r="E479" t="s">
        <v>55</v>
      </c>
      <c r="F479" t="s">
        <v>84</v>
      </c>
      <c r="G479">
        <v>0.56000000000000005</v>
      </c>
      <c r="H479" t="s">
        <v>23</v>
      </c>
      <c r="I479">
        <v>7</v>
      </c>
      <c r="J479" t="str">
        <f>HYPERLINK("https://www.eliteprospects.com/player/597699/andoni-fimis")</f>
        <v>https://www.eliteprospects.com/player/597699/andoni-fimis</v>
      </c>
      <c r="K479" t="s">
        <v>27</v>
      </c>
      <c r="L479" t="s">
        <v>485</v>
      </c>
      <c r="M479" t="s">
        <v>1296</v>
      </c>
      <c r="N479">
        <v>2</v>
      </c>
      <c r="O479" t="s">
        <v>501</v>
      </c>
      <c r="P479">
        <v>0.08</v>
      </c>
      <c r="Q479" t="s">
        <v>1325</v>
      </c>
      <c r="R479">
        <v>30</v>
      </c>
      <c r="S479">
        <v>25</v>
      </c>
      <c r="T479">
        <v>32.5</v>
      </c>
      <c r="U479">
        <v>5</v>
      </c>
      <c r="V479">
        <v>7.5</v>
      </c>
    </row>
    <row r="480" spans="1:22" x14ac:dyDescent="0.25">
      <c r="A480" t="s">
        <v>1785</v>
      </c>
      <c r="B480" t="s">
        <v>493</v>
      </c>
      <c r="C480">
        <v>37</v>
      </c>
      <c r="D480" t="s">
        <v>79</v>
      </c>
      <c r="E480" t="s">
        <v>33</v>
      </c>
      <c r="F480" t="s">
        <v>84</v>
      </c>
      <c r="G480">
        <v>0.62</v>
      </c>
      <c r="H480" t="s">
        <v>57</v>
      </c>
      <c r="I480">
        <v>25</v>
      </c>
      <c r="J480" t="str">
        <f>HYPERLINK("https://www.eliteprospects.com/player/577016/edison-engle")</f>
        <v>https://www.eliteprospects.com/player/577016/edison-engle</v>
      </c>
      <c r="K480" t="s">
        <v>27</v>
      </c>
      <c r="L480" t="s">
        <v>485</v>
      </c>
      <c r="M480" t="s">
        <v>1296</v>
      </c>
      <c r="N480">
        <v>1</v>
      </c>
      <c r="O480" t="s">
        <v>494</v>
      </c>
      <c r="P480">
        <v>0.09</v>
      </c>
      <c r="Q480" t="s">
        <v>1325</v>
      </c>
      <c r="R480">
        <v>27.3</v>
      </c>
      <c r="S480">
        <v>22.7</v>
      </c>
      <c r="T480">
        <v>27.3</v>
      </c>
      <c r="U480">
        <v>4.5</v>
      </c>
      <c r="V480">
        <v>18.2</v>
      </c>
    </row>
    <row r="481" spans="1:22" x14ac:dyDescent="0.25">
      <c r="A481" t="s">
        <v>1786</v>
      </c>
      <c r="B481" t="s">
        <v>532</v>
      </c>
      <c r="C481">
        <v>32</v>
      </c>
      <c r="D481" t="s">
        <v>69</v>
      </c>
      <c r="E481" t="s">
        <v>69</v>
      </c>
      <c r="F481" t="s">
        <v>47</v>
      </c>
      <c r="G481">
        <v>0.69</v>
      </c>
      <c r="H481" t="s">
        <v>513</v>
      </c>
      <c r="I481">
        <v>-17</v>
      </c>
      <c r="J481" t="str">
        <f>HYPERLINK("https://www.eliteprospects.com/player/576953/henry-brzustewicz")</f>
        <v>https://www.eliteprospects.com/player/576953/henry-brzustewicz</v>
      </c>
      <c r="K481" t="s">
        <v>27</v>
      </c>
      <c r="L481" t="s">
        <v>485</v>
      </c>
      <c r="M481" t="s">
        <v>1296</v>
      </c>
      <c r="N481">
        <v>3</v>
      </c>
      <c r="O481" t="s">
        <v>492</v>
      </c>
      <c r="P481">
        <v>0.1</v>
      </c>
      <c r="Q481" t="s">
        <v>1325</v>
      </c>
      <c r="R481">
        <v>27.3</v>
      </c>
      <c r="S481">
        <v>22.7</v>
      </c>
      <c r="T481">
        <v>27.3</v>
      </c>
      <c r="U481">
        <v>4.5</v>
      </c>
      <c r="V481">
        <v>18.2</v>
      </c>
    </row>
    <row r="482" spans="1:22" x14ac:dyDescent="0.25">
      <c r="A482" t="s">
        <v>1787</v>
      </c>
      <c r="B482" t="s">
        <v>561</v>
      </c>
      <c r="C482">
        <v>38</v>
      </c>
      <c r="D482" t="s">
        <v>45</v>
      </c>
      <c r="E482" t="s">
        <v>65</v>
      </c>
      <c r="F482" t="s">
        <v>47</v>
      </c>
      <c r="G482">
        <v>0.57999999999999996</v>
      </c>
      <c r="H482" t="s">
        <v>41</v>
      </c>
      <c r="I482">
        <v>-7</v>
      </c>
      <c r="J482" t="str">
        <f>HYPERLINK("https://www.eliteprospects.com/player/618575/maleek-mcgowan")</f>
        <v>https://www.eliteprospects.com/player/618575/maleek-mcgowan</v>
      </c>
      <c r="K482" t="s">
        <v>27</v>
      </c>
      <c r="L482" t="s">
        <v>485</v>
      </c>
      <c r="M482" t="s">
        <v>1296</v>
      </c>
      <c r="N482">
        <v>5</v>
      </c>
      <c r="O482" t="s">
        <v>508</v>
      </c>
      <c r="P482">
        <v>0.08</v>
      </c>
      <c r="Q482" t="s">
        <v>1325</v>
      </c>
      <c r="R482">
        <v>30</v>
      </c>
      <c r="S482">
        <v>25</v>
      </c>
      <c r="T482">
        <v>32.5</v>
      </c>
      <c r="U482">
        <v>5</v>
      </c>
      <c r="V482">
        <v>7.5</v>
      </c>
    </row>
    <row r="483" spans="1:22" x14ac:dyDescent="0.25">
      <c r="A483" t="s">
        <v>1788</v>
      </c>
      <c r="B483" t="s">
        <v>526</v>
      </c>
      <c r="C483">
        <v>28</v>
      </c>
      <c r="D483" t="s">
        <v>140</v>
      </c>
      <c r="E483" t="s">
        <v>51</v>
      </c>
      <c r="F483" t="s">
        <v>47</v>
      </c>
      <c r="G483">
        <v>0.79</v>
      </c>
      <c r="H483" t="s">
        <v>51</v>
      </c>
      <c r="I483">
        <v>-14</v>
      </c>
      <c r="J483" t="str">
        <f>HYPERLINK("https://www.eliteprospects.com/player/618578/james-petrovski")</f>
        <v>https://www.eliteprospects.com/player/618578/james-petrovski</v>
      </c>
      <c r="K483" t="s">
        <v>27</v>
      </c>
      <c r="L483" t="s">
        <v>485</v>
      </c>
      <c r="M483" t="s">
        <v>1296</v>
      </c>
      <c r="N483">
        <v>5</v>
      </c>
      <c r="O483" t="s">
        <v>508</v>
      </c>
      <c r="P483">
        <v>0.11</v>
      </c>
      <c r="Q483" t="s">
        <v>1325</v>
      </c>
      <c r="R483">
        <v>27.3</v>
      </c>
      <c r="S483">
        <v>22.7</v>
      </c>
      <c r="T483">
        <v>27.3</v>
      </c>
      <c r="U483">
        <v>4.5</v>
      </c>
      <c r="V483">
        <v>18.2</v>
      </c>
    </row>
    <row r="484" spans="1:22" x14ac:dyDescent="0.25">
      <c r="A484" t="s">
        <v>1789</v>
      </c>
      <c r="B484" t="s">
        <v>496</v>
      </c>
      <c r="C484">
        <v>41</v>
      </c>
      <c r="D484" t="s">
        <v>140</v>
      </c>
      <c r="E484" t="s">
        <v>51</v>
      </c>
      <c r="F484" t="s">
        <v>47</v>
      </c>
      <c r="G484">
        <v>0.54</v>
      </c>
      <c r="H484" t="s">
        <v>52</v>
      </c>
      <c r="I484">
        <v>-19</v>
      </c>
      <c r="J484" t="str">
        <f>HYPERLINK("https://www.eliteprospects.com/player/603557/james-guo")</f>
        <v>https://www.eliteprospects.com/player/603557/james-guo</v>
      </c>
      <c r="K484" t="s">
        <v>27</v>
      </c>
      <c r="L484" t="s">
        <v>485</v>
      </c>
      <c r="M484" t="s">
        <v>1296</v>
      </c>
      <c r="N484">
        <v>5</v>
      </c>
      <c r="O484" t="s">
        <v>508</v>
      </c>
      <c r="P484">
        <v>0.08</v>
      </c>
      <c r="Q484" t="s">
        <v>1325</v>
      </c>
      <c r="R484">
        <v>30</v>
      </c>
      <c r="S484">
        <v>25</v>
      </c>
      <c r="T484">
        <v>32.5</v>
      </c>
      <c r="U484">
        <v>5</v>
      </c>
      <c r="V484">
        <v>7.5</v>
      </c>
    </row>
    <row r="485" spans="1:22" x14ac:dyDescent="0.25">
      <c r="A485" t="s">
        <v>1790</v>
      </c>
      <c r="B485" t="s">
        <v>515</v>
      </c>
      <c r="C485">
        <v>40</v>
      </c>
      <c r="D485" t="s">
        <v>140</v>
      </c>
      <c r="E485" t="s">
        <v>55</v>
      </c>
      <c r="F485" t="s">
        <v>33</v>
      </c>
      <c r="G485">
        <v>0.53</v>
      </c>
      <c r="H485" t="s">
        <v>23</v>
      </c>
      <c r="I485">
        <v>7</v>
      </c>
      <c r="J485" t="str">
        <f>HYPERLINK("https://www.eliteprospects.com/player/942117/cole-emerton")</f>
        <v>https://www.eliteprospects.com/player/942117/cole-emerton</v>
      </c>
      <c r="K485" t="s">
        <v>27</v>
      </c>
      <c r="L485" t="s">
        <v>485</v>
      </c>
      <c r="M485" t="s">
        <v>1296</v>
      </c>
      <c r="N485">
        <v>1</v>
      </c>
      <c r="O485" t="s">
        <v>494</v>
      </c>
      <c r="P485">
        <v>0.08</v>
      </c>
      <c r="Q485" t="s">
        <v>1325</v>
      </c>
      <c r="R485">
        <v>30</v>
      </c>
      <c r="S485">
        <v>25</v>
      </c>
      <c r="T485">
        <v>32.5</v>
      </c>
      <c r="U485">
        <v>5</v>
      </c>
      <c r="V485">
        <v>7.5</v>
      </c>
    </row>
    <row r="486" spans="1:22" x14ac:dyDescent="0.25">
      <c r="A486" t="s">
        <v>1791</v>
      </c>
      <c r="B486" t="s">
        <v>493</v>
      </c>
      <c r="C486">
        <v>31</v>
      </c>
      <c r="D486" t="s">
        <v>57</v>
      </c>
      <c r="E486" t="s">
        <v>39</v>
      </c>
      <c r="F486" t="s">
        <v>24</v>
      </c>
      <c r="G486">
        <v>0.65</v>
      </c>
      <c r="H486" t="s">
        <v>55</v>
      </c>
      <c r="I486">
        <v>18</v>
      </c>
      <c r="J486" t="str">
        <f>HYPERLINK("https://www.eliteprospects.com/player/899355/vladimir-dravecky")</f>
        <v>https://www.eliteprospects.com/player/899355/vladimir-dravecky</v>
      </c>
      <c r="K486" t="s">
        <v>27</v>
      </c>
      <c r="L486" t="s">
        <v>485</v>
      </c>
      <c r="M486" t="s">
        <v>1296</v>
      </c>
      <c r="N486">
        <v>1</v>
      </c>
      <c r="O486" t="s">
        <v>494</v>
      </c>
      <c r="P486">
        <v>0.09</v>
      </c>
      <c r="Q486" t="s">
        <v>1325</v>
      </c>
      <c r="R486">
        <v>27.3</v>
      </c>
      <c r="S486">
        <v>22.7</v>
      </c>
      <c r="T486">
        <v>27.3</v>
      </c>
      <c r="U486">
        <v>4.5</v>
      </c>
      <c r="V486">
        <v>18.2</v>
      </c>
    </row>
    <row r="487" spans="1:22" x14ac:dyDescent="0.25">
      <c r="A487" t="s">
        <v>1792</v>
      </c>
      <c r="B487" t="s">
        <v>510</v>
      </c>
      <c r="C487">
        <v>35</v>
      </c>
      <c r="D487" t="s">
        <v>57</v>
      </c>
      <c r="E487" t="s">
        <v>65</v>
      </c>
      <c r="F487" t="s">
        <v>51</v>
      </c>
      <c r="G487">
        <v>0.54</v>
      </c>
      <c r="H487" t="s">
        <v>39</v>
      </c>
      <c r="I487">
        <v>14</v>
      </c>
      <c r="J487" t="str">
        <f>HYPERLINK("https://www.eliteprospects.com/player/902024/jakub-winkelhofer")</f>
        <v>https://www.eliteprospects.com/player/902024/jakub-winkelhofer</v>
      </c>
      <c r="K487" t="s">
        <v>27</v>
      </c>
      <c r="L487" t="s">
        <v>485</v>
      </c>
      <c r="M487" t="s">
        <v>1296</v>
      </c>
      <c r="N487">
        <v>1</v>
      </c>
      <c r="O487" t="s">
        <v>494</v>
      </c>
      <c r="P487">
        <v>0.08</v>
      </c>
      <c r="Q487" t="s">
        <v>1325</v>
      </c>
      <c r="R487">
        <v>30</v>
      </c>
      <c r="S487">
        <v>25</v>
      </c>
      <c r="T487">
        <v>32.5</v>
      </c>
      <c r="U487">
        <v>5</v>
      </c>
      <c r="V487">
        <v>7.5</v>
      </c>
    </row>
    <row r="488" spans="1:22" x14ac:dyDescent="0.25">
      <c r="A488" t="s">
        <v>1793</v>
      </c>
      <c r="B488" t="s">
        <v>536</v>
      </c>
      <c r="C488">
        <v>36</v>
      </c>
      <c r="D488" t="s">
        <v>140</v>
      </c>
      <c r="E488" t="s">
        <v>38</v>
      </c>
      <c r="F488" t="s">
        <v>51</v>
      </c>
      <c r="G488">
        <v>0.53</v>
      </c>
      <c r="H488" t="s">
        <v>427</v>
      </c>
      <c r="I488">
        <v>-30</v>
      </c>
      <c r="J488" t="str">
        <f>HYPERLINK("https://www.eliteprospects.com/player/726355/mitch-young")</f>
        <v>https://www.eliteprospects.com/player/726355/mitch-young</v>
      </c>
      <c r="K488" t="s">
        <v>27</v>
      </c>
      <c r="L488" t="s">
        <v>485</v>
      </c>
      <c r="M488" t="s">
        <v>1296</v>
      </c>
      <c r="N488">
        <v>4</v>
      </c>
      <c r="O488" t="s">
        <v>486</v>
      </c>
      <c r="P488">
        <v>0.08</v>
      </c>
      <c r="Q488" t="s">
        <v>1325</v>
      </c>
      <c r="R488">
        <v>30</v>
      </c>
      <c r="S488">
        <v>25</v>
      </c>
      <c r="T488">
        <v>32.5</v>
      </c>
      <c r="U488">
        <v>5</v>
      </c>
      <c r="V488">
        <v>7.5</v>
      </c>
    </row>
    <row r="489" spans="1:22" x14ac:dyDescent="0.25">
      <c r="A489" t="s">
        <v>1794</v>
      </c>
      <c r="B489" t="s">
        <v>561</v>
      </c>
      <c r="C489">
        <v>42</v>
      </c>
      <c r="D489" t="s">
        <v>260</v>
      </c>
      <c r="E489" t="s">
        <v>55</v>
      </c>
      <c r="F489" t="s">
        <v>51</v>
      </c>
      <c r="G489">
        <v>0.45</v>
      </c>
      <c r="H489" t="s">
        <v>125</v>
      </c>
      <c r="I489">
        <v>-12</v>
      </c>
      <c r="J489" t="str">
        <f>HYPERLINK("https://www.eliteprospects.com/player/577202/vann-williamson")</f>
        <v>https://www.eliteprospects.com/player/577202/vann-williamson</v>
      </c>
      <c r="K489" t="s">
        <v>27</v>
      </c>
      <c r="L489" t="s">
        <v>485</v>
      </c>
      <c r="M489" t="s">
        <v>1296</v>
      </c>
      <c r="N489">
        <v>4</v>
      </c>
      <c r="O489" t="s">
        <v>486</v>
      </c>
      <c r="P489">
        <v>0.06</v>
      </c>
      <c r="Q489" t="s">
        <v>1325</v>
      </c>
      <c r="R489">
        <v>26.3</v>
      </c>
      <c r="S489">
        <v>23.7</v>
      </c>
      <c r="T489">
        <v>28.9</v>
      </c>
      <c r="U489">
        <v>5.3</v>
      </c>
      <c r="V489">
        <v>15.8</v>
      </c>
    </row>
    <row r="490" spans="1:22" x14ac:dyDescent="0.25">
      <c r="A490" t="s">
        <v>1795</v>
      </c>
      <c r="B490" t="s">
        <v>504</v>
      </c>
      <c r="C490">
        <v>40</v>
      </c>
      <c r="D490" t="s">
        <v>57</v>
      </c>
      <c r="E490" t="s">
        <v>23</v>
      </c>
      <c r="F490" t="s">
        <v>55</v>
      </c>
      <c r="G490">
        <v>0.45</v>
      </c>
      <c r="H490" t="s">
        <v>81</v>
      </c>
      <c r="I490">
        <v>12</v>
      </c>
      <c r="J490" t="str">
        <f>HYPERLINK("https://www.eliteprospects.com/player/897430/alexander-bilecki")</f>
        <v>https://www.eliteprospects.com/player/897430/alexander-bilecki</v>
      </c>
      <c r="K490" t="s">
        <v>27</v>
      </c>
      <c r="L490" t="s">
        <v>485</v>
      </c>
      <c r="M490" t="s">
        <v>1296</v>
      </c>
      <c r="N490">
        <v>2</v>
      </c>
      <c r="O490" t="s">
        <v>501</v>
      </c>
      <c r="P490">
        <v>0.06</v>
      </c>
      <c r="Q490" t="s">
        <v>1325</v>
      </c>
      <c r="R490">
        <v>26.3</v>
      </c>
      <c r="S490">
        <v>23.7</v>
      </c>
      <c r="T490">
        <v>28.9</v>
      </c>
      <c r="U490">
        <v>5.3</v>
      </c>
      <c r="V490">
        <v>15.8</v>
      </c>
    </row>
    <row r="491" spans="1:22" x14ac:dyDescent="0.25">
      <c r="A491" t="s">
        <v>1796</v>
      </c>
      <c r="B491" t="s">
        <v>546</v>
      </c>
      <c r="C491">
        <v>39</v>
      </c>
      <c r="D491" t="s">
        <v>66</v>
      </c>
      <c r="E491" t="s">
        <v>39</v>
      </c>
      <c r="F491" t="s">
        <v>55</v>
      </c>
      <c r="G491">
        <v>0.46</v>
      </c>
      <c r="H491" t="s">
        <v>66</v>
      </c>
      <c r="I491">
        <v>4</v>
      </c>
      <c r="J491" t="str">
        <f>HYPERLINK("https://www.eliteprospects.com/player/807372/brandt-harper")</f>
        <v>https://www.eliteprospects.com/player/807372/brandt-harper</v>
      </c>
      <c r="K491" t="s">
        <v>27</v>
      </c>
      <c r="L491" t="s">
        <v>485</v>
      </c>
      <c r="M491" t="s">
        <v>1296</v>
      </c>
      <c r="N491">
        <v>1</v>
      </c>
      <c r="O491" t="s">
        <v>494</v>
      </c>
      <c r="P491">
        <v>7.0000000000000007E-2</v>
      </c>
      <c r="Q491" t="s">
        <v>1325</v>
      </c>
      <c r="R491">
        <v>30</v>
      </c>
      <c r="S491">
        <v>25</v>
      </c>
      <c r="T491">
        <v>32.5</v>
      </c>
      <c r="U491">
        <v>5</v>
      </c>
      <c r="V491">
        <v>7.5</v>
      </c>
    </row>
    <row r="492" spans="1:22" x14ac:dyDescent="0.25">
      <c r="A492" t="s">
        <v>1797</v>
      </c>
      <c r="B492" t="s">
        <v>527</v>
      </c>
      <c r="C492">
        <v>40</v>
      </c>
      <c r="D492" t="s">
        <v>66</v>
      </c>
      <c r="E492" t="s">
        <v>39</v>
      </c>
      <c r="F492" t="s">
        <v>55</v>
      </c>
      <c r="G492">
        <v>0.45</v>
      </c>
      <c r="H492" t="s">
        <v>32</v>
      </c>
      <c r="I492">
        <v>-2</v>
      </c>
      <c r="J492" t="str">
        <f>HYPERLINK("https://www.eliteprospects.com/player/577218/rylan-singh")</f>
        <v>https://www.eliteprospects.com/player/577218/rylan-singh</v>
      </c>
      <c r="K492" t="s">
        <v>27</v>
      </c>
      <c r="L492" t="s">
        <v>485</v>
      </c>
      <c r="M492" t="s">
        <v>1296</v>
      </c>
      <c r="N492">
        <v>3</v>
      </c>
      <c r="O492" t="s">
        <v>492</v>
      </c>
      <c r="P492">
        <v>0.06</v>
      </c>
      <c r="Q492" t="s">
        <v>1325</v>
      </c>
      <c r="R492">
        <v>26.3</v>
      </c>
      <c r="S492">
        <v>23.7</v>
      </c>
      <c r="T492">
        <v>28.9</v>
      </c>
      <c r="U492">
        <v>5.3</v>
      </c>
      <c r="V492">
        <v>15.8</v>
      </c>
    </row>
    <row r="493" spans="1:22" x14ac:dyDescent="0.25">
      <c r="A493" t="s">
        <v>1798</v>
      </c>
      <c r="B493" t="s">
        <v>521</v>
      </c>
      <c r="C493">
        <v>40</v>
      </c>
      <c r="D493" t="s">
        <v>66</v>
      </c>
      <c r="E493" t="s">
        <v>39</v>
      </c>
      <c r="F493" t="s">
        <v>55</v>
      </c>
      <c r="G493">
        <v>0.45</v>
      </c>
      <c r="H493" t="s">
        <v>544</v>
      </c>
      <c r="I493">
        <v>17</v>
      </c>
      <c r="J493" t="str">
        <f>HYPERLINK("https://www.eliteprospects.com/player/691832/frankie-marrelli")</f>
        <v>https://www.eliteprospects.com/player/691832/frankie-marrelli</v>
      </c>
      <c r="K493" t="s">
        <v>27</v>
      </c>
      <c r="L493" t="s">
        <v>485</v>
      </c>
      <c r="M493" t="s">
        <v>1296</v>
      </c>
      <c r="N493">
        <v>4</v>
      </c>
      <c r="O493" t="s">
        <v>486</v>
      </c>
      <c r="P493">
        <v>0.06</v>
      </c>
      <c r="Q493" t="s">
        <v>1325</v>
      </c>
      <c r="R493">
        <v>26.3</v>
      </c>
      <c r="S493">
        <v>23.7</v>
      </c>
      <c r="T493">
        <v>28.9</v>
      </c>
      <c r="U493">
        <v>5.3</v>
      </c>
      <c r="V493">
        <v>15.8</v>
      </c>
    </row>
    <row r="494" spans="1:22" x14ac:dyDescent="0.25">
      <c r="A494" t="s">
        <v>1799</v>
      </c>
      <c r="B494" t="s">
        <v>493</v>
      </c>
      <c r="C494">
        <v>37</v>
      </c>
      <c r="D494" t="s">
        <v>140</v>
      </c>
      <c r="E494" t="s">
        <v>41</v>
      </c>
      <c r="F494" t="s">
        <v>55</v>
      </c>
      <c r="G494">
        <v>0.49</v>
      </c>
      <c r="H494" t="s">
        <v>265</v>
      </c>
      <c r="I494">
        <v>32</v>
      </c>
      <c r="J494" t="str">
        <f>HYPERLINK("https://www.eliteprospects.com/player/710847/owen-protz")</f>
        <v>https://www.eliteprospects.com/player/710847/owen-protz</v>
      </c>
      <c r="K494" t="s">
        <v>27</v>
      </c>
      <c r="L494" t="s">
        <v>485</v>
      </c>
      <c r="M494" t="s">
        <v>1296</v>
      </c>
      <c r="N494">
        <v>4</v>
      </c>
      <c r="O494" t="s">
        <v>486</v>
      </c>
      <c r="P494">
        <v>7.0000000000000007E-2</v>
      </c>
      <c r="Q494" t="s">
        <v>1325</v>
      </c>
      <c r="R494">
        <v>30</v>
      </c>
      <c r="S494">
        <v>25</v>
      </c>
      <c r="T494">
        <v>32.5</v>
      </c>
      <c r="U494">
        <v>5</v>
      </c>
      <c r="V494">
        <v>7.5</v>
      </c>
    </row>
    <row r="495" spans="1:22" x14ac:dyDescent="0.25">
      <c r="A495" t="s">
        <v>1800</v>
      </c>
      <c r="B495" t="s">
        <v>484</v>
      </c>
      <c r="C495">
        <v>42</v>
      </c>
      <c r="D495" t="s">
        <v>140</v>
      </c>
      <c r="E495" t="s">
        <v>41</v>
      </c>
      <c r="F495" t="s">
        <v>55</v>
      </c>
      <c r="G495">
        <v>0.43</v>
      </c>
      <c r="H495" t="s">
        <v>24</v>
      </c>
      <c r="I495">
        <v>12</v>
      </c>
      <c r="J495" t="str">
        <f>HYPERLINK("https://www.eliteprospects.com/player/577174/dryden-allen")</f>
        <v>https://www.eliteprospects.com/player/577174/dryden-allen</v>
      </c>
      <c r="K495" t="s">
        <v>27</v>
      </c>
      <c r="L495" t="s">
        <v>485</v>
      </c>
      <c r="M495" t="s">
        <v>1296</v>
      </c>
      <c r="N495">
        <v>1</v>
      </c>
      <c r="O495" t="s">
        <v>494</v>
      </c>
      <c r="P495">
        <v>0.06</v>
      </c>
      <c r="Q495" t="s">
        <v>1325</v>
      </c>
      <c r="R495">
        <v>26.3</v>
      </c>
      <c r="S495">
        <v>23.7</v>
      </c>
      <c r="T495">
        <v>28.9</v>
      </c>
      <c r="U495">
        <v>5.3</v>
      </c>
      <c r="V495">
        <v>15.8</v>
      </c>
    </row>
    <row r="496" spans="1:22" x14ac:dyDescent="0.25">
      <c r="A496" t="s">
        <v>1801</v>
      </c>
      <c r="B496" t="s">
        <v>507</v>
      </c>
      <c r="C496">
        <v>41</v>
      </c>
      <c r="D496" t="s">
        <v>79</v>
      </c>
      <c r="E496" t="s">
        <v>38</v>
      </c>
      <c r="F496" t="s">
        <v>55</v>
      </c>
      <c r="G496">
        <v>0.44</v>
      </c>
      <c r="H496" t="s">
        <v>111</v>
      </c>
      <c r="I496">
        <v>5</v>
      </c>
      <c r="J496" t="str">
        <f>HYPERLINK("https://www.eliteprospects.com/player/738747/david-bedkowski")</f>
        <v>https://www.eliteprospects.com/player/738747/david-bedkowski</v>
      </c>
      <c r="K496" t="s">
        <v>27</v>
      </c>
      <c r="L496" t="s">
        <v>485</v>
      </c>
      <c r="M496" t="s">
        <v>1296</v>
      </c>
      <c r="N496">
        <v>4</v>
      </c>
      <c r="O496" t="s">
        <v>486</v>
      </c>
      <c r="P496">
        <v>0.06</v>
      </c>
      <c r="Q496" t="s">
        <v>1325</v>
      </c>
      <c r="R496">
        <v>26.3</v>
      </c>
      <c r="S496">
        <v>23.7</v>
      </c>
      <c r="T496">
        <v>28.9</v>
      </c>
      <c r="U496">
        <v>5.3</v>
      </c>
      <c r="V496">
        <v>15.8</v>
      </c>
    </row>
    <row r="497" spans="1:22" x14ac:dyDescent="0.25">
      <c r="A497" t="s">
        <v>1802</v>
      </c>
      <c r="B497" t="s">
        <v>521</v>
      </c>
      <c r="C497">
        <v>39</v>
      </c>
      <c r="D497" t="s">
        <v>78</v>
      </c>
      <c r="E497" t="s">
        <v>32</v>
      </c>
      <c r="F497" t="s">
        <v>60</v>
      </c>
      <c r="G497">
        <v>0.44</v>
      </c>
      <c r="H497" t="s">
        <v>79</v>
      </c>
      <c r="I497">
        <v>17</v>
      </c>
      <c r="J497" t="str">
        <f>HYPERLINK("https://www.eliteprospects.com/player/917727/ondrej-ruml")</f>
        <v>https://www.eliteprospects.com/player/917727/ondrej-ruml</v>
      </c>
      <c r="K497" t="s">
        <v>27</v>
      </c>
      <c r="L497" t="s">
        <v>485</v>
      </c>
      <c r="M497" t="s">
        <v>1296</v>
      </c>
      <c r="N497">
        <v>1</v>
      </c>
      <c r="O497" t="s">
        <v>494</v>
      </c>
      <c r="P497">
        <v>0.06</v>
      </c>
      <c r="Q497" t="s">
        <v>1325</v>
      </c>
      <c r="R497">
        <v>26.3</v>
      </c>
      <c r="S497">
        <v>23.7</v>
      </c>
      <c r="T497">
        <v>28.9</v>
      </c>
      <c r="U497">
        <v>5.3</v>
      </c>
      <c r="V497">
        <v>15.8</v>
      </c>
    </row>
    <row r="498" spans="1:22" x14ac:dyDescent="0.25">
      <c r="A498" t="s">
        <v>1803</v>
      </c>
      <c r="B498" t="s">
        <v>527</v>
      </c>
      <c r="C498">
        <v>32</v>
      </c>
      <c r="D498" t="s">
        <v>96</v>
      </c>
      <c r="E498" t="s">
        <v>23</v>
      </c>
      <c r="F498" t="s">
        <v>60</v>
      </c>
      <c r="G498">
        <v>0.53</v>
      </c>
      <c r="H498" t="s">
        <v>125</v>
      </c>
      <c r="I498">
        <v>-14</v>
      </c>
      <c r="J498" t="str">
        <f>HYPERLINK("https://www.eliteprospects.com/player/577043/quinn-beauchesne")</f>
        <v>https://www.eliteprospects.com/player/577043/quinn-beauchesne</v>
      </c>
      <c r="K498" t="s">
        <v>27</v>
      </c>
      <c r="L498" t="s">
        <v>485</v>
      </c>
      <c r="M498" t="s">
        <v>1296</v>
      </c>
      <c r="N498">
        <v>3</v>
      </c>
      <c r="O498" t="s">
        <v>492</v>
      </c>
      <c r="P498">
        <v>0.08</v>
      </c>
      <c r="Q498" t="s">
        <v>1325</v>
      </c>
      <c r="R498">
        <v>30</v>
      </c>
      <c r="S498">
        <v>25</v>
      </c>
      <c r="T498">
        <v>32.5</v>
      </c>
      <c r="U498">
        <v>5</v>
      </c>
      <c r="V498">
        <v>7.5</v>
      </c>
    </row>
    <row r="499" spans="1:22" x14ac:dyDescent="0.25">
      <c r="A499" t="s">
        <v>1804</v>
      </c>
      <c r="B499" t="s">
        <v>546</v>
      </c>
      <c r="C499">
        <v>35</v>
      </c>
      <c r="D499" t="s">
        <v>140</v>
      </c>
      <c r="E499" t="s">
        <v>39</v>
      </c>
      <c r="F499" t="s">
        <v>60</v>
      </c>
      <c r="G499">
        <v>0.49</v>
      </c>
      <c r="H499" t="s">
        <v>427</v>
      </c>
      <c r="I499">
        <v>15</v>
      </c>
      <c r="J499" t="str">
        <f>HYPERLINK("https://www.eliteprospects.com/player/603125/bronson-ride")</f>
        <v>https://www.eliteprospects.com/player/603125/bronson-ride</v>
      </c>
      <c r="K499" t="s">
        <v>27</v>
      </c>
      <c r="L499" t="s">
        <v>485</v>
      </c>
      <c r="M499" t="s">
        <v>1296</v>
      </c>
      <c r="N499">
        <v>5</v>
      </c>
      <c r="O499" t="s">
        <v>508</v>
      </c>
      <c r="P499">
        <v>7.0000000000000007E-2</v>
      </c>
      <c r="Q499" t="s">
        <v>1325</v>
      </c>
      <c r="R499">
        <v>30</v>
      </c>
      <c r="S499">
        <v>25</v>
      </c>
      <c r="T499">
        <v>32.5</v>
      </c>
      <c r="U499">
        <v>5</v>
      </c>
      <c r="V499">
        <v>7.5</v>
      </c>
    </row>
    <row r="500" spans="1:22" x14ac:dyDescent="0.25">
      <c r="A500" t="s">
        <v>1805</v>
      </c>
      <c r="B500" t="s">
        <v>520</v>
      </c>
      <c r="C500">
        <v>39</v>
      </c>
      <c r="D500" t="s">
        <v>79</v>
      </c>
      <c r="E500" t="s">
        <v>41</v>
      </c>
      <c r="F500" t="s">
        <v>60</v>
      </c>
      <c r="G500">
        <v>0.44</v>
      </c>
      <c r="H500" t="s">
        <v>40</v>
      </c>
      <c r="I500">
        <v>18</v>
      </c>
      <c r="J500" t="str">
        <f>HYPERLINK("https://www.eliteprospects.com/player/649094/wyatt-kennedy")</f>
        <v>https://www.eliteprospects.com/player/649094/wyatt-kennedy</v>
      </c>
      <c r="K500" t="s">
        <v>27</v>
      </c>
      <c r="L500" t="s">
        <v>485</v>
      </c>
      <c r="M500" t="s">
        <v>1296</v>
      </c>
      <c r="N500">
        <v>5</v>
      </c>
      <c r="O500" t="s">
        <v>508</v>
      </c>
      <c r="P500">
        <v>0.06</v>
      </c>
      <c r="Q500" t="s">
        <v>1325</v>
      </c>
      <c r="R500">
        <v>26.3</v>
      </c>
      <c r="S500">
        <v>23.7</v>
      </c>
      <c r="T500">
        <v>28.9</v>
      </c>
      <c r="U500">
        <v>5.3</v>
      </c>
      <c r="V500">
        <v>15.8</v>
      </c>
    </row>
    <row r="501" spans="1:22" x14ac:dyDescent="0.25">
      <c r="A501" t="s">
        <v>1806</v>
      </c>
      <c r="B501" t="s">
        <v>546</v>
      </c>
      <c r="C501">
        <v>35</v>
      </c>
      <c r="D501" t="s">
        <v>78</v>
      </c>
      <c r="E501" t="s">
        <v>45</v>
      </c>
      <c r="F501" t="s">
        <v>38</v>
      </c>
      <c r="G501">
        <v>0.46</v>
      </c>
      <c r="H501" t="s">
        <v>66</v>
      </c>
      <c r="I501">
        <v>-8</v>
      </c>
      <c r="J501" t="str">
        <f>HYPERLINK("https://www.eliteprospects.com/player/876673/kent-greer")</f>
        <v>https://www.eliteprospects.com/player/876673/kent-greer</v>
      </c>
      <c r="K501" t="s">
        <v>27</v>
      </c>
      <c r="L501" t="s">
        <v>485</v>
      </c>
      <c r="M501" t="s">
        <v>1296</v>
      </c>
      <c r="N501">
        <v>2</v>
      </c>
      <c r="O501" t="s">
        <v>501</v>
      </c>
      <c r="P501">
        <v>7.0000000000000007E-2</v>
      </c>
      <c r="Q501" t="s">
        <v>1325</v>
      </c>
      <c r="R501">
        <v>30</v>
      </c>
      <c r="S501">
        <v>25</v>
      </c>
      <c r="T501">
        <v>32.5</v>
      </c>
      <c r="U501">
        <v>5</v>
      </c>
      <c r="V501">
        <v>7.5</v>
      </c>
    </row>
    <row r="502" spans="1:22" x14ac:dyDescent="0.25">
      <c r="A502" t="s">
        <v>1807</v>
      </c>
      <c r="B502" t="s">
        <v>507</v>
      </c>
      <c r="C502">
        <v>39</v>
      </c>
      <c r="D502" t="s">
        <v>78</v>
      </c>
      <c r="E502" t="s">
        <v>45</v>
      </c>
      <c r="F502" t="s">
        <v>38</v>
      </c>
      <c r="G502">
        <v>0.41</v>
      </c>
      <c r="H502" t="s">
        <v>40</v>
      </c>
      <c r="I502">
        <v>-11</v>
      </c>
      <c r="J502" t="str">
        <f>HYPERLINK("https://www.eliteprospects.com/player/710371/lucas-moore")</f>
        <v>https://www.eliteprospects.com/player/710371/lucas-moore</v>
      </c>
      <c r="K502" t="s">
        <v>27</v>
      </c>
      <c r="L502" t="s">
        <v>485</v>
      </c>
      <c r="M502" t="s">
        <v>1296</v>
      </c>
      <c r="N502">
        <v>5</v>
      </c>
      <c r="O502" t="s">
        <v>508</v>
      </c>
      <c r="P502">
        <v>0.06</v>
      </c>
      <c r="Q502" t="s">
        <v>1325</v>
      </c>
      <c r="R502">
        <v>26.3</v>
      </c>
      <c r="S502">
        <v>23.7</v>
      </c>
      <c r="T502">
        <v>28.9</v>
      </c>
      <c r="U502">
        <v>5.3</v>
      </c>
      <c r="V502">
        <v>15.8</v>
      </c>
    </row>
    <row r="503" spans="1:22" x14ac:dyDescent="0.25">
      <c r="A503" t="s">
        <v>1808</v>
      </c>
      <c r="B503" t="s">
        <v>484</v>
      </c>
      <c r="C503">
        <v>16</v>
      </c>
      <c r="D503" t="s">
        <v>66</v>
      </c>
      <c r="E503" t="s">
        <v>23</v>
      </c>
      <c r="F503" t="s">
        <v>38</v>
      </c>
      <c r="G503">
        <v>1</v>
      </c>
      <c r="H503" t="s">
        <v>26</v>
      </c>
      <c r="I503">
        <v>10</v>
      </c>
      <c r="J503" t="str">
        <f>HYPERLINK("https://www.eliteprospects.com/player/790097/darels-uljanskis")</f>
        <v>https://www.eliteprospects.com/player/790097/darels-uljanskis</v>
      </c>
      <c r="K503" t="s">
        <v>27</v>
      </c>
      <c r="L503" t="s">
        <v>485</v>
      </c>
      <c r="M503" t="s">
        <v>1296</v>
      </c>
      <c r="N503">
        <v>1</v>
      </c>
      <c r="O503" t="s">
        <v>494</v>
      </c>
      <c r="P503">
        <v>0.14000000000000001</v>
      </c>
      <c r="Q503" t="s">
        <v>1300</v>
      </c>
      <c r="R503">
        <v>30.8</v>
      </c>
      <c r="S503">
        <v>20.5</v>
      </c>
      <c r="T503">
        <v>10.3</v>
      </c>
      <c r="U503">
        <v>10.3</v>
      </c>
      <c r="V503">
        <v>28.2</v>
      </c>
    </row>
    <row r="504" spans="1:22" x14ac:dyDescent="0.25">
      <c r="A504" t="s">
        <v>1809</v>
      </c>
      <c r="B504" t="s">
        <v>507</v>
      </c>
      <c r="C504">
        <v>23</v>
      </c>
      <c r="D504" t="s">
        <v>79</v>
      </c>
      <c r="E504" t="s">
        <v>39</v>
      </c>
      <c r="F504" t="s">
        <v>38</v>
      </c>
      <c r="G504">
        <v>0.7</v>
      </c>
      <c r="H504" t="s">
        <v>45</v>
      </c>
      <c r="I504">
        <v>-2</v>
      </c>
      <c r="J504" t="str">
        <f>HYPERLINK("https://www.eliteprospects.com/player/880423/ben-danford")</f>
        <v>https://www.eliteprospects.com/player/880423/ben-danford</v>
      </c>
      <c r="K504" t="s">
        <v>27</v>
      </c>
      <c r="L504" t="s">
        <v>485</v>
      </c>
      <c r="M504" t="s">
        <v>1296</v>
      </c>
      <c r="N504">
        <v>4</v>
      </c>
      <c r="O504" t="s">
        <v>486</v>
      </c>
      <c r="P504">
        <v>0.1</v>
      </c>
      <c r="Q504" t="s">
        <v>1325</v>
      </c>
      <c r="R504">
        <v>27.3</v>
      </c>
      <c r="S504">
        <v>22.7</v>
      </c>
      <c r="T504">
        <v>27.3</v>
      </c>
      <c r="U504">
        <v>4.5</v>
      </c>
      <c r="V504">
        <v>18.2</v>
      </c>
    </row>
    <row r="505" spans="1:22" x14ac:dyDescent="0.25">
      <c r="A505" t="s">
        <v>1810</v>
      </c>
      <c r="B505" t="s">
        <v>488</v>
      </c>
      <c r="C505">
        <v>35</v>
      </c>
      <c r="D505" t="s">
        <v>260</v>
      </c>
      <c r="E505" t="s">
        <v>41</v>
      </c>
      <c r="F505" t="s">
        <v>38</v>
      </c>
      <c r="G505">
        <v>0.46</v>
      </c>
      <c r="H505" t="s">
        <v>41</v>
      </c>
      <c r="I505">
        <v>-24</v>
      </c>
      <c r="J505" t="str">
        <f>HYPERLINK("https://www.eliteprospects.com/player/911642/luca-blonda")</f>
        <v>https://www.eliteprospects.com/player/911642/luca-blonda</v>
      </c>
      <c r="K505" t="s">
        <v>27</v>
      </c>
      <c r="L505" t="s">
        <v>485</v>
      </c>
      <c r="M505" t="s">
        <v>1296</v>
      </c>
      <c r="N505">
        <v>2</v>
      </c>
      <c r="O505" t="s">
        <v>501</v>
      </c>
      <c r="P505">
        <v>7.0000000000000007E-2</v>
      </c>
      <c r="Q505" t="s">
        <v>1325</v>
      </c>
      <c r="R505">
        <v>30</v>
      </c>
      <c r="S505">
        <v>25</v>
      </c>
      <c r="T505">
        <v>32.5</v>
      </c>
      <c r="U505">
        <v>5</v>
      </c>
      <c r="V505">
        <v>7.5</v>
      </c>
    </row>
    <row r="506" spans="1:22" x14ac:dyDescent="0.25">
      <c r="A506" t="s">
        <v>1811</v>
      </c>
      <c r="B506" t="s">
        <v>536</v>
      </c>
      <c r="C506">
        <v>40</v>
      </c>
      <c r="D506" t="s">
        <v>57</v>
      </c>
      <c r="E506" t="s">
        <v>45</v>
      </c>
      <c r="F506" t="s">
        <v>41</v>
      </c>
      <c r="G506">
        <v>0.38</v>
      </c>
      <c r="H506" t="s">
        <v>23</v>
      </c>
      <c r="I506">
        <v>-3</v>
      </c>
      <c r="J506" t="str">
        <f>HYPERLINK("https://www.eliteprospects.com/player/577010/cameron-aucoin")</f>
        <v>https://www.eliteprospects.com/player/577010/cameron-aucoin</v>
      </c>
      <c r="K506" t="s">
        <v>27</v>
      </c>
      <c r="L506" t="s">
        <v>485</v>
      </c>
      <c r="M506" t="s">
        <v>1296</v>
      </c>
      <c r="N506">
        <v>1</v>
      </c>
      <c r="O506" t="s">
        <v>494</v>
      </c>
      <c r="P506">
        <v>0.05</v>
      </c>
      <c r="Q506" t="s">
        <v>1325</v>
      </c>
      <c r="R506">
        <v>26.3</v>
      </c>
      <c r="S506">
        <v>23.7</v>
      </c>
      <c r="T506">
        <v>28.9</v>
      </c>
      <c r="U506">
        <v>5.3</v>
      </c>
      <c r="V506">
        <v>15.8</v>
      </c>
    </row>
    <row r="507" spans="1:22" x14ac:dyDescent="0.25">
      <c r="A507" t="s">
        <v>1812</v>
      </c>
      <c r="B507" t="s">
        <v>526</v>
      </c>
      <c r="C507">
        <v>36</v>
      </c>
      <c r="D507" t="s">
        <v>96</v>
      </c>
      <c r="E507" t="s">
        <v>32</v>
      </c>
      <c r="F507" t="s">
        <v>41</v>
      </c>
      <c r="G507">
        <v>0.42</v>
      </c>
      <c r="H507" t="s">
        <v>300</v>
      </c>
      <c r="I507">
        <v>6</v>
      </c>
      <c r="J507" t="str">
        <f>HYPERLINK("https://www.eliteprospects.com/player/747988/carson-cameron")</f>
        <v>https://www.eliteprospects.com/player/747988/carson-cameron</v>
      </c>
      <c r="K507" t="s">
        <v>27</v>
      </c>
      <c r="L507" t="s">
        <v>485</v>
      </c>
      <c r="M507" t="s">
        <v>1296</v>
      </c>
      <c r="N507">
        <v>3</v>
      </c>
      <c r="O507" t="s">
        <v>492</v>
      </c>
      <c r="P507">
        <v>0.06</v>
      </c>
      <c r="Q507" t="s">
        <v>1325</v>
      </c>
      <c r="R507">
        <v>26.3</v>
      </c>
      <c r="S507">
        <v>23.7</v>
      </c>
      <c r="T507">
        <v>28.9</v>
      </c>
      <c r="U507">
        <v>5.3</v>
      </c>
      <c r="V507">
        <v>15.8</v>
      </c>
    </row>
    <row r="508" spans="1:22" x14ac:dyDescent="0.25">
      <c r="A508" t="s">
        <v>1813</v>
      </c>
      <c r="B508" t="s">
        <v>507</v>
      </c>
      <c r="C508">
        <v>30</v>
      </c>
      <c r="D508" t="s">
        <v>140</v>
      </c>
      <c r="E508" t="s">
        <v>23</v>
      </c>
      <c r="F508" t="s">
        <v>41</v>
      </c>
      <c r="G508">
        <v>0.5</v>
      </c>
      <c r="H508" t="s">
        <v>47</v>
      </c>
      <c r="I508">
        <v>-27</v>
      </c>
      <c r="J508" t="str">
        <f>HYPERLINK("https://www.eliteprospects.com/player/885160/haoxi-wang")</f>
        <v>https://www.eliteprospects.com/player/885160/haoxi-wang</v>
      </c>
      <c r="K508" t="s">
        <v>27</v>
      </c>
      <c r="L508" t="s">
        <v>485</v>
      </c>
      <c r="M508" t="s">
        <v>1296</v>
      </c>
      <c r="N508">
        <v>2</v>
      </c>
      <c r="O508" t="s">
        <v>501</v>
      </c>
      <c r="P508">
        <v>7.0000000000000007E-2</v>
      </c>
      <c r="Q508" t="s">
        <v>1325</v>
      </c>
      <c r="R508">
        <v>30</v>
      </c>
      <c r="S508">
        <v>25</v>
      </c>
      <c r="T508">
        <v>32.5</v>
      </c>
      <c r="U508">
        <v>5</v>
      </c>
      <c r="V508">
        <v>7.5</v>
      </c>
    </row>
    <row r="509" spans="1:22" x14ac:dyDescent="0.25">
      <c r="A509" t="s">
        <v>1814</v>
      </c>
      <c r="B509" t="s">
        <v>496</v>
      </c>
      <c r="C509">
        <v>41</v>
      </c>
      <c r="D509" t="s">
        <v>79</v>
      </c>
      <c r="E509" t="s">
        <v>65</v>
      </c>
      <c r="F509" t="s">
        <v>41</v>
      </c>
      <c r="G509">
        <v>0.37</v>
      </c>
      <c r="H509" t="s">
        <v>23</v>
      </c>
      <c r="I509">
        <v>0</v>
      </c>
      <c r="J509" t="str">
        <f>HYPERLINK("https://www.eliteprospects.com/player/752680/graydon-jones")</f>
        <v>https://www.eliteprospects.com/player/752680/graydon-jones</v>
      </c>
      <c r="K509" t="s">
        <v>27</v>
      </c>
      <c r="L509" t="s">
        <v>485</v>
      </c>
      <c r="M509" t="s">
        <v>1296</v>
      </c>
      <c r="N509">
        <v>2</v>
      </c>
      <c r="O509" t="s">
        <v>501</v>
      </c>
      <c r="P509">
        <v>0.05</v>
      </c>
      <c r="Q509" t="s">
        <v>1325</v>
      </c>
      <c r="R509">
        <v>26.3</v>
      </c>
      <c r="S509">
        <v>23.7</v>
      </c>
      <c r="T509">
        <v>28.9</v>
      </c>
      <c r="U509">
        <v>5.3</v>
      </c>
      <c r="V509">
        <v>15.8</v>
      </c>
    </row>
    <row r="510" spans="1:22" x14ac:dyDescent="0.25">
      <c r="A510" t="s">
        <v>1815</v>
      </c>
      <c r="B510" t="s">
        <v>507</v>
      </c>
      <c r="C510">
        <v>37</v>
      </c>
      <c r="D510" t="s">
        <v>132</v>
      </c>
      <c r="E510" t="s">
        <v>41</v>
      </c>
      <c r="F510" t="s">
        <v>41</v>
      </c>
      <c r="G510">
        <v>0.41</v>
      </c>
      <c r="H510" t="s">
        <v>491</v>
      </c>
      <c r="I510">
        <v>6</v>
      </c>
      <c r="J510" t="str">
        <f>HYPERLINK("https://www.eliteprospects.com/player/723430/zach-sandhu")</f>
        <v>https://www.eliteprospects.com/player/723430/zach-sandhu</v>
      </c>
      <c r="K510" t="s">
        <v>27</v>
      </c>
      <c r="L510" t="s">
        <v>485</v>
      </c>
      <c r="M510" t="s">
        <v>1296</v>
      </c>
      <c r="N510">
        <v>5</v>
      </c>
      <c r="O510" t="s">
        <v>508</v>
      </c>
      <c r="P510">
        <v>0.06</v>
      </c>
      <c r="Q510" t="s">
        <v>1325</v>
      </c>
      <c r="R510">
        <v>26.3</v>
      </c>
      <c r="S510">
        <v>23.7</v>
      </c>
      <c r="T510">
        <v>28.9</v>
      </c>
      <c r="U510">
        <v>5.3</v>
      </c>
      <c r="V510">
        <v>15.8</v>
      </c>
    </row>
    <row r="511" spans="1:22" x14ac:dyDescent="0.25">
      <c r="A511" t="s">
        <v>1816</v>
      </c>
      <c r="B511" t="s">
        <v>526</v>
      </c>
      <c r="C511">
        <v>37</v>
      </c>
      <c r="D511" t="s">
        <v>140</v>
      </c>
      <c r="E511" t="s">
        <v>69</v>
      </c>
      <c r="F511" t="s">
        <v>39</v>
      </c>
      <c r="G511">
        <v>0.38</v>
      </c>
      <c r="H511" t="s">
        <v>32</v>
      </c>
      <c r="I511">
        <v>1</v>
      </c>
      <c r="J511" t="str">
        <f>HYPERLINK("https://www.eliteprospects.com/player/966272/matthew-perreault")</f>
        <v>https://www.eliteprospects.com/player/966272/matthew-perreault</v>
      </c>
      <c r="K511" t="s">
        <v>27</v>
      </c>
      <c r="L511" t="s">
        <v>485</v>
      </c>
      <c r="M511" t="s">
        <v>1296</v>
      </c>
      <c r="N511">
        <v>1</v>
      </c>
      <c r="O511" t="s">
        <v>494</v>
      </c>
      <c r="P511">
        <v>0.05</v>
      </c>
      <c r="Q511" t="s">
        <v>1325</v>
      </c>
      <c r="R511">
        <v>26.3</v>
      </c>
      <c r="S511">
        <v>23.7</v>
      </c>
      <c r="T511">
        <v>28.9</v>
      </c>
      <c r="U511">
        <v>5.3</v>
      </c>
      <c r="V511">
        <v>15.8</v>
      </c>
    </row>
    <row r="512" spans="1:22" x14ac:dyDescent="0.25">
      <c r="A512" t="s">
        <v>1817</v>
      </c>
      <c r="B512" t="s">
        <v>498</v>
      </c>
      <c r="C512">
        <v>40</v>
      </c>
      <c r="D512" t="s">
        <v>96</v>
      </c>
      <c r="E512" t="s">
        <v>26</v>
      </c>
      <c r="F512" t="s">
        <v>65</v>
      </c>
      <c r="G512">
        <v>0.33</v>
      </c>
      <c r="H512" t="s">
        <v>24</v>
      </c>
      <c r="I512">
        <v>-1</v>
      </c>
      <c r="J512" t="str">
        <f>HYPERLINK("https://www.eliteprospects.com/player/880424/braedyn-rogers")</f>
        <v>https://www.eliteprospects.com/player/880424/braedyn-rogers</v>
      </c>
      <c r="K512" t="s">
        <v>27</v>
      </c>
      <c r="L512" t="s">
        <v>485</v>
      </c>
      <c r="M512" t="s">
        <v>1296</v>
      </c>
      <c r="N512">
        <v>4</v>
      </c>
      <c r="O512" t="s">
        <v>486</v>
      </c>
      <c r="P512">
        <v>0.05</v>
      </c>
      <c r="Q512" t="s">
        <v>1325</v>
      </c>
      <c r="R512">
        <v>26.3</v>
      </c>
      <c r="S512">
        <v>23.7</v>
      </c>
      <c r="T512">
        <v>28.9</v>
      </c>
      <c r="U512">
        <v>5.3</v>
      </c>
      <c r="V512">
        <v>15.8</v>
      </c>
    </row>
    <row r="513" spans="1:22" x14ac:dyDescent="0.25">
      <c r="A513" t="s">
        <v>1818</v>
      </c>
      <c r="B513" t="s">
        <v>521</v>
      </c>
      <c r="C513">
        <v>34</v>
      </c>
      <c r="D513" t="s">
        <v>140</v>
      </c>
      <c r="E513" t="s">
        <v>32</v>
      </c>
      <c r="F513" t="s">
        <v>65</v>
      </c>
      <c r="G513">
        <v>0.38</v>
      </c>
      <c r="H513" t="s">
        <v>32</v>
      </c>
      <c r="I513">
        <v>7</v>
      </c>
      <c r="J513" t="str">
        <f>HYPERLINK("https://www.eliteprospects.com/player/577187/ryan-white")</f>
        <v>https://www.eliteprospects.com/player/577187/ryan-white</v>
      </c>
      <c r="K513" t="s">
        <v>27</v>
      </c>
      <c r="L513" t="s">
        <v>485</v>
      </c>
      <c r="M513" t="s">
        <v>1296</v>
      </c>
      <c r="N513">
        <v>2</v>
      </c>
      <c r="O513" t="s">
        <v>501</v>
      </c>
      <c r="P513">
        <v>0.05</v>
      </c>
      <c r="Q513" t="s">
        <v>1325</v>
      </c>
      <c r="R513">
        <v>26.3</v>
      </c>
      <c r="S513">
        <v>23.7</v>
      </c>
      <c r="T513">
        <v>28.9</v>
      </c>
      <c r="U513">
        <v>5.3</v>
      </c>
      <c r="V513">
        <v>15.8</v>
      </c>
    </row>
    <row r="514" spans="1:22" x14ac:dyDescent="0.25">
      <c r="A514" t="s">
        <v>1819</v>
      </c>
      <c r="B514" t="s">
        <v>532</v>
      </c>
      <c r="C514">
        <v>39</v>
      </c>
      <c r="D514" t="s">
        <v>140</v>
      </c>
      <c r="E514" t="s">
        <v>32</v>
      </c>
      <c r="F514" t="s">
        <v>65</v>
      </c>
      <c r="G514">
        <v>0.33</v>
      </c>
      <c r="H514" t="s">
        <v>84</v>
      </c>
      <c r="I514">
        <v>2</v>
      </c>
      <c r="J514" t="str">
        <f>HYPERLINK("https://www.eliteprospects.com/player/866570/linus-funck")</f>
        <v>https://www.eliteprospects.com/player/866570/linus-funck</v>
      </c>
      <c r="K514" t="s">
        <v>27</v>
      </c>
      <c r="L514" t="s">
        <v>485</v>
      </c>
      <c r="M514" t="s">
        <v>1296</v>
      </c>
      <c r="N514">
        <v>1</v>
      </c>
      <c r="O514" t="s">
        <v>494</v>
      </c>
      <c r="P514">
        <v>0.05</v>
      </c>
      <c r="Q514" t="s">
        <v>1325</v>
      </c>
      <c r="R514">
        <v>26.3</v>
      </c>
      <c r="S514">
        <v>23.7</v>
      </c>
      <c r="T514">
        <v>28.9</v>
      </c>
      <c r="U514">
        <v>5.3</v>
      </c>
      <c r="V514">
        <v>15.8</v>
      </c>
    </row>
    <row r="515" spans="1:22" x14ac:dyDescent="0.25">
      <c r="A515" t="s">
        <v>1820</v>
      </c>
      <c r="B515" t="s">
        <v>527</v>
      </c>
      <c r="C515">
        <v>34</v>
      </c>
      <c r="D515" t="s">
        <v>79</v>
      </c>
      <c r="E515" t="s">
        <v>69</v>
      </c>
      <c r="F515" t="s">
        <v>65</v>
      </c>
      <c r="G515">
        <v>0.38</v>
      </c>
      <c r="H515" t="s">
        <v>589</v>
      </c>
      <c r="I515">
        <v>2</v>
      </c>
      <c r="J515" t="str">
        <f>HYPERLINK("https://www.eliteprospects.com/player/888277/grant-spada")</f>
        <v>https://www.eliteprospects.com/player/888277/grant-spada</v>
      </c>
      <c r="K515" t="s">
        <v>27</v>
      </c>
      <c r="L515" t="s">
        <v>485</v>
      </c>
      <c r="M515" t="s">
        <v>1296</v>
      </c>
      <c r="N515">
        <v>3</v>
      </c>
      <c r="O515" t="s">
        <v>492</v>
      </c>
      <c r="P515">
        <v>0.05</v>
      </c>
      <c r="Q515" t="s">
        <v>1325</v>
      </c>
      <c r="R515">
        <v>26.3</v>
      </c>
      <c r="S515">
        <v>23.7</v>
      </c>
      <c r="T515">
        <v>28.9</v>
      </c>
      <c r="U515">
        <v>5.3</v>
      </c>
      <c r="V515">
        <v>15.8</v>
      </c>
    </row>
    <row r="516" spans="1:22" x14ac:dyDescent="0.25">
      <c r="A516" t="s">
        <v>1821</v>
      </c>
      <c r="B516" t="s">
        <v>546</v>
      </c>
      <c r="C516">
        <v>37</v>
      </c>
      <c r="D516" t="s">
        <v>79</v>
      </c>
      <c r="E516" t="s">
        <v>69</v>
      </c>
      <c r="F516" t="s">
        <v>65</v>
      </c>
      <c r="G516">
        <v>0.35</v>
      </c>
      <c r="H516" t="s">
        <v>23</v>
      </c>
      <c r="I516">
        <v>2</v>
      </c>
      <c r="J516" t="str">
        <f>HYPERLINK("https://www.eliteprospects.com/player/897606/jonathan-kapageridis")</f>
        <v>https://www.eliteprospects.com/player/897606/jonathan-kapageridis</v>
      </c>
      <c r="K516" t="s">
        <v>27</v>
      </c>
      <c r="L516" t="s">
        <v>485</v>
      </c>
      <c r="M516" t="s">
        <v>1296</v>
      </c>
      <c r="N516">
        <v>2</v>
      </c>
      <c r="O516" t="s">
        <v>501</v>
      </c>
      <c r="P516">
        <v>0.05</v>
      </c>
      <c r="Q516" t="s">
        <v>1325</v>
      </c>
      <c r="R516">
        <v>26.3</v>
      </c>
      <c r="S516">
        <v>23.7</v>
      </c>
      <c r="T516">
        <v>28.9</v>
      </c>
      <c r="U516">
        <v>5.3</v>
      </c>
      <c r="V516">
        <v>15.8</v>
      </c>
    </row>
    <row r="517" spans="1:22" x14ac:dyDescent="0.25">
      <c r="A517" t="s">
        <v>1822</v>
      </c>
      <c r="B517" t="s">
        <v>484</v>
      </c>
      <c r="C517">
        <v>39</v>
      </c>
      <c r="D517" t="s">
        <v>79</v>
      </c>
      <c r="E517" t="s">
        <v>69</v>
      </c>
      <c r="F517" t="s">
        <v>65</v>
      </c>
      <c r="G517">
        <v>0.33</v>
      </c>
      <c r="H517" t="s">
        <v>75</v>
      </c>
      <c r="I517">
        <v>24</v>
      </c>
      <c r="J517" t="str">
        <f>HYPERLINK("https://www.eliteprospects.com/player/897540/luka-graziano")</f>
        <v>https://www.eliteprospects.com/player/897540/luka-graziano</v>
      </c>
      <c r="K517" t="s">
        <v>27</v>
      </c>
      <c r="L517" t="s">
        <v>485</v>
      </c>
      <c r="M517" t="s">
        <v>1296</v>
      </c>
      <c r="N517">
        <v>1</v>
      </c>
      <c r="O517" t="s">
        <v>494</v>
      </c>
      <c r="P517">
        <v>0.05</v>
      </c>
      <c r="Q517" t="s">
        <v>1325</v>
      </c>
      <c r="R517">
        <v>26.3</v>
      </c>
      <c r="S517">
        <v>23.7</v>
      </c>
      <c r="T517">
        <v>28.9</v>
      </c>
      <c r="U517">
        <v>5.3</v>
      </c>
      <c r="V517">
        <v>15.8</v>
      </c>
    </row>
    <row r="518" spans="1:22" x14ac:dyDescent="0.25">
      <c r="A518" t="s">
        <v>1823</v>
      </c>
      <c r="B518" t="s">
        <v>536</v>
      </c>
      <c r="C518">
        <v>39</v>
      </c>
      <c r="D518" t="s">
        <v>140</v>
      </c>
      <c r="E518" t="s">
        <v>45</v>
      </c>
      <c r="F518" t="s">
        <v>23</v>
      </c>
      <c r="G518">
        <v>0.31</v>
      </c>
      <c r="H518" t="s">
        <v>489</v>
      </c>
      <c r="I518">
        <v>-6</v>
      </c>
      <c r="J518" t="str">
        <f>HYPERLINK("https://www.eliteprospects.com/player/800060/jacob-reese")</f>
        <v>https://www.eliteprospects.com/player/800060/jacob-reese</v>
      </c>
      <c r="K518" t="s">
        <v>27</v>
      </c>
      <c r="L518" t="s">
        <v>485</v>
      </c>
      <c r="M518" t="s">
        <v>1296</v>
      </c>
      <c r="N518">
        <v>1</v>
      </c>
      <c r="O518" t="s">
        <v>494</v>
      </c>
      <c r="P518">
        <v>0.04</v>
      </c>
      <c r="Q518" t="s">
        <v>245</v>
      </c>
      <c r="R518">
        <v>28.6</v>
      </c>
      <c r="S518">
        <v>31.4</v>
      </c>
      <c r="T518">
        <v>28.6</v>
      </c>
      <c r="U518">
        <v>4.3</v>
      </c>
      <c r="V518">
        <v>7.1</v>
      </c>
    </row>
    <row r="519" spans="1:22" x14ac:dyDescent="0.25">
      <c r="A519" t="s">
        <v>1824</v>
      </c>
      <c r="B519" t="s">
        <v>578</v>
      </c>
      <c r="C519">
        <v>41</v>
      </c>
      <c r="D519" t="s">
        <v>140</v>
      </c>
      <c r="E519" t="s">
        <v>45</v>
      </c>
      <c r="F519" t="s">
        <v>23</v>
      </c>
      <c r="G519">
        <v>0.28999999999999998</v>
      </c>
      <c r="H519" t="s">
        <v>39</v>
      </c>
      <c r="I519">
        <v>-17</v>
      </c>
      <c r="J519" t="str">
        <f>HYPERLINK("https://www.eliteprospects.com/player/597857/tristen-trevino")</f>
        <v>https://www.eliteprospects.com/player/597857/tristen-trevino</v>
      </c>
      <c r="K519" t="s">
        <v>27</v>
      </c>
      <c r="L519" t="s">
        <v>485</v>
      </c>
      <c r="M519" t="s">
        <v>1296</v>
      </c>
      <c r="N519">
        <v>1</v>
      </c>
      <c r="O519" t="s">
        <v>494</v>
      </c>
      <c r="P519">
        <v>0.04</v>
      </c>
      <c r="Q519" t="s">
        <v>245</v>
      </c>
      <c r="R519">
        <v>28.6</v>
      </c>
      <c r="S519">
        <v>31.4</v>
      </c>
      <c r="T519">
        <v>28.6</v>
      </c>
      <c r="U519">
        <v>4.3</v>
      </c>
      <c r="V519">
        <v>7.1</v>
      </c>
    </row>
    <row r="520" spans="1:22" x14ac:dyDescent="0.25">
      <c r="A520" t="s">
        <v>1825</v>
      </c>
      <c r="B520" t="s">
        <v>532</v>
      </c>
      <c r="C520">
        <v>31</v>
      </c>
      <c r="D520" t="s">
        <v>79</v>
      </c>
      <c r="E520" t="s">
        <v>32</v>
      </c>
      <c r="F520" t="s">
        <v>23</v>
      </c>
      <c r="G520">
        <v>0.39</v>
      </c>
      <c r="H520" t="s">
        <v>24</v>
      </c>
      <c r="I520">
        <v>12</v>
      </c>
      <c r="J520" t="str">
        <f>HYPERLINK("https://www.eliteprospects.com/player/628140/caleb-mitchell")</f>
        <v>https://www.eliteprospects.com/player/628140/caleb-mitchell</v>
      </c>
      <c r="K520" t="s">
        <v>27</v>
      </c>
      <c r="L520" t="s">
        <v>485</v>
      </c>
      <c r="M520" t="s">
        <v>1296</v>
      </c>
      <c r="N520">
        <v>2</v>
      </c>
      <c r="O520" t="s">
        <v>501</v>
      </c>
      <c r="P520">
        <v>0.06</v>
      </c>
      <c r="Q520" t="s">
        <v>1325</v>
      </c>
      <c r="R520">
        <v>26.3</v>
      </c>
      <c r="S520">
        <v>23.7</v>
      </c>
      <c r="T520">
        <v>28.9</v>
      </c>
      <c r="U520">
        <v>5.3</v>
      </c>
      <c r="V520">
        <v>15.8</v>
      </c>
    </row>
    <row r="521" spans="1:22" x14ac:dyDescent="0.25">
      <c r="A521" t="s">
        <v>1826</v>
      </c>
      <c r="B521" t="s">
        <v>498</v>
      </c>
      <c r="C521">
        <v>38</v>
      </c>
      <c r="D521" t="s">
        <v>79</v>
      </c>
      <c r="E521" t="s">
        <v>32</v>
      </c>
      <c r="F521" t="s">
        <v>23</v>
      </c>
      <c r="G521">
        <v>0.32</v>
      </c>
      <c r="H521" t="s">
        <v>544</v>
      </c>
      <c r="I521">
        <v>5</v>
      </c>
      <c r="J521" t="str">
        <f>HYPERLINK("https://www.eliteprospects.com/player/897523/elliot-arnett")</f>
        <v>https://www.eliteprospects.com/player/897523/elliot-arnett</v>
      </c>
      <c r="K521" t="s">
        <v>27</v>
      </c>
      <c r="L521" t="s">
        <v>485</v>
      </c>
      <c r="M521" t="s">
        <v>1296</v>
      </c>
      <c r="N521">
        <v>2</v>
      </c>
      <c r="O521" t="s">
        <v>501</v>
      </c>
      <c r="P521">
        <v>0.05</v>
      </c>
      <c r="Q521" t="s">
        <v>1325</v>
      </c>
      <c r="R521">
        <v>26.3</v>
      </c>
      <c r="S521">
        <v>23.7</v>
      </c>
      <c r="T521">
        <v>28.9</v>
      </c>
      <c r="U521">
        <v>5.3</v>
      </c>
      <c r="V521">
        <v>15.8</v>
      </c>
    </row>
    <row r="522" spans="1:22" x14ac:dyDescent="0.25">
      <c r="A522" t="s">
        <v>1827</v>
      </c>
      <c r="B522" t="s">
        <v>507</v>
      </c>
      <c r="C522">
        <v>40</v>
      </c>
      <c r="D522" t="s">
        <v>79</v>
      </c>
      <c r="E522" t="s">
        <v>32</v>
      </c>
      <c r="F522" t="s">
        <v>23</v>
      </c>
      <c r="G522">
        <v>0.3</v>
      </c>
      <c r="H522" t="s">
        <v>739</v>
      </c>
      <c r="I522">
        <v>-4</v>
      </c>
      <c r="J522" t="str">
        <f>HYPERLINK("https://www.eliteprospects.com/player/679516/garrett-frazer")</f>
        <v>https://www.eliteprospects.com/player/679516/garrett-frazer</v>
      </c>
      <c r="K522" t="s">
        <v>27</v>
      </c>
      <c r="L522" t="s">
        <v>485</v>
      </c>
      <c r="M522" t="s">
        <v>1296</v>
      </c>
      <c r="N522">
        <v>2</v>
      </c>
      <c r="O522" t="s">
        <v>501</v>
      </c>
      <c r="P522">
        <v>0.04</v>
      </c>
      <c r="Q522" t="s">
        <v>245</v>
      </c>
      <c r="R522">
        <v>28.6</v>
      </c>
      <c r="S522">
        <v>31.4</v>
      </c>
      <c r="T522">
        <v>28.6</v>
      </c>
      <c r="U522">
        <v>4.3</v>
      </c>
      <c r="V522">
        <v>7.1</v>
      </c>
    </row>
    <row r="523" spans="1:22" x14ac:dyDescent="0.25">
      <c r="A523" t="s">
        <v>1828</v>
      </c>
      <c r="B523" t="s">
        <v>521</v>
      </c>
      <c r="C523">
        <v>39</v>
      </c>
      <c r="D523" t="s">
        <v>260</v>
      </c>
      <c r="E523" t="s">
        <v>69</v>
      </c>
      <c r="F523" t="s">
        <v>23</v>
      </c>
      <c r="G523">
        <v>0.31</v>
      </c>
      <c r="H523" t="s">
        <v>280</v>
      </c>
      <c r="I523">
        <v>16</v>
      </c>
      <c r="J523" t="str">
        <f>HYPERLINK("https://www.eliteprospects.com/player/888273/kaleb-dietsch")</f>
        <v>https://www.eliteprospects.com/player/888273/kaleb-dietsch</v>
      </c>
      <c r="K523" t="s">
        <v>27</v>
      </c>
      <c r="L523" t="s">
        <v>485</v>
      </c>
      <c r="M523" t="s">
        <v>1296</v>
      </c>
      <c r="N523">
        <v>3</v>
      </c>
      <c r="O523" t="s">
        <v>492</v>
      </c>
      <c r="P523">
        <v>0.04</v>
      </c>
      <c r="Q523" t="s">
        <v>245</v>
      </c>
      <c r="R523">
        <v>28.6</v>
      </c>
      <c r="S523">
        <v>31.4</v>
      </c>
      <c r="T523">
        <v>28.6</v>
      </c>
      <c r="U523">
        <v>4.3</v>
      </c>
      <c r="V523">
        <v>7.1</v>
      </c>
    </row>
    <row r="524" spans="1:22" x14ac:dyDescent="0.25">
      <c r="A524" t="s">
        <v>1829</v>
      </c>
      <c r="B524" t="s">
        <v>527</v>
      </c>
      <c r="C524">
        <v>17</v>
      </c>
      <c r="D524" t="s">
        <v>66</v>
      </c>
      <c r="E524" t="s">
        <v>78</v>
      </c>
      <c r="F524" t="s">
        <v>69</v>
      </c>
      <c r="G524">
        <v>0.65</v>
      </c>
      <c r="H524" t="s">
        <v>33</v>
      </c>
      <c r="I524">
        <v>3</v>
      </c>
      <c r="J524" t="str">
        <f>HYPERLINK("https://www.eliteprospects.com/player/881136/noah-jenken")</f>
        <v>https://www.eliteprospects.com/player/881136/noah-jenken</v>
      </c>
      <c r="K524" t="s">
        <v>27</v>
      </c>
      <c r="L524" t="s">
        <v>485</v>
      </c>
      <c r="M524" t="s">
        <v>1296</v>
      </c>
      <c r="N524">
        <v>3</v>
      </c>
      <c r="O524" t="s">
        <v>492</v>
      </c>
      <c r="P524">
        <v>0.09</v>
      </c>
      <c r="Q524" t="s">
        <v>1325</v>
      </c>
      <c r="R524">
        <v>27.3</v>
      </c>
      <c r="S524">
        <v>22.7</v>
      </c>
      <c r="T524">
        <v>27.3</v>
      </c>
      <c r="U524">
        <v>4.5</v>
      </c>
      <c r="V524">
        <v>18.2</v>
      </c>
    </row>
    <row r="525" spans="1:22" x14ac:dyDescent="0.25">
      <c r="A525" t="s">
        <v>1830</v>
      </c>
      <c r="B525" t="s">
        <v>561</v>
      </c>
      <c r="C525">
        <v>40</v>
      </c>
      <c r="D525" t="s">
        <v>66</v>
      </c>
      <c r="E525" t="s">
        <v>78</v>
      </c>
      <c r="F525" t="s">
        <v>69</v>
      </c>
      <c r="G525">
        <v>0.28000000000000003</v>
      </c>
      <c r="H525" t="s">
        <v>125</v>
      </c>
      <c r="I525">
        <v>14</v>
      </c>
      <c r="J525" t="str">
        <f>HYPERLINK("https://www.eliteprospects.com/player/890383/andre-mondoux")</f>
        <v>https://www.eliteprospects.com/player/890383/andre-mondoux</v>
      </c>
      <c r="K525" t="s">
        <v>27</v>
      </c>
      <c r="L525" t="s">
        <v>485</v>
      </c>
      <c r="M525" t="s">
        <v>1296</v>
      </c>
      <c r="N525">
        <v>2</v>
      </c>
      <c r="O525" t="s">
        <v>501</v>
      </c>
      <c r="P525">
        <v>0.04</v>
      </c>
      <c r="Q525" t="s">
        <v>245</v>
      </c>
      <c r="R525">
        <v>28.6</v>
      </c>
      <c r="S525">
        <v>31.4</v>
      </c>
      <c r="T525">
        <v>28.6</v>
      </c>
      <c r="U525">
        <v>4.3</v>
      </c>
      <c r="V525">
        <v>7.1</v>
      </c>
    </row>
    <row r="526" spans="1:22" x14ac:dyDescent="0.25">
      <c r="A526" t="s">
        <v>1831</v>
      </c>
      <c r="B526" t="s">
        <v>536</v>
      </c>
      <c r="C526">
        <v>28</v>
      </c>
      <c r="D526" t="s">
        <v>260</v>
      </c>
      <c r="E526" t="s">
        <v>32</v>
      </c>
      <c r="F526" t="s">
        <v>69</v>
      </c>
      <c r="G526">
        <v>0.39</v>
      </c>
      <c r="H526" t="s">
        <v>65</v>
      </c>
      <c r="I526">
        <v>-11</v>
      </c>
      <c r="J526" t="str">
        <f>HYPERLINK("https://www.eliteprospects.com/player/888266/james-barr")</f>
        <v>https://www.eliteprospects.com/player/888266/james-barr</v>
      </c>
      <c r="K526" t="s">
        <v>27</v>
      </c>
      <c r="L526" t="s">
        <v>485</v>
      </c>
      <c r="M526" t="s">
        <v>1296</v>
      </c>
      <c r="N526">
        <v>3</v>
      </c>
      <c r="O526" t="s">
        <v>492</v>
      </c>
      <c r="P526">
        <v>0.06</v>
      </c>
      <c r="Q526" t="s">
        <v>1325</v>
      </c>
      <c r="R526">
        <v>26.3</v>
      </c>
      <c r="S526">
        <v>23.7</v>
      </c>
      <c r="T526">
        <v>28.9</v>
      </c>
      <c r="U526">
        <v>5.3</v>
      </c>
      <c r="V526">
        <v>15.8</v>
      </c>
    </row>
    <row r="527" spans="1:22" x14ac:dyDescent="0.25">
      <c r="A527" t="s">
        <v>1832</v>
      </c>
      <c r="B527" t="s">
        <v>521</v>
      </c>
      <c r="C527">
        <v>38</v>
      </c>
      <c r="D527" t="s">
        <v>260</v>
      </c>
      <c r="E527" t="s">
        <v>32</v>
      </c>
      <c r="F527" t="s">
        <v>69</v>
      </c>
      <c r="G527">
        <v>0.28999999999999998</v>
      </c>
      <c r="H527" t="s">
        <v>265</v>
      </c>
      <c r="I527">
        <v>17</v>
      </c>
      <c r="J527" t="str">
        <f>HYPERLINK("https://www.eliteprospects.com/player/784713/connor-bewick")</f>
        <v>https://www.eliteprospects.com/player/784713/connor-bewick</v>
      </c>
      <c r="K527" t="s">
        <v>27</v>
      </c>
      <c r="L527" t="s">
        <v>485</v>
      </c>
      <c r="M527" t="s">
        <v>1296</v>
      </c>
      <c r="N527">
        <v>1</v>
      </c>
      <c r="O527" t="s">
        <v>494</v>
      </c>
      <c r="P527">
        <v>0.04</v>
      </c>
      <c r="Q527" t="s">
        <v>245</v>
      </c>
      <c r="R527">
        <v>28.6</v>
      </c>
      <c r="S527">
        <v>31.4</v>
      </c>
      <c r="T527">
        <v>28.6</v>
      </c>
      <c r="U527">
        <v>4.3</v>
      </c>
      <c r="V527">
        <v>7.1</v>
      </c>
    </row>
    <row r="528" spans="1:22" x14ac:dyDescent="0.25">
      <c r="A528" t="s">
        <v>1833</v>
      </c>
      <c r="B528" t="s">
        <v>578</v>
      </c>
      <c r="C528">
        <v>39</v>
      </c>
      <c r="D528" t="s">
        <v>260</v>
      </c>
      <c r="E528" t="s">
        <v>32</v>
      </c>
      <c r="F528" t="s">
        <v>69</v>
      </c>
      <c r="G528">
        <v>0.28000000000000003</v>
      </c>
      <c r="H528" t="s">
        <v>265</v>
      </c>
      <c r="I528">
        <v>-24</v>
      </c>
      <c r="J528" t="str">
        <f>HYPERLINK("https://www.eliteprospects.com/player/897478/lucas-ambrosio")</f>
        <v>https://www.eliteprospects.com/player/897478/lucas-ambrosio</v>
      </c>
      <c r="K528" t="s">
        <v>27</v>
      </c>
      <c r="L528" t="s">
        <v>485</v>
      </c>
      <c r="M528" t="s">
        <v>1296</v>
      </c>
      <c r="N528">
        <v>2</v>
      </c>
      <c r="O528" t="s">
        <v>501</v>
      </c>
      <c r="P528">
        <v>0.04</v>
      </c>
      <c r="Q528" t="s">
        <v>245</v>
      </c>
      <c r="R528">
        <v>28.6</v>
      </c>
      <c r="S528">
        <v>31.4</v>
      </c>
      <c r="T528">
        <v>28.6</v>
      </c>
      <c r="U528">
        <v>4.3</v>
      </c>
      <c r="V528">
        <v>7.1</v>
      </c>
    </row>
    <row r="529" spans="1:22" x14ac:dyDescent="0.25">
      <c r="A529" t="s">
        <v>1834</v>
      </c>
      <c r="B529" t="s">
        <v>490</v>
      </c>
      <c r="C529">
        <v>35</v>
      </c>
      <c r="D529" t="s">
        <v>79</v>
      </c>
      <c r="E529" t="s">
        <v>26</v>
      </c>
      <c r="F529" t="s">
        <v>32</v>
      </c>
      <c r="G529">
        <v>0.28999999999999998</v>
      </c>
      <c r="H529" t="s">
        <v>235</v>
      </c>
      <c r="I529">
        <v>-3</v>
      </c>
      <c r="J529" t="str">
        <f>HYPERLINK("https://www.eliteprospects.com/player/603119/grayson-tiller")</f>
        <v>https://www.eliteprospects.com/player/603119/grayson-tiller</v>
      </c>
      <c r="K529" t="s">
        <v>27</v>
      </c>
      <c r="L529" t="s">
        <v>485</v>
      </c>
      <c r="M529" t="s">
        <v>1296</v>
      </c>
      <c r="N529">
        <v>5</v>
      </c>
      <c r="O529" t="s">
        <v>508</v>
      </c>
      <c r="P529">
        <v>0.04</v>
      </c>
      <c r="Q529" t="s">
        <v>245</v>
      </c>
      <c r="R529">
        <v>28.6</v>
      </c>
      <c r="S529">
        <v>31.4</v>
      </c>
      <c r="T529">
        <v>28.6</v>
      </c>
      <c r="U529">
        <v>4.3</v>
      </c>
      <c r="V529">
        <v>7.1</v>
      </c>
    </row>
    <row r="530" spans="1:22" x14ac:dyDescent="0.25">
      <c r="A530" t="s">
        <v>1835</v>
      </c>
      <c r="B530" t="s">
        <v>520</v>
      </c>
      <c r="C530">
        <v>36</v>
      </c>
      <c r="D530" t="s">
        <v>79</v>
      </c>
      <c r="E530" t="s">
        <v>26</v>
      </c>
      <c r="F530" t="s">
        <v>32</v>
      </c>
      <c r="G530">
        <v>0.28000000000000003</v>
      </c>
      <c r="H530" t="s">
        <v>23</v>
      </c>
      <c r="I530">
        <v>15</v>
      </c>
      <c r="J530" t="str">
        <f>HYPERLINK("https://www.eliteprospects.com/player/906007/andrew-robinson")</f>
        <v>https://www.eliteprospects.com/player/906007/andrew-robinson</v>
      </c>
      <c r="K530" t="s">
        <v>27</v>
      </c>
      <c r="L530" t="s">
        <v>485</v>
      </c>
      <c r="M530" t="s">
        <v>1296</v>
      </c>
      <c r="N530">
        <v>2</v>
      </c>
      <c r="O530" t="s">
        <v>501</v>
      </c>
      <c r="P530">
        <v>0.04</v>
      </c>
      <c r="Q530" t="s">
        <v>245</v>
      </c>
      <c r="R530">
        <v>28.6</v>
      </c>
      <c r="S530">
        <v>31.4</v>
      </c>
      <c r="T530">
        <v>28.6</v>
      </c>
      <c r="U530">
        <v>4.3</v>
      </c>
      <c r="V530">
        <v>7.1</v>
      </c>
    </row>
    <row r="531" spans="1:22" x14ac:dyDescent="0.25">
      <c r="A531" t="s">
        <v>1836</v>
      </c>
      <c r="B531" t="s">
        <v>520</v>
      </c>
      <c r="C531">
        <v>38</v>
      </c>
      <c r="D531" t="s">
        <v>79</v>
      </c>
      <c r="E531" t="s">
        <v>26</v>
      </c>
      <c r="F531" t="s">
        <v>32</v>
      </c>
      <c r="G531">
        <v>0.26</v>
      </c>
      <c r="H531" t="s">
        <v>111</v>
      </c>
      <c r="I531">
        <v>8</v>
      </c>
      <c r="J531" t="str">
        <f>HYPERLINK("https://www.eliteprospects.com/player/911132/conor-walton")</f>
        <v>https://www.eliteprospects.com/player/911132/conor-walton</v>
      </c>
      <c r="K531" t="s">
        <v>27</v>
      </c>
      <c r="L531" t="s">
        <v>485</v>
      </c>
      <c r="M531" t="s">
        <v>1296</v>
      </c>
      <c r="N531">
        <v>4</v>
      </c>
      <c r="O531" t="s">
        <v>486</v>
      </c>
      <c r="P531">
        <v>0.04</v>
      </c>
      <c r="Q531" t="s">
        <v>245</v>
      </c>
      <c r="R531">
        <v>28.6</v>
      </c>
      <c r="S531">
        <v>31.4</v>
      </c>
      <c r="T531">
        <v>28.6</v>
      </c>
      <c r="U531">
        <v>4.3</v>
      </c>
      <c r="V531">
        <v>7.1</v>
      </c>
    </row>
    <row r="532" spans="1:22" x14ac:dyDescent="0.25">
      <c r="A532" t="s">
        <v>1837</v>
      </c>
      <c r="B532" t="s">
        <v>504</v>
      </c>
      <c r="C532">
        <v>24</v>
      </c>
      <c r="D532" t="s">
        <v>260</v>
      </c>
      <c r="E532" t="s">
        <v>45</v>
      </c>
      <c r="F532" t="s">
        <v>32</v>
      </c>
      <c r="G532">
        <v>0.42</v>
      </c>
      <c r="H532" t="s">
        <v>23</v>
      </c>
      <c r="I532">
        <v>0</v>
      </c>
      <c r="J532" t="str">
        <f>HYPERLINK("https://www.eliteprospects.com/player/880425/carson-campbell")</f>
        <v>https://www.eliteprospects.com/player/880425/carson-campbell</v>
      </c>
      <c r="K532" t="s">
        <v>27</v>
      </c>
      <c r="L532" t="s">
        <v>485</v>
      </c>
      <c r="M532" t="s">
        <v>1296</v>
      </c>
      <c r="N532">
        <v>4</v>
      </c>
      <c r="O532" t="s">
        <v>486</v>
      </c>
      <c r="P532">
        <v>0.06</v>
      </c>
      <c r="Q532" t="s">
        <v>1325</v>
      </c>
      <c r="R532">
        <v>26.3</v>
      </c>
      <c r="S532">
        <v>23.7</v>
      </c>
      <c r="T532">
        <v>28.9</v>
      </c>
      <c r="U532">
        <v>5.3</v>
      </c>
      <c r="V532">
        <v>15.8</v>
      </c>
    </row>
    <row r="533" spans="1:22" x14ac:dyDescent="0.25">
      <c r="A533" t="s">
        <v>1838</v>
      </c>
      <c r="B533" t="s">
        <v>510</v>
      </c>
      <c r="C533">
        <v>39</v>
      </c>
      <c r="D533" t="s">
        <v>260</v>
      </c>
      <c r="E533" t="s">
        <v>45</v>
      </c>
      <c r="F533" t="s">
        <v>32</v>
      </c>
      <c r="G533">
        <v>0.26</v>
      </c>
      <c r="H533" t="s">
        <v>24</v>
      </c>
      <c r="I533">
        <v>7</v>
      </c>
      <c r="J533" t="str">
        <f>HYPERLINK("https://www.eliteprospects.com/player/976483/harris-pangretitsch")</f>
        <v>https://www.eliteprospects.com/player/976483/harris-pangretitsch</v>
      </c>
      <c r="K533" t="s">
        <v>27</v>
      </c>
      <c r="L533" t="s">
        <v>485</v>
      </c>
      <c r="M533" t="s">
        <v>1296</v>
      </c>
      <c r="N533">
        <v>1</v>
      </c>
      <c r="O533" t="s">
        <v>494</v>
      </c>
      <c r="P533">
        <v>0.04</v>
      </c>
      <c r="Q533" t="s">
        <v>245</v>
      </c>
      <c r="R533">
        <v>28.6</v>
      </c>
      <c r="S533">
        <v>31.4</v>
      </c>
      <c r="T533">
        <v>28.6</v>
      </c>
      <c r="U533">
        <v>4.3</v>
      </c>
      <c r="V533">
        <v>7.1</v>
      </c>
    </row>
    <row r="534" spans="1:22" x14ac:dyDescent="0.25">
      <c r="A534" t="s">
        <v>1839</v>
      </c>
      <c r="B534" t="s">
        <v>561</v>
      </c>
      <c r="C534">
        <v>42</v>
      </c>
      <c r="D534" t="s">
        <v>260</v>
      </c>
      <c r="E534" t="s">
        <v>45</v>
      </c>
      <c r="F534" t="s">
        <v>32</v>
      </c>
      <c r="G534">
        <v>0.24</v>
      </c>
      <c r="H534" t="s">
        <v>81</v>
      </c>
      <c r="I534">
        <v>-6</v>
      </c>
      <c r="J534" t="str">
        <f>HYPERLINK("https://www.eliteprospects.com/player/719966/will-bishop")</f>
        <v>https://www.eliteprospects.com/player/719966/will-bishop</v>
      </c>
      <c r="K534" t="s">
        <v>27</v>
      </c>
      <c r="L534" t="s">
        <v>485</v>
      </c>
      <c r="M534" t="s">
        <v>1296</v>
      </c>
      <c r="N534">
        <v>5</v>
      </c>
      <c r="O534" t="s">
        <v>508</v>
      </c>
      <c r="P534">
        <v>0.03</v>
      </c>
      <c r="Q534" t="s">
        <v>245</v>
      </c>
      <c r="R534">
        <v>28.6</v>
      </c>
      <c r="S534">
        <v>31.4</v>
      </c>
      <c r="T534">
        <v>28.6</v>
      </c>
      <c r="U534">
        <v>4.3</v>
      </c>
      <c r="V534">
        <v>7.1</v>
      </c>
    </row>
    <row r="535" spans="1:22" x14ac:dyDescent="0.25">
      <c r="A535" t="s">
        <v>1840</v>
      </c>
      <c r="B535" t="s">
        <v>578</v>
      </c>
      <c r="C535">
        <v>21</v>
      </c>
      <c r="D535" t="s">
        <v>132</v>
      </c>
      <c r="E535" t="s">
        <v>32</v>
      </c>
      <c r="F535" t="s">
        <v>32</v>
      </c>
      <c r="G535">
        <v>0.48</v>
      </c>
      <c r="H535" t="s">
        <v>79</v>
      </c>
      <c r="I535">
        <v>5</v>
      </c>
      <c r="J535" t="str">
        <f>HYPERLINK("https://www.eliteprospects.com/player/628144/michael-d-alessio")</f>
        <v>https://www.eliteprospects.com/player/628144/michael-d-alessio</v>
      </c>
      <c r="K535" t="s">
        <v>27</v>
      </c>
      <c r="L535" t="s">
        <v>485</v>
      </c>
      <c r="M535" t="s">
        <v>1296</v>
      </c>
      <c r="N535">
        <v>2</v>
      </c>
      <c r="O535" t="s">
        <v>501</v>
      </c>
      <c r="P535">
        <v>7.0000000000000007E-2</v>
      </c>
      <c r="Q535" t="s">
        <v>1325</v>
      </c>
      <c r="R535">
        <v>30</v>
      </c>
      <c r="S535">
        <v>25</v>
      </c>
      <c r="T535">
        <v>32.5</v>
      </c>
      <c r="U535">
        <v>5</v>
      </c>
      <c r="V535">
        <v>7.5</v>
      </c>
    </row>
    <row r="536" spans="1:22" x14ac:dyDescent="0.25">
      <c r="A536" t="s">
        <v>1841</v>
      </c>
      <c r="B536" t="s">
        <v>496</v>
      </c>
      <c r="C536">
        <v>37</v>
      </c>
      <c r="D536" t="s">
        <v>96</v>
      </c>
      <c r="E536" t="s">
        <v>66</v>
      </c>
      <c r="F536" t="s">
        <v>45</v>
      </c>
      <c r="G536">
        <v>0.24</v>
      </c>
      <c r="H536" t="s">
        <v>75</v>
      </c>
      <c r="I536">
        <v>-8</v>
      </c>
      <c r="J536" t="str">
        <f>HYPERLINK("https://www.eliteprospects.com/player/931230/xander-velliaris")</f>
        <v>https://www.eliteprospects.com/player/931230/xander-velliaris</v>
      </c>
      <c r="K536" t="s">
        <v>27</v>
      </c>
      <c r="L536" t="s">
        <v>485</v>
      </c>
      <c r="M536" t="s">
        <v>1296</v>
      </c>
      <c r="N536">
        <v>3</v>
      </c>
      <c r="O536" t="s">
        <v>492</v>
      </c>
      <c r="P536">
        <v>0.03</v>
      </c>
      <c r="Q536" t="s">
        <v>245</v>
      </c>
      <c r="R536">
        <v>28.6</v>
      </c>
      <c r="S536">
        <v>31.4</v>
      </c>
      <c r="T536">
        <v>28.6</v>
      </c>
      <c r="U536">
        <v>4.3</v>
      </c>
      <c r="V536">
        <v>7.1</v>
      </c>
    </row>
    <row r="537" spans="1:22" x14ac:dyDescent="0.25">
      <c r="A537" t="s">
        <v>1842</v>
      </c>
      <c r="B537" t="s">
        <v>488</v>
      </c>
      <c r="C537">
        <v>39</v>
      </c>
      <c r="D537" t="s">
        <v>140</v>
      </c>
      <c r="E537" t="s">
        <v>57</v>
      </c>
      <c r="F537" t="s">
        <v>45</v>
      </c>
      <c r="G537">
        <v>0.23</v>
      </c>
      <c r="H537" t="s">
        <v>23</v>
      </c>
      <c r="I537">
        <v>-4</v>
      </c>
      <c r="J537" t="str">
        <f>HYPERLINK("https://www.eliteprospects.com/player/710746/gavin-ewles")</f>
        <v>https://www.eliteprospects.com/player/710746/gavin-ewles</v>
      </c>
      <c r="K537" t="s">
        <v>27</v>
      </c>
      <c r="L537" t="s">
        <v>485</v>
      </c>
      <c r="M537" t="s">
        <v>1296</v>
      </c>
      <c r="N537">
        <v>5</v>
      </c>
      <c r="O537" t="s">
        <v>508</v>
      </c>
      <c r="P537">
        <v>0.03</v>
      </c>
      <c r="Q537" t="s">
        <v>245</v>
      </c>
      <c r="R537">
        <v>28.6</v>
      </c>
      <c r="S537">
        <v>31.4</v>
      </c>
      <c r="T537">
        <v>28.6</v>
      </c>
      <c r="U537">
        <v>4.3</v>
      </c>
      <c r="V537">
        <v>7.1</v>
      </c>
    </row>
    <row r="538" spans="1:22" x14ac:dyDescent="0.25">
      <c r="A538" t="s">
        <v>1843</v>
      </c>
      <c r="B538" t="s">
        <v>562</v>
      </c>
      <c r="C538">
        <v>16</v>
      </c>
      <c r="D538" t="s">
        <v>79</v>
      </c>
      <c r="E538" t="s">
        <v>78</v>
      </c>
      <c r="F538" t="s">
        <v>45</v>
      </c>
      <c r="G538">
        <v>0.56000000000000005</v>
      </c>
      <c r="H538" t="s">
        <v>79</v>
      </c>
      <c r="I538">
        <v>-17</v>
      </c>
      <c r="J538" t="str">
        <f>HYPERLINK("https://www.eliteprospects.com/player/628139/zachary-nyman")</f>
        <v>https://www.eliteprospects.com/player/628139/zachary-nyman</v>
      </c>
      <c r="K538" t="s">
        <v>27</v>
      </c>
      <c r="L538" t="s">
        <v>485</v>
      </c>
      <c r="M538" t="s">
        <v>1296</v>
      </c>
      <c r="N538">
        <v>1</v>
      </c>
      <c r="O538" t="s">
        <v>494</v>
      </c>
      <c r="P538">
        <v>0.08</v>
      </c>
      <c r="Q538" t="s">
        <v>1325</v>
      </c>
      <c r="R538">
        <v>30</v>
      </c>
      <c r="S538">
        <v>25</v>
      </c>
      <c r="T538">
        <v>32.5</v>
      </c>
      <c r="U538">
        <v>5</v>
      </c>
      <c r="V538">
        <v>7.5</v>
      </c>
    </row>
    <row r="539" spans="1:22" x14ac:dyDescent="0.25">
      <c r="A539" t="s">
        <v>1844</v>
      </c>
      <c r="B539" t="s">
        <v>527</v>
      </c>
      <c r="C539">
        <v>31</v>
      </c>
      <c r="D539" t="s">
        <v>260</v>
      </c>
      <c r="E539" t="s">
        <v>26</v>
      </c>
      <c r="F539" t="s">
        <v>45</v>
      </c>
      <c r="G539">
        <v>0.28999999999999998</v>
      </c>
      <c r="H539" t="s">
        <v>235</v>
      </c>
      <c r="I539">
        <v>-7</v>
      </c>
      <c r="J539" t="str">
        <f>HYPERLINK("https://www.eliteprospects.com/player/618962/rowan-topp")</f>
        <v>https://www.eliteprospects.com/player/618962/rowan-topp</v>
      </c>
      <c r="K539" t="s">
        <v>27</v>
      </c>
      <c r="L539" t="s">
        <v>485</v>
      </c>
      <c r="M539" t="s">
        <v>1296</v>
      </c>
      <c r="N539">
        <v>4</v>
      </c>
      <c r="O539" t="s">
        <v>486</v>
      </c>
      <c r="P539">
        <v>0.04</v>
      </c>
      <c r="Q539" t="s">
        <v>245</v>
      </c>
      <c r="R539">
        <v>28.6</v>
      </c>
      <c r="S539">
        <v>31.4</v>
      </c>
      <c r="T539">
        <v>28.6</v>
      </c>
      <c r="U539">
        <v>4.3</v>
      </c>
      <c r="V539">
        <v>7.1</v>
      </c>
    </row>
    <row r="540" spans="1:22" x14ac:dyDescent="0.25">
      <c r="A540" t="s">
        <v>1845</v>
      </c>
      <c r="B540" t="s">
        <v>488</v>
      </c>
      <c r="C540">
        <v>35</v>
      </c>
      <c r="D540" t="s">
        <v>260</v>
      </c>
      <c r="E540" t="s">
        <v>26</v>
      </c>
      <c r="F540" t="s">
        <v>45</v>
      </c>
      <c r="G540">
        <v>0.26</v>
      </c>
      <c r="H540" t="s">
        <v>57</v>
      </c>
      <c r="I540">
        <v>-12</v>
      </c>
      <c r="J540" t="str">
        <f>HYPERLINK("https://www.eliteprospects.com/player/918221/hudson-martin")</f>
        <v>https://www.eliteprospects.com/player/918221/hudson-martin</v>
      </c>
      <c r="K540" t="s">
        <v>27</v>
      </c>
      <c r="L540" t="s">
        <v>485</v>
      </c>
      <c r="M540" t="s">
        <v>1296</v>
      </c>
      <c r="N540">
        <v>1</v>
      </c>
      <c r="O540" t="s">
        <v>494</v>
      </c>
      <c r="P540">
        <v>0.04</v>
      </c>
      <c r="Q540" t="s">
        <v>245</v>
      </c>
      <c r="R540">
        <v>28.6</v>
      </c>
      <c r="S540">
        <v>31.4</v>
      </c>
      <c r="T540">
        <v>28.6</v>
      </c>
      <c r="U540">
        <v>4.3</v>
      </c>
      <c r="V540">
        <v>7.1</v>
      </c>
    </row>
    <row r="541" spans="1:22" x14ac:dyDescent="0.25">
      <c r="A541" t="s">
        <v>1846</v>
      </c>
      <c r="B541" t="s">
        <v>561</v>
      </c>
      <c r="C541">
        <v>37</v>
      </c>
      <c r="D541" t="s">
        <v>260</v>
      </c>
      <c r="E541" t="s">
        <v>26</v>
      </c>
      <c r="F541" t="s">
        <v>45</v>
      </c>
      <c r="G541">
        <v>0.24</v>
      </c>
      <c r="H541" t="s">
        <v>32</v>
      </c>
      <c r="I541">
        <v>7</v>
      </c>
      <c r="J541" t="str">
        <f>HYPERLINK("https://www.eliteprospects.com/player/701360/matthew-henderson")</f>
        <v>https://www.eliteprospects.com/player/701360/matthew-henderson</v>
      </c>
      <c r="K541" t="s">
        <v>27</v>
      </c>
      <c r="L541" t="s">
        <v>485</v>
      </c>
      <c r="M541" t="s">
        <v>1296</v>
      </c>
      <c r="N541">
        <v>1</v>
      </c>
      <c r="O541" t="s">
        <v>494</v>
      </c>
      <c r="P541">
        <v>0.03</v>
      </c>
      <c r="Q541" t="s">
        <v>245</v>
      </c>
      <c r="R541">
        <v>28.6</v>
      </c>
      <c r="S541">
        <v>31.4</v>
      </c>
      <c r="T541">
        <v>28.6</v>
      </c>
      <c r="U541">
        <v>4.3</v>
      </c>
      <c r="V541">
        <v>7.1</v>
      </c>
    </row>
    <row r="542" spans="1:22" x14ac:dyDescent="0.25">
      <c r="A542" t="s">
        <v>1847</v>
      </c>
      <c r="B542" t="s">
        <v>490</v>
      </c>
      <c r="C542">
        <v>37</v>
      </c>
      <c r="D542" t="s">
        <v>260</v>
      </c>
      <c r="E542" t="s">
        <v>26</v>
      </c>
      <c r="F542" t="s">
        <v>45</v>
      </c>
      <c r="G542">
        <v>0.24</v>
      </c>
      <c r="H542" t="s">
        <v>61</v>
      </c>
      <c r="I542">
        <v>-11</v>
      </c>
      <c r="J542" t="str">
        <f>HYPERLINK("https://www.eliteprospects.com/player/917829/ben-reisnecker")</f>
        <v>https://www.eliteprospects.com/player/917829/ben-reisnecker</v>
      </c>
      <c r="K542" t="s">
        <v>27</v>
      </c>
      <c r="L542" t="s">
        <v>485</v>
      </c>
      <c r="M542" t="s">
        <v>1296</v>
      </c>
      <c r="N542">
        <v>1</v>
      </c>
      <c r="O542" t="s">
        <v>494</v>
      </c>
      <c r="P542">
        <v>0.03</v>
      </c>
      <c r="Q542" t="s">
        <v>245</v>
      </c>
      <c r="R542">
        <v>28.6</v>
      </c>
      <c r="S542">
        <v>31.4</v>
      </c>
      <c r="T542">
        <v>28.6</v>
      </c>
      <c r="U542">
        <v>4.3</v>
      </c>
      <c r="V542">
        <v>7.1</v>
      </c>
    </row>
    <row r="543" spans="1:22" x14ac:dyDescent="0.25">
      <c r="A543" t="s">
        <v>1848</v>
      </c>
      <c r="B543" t="s">
        <v>515</v>
      </c>
      <c r="C543">
        <v>35</v>
      </c>
      <c r="D543" t="s">
        <v>66</v>
      </c>
      <c r="E543" t="s">
        <v>66</v>
      </c>
      <c r="F543" t="s">
        <v>26</v>
      </c>
      <c r="G543">
        <v>0.23</v>
      </c>
      <c r="H543" t="s">
        <v>84</v>
      </c>
      <c r="I543">
        <v>-4</v>
      </c>
      <c r="J543" t="str">
        <f>HYPERLINK("https://www.eliteprospects.com/player/750967/justin-handsor")</f>
        <v>https://www.eliteprospects.com/player/750967/justin-handsor</v>
      </c>
      <c r="K543" t="s">
        <v>27</v>
      </c>
      <c r="L543" t="s">
        <v>485</v>
      </c>
      <c r="M543" t="s">
        <v>1296</v>
      </c>
      <c r="N543">
        <v>3</v>
      </c>
      <c r="O543" t="s">
        <v>492</v>
      </c>
      <c r="P543">
        <v>0.03</v>
      </c>
      <c r="Q543" t="s">
        <v>245</v>
      </c>
      <c r="R543">
        <v>28.6</v>
      </c>
      <c r="S543">
        <v>31.4</v>
      </c>
      <c r="T543">
        <v>28.6</v>
      </c>
      <c r="U543">
        <v>4.3</v>
      </c>
      <c r="V543">
        <v>7.1</v>
      </c>
    </row>
    <row r="544" spans="1:22" x14ac:dyDescent="0.25">
      <c r="A544" t="s">
        <v>1849</v>
      </c>
      <c r="B544" t="s">
        <v>507</v>
      </c>
      <c r="C544">
        <v>37</v>
      </c>
      <c r="D544" t="s">
        <v>140</v>
      </c>
      <c r="E544" t="s">
        <v>96</v>
      </c>
      <c r="F544" t="s">
        <v>26</v>
      </c>
      <c r="G544">
        <v>0.22</v>
      </c>
      <c r="H544" t="s">
        <v>51</v>
      </c>
      <c r="I544">
        <v>-1</v>
      </c>
      <c r="J544" t="str">
        <f>HYPERLINK("https://www.eliteprospects.com/player/881028/hunter-solomon")</f>
        <v>https://www.eliteprospects.com/player/881028/hunter-solomon</v>
      </c>
      <c r="K544" t="s">
        <v>27</v>
      </c>
      <c r="L544" t="s">
        <v>485</v>
      </c>
      <c r="M544" t="s">
        <v>1296</v>
      </c>
      <c r="N544">
        <v>2</v>
      </c>
      <c r="O544" t="s">
        <v>501</v>
      </c>
      <c r="P544">
        <v>0.03</v>
      </c>
      <c r="Q544" t="s">
        <v>245</v>
      </c>
      <c r="R544">
        <v>28.6</v>
      </c>
      <c r="S544">
        <v>31.4</v>
      </c>
      <c r="T544">
        <v>28.6</v>
      </c>
      <c r="U544">
        <v>4.3</v>
      </c>
      <c r="V544">
        <v>7.1</v>
      </c>
    </row>
    <row r="545" spans="1:22" x14ac:dyDescent="0.25">
      <c r="A545" t="s">
        <v>1850</v>
      </c>
      <c r="B545" t="s">
        <v>490</v>
      </c>
      <c r="C545">
        <v>35</v>
      </c>
      <c r="D545" t="s">
        <v>79</v>
      </c>
      <c r="E545" t="s">
        <v>57</v>
      </c>
      <c r="F545" t="s">
        <v>26</v>
      </c>
      <c r="G545">
        <v>0.23</v>
      </c>
      <c r="H545" t="s">
        <v>512</v>
      </c>
      <c r="I545">
        <v>4</v>
      </c>
      <c r="J545" t="str">
        <f>HYPERLINK("https://www.eliteprospects.com/player/879163/liam-spencer")</f>
        <v>https://www.eliteprospects.com/player/879163/liam-spencer</v>
      </c>
      <c r="K545" t="s">
        <v>27</v>
      </c>
      <c r="L545" t="s">
        <v>485</v>
      </c>
      <c r="M545" t="s">
        <v>1296</v>
      </c>
      <c r="N545">
        <v>4</v>
      </c>
      <c r="O545" t="s">
        <v>486</v>
      </c>
      <c r="P545">
        <v>0.03</v>
      </c>
      <c r="Q545" t="s">
        <v>245</v>
      </c>
      <c r="R545">
        <v>28.6</v>
      </c>
      <c r="S545">
        <v>31.4</v>
      </c>
      <c r="T545">
        <v>28.6</v>
      </c>
      <c r="U545">
        <v>4.3</v>
      </c>
      <c r="V545">
        <v>7.1</v>
      </c>
    </row>
    <row r="546" spans="1:22" x14ac:dyDescent="0.25">
      <c r="A546" t="s">
        <v>1851</v>
      </c>
      <c r="B546" t="s">
        <v>562</v>
      </c>
      <c r="C546">
        <v>40</v>
      </c>
      <c r="D546" t="s">
        <v>79</v>
      </c>
      <c r="E546" t="s">
        <v>57</v>
      </c>
      <c r="F546" t="s">
        <v>26</v>
      </c>
      <c r="G546">
        <v>0.2</v>
      </c>
      <c r="H546" t="s">
        <v>38</v>
      </c>
      <c r="I546">
        <v>-7</v>
      </c>
      <c r="J546" t="str">
        <f>HYPERLINK("https://www.eliteprospects.com/player/597685/david-green")</f>
        <v>https://www.eliteprospects.com/player/597685/david-green</v>
      </c>
      <c r="K546" t="s">
        <v>27</v>
      </c>
      <c r="L546" t="s">
        <v>485</v>
      </c>
      <c r="M546" t="s">
        <v>1296</v>
      </c>
      <c r="N546">
        <v>1</v>
      </c>
      <c r="O546" t="s">
        <v>494</v>
      </c>
      <c r="P546">
        <v>0.03</v>
      </c>
      <c r="Q546" t="s">
        <v>245</v>
      </c>
      <c r="R546">
        <v>28.6</v>
      </c>
      <c r="S546">
        <v>31.4</v>
      </c>
      <c r="T546">
        <v>28.6</v>
      </c>
      <c r="U546">
        <v>4.3</v>
      </c>
      <c r="V546">
        <v>7.1</v>
      </c>
    </row>
    <row r="547" spans="1:22" x14ac:dyDescent="0.25">
      <c r="A547" t="s">
        <v>1852</v>
      </c>
      <c r="B547" t="s">
        <v>484</v>
      </c>
      <c r="C547">
        <v>40</v>
      </c>
      <c r="D547" t="s">
        <v>260</v>
      </c>
      <c r="E547" t="s">
        <v>78</v>
      </c>
      <c r="F547" t="s">
        <v>26</v>
      </c>
      <c r="G547">
        <v>0.2</v>
      </c>
      <c r="H547" t="s">
        <v>40</v>
      </c>
      <c r="I547">
        <v>14</v>
      </c>
      <c r="J547" t="str">
        <f>HYPERLINK("https://www.eliteprospects.com/player/871042/rylan-fellinger")</f>
        <v>https://www.eliteprospects.com/player/871042/rylan-fellinger</v>
      </c>
      <c r="K547" t="s">
        <v>27</v>
      </c>
      <c r="L547" t="s">
        <v>485</v>
      </c>
      <c r="M547" t="s">
        <v>1296</v>
      </c>
      <c r="N547">
        <v>3</v>
      </c>
      <c r="O547" t="s">
        <v>492</v>
      </c>
      <c r="P547">
        <v>0.03</v>
      </c>
      <c r="Q547" t="s">
        <v>245</v>
      </c>
      <c r="R547">
        <v>28.6</v>
      </c>
      <c r="S547">
        <v>31.4</v>
      </c>
      <c r="T547">
        <v>28.6</v>
      </c>
      <c r="U547">
        <v>4.3</v>
      </c>
      <c r="V547">
        <v>7.1</v>
      </c>
    </row>
    <row r="548" spans="1:22" x14ac:dyDescent="0.25">
      <c r="A548" t="s">
        <v>1853</v>
      </c>
      <c r="B548" t="s">
        <v>507</v>
      </c>
      <c r="C548">
        <v>38</v>
      </c>
      <c r="D548" t="s">
        <v>132</v>
      </c>
      <c r="E548" t="s">
        <v>26</v>
      </c>
      <c r="F548" t="s">
        <v>26</v>
      </c>
      <c r="G548">
        <v>0.21</v>
      </c>
      <c r="H548" t="s">
        <v>125</v>
      </c>
      <c r="I548">
        <v>0</v>
      </c>
      <c r="J548" t="str">
        <f>HYPERLINK("https://www.eliteprospects.com/player/887104/blake-gowan")</f>
        <v>https://www.eliteprospects.com/player/887104/blake-gowan</v>
      </c>
      <c r="K548" t="s">
        <v>27</v>
      </c>
      <c r="L548" t="s">
        <v>485</v>
      </c>
      <c r="M548" t="s">
        <v>1296</v>
      </c>
      <c r="N548">
        <v>2</v>
      </c>
      <c r="O548" t="s">
        <v>501</v>
      </c>
      <c r="P548">
        <v>0.03</v>
      </c>
      <c r="Q548" t="s">
        <v>245</v>
      </c>
      <c r="R548">
        <v>28.6</v>
      </c>
      <c r="S548">
        <v>31.4</v>
      </c>
      <c r="T548">
        <v>28.6</v>
      </c>
      <c r="U548">
        <v>4.3</v>
      </c>
      <c r="V548">
        <v>7.1</v>
      </c>
    </row>
    <row r="549" spans="1:22" x14ac:dyDescent="0.25">
      <c r="A549" t="s">
        <v>1854</v>
      </c>
      <c r="B549" t="s">
        <v>498</v>
      </c>
      <c r="C549">
        <v>39</v>
      </c>
      <c r="D549" t="s">
        <v>140</v>
      </c>
      <c r="E549" t="s">
        <v>66</v>
      </c>
      <c r="F549" t="s">
        <v>78</v>
      </c>
      <c r="G549">
        <v>0.18</v>
      </c>
      <c r="H549" t="s">
        <v>544</v>
      </c>
      <c r="I549">
        <v>0</v>
      </c>
      <c r="J549" t="str">
        <f>HYPERLINK("https://www.eliteprospects.com/player/738924/noah-roberts")</f>
        <v>https://www.eliteprospects.com/player/738924/noah-roberts</v>
      </c>
      <c r="K549" t="s">
        <v>27</v>
      </c>
      <c r="L549" t="s">
        <v>485</v>
      </c>
      <c r="M549" t="s">
        <v>1296</v>
      </c>
      <c r="N549">
        <v>5</v>
      </c>
      <c r="O549" t="s">
        <v>508</v>
      </c>
      <c r="P549">
        <v>0.03</v>
      </c>
      <c r="Q549" t="s">
        <v>245</v>
      </c>
      <c r="R549">
        <v>28.6</v>
      </c>
      <c r="S549">
        <v>31.4</v>
      </c>
      <c r="T549">
        <v>28.6</v>
      </c>
      <c r="U549">
        <v>4.3</v>
      </c>
      <c r="V549">
        <v>7.1</v>
      </c>
    </row>
    <row r="550" spans="1:22" x14ac:dyDescent="0.25">
      <c r="A550" t="s">
        <v>1855</v>
      </c>
      <c r="B550" t="s">
        <v>546</v>
      </c>
      <c r="C550">
        <v>30</v>
      </c>
      <c r="D550" t="s">
        <v>79</v>
      </c>
      <c r="E550" t="s">
        <v>96</v>
      </c>
      <c r="F550" t="s">
        <v>78</v>
      </c>
      <c r="G550">
        <v>0.23</v>
      </c>
      <c r="H550" t="s">
        <v>51</v>
      </c>
      <c r="I550">
        <v>8</v>
      </c>
      <c r="J550" t="str">
        <f>HYPERLINK("https://www.eliteprospects.com/player/876212/aaron-enright")</f>
        <v>https://www.eliteprospects.com/player/876212/aaron-enright</v>
      </c>
      <c r="K550" t="s">
        <v>27</v>
      </c>
      <c r="L550" t="s">
        <v>485</v>
      </c>
      <c r="M550" t="s">
        <v>1296</v>
      </c>
      <c r="N550">
        <v>2</v>
      </c>
      <c r="O550" t="s">
        <v>501</v>
      </c>
      <c r="P550">
        <v>0.03</v>
      </c>
      <c r="Q550" t="s">
        <v>245</v>
      </c>
      <c r="R550">
        <v>28.6</v>
      </c>
      <c r="S550">
        <v>31.4</v>
      </c>
      <c r="T550">
        <v>28.6</v>
      </c>
      <c r="U550">
        <v>4.3</v>
      </c>
      <c r="V550">
        <v>7.1</v>
      </c>
    </row>
    <row r="551" spans="1:22" x14ac:dyDescent="0.25">
      <c r="A551" t="s">
        <v>1856</v>
      </c>
      <c r="B551" t="s">
        <v>527</v>
      </c>
      <c r="C551">
        <v>31</v>
      </c>
      <c r="D551" t="s">
        <v>79</v>
      </c>
      <c r="E551" t="s">
        <v>96</v>
      </c>
      <c r="F551" t="s">
        <v>78</v>
      </c>
      <c r="G551">
        <v>0.23</v>
      </c>
      <c r="H551" t="s">
        <v>265</v>
      </c>
      <c r="I551">
        <v>-9</v>
      </c>
      <c r="J551" t="str">
        <f>HYPERLINK("https://www.eliteprospects.com/player/897392/eric-frossard")</f>
        <v>https://www.eliteprospects.com/player/897392/eric-frossard</v>
      </c>
      <c r="K551" t="s">
        <v>27</v>
      </c>
      <c r="L551" t="s">
        <v>485</v>
      </c>
      <c r="M551" t="s">
        <v>1296</v>
      </c>
      <c r="N551">
        <v>2</v>
      </c>
      <c r="O551" t="s">
        <v>501</v>
      </c>
      <c r="P551">
        <v>0.03</v>
      </c>
      <c r="Q551" t="s">
        <v>245</v>
      </c>
      <c r="R551">
        <v>28.6</v>
      </c>
      <c r="S551">
        <v>31.4</v>
      </c>
      <c r="T551">
        <v>28.6</v>
      </c>
      <c r="U551">
        <v>4.3</v>
      </c>
      <c r="V551">
        <v>7.1</v>
      </c>
    </row>
    <row r="552" spans="1:22" x14ac:dyDescent="0.25">
      <c r="A552" t="s">
        <v>1857</v>
      </c>
      <c r="B552" t="s">
        <v>507</v>
      </c>
      <c r="C552">
        <v>40</v>
      </c>
      <c r="D552" t="s">
        <v>79</v>
      </c>
      <c r="E552" t="s">
        <v>96</v>
      </c>
      <c r="F552" t="s">
        <v>78</v>
      </c>
      <c r="G552">
        <v>0.18</v>
      </c>
      <c r="H552" t="s">
        <v>589</v>
      </c>
      <c r="I552">
        <v>-4</v>
      </c>
      <c r="J552" t="str">
        <f>HYPERLINK("https://www.eliteprospects.com/player/978463/genc-ula")</f>
        <v>https://www.eliteprospects.com/player/978463/genc-ula</v>
      </c>
      <c r="K552" t="s">
        <v>27</v>
      </c>
      <c r="L552" t="s">
        <v>485</v>
      </c>
      <c r="M552" t="s">
        <v>1296</v>
      </c>
      <c r="N552">
        <v>2</v>
      </c>
      <c r="O552" t="s">
        <v>501</v>
      </c>
      <c r="P552">
        <v>0.03</v>
      </c>
      <c r="Q552" t="s">
        <v>245</v>
      </c>
      <c r="R552">
        <v>28.6</v>
      </c>
      <c r="S552">
        <v>31.4</v>
      </c>
      <c r="T552">
        <v>28.6</v>
      </c>
      <c r="U552">
        <v>4.3</v>
      </c>
      <c r="V552">
        <v>7.1</v>
      </c>
    </row>
    <row r="553" spans="1:22" x14ac:dyDescent="0.25">
      <c r="A553" t="s">
        <v>1858</v>
      </c>
      <c r="B553" t="s">
        <v>507</v>
      </c>
      <c r="C553">
        <v>33</v>
      </c>
      <c r="D553" t="s">
        <v>260</v>
      </c>
      <c r="E553" t="s">
        <v>57</v>
      </c>
      <c r="F553" t="s">
        <v>78</v>
      </c>
      <c r="G553">
        <v>0.21</v>
      </c>
      <c r="H553" t="s">
        <v>84</v>
      </c>
      <c r="I553">
        <v>6</v>
      </c>
      <c r="J553" t="str">
        <f>HYPERLINK("https://www.eliteprospects.com/player/577188/jacob-xu")</f>
        <v>https://www.eliteprospects.com/player/577188/jacob-xu</v>
      </c>
      <c r="K553" t="s">
        <v>27</v>
      </c>
      <c r="L553" t="s">
        <v>485</v>
      </c>
      <c r="M553" t="s">
        <v>1296</v>
      </c>
      <c r="N553">
        <v>2</v>
      </c>
      <c r="O553" t="s">
        <v>501</v>
      </c>
      <c r="P553">
        <v>0.03</v>
      </c>
      <c r="Q553" t="s">
        <v>245</v>
      </c>
      <c r="R553">
        <v>28.6</v>
      </c>
      <c r="S553">
        <v>31.4</v>
      </c>
      <c r="T553">
        <v>28.6</v>
      </c>
      <c r="U553">
        <v>4.3</v>
      </c>
      <c r="V553">
        <v>7.1</v>
      </c>
    </row>
    <row r="554" spans="1:22" x14ac:dyDescent="0.25">
      <c r="A554" t="s">
        <v>1859</v>
      </c>
      <c r="B554" t="s">
        <v>490</v>
      </c>
      <c r="C554">
        <v>36</v>
      </c>
      <c r="D554" t="s">
        <v>260</v>
      </c>
      <c r="E554" t="s">
        <v>57</v>
      </c>
      <c r="F554" t="s">
        <v>78</v>
      </c>
      <c r="G554">
        <v>0.19</v>
      </c>
      <c r="H554" t="s">
        <v>26</v>
      </c>
      <c r="I554">
        <v>0</v>
      </c>
      <c r="J554" t="str">
        <f>HYPERLINK("https://www.eliteprospects.com/player/897651/sebastian-dell-elce")</f>
        <v>https://www.eliteprospects.com/player/897651/sebastian-dell-elce</v>
      </c>
      <c r="K554" t="s">
        <v>27</v>
      </c>
      <c r="L554" t="s">
        <v>485</v>
      </c>
      <c r="M554" t="s">
        <v>1296</v>
      </c>
      <c r="N554">
        <v>1</v>
      </c>
      <c r="O554" t="s">
        <v>494</v>
      </c>
      <c r="P554">
        <v>0.03</v>
      </c>
      <c r="Q554" t="s">
        <v>245</v>
      </c>
      <c r="R554">
        <v>28.6</v>
      </c>
      <c r="S554">
        <v>31.4</v>
      </c>
      <c r="T554">
        <v>28.6</v>
      </c>
      <c r="U554">
        <v>4.3</v>
      </c>
      <c r="V554">
        <v>7.1</v>
      </c>
    </row>
    <row r="555" spans="1:22" x14ac:dyDescent="0.25">
      <c r="A555" t="s">
        <v>1860</v>
      </c>
      <c r="B555" t="s">
        <v>490</v>
      </c>
      <c r="C555">
        <v>36</v>
      </c>
      <c r="D555" t="s">
        <v>260</v>
      </c>
      <c r="E555" t="s">
        <v>57</v>
      </c>
      <c r="F555" t="s">
        <v>78</v>
      </c>
      <c r="G555">
        <v>0.19</v>
      </c>
      <c r="H555" t="s">
        <v>40</v>
      </c>
      <c r="I555">
        <v>4</v>
      </c>
      <c r="J555" t="str">
        <f>HYPERLINK("https://www.eliteprospects.com/player/800110/callum-cheynowski")</f>
        <v>https://www.eliteprospects.com/player/800110/callum-cheynowski</v>
      </c>
      <c r="K555" t="s">
        <v>27</v>
      </c>
      <c r="L555" t="s">
        <v>485</v>
      </c>
      <c r="M555" t="s">
        <v>1296</v>
      </c>
      <c r="N555">
        <v>4</v>
      </c>
      <c r="O555" t="s">
        <v>486</v>
      </c>
      <c r="P555">
        <v>0.03</v>
      </c>
      <c r="Q555" t="s">
        <v>245</v>
      </c>
      <c r="R555">
        <v>28.6</v>
      </c>
      <c r="S555">
        <v>31.4</v>
      </c>
      <c r="T555">
        <v>28.6</v>
      </c>
      <c r="U555">
        <v>4.3</v>
      </c>
      <c r="V555">
        <v>7.1</v>
      </c>
    </row>
    <row r="556" spans="1:22" x14ac:dyDescent="0.25">
      <c r="A556" t="s">
        <v>1861</v>
      </c>
      <c r="B556" t="s">
        <v>507</v>
      </c>
      <c r="C556">
        <v>37</v>
      </c>
      <c r="D556" t="s">
        <v>260</v>
      </c>
      <c r="E556" t="s">
        <v>57</v>
      </c>
      <c r="F556" t="s">
        <v>78</v>
      </c>
      <c r="G556">
        <v>0.19</v>
      </c>
      <c r="H556" t="s">
        <v>499</v>
      </c>
      <c r="I556">
        <v>3</v>
      </c>
      <c r="J556" t="str">
        <f>HYPERLINK("https://www.eliteprospects.com/player/679515/julian-brown")</f>
        <v>https://www.eliteprospects.com/player/679515/julian-brown</v>
      </c>
      <c r="K556" t="s">
        <v>27</v>
      </c>
      <c r="L556" t="s">
        <v>485</v>
      </c>
      <c r="M556" t="s">
        <v>1296</v>
      </c>
      <c r="N556">
        <v>1</v>
      </c>
      <c r="O556" t="s">
        <v>494</v>
      </c>
      <c r="P556">
        <v>0.03</v>
      </c>
      <c r="Q556" t="s">
        <v>245</v>
      </c>
      <c r="R556">
        <v>28.6</v>
      </c>
      <c r="S556">
        <v>31.4</v>
      </c>
      <c r="T556">
        <v>28.6</v>
      </c>
      <c r="U556">
        <v>4.3</v>
      </c>
      <c r="V556">
        <v>7.1</v>
      </c>
    </row>
    <row r="557" spans="1:22" x14ac:dyDescent="0.25">
      <c r="A557" t="s">
        <v>1862</v>
      </c>
      <c r="B557" t="s">
        <v>546</v>
      </c>
      <c r="C557">
        <v>38</v>
      </c>
      <c r="D557" t="s">
        <v>260</v>
      </c>
      <c r="E557" t="s">
        <v>57</v>
      </c>
      <c r="F557" t="s">
        <v>78</v>
      </c>
      <c r="G557">
        <v>0.18</v>
      </c>
      <c r="H557" t="s">
        <v>39</v>
      </c>
      <c r="I557">
        <v>15</v>
      </c>
      <c r="J557" t="str">
        <f>HYPERLINK("https://www.eliteprospects.com/player/897664/adrian-manzo")</f>
        <v>https://www.eliteprospects.com/player/897664/adrian-manzo</v>
      </c>
      <c r="K557" t="s">
        <v>27</v>
      </c>
      <c r="L557" t="s">
        <v>485</v>
      </c>
      <c r="M557" t="s">
        <v>1296</v>
      </c>
      <c r="N557">
        <v>3</v>
      </c>
      <c r="O557" t="s">
        <v>492</v>
      </c>
      <c r="P557">
        <v>0.03</v>
      </c>
      <c r="Q557" t="s">
        <v>245</v>
      </c>
      <c r="R557">
        <v>28.6</v>
      </c>
      <c r="S557">
        <v>31.4</v>
      </c>
      <c r="T557">
        <v>28.6</v>
      </c>
      <c r="U557">
        <v>4.3</v>
      </c>
      <c r="V557">
        <v>7.1</v>
      </c>
    </row>
    <row r="558" spans="1:22" x14ac:dyDescent="0.25">
      <c r="A558" t="s">
        <v>1863</v>
      </c>
      <c r="B558" t="s">
        <v>510</v>
      </c>
      <c r="C558">
        <v>14</v>
      </c>
      <c r="D558" t="s">
        <v>260</v>
      </c>
      <c r="E558" t="s">
        <v>96</v>
      </c>
      <c r="F558" t="s">
        <v>57</v>
      </c>
      <c r="G558">
        <v>0.43</v>
      </c>
      <c r="H558" t="s">
        <v>79</v>
      </c>
      <c r="I558">
        <v>6</v>
      </c>
      <c r="J558" t="str">
        <f>HYPERLINK("https://www.eliteprospects.com/player/779765/brodie-mcconnell-barker")</f>
        <v>https://www.eliteprospects.com/player/779765/brodie-mcconnell-barker</v>
      </c>
      <c r="K558" t="s">
        <v>27</v>
      </c>
      <c r="L558" t="s">
        <v>485</v>
      </c>
      <c r="M558" t="s">
        <v>1296</v>
      </c>
      <c r="N558">
        <v>4</v>
      </c>
      <c r="O558" t="s">
        <v>486</v>
      </c>
      <c r="P558">
        <v>0.06</v>
      </c>
      <c r="Q558" t="s">
        <v>1325</v>
      </c>
      <c r="R558">
        <v>26.3</v>
      </c>
      <c r="S558">
        <v>23.7</v>
      </c>
      <c r="T558">
        <v>28.9</v>
      </c>
      <c r="U558">
        <v>5.3</v>
      </c>
      <c r="V558">
        <v>15.8</v>
      </c>
    </row>
    <row r="559" spans="1:22" x14ac:dyDescent="0.25">
      <c r="A559" t="s">
        <v>1864</v>
      </c>
      <c r="B559" t="s">
        <v>510</v>
      </c>
      <c r="C559">
        <v>15</v>
      </c>
      <c r="D559" t="s">
        <v>260</v>
      </c>
      <c r="E559" t="s">
        <v>96</v>
      </c>
      <c r="F559" t="s">
        <v>57</v>
      </c>
      <c r="G559">
        <v>0.4</v>
      </c>
      <c r="H559" t="s">
        <v>32</v>
      </c>
      <c r="I559">
        <v>7</v>
      </c>
      <c r="J559" t="str">
        <f>HYPERLINK("https://www.eliteprospects.com/player/628088/callum-croskery")</f>
        <v>https://www.eliteprospects.com/player/628088/callum-croskery</v>
      </c>
      <c r="K559" t="s">
        <v>27</v>
      </c>
      <c r="L559" t="s">
        <v>485</v>
      </c>
      <c r="M559" t="s">
        <v>1296</v>
      </c>
      <c r="N559">
        <v>1</v>
      </c>
      <c r="O559" t="s">
        <v>494</v>
      </c>
      <c r="P559">
        <v>0.06</v>
      </c>
      <c r="Q559" t="s">
        <v>1325</v>
      </c>
      <c r="R559">
        <v>26.3</v>
      </c>
      <c r="S559">
        <v>23.7</v>
      </c>
      <c r="T559">
        <v>28.9</v>
      </c>
      <c r="U559">
        <v>5.3</v>
      </c>
      <c r="V559">
        <v>15.8</v>
      </c>
    </row>
    <row r="560" spans="1:22" x14ac:dyDescent="0.25">
      <c r="A560" t="s">
        <v>1865</v>
      </c>
      <c r="B560" t="s">
        <v>493</v>
      </c>
      <c r="C560">
        <v>20</v>
      </c>
      <c r="D560" t="s">
        <v>260</v>
      </c>
      <c r="E560" t="s">
        <v>96</v>
      </c>
      <c r="F560" t="s">
        <v>57</v>
      </c>
      <c r="G560">
        <v>0.3</v>
      </c>
      <c r="H560" t="s">
        <v>66</v>
      </c>
      <c r="I560">
        <v>1</v>
      </c>
      <c r="J560" t="str">
        <f>HYPERLINK("https://www.eliteprospects.com/player/689886/camron-hankai")</f>
        <v>https://www.eliteprospects.com/player/689886/camron-hankai</v>
      </c>
      <c r="K560" t="s">
        <v>27</v>
      </c>
      <c r="L560" t="s">
        <v>485</v>
      </c>
      <c r="M560" t="s">
        <v>1296</v>
      </c>
      <c r="N560">
        <v>1</v>
      </c>
      <c r="O560" t="s">
        <v>494</v>
      </c>
      <c r="P560">
        <v>0.04</v>
      </c>
      <c r="Q560" t="s">
        <v>245</v>
      </c>
      <c r="R560">
        <v>28.6</v>
      </c>
      <c r="S560">
        <v>31.4</v>
      </c>
      <c r="T560">
        <v>28.6</v>
      </c>
      <c r="U560">
        <v>4.3</v>
      </c>
      <c r="V560">
        <v>7.1</v>
      </c>
    </row>
    <row r="561" spans="1:22" x14ac:dyDescent="0.25">
      <c r="A561" t="s">
        <v>1866</v>
      </c>
      <c r="B561" t="s">
        <v>515</v>
      </c>
      <c r="C561">
        <v>27</v>
      </c>
      <c r="D561" t="s">
        <v>260</v>
      </c>
      <c r="E561" t="s">
        <v>96</v>
      </c>
      <c r="F561" t="s">
        <v>57</v>
      </c>
      <c r="G561">
        <v>0.22</v>
      </c>
      <c r="H561" t="s">
        <v>32</v>
      </c>
      <c r="I561">
        <v>-4</v>
      </c>
      <c r="J561" t="str">
        <f>HYPERLINK("https://www.eliteprospects.com/player/906000/ethan-armstrong")</f>
        <v>https://www.eliteprospects.com/player/906000/ethan-armstrong</v>
      </c>
      <c r="K561" t="s">
        <v>27</v>
      </c>
      <c r="L561" t="s">
        <v>485</v>
      </c>
      <c r="M561" t="s">
        <v>1296</v>
      </c>
      <c r="N561">
        <v>2</v>
      </c>
      <c r="O561" t="s">
        <v>501</v>
      </c>
      <c r="P561">
        <v>0.03</v>
      </c>
      <c r="Q561" t="s">
        <v>245</v>
      </c>
      <c r="R561">
        <v>28.6</v>
      </c>
      <c r="S561">
        <v>31.4</v>
      </c>
      <c r="T561">
        <v>28.6</v>
      </c>
      <c r="U561">
        <v>4.3</v>
      </c>
      <c r="V561">
        <v>7.1</v>
      </c>
    </row>
    <row r="562" spans="1:22" x14ac:dyDescent="0.25">
      <c r="A562" t="s">
        <v>1867</v>
      </c>
      <c r="B562" t="s">
        <v>510</v>
      </c>
      <c r="C562">
        <v>38</v>
      </c>
      <c r="D562" t="s">
        <v>260</v>
      </c>
      <c r="E562" t="s">
        <v>96</v>
      </c>
      <c r="F562" t="s">
        <v>57</v>
      </c>
      <c r="G562">
        <v>0.16</v>
      </c>
      <c r="H562" t="s">
        <v>491</v>
      </c>
      <c r="I562">
        <v>15</v>
      </c>
      <c r="J562" t="str">
        <f>HYPERLINK("https://www.eliteprospects.com/player/710866/spencer-evans")</f>
        <v>https://www.eliteprospects.com/player/710866/spencer-evans</v>
      </c>
      <c r="K562" t="s">
        <v>27</v>
      </c>
      <c r="L562" t="s">
        <v>485</v>
      </c>
      <c r="M562" t="s">
        <v>1296</v>
      </c>
      <c r="N562">
        <v>8</v>
      </c>
      <c r="O562" t="s">
        <v>1868</v>
      </c>
      <c r="P562">
        <v>0.02</v>
      </c>
      <c r="Q562" t="s">
        <v>245</v>
      </c>
      <c r="R562">
        <v>28.6</v>
      </c>
      <c r="S562">
        <v>31.4</v>
      </c>
      <c r="T562">
        <v>28.6</v>
      </c>
      <c r="U562">
        <v>4.3</v>
      </c>
      <c r="V562">
        <v>7.1</v>
      </c>
    </row>
    <row r="563" spans="1:22" x14ac:dyDescent="0.25">
      <c r="A563" t="s">
        <v>1869</v>
      </c>
      <c r="B563" t="s">
        <v>536</v>
      </c>
      <c r="C563">
        <v>31</v>
      </c>
      <c r="D563" t="s">
        <v>132</v>
      </c>
      <c r="E563" t="s">
        <v>57</v>
      </c>
      <c r="F563" t="s">
        <v>57</v>
      </c>
      <c r="G563">
        <v>0.19</v>
      </c>
      <c r="H563" t="s">
        <v>51</v>
      </c>
      <c r="I563">
        <v>4</v>
      </c>
      <c r="J563" t="str">
        <f>HYPERLINK("https://www.eliteprospects.com/player/764364/hughston-hurt")</f>
        <v>https://www.eliteprospects.com/player/764364/hughston-hurt</v>
      </c>
      <c r="K563" t="s">
        <v>27</v>
      </c>
      <c r="L563" t="s">
        <v>485</v>
      </c>
      <c r="M563" t="s">
        <v>1296</v>
      </c>
      <c r="N563">
        <v>3</v>
      </c>
      <c r="O563" t="s">
        <v>492</v>
      </c>
      <c r="P563">
        <v>0.03</v>
      </c>
      <c r="Q563" t="s">
        <v>245</v>
      </c>
      <c r="R563">
        <v>28.6</v>
      </c>
      <c r="S563">
        <v>31.4</v>
      </c>
      <c r="T563">
        <v>28.6</v>
      </c>
      <c r="U563">
        <v>4.3</v>
      </c>
      <c r="V563">
        <v>7.1</v>
      </c>
    </row>
    <row r="564" spans="1:22" x14ac:dyDescent="0.25">
      <c r="A564" t="s">
        <v>1870</v>
      </c>
      <c r="B564" t="s">
        <v>526</v>
      </c>
      <c r="C564">
        <v>34</v>
      </c>
      <c r="D564" t="s">
        <v>132</v>
      </c>
      <c r="E564" t="s">
        <v>57</v>
      </c>
      <c r="F564" t="s">
        <v>57</v>
      </c>
      <c r="G564">
        <v>0.18</v>
      </c>
      <c r="H564" t="s">
        <v>503</v>
      </c>
      <c r="I564">
        <v>9</v>
      </c>
      <c r="J564" t="str">
        <f>HYPERLINK("https://www.eliteprospects.com/player/862695/grayden-strohack")</f>
        <v>https://www.eliteprospects.com/player/862695/grayden-strohack</v>
      </c>
      <c r="K564" t="s">
        <v>27</v>
      </c>
      <c r="L564" t="s">
        <v>485</v>
      </c>
      <c r="M564" t="s">
        <v>1296</v>
      </c>
      <c r="N564">
        <v>4</v>
      </c>
      <c r="O564" t="s">
        <v>486</v>
      </c>
      <c r="P564">
        <v>0.03</v>
      </c>
      <c r="Q564" t="s">
        <v>245</v>
      </c>
      <c r="R564">
        <v>28.6</v>
      </c>
      <c r="S564">
        <v>31.4</v>
      </c>
      <c r="T564">
        <v>28.6</v>
      </c>
      <c r="U564">
        <v>4.3</v>
      </c>
      <c r="V564">
        <v>7.1</v>
      </c>
    </row>
    <row r="565" spans="1:22" x14ac:dyDescent="0.25">
      <c r="A565" t="s">
        <v>1871</v>
      </c>
      <c r="B565" t="s">
        <v>531</v>
      </c>
      <c r="C565">
        <v>38</v>
      </c>
      <c r="D565" t="s">
        <v>132</v>
      </c>
      <c r="E565" t="s">
        <v>57</v>
      </c>
      <c r="F565" t="s">
        <v>57</v>
      </c>
      <c r="G565">
        <v>0.16</v>
      </c>
      <c r="H565" t="s">
        <v>32</v>
      </c>
      <c r="I565">
        <v>-19</v>
      </c>
      <c r="J565" t="str">
        <f>HYPERLINK("https://www.eliteprospects.com/player/876714/brady-blaseg")</f>
        <v>https://www.eliteprospects.com/player/876714/brady-blaseg</v>
      </c>
      <c r="K565" t="s">
        <v>27</v>
      </c>
      <c r="L565" t="s">
        <v>485</v>
      </c>
      <c r="M565" t="s">
        <v>1296</v>
      </c>
      <c r="N565">
        <v>2</v>
      </c>
      <c r="O565" t="s">
        <v>501</v>
      </c>
      <c r="P565">
        <v>0.02</v>
      </c>
      <c r="Q565" t="s">
        <v>245</v>
      </c>
      <c r="R565">
        <v>28.6</v>
      </c>
      <c r="S565">
        <v>31.4</v>
      </c>
      <c r="T565">
        <v>28.6</v>
      </c>
      <c r="U565">
        <v>4.3</v>
      </c>
      <c r="V565">
        <v>7.1</v>
      </c>
    </row>
    <row r="566" spans="1:22" x14ac:dyDescent="0.25">
      <c r="A566" t="s">
        <v>1872</v>
      </c>
      <c r="B566" t="s">
        <v>507</v>
      </c>
      <c r="C566">
        <v>24</v>
      </c>
      <c r="D566" t="s">
        <v>140</v>
      </c>
      <c r="E566" t="s">
        <v>79</v>
      </c>
      <c r="F566" t="s">
        <v>96</v>
      </c>
      <c r="G566">
        <v>0.21</v>
      </c>
      <c r="H566" t="s">
        <v>33</v>
      </c>
      <c r="I566">
        <v>0</v>
      </c>
      <c r="J566" t="str">
        <f>HYPERLINK("https://www.eliteprospects.com/player/881135/liam-ladds")</f>
        <v>https://www.eliteprospects.com/player/881135/liam-ladds</v>
      </c>
      <c r="K566" t="s">
        <v>27</v>
      </c>
      <c r="L566" t="s">
        <v>485</v>
      </c>
      <c r="M566" t="s">
        <v>1296</v>
      </c>
      <c r="N566">
        <v>3</v>
      </c>
      <c r="O566" t="s">
        <v>492</v>
      </c>
      <c r="P566">
        <v>0.03</v>
      </c>
      <c r="Q566" t="s">
        <v>245</v>
      </c>
      <c r="R566">
        <v>28.6</v>
      </c>
      <c r="S566">
        <v>31.4</v>
      </c>
      <c r="T566">
        <v>28.6</v>
      </c>
      <c r="U566">
        <v>4.3</v>
      </c>
      <c r="V566">
        <v>7.1</v>
      </c>
    </row>
    <row r="567" spans="1:22" x14ac:dyDescent="0.25">
      <c r="A567" t="s">
        <v>1873</v>
      </c>
      <c r="B567" t="s">
        <v>507</v>
      </c>
      <c r="C567">
        <v>38</v>
      </c>
      <c r="D567" t="s">
        <v>140</v>
      </c>
      <c r="E567" t="s">
        <v>79</v>
      </c>
      <c r="F567" t="s">
        <v>96</v>
      </c>
      <c r="G567">
        <v>0.13</v>
      </c>
      <c r="H567" t="s">
        <v>125</v>
      </c>
      <c r="I567">
        <v>-1</v>
      </c>
      <c r="J567" t="str">
        <f>HYPERLINK("https://www.eliteprospects.com/player/897401/carter-hicks")</f>
        <v>https://www.eliteprospects.com/player/897401/carter-hicks</v>
      </c>
      <c r="K567" t="s">
        <v>27</v>
      </c>
      <c r="L567" t="s">
        <v>485</v>
      </c>
      <c r="M567" t="s">
        <v>1296</v>
      </c>
      <c r="N567">
        <v>2</v>
      </c>
      <c r="O567" t="s">
        <v>501</v>
      </c>
      <c r="P567">
        <v>0.02</v>
      </c>
      <c r="Q567" t="s">
        <v>245</v>
      </c>
      <c r="R567">
        <v>28.6</v>
      </c>
      <c r="S567">
        <v>31.4</v>
      </c>
      <c r="T567">
        <v>28.6</v>
      </c>
      <c r="U567">
        <v>4.3</v>
      </c>
      <c r="V567">
        <v>7.1</v>
      </c>
    </row>
    <row r="568" spans="1:22" x14ac:dyDescent="0.25">
      <c r="A568" t="s">
        <v>1874</v>
      </c>
      <c r="B568" t="s">
        <v>578</v>
      </c>
      <c r="C568">
        <v>41</v>
      </c>
      <c r="D568" t="s">
        <v>79</v>
      </c>
      <c r="E568" t="s">
        <v>140</v>
      </c>
      <c r="F568" t="s">
        <v>96</v>
      </c>
      <c r="G568">
        <v>0.12</v>
      </c>
      <c r="H568" t="s">
        <v>47</v>
      </c>
      <c r="I568">
        <v>-17</v>
      </c>
      <c r="J568" t="str">
        <f>HYPERLINK("https://www.eliteprospects.com/player/864166/julius-saari")</f>
        <v>https://www.eliteprospects.com/player/864166/julius-saari</v>
      </c>
      <c r="K568" t="s">
        <v>27</v>
      </c>
      <c r="L568" t="s">
        <v>485</v>
      </c>
      <c r="M568" t="s">
        <v>1296</v>
      </c>
      <c r="N568">
        <v>1</v>
      </c>
      <c r="O568" t="s">
        <v>494</v>
      </c>
      <c r="P568">
        <v>0.02</v>
      </c>
      <c r="Q568" t="s">
        <v>245</v>
      </c>
      <c r="R568">
        <v>28.6</v>
      </c>
      <c r="S568">
        <v>31.4</v>
      </c>
      <c r="T568">
        <v>28.6</v>
      </c>
      <c r="U568">
        <v>4.3</v>
      </c>
      <c r="V568">
        <v>7.1</v>
      </c>
    </row>
    <row r="569" spans="1:22" x14ac:dyDescent="0.25">
      <c r="A569" t="s">
        <v>1875</v>
      </c>
      <c r="B569" t="s">
        <v>488</v>
      </c>
      <c r="C569">
        <v>32</v>
      </c>
      <c r="D569" t="s">
        <v>260</v>
      </c>
      <c r="E569" t="s">
        <v>66</v>
      </c>
      <c r="F569" t="s">
        <v>96</v>
      </c>
      <c r="G569">
        <v>0.16</v>
      </c>
      <c r="H569" t="s">
        <v>39</v>
      </c>
      <c r="I569">
        <v>-12</v>
      </c>
      <c r="J569" t="str">
        <f>HYPERLINK("https://www.eliteprospects.com/player/905936/trevor-o-dell")</f>
        <v>https://www.eliteprospects.com/player/905936/trevor-o-dell</v>
      </c>
      <c r="K569" t="s">
        <v>27</v>
      </c>
      <c r="L569" t="s">
        <v>485</v>
      </c>
      <c r="M569" t="s">
        <v>1296</v>
      </c>
      <c r="N569">
        <v>3</v>
      </c>
      <c r="O569" t="s">
        <v>492</v>
      </c>
      <c r="P569">
        <v>0.02</v>
      </c>
      <c r="Q569" t="s">
        <v>245</v>
      </c>
      <c r="R569">
        <v>28.6</v>
      </c>
      <c r="S569">
        <v>31.4</v>
      </c>
      <c r="T569">
        <v>28.6</v>
      </c>
      <c r="U569">
        <v>4.3</v>
      </c>
      <c r="V569">
        <v>7.1</v>
      </c>
    </row>
    <row r="570" spans="1:22" x14ac:dyDescent="0.25">
      <c r="A570" t="s">
        <v>1876</v>
      </c>
      <c r="B570" t="s">
        <v>515</v>
      </c>
      <c r="C570">
        <v>35</v>
      </c>
      <c r="D570" t="s">
        <v>260</v>
      </c>
      <c r="E570" t="s">
        <v>66</v>
      </c>
      <c r="F570" t="s">
        <v>96</v>
      </c>
      <c r="G570">
        <v>0.14000000000000001</v>
      </c>
      <c r="H570" t="s">
        <v>763</v>
      </c>
      <c r="I570">
        <v>1</v>
      </c>
      <c r="J570" t="str">
        <f>HYPERLINK("https://www.eliteprospects.com/player/618997/gabriel-eliasson")</f>
        <v>https://www.eliteprospects.com/player/618997/gabriel-eliasson</v>
      </c>
      <c r="K570" t="s">
        <v>27</v>
      </c>
      <c r="L570" t="s">
        <v>485</v>
      </c>
      <c r="M570" t="s">
        <v>1296</v>
      </c>
      <c r="N570">
        <v>2</v>
      </c>
      <c r="O570" t="s">
        <v>501</v>
      </c>
      <c r="P570">
        <v>0.02</v>
      </c>
      <c r="Q570" t="s">
        <v>245</v>
      </c>
      <c r="R570">
        <v>28.6</v>
      </c>
      <c r="S570">
        <v>31.4</v>
      </c>
      <c r="T570">
        <v>28.6</v>
      </c>
      <c r="U570">
        <v>4.3</v>
      </c>
      <c r="V570">
        <v>7.1</v>
      </c>
    </row>
    <row r="571" spans="1:22" x14ac:dyDescent="0.25">
      <c r="A571" t="s">
        <v>1877</v>
      </c>
      <c r="B571" t="s">
        <v>515</v>
      </c>
      <c r="C571">
        <v>30</v>
      </c>
      <c r="D571" t="s">
        <v>132</v>
      </c>
      <c r="E571" t="s">
        <v>96</v>
      </c>
      <c r="F571" t="s">
        <v>96</v>
      </c>
      <c r="G571">
        <v>0.17</v>
      </c>
      <c r="H571" t="s">
        <v>39</v>
      </c>
      <c r="I571">
        <v>7</v>
      </c>
      <c r="J571" t="str">
        <f>HYPERLINK("https://www.eliteprospects.com/player/881099/teague-vader")</f>
        <v>https://www.eliteprospects.com/player/881099/teague-vader</v>
      </c>
      <c r="K571" t="s">
        <v>27</v>
      </c>
      <c r="L571" t="s">
        <v>485</v>
      </c>
      <c r="M571" t="s">
        <v>1296</v>
      </c>
      <c r="N571">
        <v>2</v>
      </c>
      <c r="O571" t="s">
        <v>501</v>
      </c>
      <c r="P571">
        <v>0.02</v>
      </c>
      <c r="Q571" t="s">
        <v>245</v>
      </c>
      <c r="R571">
        <v>28.6</v>
      </c>
      <c r="S571">
        <v>31.4</v>
      </c>
      <c r="T571">
        <v>28.6</v>
      </c>
      <c r="U571">
        <v>4.3</v>
      </c>
      <c r="V571">
        <v>7.1</v>
      </c>
    </row>
    <row r="572" spans="1:22" x14ac:dyDescent="0.25">
      <c r="A572" t="s">
        <v>1878</v>
      </c>
      <c r="B572" t="s">
        <v>531</v>
      </c>
      <c r="C572">
        <v>30</v>
      </c>
      <c r="D572" t="s">
        <v>132</v>
      </c>
      <c r="E572" t="s">
        <v>96</v>
      </c>
      <c r="F572" t="s">
        <v>96</v>
      </c>
      <c r="G572">
        <v>0.17</v>
      </c>
      <c r="H572" t="s">
        <v>39</v>
      </c>
      <c r="I572">
        <v>-12</v>
      </c>
      <c r="J572" t="str">
        <f>HYPERLINK("https://www.eliteprospects.com/player/961410/colin-feeley")</f>
        <v>https://www.eliteprospects.com/player/961410/colin-feeley</v>
      </c>
      <c r="K572" t="s">
        <v>27</v>
      </c>
      <c r="L572" t="s">
        <v>485</v>
      </c>
      <c r="M572" t="s">
        <v>1296</v>
      </c>
      <c r="N572">
        <v>1</v>
      </c>
      <c r="O572" t="s">
        <v>494</v>
      </c>
      <c r="P572">
        <v>0.02</v>
      </c>
      <c r="Q572" t="s">
        <v>245</v>
      </c>
      <c r="R572">
        <v>28.6</v>
      </c>
      <c r="S572">
        <v>31.4</v>
      </c>
      <c r="T572">
        <v>28.6</v>
      </c>
      <c r="U572">
        <v>4.3</v>
      </c>
      <c r="V572">
        <v>7.1</v>
      </c>
    </row>
    <row r="573" spans="1:22" x14ac:dyDescent="0.25">
      <c r="A573" t="s">
        <v>1879</v>
      </c>
      <c r="B573" t="s">
        <v>507</v>
      </c>
      <c r="C573">
        <v>31</v>
      </c>
      <c r="D573" t="s">
        <v>132</v>
      </c>
      <c r="E573" t="s">
        <v>96</v>
      </c>
      <c r="F573" t="s">
        <v>96</v>
      </c>
      <c r="G573">
        <v>0.16</v>
      </c>
      <c r="H573" t="s">
        <v>66</v>
      </c>
      <c r="I573">
        <v>-2</v>
      </c>
      <c r="J573" t="str">
        <f>HYPERLINK("https://www.eliteprospects.com/player/887886/patrick-babin")</f>
        <v>https://www.eliteprospects.com/player/887886/patrick-babin</v>
      </c>
      <c r="K573" t="s">
        <v>27</v>
      </c>
      <c r="L573" t="s">
        <v>485</v>
      </c>
      <c r="M573" t="s">
        <v>1296</v>
      </c>
      <c r="N573">
        <v>2</v>
      </c>
      <c r="O573" t="s">
        <v>501</v>
      </c>
      <c r="P573">
        <v>0.02</v>
      </c>
      <c r="Q573" t="s">
        <v>245</v>
      </c>
      <c r="R573">
        <v>28.6</v>
      </c>
      <c r="S573">
        <v>31.4</v>
      </c>
      <c r="T573">
        <v>28.6</v>
      </c>
      <c r="U573">
        <v>4.3</v>
      </c>
      <c r="V573">
        <v>7.1</v>
      </c>
    </row>
    <row r="574" spans="1:22" x14ac:dyDescent="0.25">
      <c r="A574" t="s">
        <v>1880</v>
      </c>
      <c r="B574" t="s">
        <v>507</v>
      </c>
      <c r="C574">
        <v>36</v>
      </c>
      <c r="D574" t="s">
        <v>132</v>
      </c>
      <c r="E574" t="s">
        <v>96</v>
      </c>
      <c r="F574" t="s">
        <v>96</v>
      </c>
      <c r="G574">
        <v>0.14000000000000001</v>
      </c>
      <c r="H574" t="s">
        <v>178</v>
      </c>
      <c r="I574">
        <v>1</v>
      </c>
      <c r="J574" t="str">
        <f>HYPERLINK("https://www.eliteprospects.com/player/881106/hayden-barch")</f>
        <v>https://www.eliteprospects.com/player/881106/hayden-barch</v>
      </c>
      <c r="K574" t="s">
        <v>27</v>
      </c>
      <c r="L574" t="s">
        <v>485</v>
      </c>
      <c r="M574" t="s">
        <v>1296</v>
      </c>
      <c r="N574">
        <v>2</v>
      </c>
      <c r="O574" t="s">
        <v>501</v>
      </c>
      <c r="P574">
        <v>0.02</v>
      </c>
      <c r="Q574" t="s">
        <v>245</v>
      </c>
      <c r="R574">
        <v>28.6</v>
      </c>
      <c r="S574">
        <v>31.4</v>
      </c>
      <c r="T574">
        <v>28.6</v>
      </c>
      <c r="U574">
        <v>4.3</v>
      </c>
      <c r="V574">
        <v>7.1</v>
      </c>
    </row>
    <row r="575" spans="1:22" x14ac:dyDescent="0.25">
      <c r="A575" t="s">
        <v>1881</v>
      </c>
      <c r="B575" t="s">
        <v>531</v>
      </c>
      <c r="C575">
        <v>35</v>
      </c>
      <c r="D575" t="s">
        <v>79</v>
      </c>
      <c r="E575" t="s">
        <v>79</v>
      </c>
      <c r="F575" t="s">
        <v>66</v>
      </c>
      <c r="G575">
        <v>0.11</v>
      </c>
      <c r="H575" t="s">
        <v>57</v>
      </c>
      <c r="I575">
        <v>-22</v>
      </c>
      <c r="J575" t="str">
        <f>HYPERLINK("https://www.eliteprospects.com/player/690049/anthony-timmerman")</f>
        <v>https://www.eliteprospects.com/player/690049/anthony-timmerman</v>
      </c>
      <c r="K575" t="s">
        <v>27</v>
      </c>
      <c r="L575" t="s">
        <v>485</v>
      </c>
      <c r="M575" t="s">
        <v>1296</v>
      </c>
      <c r="N575">
        <v>1</v>
      </c>
      <c r="O575" t="s">
        <v>494</v>
      </c>
      <c r="P575">
        <v>0.02</v>
      </c>
      <c r="Q575" t="s">
        <v>245</v>
      </c>
      <c r="R575">
        <v>28.6</v>
      </c>
      <c r="S575">
        <v>31.4</v>
      </c>
      <c r="T575">
        <v>28.6</v>
      </c>
      <c r="U575">
        <v>4.3</v>
      </c>
      <c r="V575">
        <v>7.1</v>
      </c>
    </row>
    <row r="576" spans="1:22" x14ac:dyDescent="0.25">
      <c r="A576" t="s">
        <v>1882</v>
      </c>
      <c r="B576" t="s">
        <v>515</v>
      </c>
      <c r="C576">
        <v>40</v>
      </c>
      <c r="D576" t="s">
        <v>79</v>
      </c>
      <c r="E576" t="s">
        <v>79</v>
      </c>
      <c r="F576" t="s">
        <v>66</v>
      </c>
      <c r="G576">
        <v>0.1</v>
      </c>
      <c r="H576" t="s">
        <v>513</v>
      </c>
      <c r="I576">
        <v>9</v>
      </c>
      <c r="J576" t="str">
        <f>HYPERLINK("https://www.eliteprospects.com/player/880891/evan-passmore")</f>
        <v>https://www.eliteprospects.com/player/880891/evan-passmore</v>
      </c>
      <c r="K576" t="s">
        <v>27</v>
      </c>
      <c r="L576" t="s">
        <v>485</v>
      </c>
      <c r="M576" t="s">
        <v>1296</v>
      </c>
      <c r="N576">
        <v>3</v>
      </c>
      <c r="O576" t="s">
        <v>492</v>
      </c>
      <c r="P576">
        <v>0.01</v>
      </c>
      <c r="Q576" t="s">
        <v>245</v>
      </c>
      <c r="R576">
        <v>28.6</v>
      </c>
      <c r="S576">
        <v>31.4</v>
      </c>
      <c r="T576">
        <v>28.6</v>
      </c>
      <c r="U576">
        <v>4.3</v>
      </c>
      <c r="V576">
        <v>7.1</v>
      </c>
    </row>
    <row r="577" spans="1:22" x14ac:dyDescent="0.25">
      <c r="A577" t="s">
        <v>1883</v>
      </c>
      <c r="B577" t="s">
        <v>490</v>
      </c>
      <c r="C577">
        <v>20</v>
      </c>
      <c r="D577" t="s">
        <v>260</v>
      </c>
      <c r="E577" t="s">
        <v>140</v>
      </c>
      <c r="F577" t="s">
        <v>66</v>
      </c>
      <c r="G577">
        <v>0.2</v>
      </c>
      <c r="H577" t="s">
        <v>57</v>
      </c>
      <c r="I577">
        <v>4</v>
      </c>
      <c r="J577" t="str">
        <f>HYPERLINK("https://www.eliteprospects.com/player/597859/blake-barnes")</f>
        <v>https://www.eliteprospects.com/player/597859/blake-barnes</v>
      </c>
      <c r="K577" t="s">
        <v>27</v>
      </c>
      <c r="L577" t="s">
        <v>485</v>
      </c>
      <c r="M577" t="s">
        <v>1296</v>
      </c>
      <c r="N577">
        <v>3</v>
      </c>
      <c r="O577" t="s">
        <v>492</v>
      </c>
      <c r="P577">
        <v>0.03</v>
      </c>
      <c r="Q577" t="s">
        <v>245</v>
      </c>
      <c r="R577">
        <v>28.6</v>
      </c>
      <c r="S577">
        <v>31.4</v>
      </c>
      <c r="T577">
        <v>28.6</v>
      </c>
      <c r="U577">
        <v>4.3</v>
      </c>
      <c r="V577">
        <v>7.1</v>
      </c>
    </row>
    <row r="578" spans="1:22" x14ac:dyDescent="0.25">
      <c r="A578" t="s">
        <v>1884</v>
      </c>
      <c r="B578" t="s">
        <v>531</v>
      </c>
      <c r="C578">
        <v>33</v>
      </c>
      <c r="D578" t="s">
        <v>260</v>
      </c>
      <c r="E578" t="s">
        <v>140</v>
      </c>
      <c r="F578" t="s">
        <v>66</v>
      </c>
      <c r="G578">
        <v>0.12</v>
      </c>
      <c r="H578" t="s">
        <v>34</v>
      </c>
      <c r="I578">
        <v>-5</v>
      </c>
      <c r="J578" t="str">
        <f>HYPERLINK("https://www.eliteprospects.com/player/1004154/brady-murnane")</f>
        <v>https://www.eliteprospects.com/player/1004154/brady-murnane</v>
      </c>
      <c r="K578" t="s">
        <v>27</v>
      </c>
      <c r="L578" t="s">
        <v>485</v>
      </c>
      <c r="M578" t="s">
        <v>1296</v>
      </c>
      <c r="N578">
        <v>1</v>
      </c>
      <c r="O578" t="s">
        <v>494</v>
      </c>
      <c r="P578">
        <v>0.02</v>
      </c>
      <c r="Q578" t="s">
        <v>245</v>
      </c>
      <c r="R578">
        <v>28.6</v>
      </c>
      <c r="S578">
        <v>31.4</v>
      </c>
      <c r="T578">
        <v>28.6</v>
      </c>
      <c r="U578">
        <v>4.3</v>
      </c>
      <c r="V578">
        <v>7.1</v>
      </c>
    </row>
    <row r="579" spans="1:22" x14ac:dyDescent="0.25">
      <c r="A579" t="s">
        <v>1885</v>
      </c>
      <c r="B579" t="s">
        <v>504</v>
      </c>
      <c r="C579">
        <v>33</v>
      </c>
      <c r="D579" t="s">
        <v>260</v>
      </c>
      <c r="E579" t="s">
        <v>140</v>
      </c>
      <c r="F579" t="s">
        <v>66</v>
      </c>
      <c r="G579">
        <v>0.12</v>
      </c>
      <c r="H579" t="s">
        <v>53</v>
      </c>
      <c r="I579">
        <v>4</v>
      </c>
      <c r="J579" t="str">
        <f>HYPERLINK("https://www.eliteprospects.com/player/890367/andrew-macniel")</f>
        <v>https://www.eliteprospects.com/player/890367/andrew-macniel</v>
      </c>
      <c r="K579" t="s">
        <v>27</v>
      </c>
      <c r="L579" t="s">
        <v>485</v>
      </c>
      <c r="M579" t="s">
        <v>1296</v>
      </c>
      <c r="N579">
        <v>3</v>
      </c>
      <c r="O579" t="s">
        <v>492</v>
      </c>
      <c r="P579">
        <v>0.02</v>
      </c>
      <c r="Q579" t="s">
        <v>245</v>
      </c>
      <c r="R579">
        <v>28.6</v>
      </c>
      <c r="S579">
        <v>31.4</v>
      </c>
      <c r="T579">
        <v>28.6</v>
      </c>
      <c r="U579">
        <v>4.3</v>
      </c>
      <c r="V579">
        <v>7.1</v>
      </c>
    </row>
    <row r="580" spans="1:22" x14ac:dyDescent="0.25">
      <c r="A580" t="s">
        <v>1886</v>
      </c>
      <c r="B580" t="s">
        <v>562</v>
      </c>
      <c r="C580">
        <v>33</v>
      </c>
      <c r="D580" t="s">
        <v>260</v>
      </c>
      <c r="E580" t="s">
        <v>140</v>
      </c>
      <c r="F580" t="s">
        <v>66</v>
      </c>
      <c r="G580">
        <v>0.12</v>
      </c>
      <c r="H580" t="s">
        <v>235</v>
      </c>
      <c r="I580">
        <v>-6</v>
      </c>
      <c r="J580" t="str">
        <f>HYPERLINK("https://www.eliteprospects.com/player/987181/peter-green")</f>
        <v>https://www.eliteprospects.com/player/987181/peter-green</v>
      </c>
      <c r="K580" t="s">
        <v>27</v>
      </c>
      <c r="L580" t="s">
        <v>485</v>
      </c>
      <c r="M580" t="s">
        <v>1296</v>
      </c>
      <c r="N580">
        <v>1</v>
      </c>
      <c r="O580" t="s">
        <v>494</v>
      </c>
      <c r="P580">
        <v>0.02</v>
      </c>
      <c r="Q580" t="s">
        <v>245</v>
      </c>
      <c r="R580">
        <v>28.6</v>
      </c>
      <c r="S580">
        <v>31.4</v>
      </c>
      <c r="T580">
        <v>28.6</v>
      </c>
      <c r="U580">
        <v>4.3</v>
      </c>
      <c r="V580">
        <v>7.1</v>
      </c>
    </row>
    <row r="581" spans="1:22" x14ac:dyDescent="0.25">
      <c r="A581" t="s">
        <v>1887</v>
      </c>
      <c r="B581" t="s">
        <v>561</v>
      </c>
      <c r="C581">
        <v>37</v>
      </c>
      <c r="D581" t="s">
        <v>260</v>
      </c>
      <c r="E581" t="s">
        <v>140</v>
      </c>
      <c r="F581" t="s">
        <v>66</v>
      </c>
      <c r="G581">
        <v>0.11</v>
      </c>
      <c r="H581" t="s">
        <v>55</v>
      </c>
      <c r="I581">
        <v>12</v>
      </c>
      <c r="J581" t="str">
        <f>HYPERLINK("https://www.eliteprospects.com/player/890365/lukas-moore")</f>
        <v>https://www.eliteprospects.com/player/890365/lukas-moore</v>
      </c>
      <c r="K581" t="s">
        <v>27</v>
      </c>
      <c r="L581" t="s">
        <v>485</v>
      </c>
      <c r="M581" t="s">
        <v>1296</v>
      </c>
      <c r="N581">
        <v>2</v>
      </c>
      <c r="O581" t="s">
        <v>501</v>
      </c>
      <c r="P581">
        <v>0.02</v>
      </c>
      <c r="Q581" t="s">
        <v>245</v>
      </c>
      <c r="R581">
        <v>28.6</v>
      </c>
      <c r="S581">
        <v>31.4</v>
      </c>
      <c r="T581">
        <v>28.6</v>
      </c>
      <c r="U581">
        <v>4.3</v>
      </c>
      <c r="V581">
        <v>7.1</v>
      </c>
    </row>
    <row r="582" spans="1:22" x14ac:dyDescent="0.25">
      <c r="A582" t="s">
        <v>1888</v>
      </c>
      <c r="B582" t="s">
        <v>521</v>
      </c>
      <c r="C582">
        <v>15</v>
      </c>
      <c r="D582" t="s">
        <v>132</v>
      </c>
      <c r="E582" t="s">
        <v>66</v>
      </c>
      <c r="F582" t="s">
        <v>66</v>
      </c>
      <c r="G582">
        <v>0.27</v>
      </c>
      <c r="H582" t="s">
        <v>57</v>
      </c>
      <c r="I582">
        <v>5</v>
      </c>
      <c r="J582" t="str">
        <f>HYPERLINK("https://www.eliteprospects.com/player/918214/nolan-jackson")</f>
        <v>https://www.eliteprospects.com/player/918214/nolan-jackson</v>
      </c>
      <c r="K582" t="s">
        <v>27</v>
      </c>
      <c r="L582" t="s">
        <v>485</v>
      </c>
      <c r="M582" t="s">
        <v>1296</v>
      </c>
      <c r="N582">
        <v>3</v>
      </c>
      <c r="O582" t="s">
        <v>492</v>
      </c>
      <c r="P582">
        <v>0.04</v>
      </c>
      <c r="Q582" t="s">
        <v>245</v>
      </c>
      <c r="R582">
        <v>28.6</v>
      </c>
      <c r="S582">
        <v>31.4</v>
      </c>
      <c r="T582">
        <v>28.6</v>
      </c>
      <c r="U582">
        <v>4.3</v>
      </c>
      <c r="V582">
        <v>7.1</v>
      </c>
    </row>
    <row r="583" spans="1:22" x14ac:dyDescent="0.25">
      <c r="A583" t="s">
        <v>1889</v>
      </c>
      <c r="B583" t="s">
        <v>507</v>
      </c>
      <c r="C583">
        <v>41</v>
      </c>
      <c r="D583" t="s">
        <v>132</v>
      </c>
      <c r="E583" t="s">
        <v>66</v>
      </c>
      <c r="F583" t="s">
        <v>66</v>
      </c>
      <c r="G583">
        <v>0.1</v>
      </c>
      <c r="H583" t="s">
        <v>40</v>
      </c>
      <c r="I583">
        <v>-6</v>
      </c>
      <c r="J583" t="str">
        <f>HYPERLINK("https://www.eliteprospects.com/player/836555/artyom-frolov")</f>
        <v>https://www.eliteprospects.com/player/836555/artyom-frolov</v>
      </c>
      <c r="K583" t="s">
        <v>27</v>
      </c>
      <c r="L583" t="s">
        <v>485</v>
      </c>
      <c r="M583" t="s">
        <v>1296</v>
      </c>
      <c r="N583">
        <v>3</v>
      </c>
      <c r="O583" t="s">
        <v>492</v>
      </c>
      <c r="P583">
        <v>0.01</v>
      </c>
      <c r="Q583" t="s">
        <v>245</v>
      </c>
      <c r="R583">
        <v>28.6</v>
      </c>
      <c r="S583">
        <v>31.4</v>
      </c>
      <c r="T583">
        <v>28.6</v>
      </c>
      <c r="U583">
        <v>4.3</v>
      </c>
      <c r="V583">
        <v>7.1</v>
      </c>
    </row>
    <row r="584" spans="1:22" x14ac:dyDescent="0.25">
      <c r="A584" t="s">
        <v>1890</v>
      </c>
      <c r="B584" t="s">
        <v>496</v>
      </c>
      <c r="C584">
        <v>41</v>
      </c>
      <c r="D584" t="s">
        <v>132</v>
      </c>
      <c r="E584" t="s">
        <v>66</v>
      </c>
      <c r="F584" t="s">
        <v>66</v>
      </c>
      <c r="G584">
        <v>0.1</v>
      </c>
      <c r="H584" t="s">
        <v>491</v>
      </c>
      <c r="I584">
        <v>8</v>
      </c>
      <c r="J584" t="str">
        <f>HYPERLINK("https://www.eliteprospects.com/player/879064/joshua-glavin")</f>
        <v>https://www.eliteprospects.com/player/879064/joshua-glavin</v>
      </c>
      <c r="K584" t="s">
        <v>27</v>
      </c>
      <c r="L584" t="s">
        <v>485</v>
      </c>
      <c r="M584" t="s">
        <v>1296</v>
      </c>
      <c r="N584">
        <v>4</v>
      </c>
      <c r="O584" t="s">
        <v>486</v>
      </c>
      <c r="P584">
        <v>0.01</v>
      </c>
      <c r="Q584" t="s">
        <v>245</v>
      </c>
      <c r="R584">
        <v>28.6</v>
      </c>
      <c r="S584">
        <v>31.4</v>
      </c>
      <c r="T584">
        <v>28.6</v>
      </c>
      <c r="U584">
        <v>4.3</v>
      </c>
      <c r="V584">
        <v>7.1</v>
      </c>
    </row>
    <row r="585" spans="1:22" x14ac:dyDescent="0.25">
      <c r="A585" t="s">
        <v>1891</v>
      </c>
      <c r="B585" t="s">
        <v>498</v>
      </c>
      <c r="C585">
        <v>21</v>
      </c>
      <c r="D585" t="s">
        <v>79</v>
      </c>
      <c r="E585" t="s">
        <v>260</v>
      </c>
      <c r="F585" t="s">
        <v>140</v>
      </c>
      <c r="G585">
        <v>0.14000000000000001</v>
      </c>
      <c r="H585" t="s">
        <v>79</v>
      </c>
      <c r="I585">
        <v>2</v>
      </c>
      <c r="J585" t="str">
        <f>HYPERLINK("https://www.eliteprospects.com/player/968474/blake-munnings")</f>
        <v>https://www.eliteprospects.com/player/968474/blake-munnings</v>
      </c>
      <c r="K585" t="s">
        <v>27</v>
      </c>
      <c r="L585" t="s">
        <v>485</v>
      </c>
      <c r="M585" t="s">
        <v>1296</v>
      </c>
      <c r="N585">
        <v>1</v>
      </c>
      <c r="O585" t="s">
        <v>494</v>
      </c>
      <c r="P585">
        <v>0.02</v>
      </c>
      <c r="Q585" t="s">
        <v>245</v>
      </c>
      <c r="R585">
        <v>28.6</v>
      </c>
      <c r="S585">
        <v>31.4</v>
      </c>
      <c r="T585">
        <v>28.6</v>
      </c>
      <c r="U585">
        <v>4.3</v>
      </c>
      <c r="V585">
        <v>7.1</v>
      </c>
    </row>
    <row r="586" spans="1:22" x14ac:dyDescent="0.25">
      <c r="A586" t="s">
        <v>1892</v>
      </c>
      <c r="B586" t="s">
        <v>536</v>
      </c>
      <c r="C586">
        <v>34</v>
      </c>
      <c r="D586" t="s">
        <v>260</v>
      </c>
      <c r="E586" t="s">
        <v>79</v>
      </c>
      <c r="F586" t="s">
        <v>140</v>
      </c>
      <c r="G586">
        <v>0.09</v>
      </c>
      <c r="H586" t="s">
        <v>513</v>
      </c>
      <c r="I586">
        <v>-9</v>
      </c>
      <c r="J586" t="str">
        <f>HYPERLINK("https://www.eliteprospects.com/player/678283/kaden-aucoin")</f>
        <v>https://www.eliteprospects.com/player/678283/kaden-aucoin</v>
      </c>
      <c r="K586" t="s">
        <v>27</v>
      </c>
      <c r="L586" t="s">
        <v>485</v>
      </c>
      <c r="M586" t="s">
        <v>1296</v>
      </c>
      <c r="N586">
        <v>1</v>
      </c>
      <c r="O586" t="s">
        <v>494</v>
      </c>
      <c r="P586">
        <v>0.01</v>
      </c>
      <c r="Q586" t="s">
        <v>245</v>
      </c>
      <c r="R586">
        <v>28.6</v>
      </c>
      <c r="S586">
        <v>31.4</v>
      </c>
      <c r="T586">
        <v>28.6</v>
      </c>
      <c r="U586">
        <v>4.3</v>
      </c>
      <c r="V586">
        <v>7.1</v>
      </c>
    </row>
    <row r="587" spans="1:22" x14ac:dyDescent="0.25">
      <c r="A587" t="s">
        <v>1893</v>
      </c>
      <c r="B587" t="s">
        <v>520</v>
      </c>
      <c r="C587">
        <v>41</v>
      </c>
      <c r="D587" t="s">
        <v>260</v>
      </c>
      <c r="E587" t="s">
        <v>79</v>
      </c>
      <c r="F587" t="s">
        <v>140</v>
      </c>
      <c r="G587">
        <v>7.0000000000000007E-2</v>
      </c>
      <c r="H587" t="s">
        <v>84</v>
      </c>
      <c r="I587">
        <v>16</v>
      </c>
      <c r="J587" t="str">
        <f>HYPERLINK("https://www.eliteprospects.com/player/689876/jonathan-brown")</f>
        <v>https://www.eliteprospects.com/player/689876/jonathan-brown</v>
      </c>
      <c r="K587" t="s">
        <v>27</v>
      </c>
      <c r="L587" t="s">
        <v>485</v>
      </c>
      <c r="M587" t="s">
        <v>1296</v>
      </c>
      <c r="N587">
        <v>1</v>
      </c>
      <c r="O587" t="s">
        <v>494</v>
      </c>
      <c r="P587">
        <v>0.01</v>
      </c>
      <c r="Q587" t="s">
        <v>245</v>
      </c>
      <c r="R587">
        <v>28.6</v>
      </c>
      <c r="S587">
        <v>31.4</v>
      </c>
      <c r="T587">
        <v>28.6</v>
      </c>
      <c r="U587">
        <v>4.3</v>
      </c>
      <c r="V587">
        <v>7.1</v>
      </c>
    </row>
    <row r="588" spans="1:22" x14ac:dyDescent="0.25">
      <c r="A588" t="s">
        <v>1894</v>
      </c>
      <c r="B588" t="s">
        <v>510</v>
      </c>
      <c r="C588">
        <v>22</v>
      </c>
      <c r="D588" t="s">
        <v>132</v>
      </c>
      <c r="E588" t="s">
        <v>140</v>
      </c>
      <c r="F588" t="s">
        <v>140</v>
      </c>
      <c r="G588">
        <v>0.14000000000000001</v>
      </c>
      <c r="H588" t="s">
        <v>32</v>
      </c>
      <c r="I588">
        <v>3</v>
      </c>
      <c r="J588" t="str">
        <f>HYPERLINK("https://www.eliteprospects.com/player/576954/keegan-gillen")</f>
        <v>https://www.eliteprospects.com/player/576954/keegan-gillen</v>
      </c>
      <c r="K588" t="s">
        <v>27</v>
      </c>
      <c r="L588" t="s">
        <v>485</v>
      </c>
      <c r="M588" t="s">
        <v>1296</v>
      </c>
      <c r="N588">
        <v>2</v>
      </c>
      <c r="O588" t="s">
        <v>501</v>
      </c>
      <c r="P588">
        <v>0.02</v>
      </c>
      <c r="Q588" t="s">
        <v>245</v>
      </c>
      <c r="R588">
        <v>28.6</v>
      </c>
      <c r="S588">
        <v>31.4</v>
      </c>
      <c r="T588">
        <v>28.6</v>
      </c>
      <c r="U588">
        <v>4.3</v>
      </c>
      <c r="V588">
        <v>7.1</v>
      </c>
    </row>
    <row r="589" spans="1:22" x14ac:dyDescent="0.25">
      <c r="A589" t="s">
        <v>1895</v>
      </c>
      <c r="B589" t="s">
        <v>532</v>
      </c>
      <c r="C589">
        <v>22</v>
      </c>
      <c r="D589" t="s">
        <v>132</v>
      </c>
      <c r="E589" t="s">
        <v>140</v>
      </c>
      <c r="F589" t="s">
        <v>140</v>
      </c>
      <c r="G589">
        <v>0.14000000000000001</v>
      </c>
      <c r="H589" t="s">
        <v>25</v>
      </c>
      <c r="I589">
        <v>2</v>
      </c>
      <c r="J589" t="str">
        <f>HYPERLINK("https://www.eliteprospects.com/player/896007/maxim-sokolovsky")</f>
        <v>https://www.eliteprospects.com/player/896007/maxim-sokolovsky</v>
      </c>
      <c r="K589" t="s">
        <v>27</v>
      </c>
      <c r="L589" t="s">
        <v>485</v>
      </c>
      <c r="M589" t="s">
        <v>1296</v>
      </c>
      <c r="N589">
        <v>1</v>
      </c>
      <c r="O589" t="s">
        <v>494</v>
      </c>
      <c r="P589">
        <v>0.02</v>
      </c>
      <c r="Q589" t="s">
        <v>245</v>
      </c>
      <c r="R589">
        <v>28.6</v>
      </c>
      <c r="S589">
        <v>31.4</v>
      </c>
      <c r="T589">
        <v>28.6</v>
      </c>
      <c r="U589">
        <v>4.3</v>
      </c>
      <c r="V589">
        <v>7.1</v>
      </c>
    </row>
    <row r="590" spans="1:22" x14ac:dyDescent="0.25">
      <c r="A590" t="s">
        <v>1896</v>
      </c>
      <c r="B590" t="s">
        <v>546</v>
      </c>
      <c r="C590">
        <v>29</v>
      </c>
      <c r="D590" t="s">
        <v>132</v>
      </c>
      <c r="E590" t="s">
        <v>140</v>
      </c>
      <c r="F590" t="s">
        <v>140</v>
      </c>
      <c r="G590">
        <v>0.1</v>
      </c>
      <c r="H590" t="s">
        <v>69</v>
      </c>
      <c r="I590">
        <v>-3</v>
      </c>
      <c r="J590" t="str">
        <f>HYPERLINK("https://www.eliteprospects.com/player/985399/carter-kunopaski")</f>
        <v>https://www.eliteprospects.com/player/985399/carter-kunopaski</v>
      </c>
      <c r="K590" t="s">
        <v>27</v>
      </c>
      <c r="L590" t="s">
        <v>485</v>
      </c>
      <c r="M590" t="s">
        <v>1296</v>
      </c>
      <c r="N590">
        <v>1</v>
      </c>
      <c r="O590" t="s">
        <v>494</v>
      </c>
      <c r="P590">
        <v>0.01</v>
      </c>
      <c r="Q590" t="s">
        <v>245</v>
      </c>
      <c r="R590">
        <v>28.6</v>
      </c>
      <c r="S590">
        <v>31.4</v>
      </c>
      <c r="T590">
        <v>28.6</v>
      </c>
      <c r="U590">
        <v>4.3</v>
      </c>
      <c r="V590">
        <v>7.1</v>
      </c>
    </row>
    <row r="591" spans="1:22" x14ac:dyDescent="0.25">
      <c r="A591" t="s">
        <v>1897</v>
      </c>
      <c r="B591" t="s">
        <v>562</v>
      </c>
      <c r="C591">
        <v>31</v>
      </c>
      <c r="D591" t="s">
        <v>132</v>
      </c>
      <c r="E591" t="s">
        <v>140</v>
      </c>
      <c r="F591" t="s">
        <v>140</v>
      </c>
      <c r="G591">
        <v>0.1</v>
      </c>
      <c r="H591" t="s">
        <v>500</v>
      </c>
      <c r="I591">
        <v>-14</v>
      </c>
      <c r="J591" t="str">
        <f>HYPERLINK("https://www.eliteprospects.com/player/880429/reed-gee")</f>
        <v>https://www.eliteprospects.com/player/880429/reed-gee</v>
      </c>
      <c r="K591" t="s">
        <v>27</v>
      </c>
      <c r="L591" t="s">
        <v>485</v>
      </c>
      <c r="M591" t="s">
        <v>1296</v>
      </c>
      <c r="N591">
        <v>4</v>
      </c>
      <c r="O591" t="s">
        <v>486</v>
      </c>
      <c r="P591">
        <v>0.01</v>
      </c>
      <c r="Q591" t="s">
        <v>245</v>
      </c>
      <c r="R591">
        <v>28.6</v>
      </c>
      <c r="S591">
        <v>31.4</v>
      </c>
      <c r="T591">
        <v>28.6</v>
      </c>
      <c r="U591">
        <v>4.3</v>
      </c>
      <c r="V591">
        <v>7.1</v>
      </c>
    </row>
    <row r="592" spans="1:22" x14ac:dyDescent="0.25">
      <c r="A592" t="s">
        <v>1898</v>
      </c>
      <c r="B592" t="s">
        <v>504</v>
      </c>
      <c r="C592">
        <v>15</v>
      </c>
      <c r="D592" t="s">
        <v>79</v>
      </c>
      <c r="E592" t="s">
        <v>132</v>
      </c>
      <c r="F592" t="s">
        <v>79</v>
      </c>
      <c r="G592">
        <v>0.13</v>
      </c>
      <c r="H592" t="s">
        <v>57</v>
      </c>
      <c r="I592">
        <v>-2</v>
      </c>
      <c r="J592" t="str">
        <f>HYPERLINK("https://www.eliteprospects.com/player/805219/kaden-schneider")</f>
        <v>https://www.eliteprospects.com/player/805219/kaden-schneider</v>
      </c>
      <c r="K592" t="s">
        <v>27</v>
      </c>
      <c r="L592" t="s">
        <v>485</v>
      </c>
      <c r="M592" t="s">
        <v>1296</v>
      </c>
      <c r="N592">
        <v>2</v>
      </c>
      <c r="O592" t="s">
        <v>501</v>
      </c>
      <c r="P592">
        <v>0.02</v>
      </c>
      <c r="Q592" t="s">
        <v>245</v>
      </c>
      <c r="R592">
        <v>28.6</v>
      </c>
      <c r="S592">
        <v>31.4</v>
      </c>
      <c r="T592">
        <v>28.6</v>
      </c>
      <c r="U592">
        <v>4.3</v>
      </c>
      <c r="V592">
        <v>7.1</v>
      </c>
    </row>
    <row r="593" spans="1:22" x14ac:dyDescent="0.25">
      <c r="A593" t="s">
        <v>1899</v>
      </c>
      <c r="B593" t="s">
        <v>484</v>
      </c>
      <c r="C593">
        <v>16</v>
      </c>
      <c r="D593" t="s">
        <v>260</v>
      </c>
      <c r="E593" t="s">
        <v>260</v>
      </c>
      <c r="F593" t="s">
        <v>79</v>
      </c>
      <c r="G593">
        <v>0.13</v>
      </c>
      <c r="H593" t="s">
        <v>24</v>
      </c>
      <c r="I593">
        <v>1</v>
      </c>
      <c r="J593" t="str">
        <f>HYPERLINK("https://www.eliteprospects.com/player/976477/christian-colosimo")</f>
        <v>https://www.eliteprospects.com/player/976477/christian-colosimo</v>
      </c>
      <c r="K593" t="s">
        <v>27</v>
      </c>
      <c r="L593" t="s">
        <v>485</v>
      </c>
      <c r="M593" t="s">
        <v>1296</v>
      </c>
      <c r="N593">
        <v>2</v>
      </c>
      <c r="O593" t="s">
        <v>501</v>
      </c>
      <c r="P593">
        <v>0.02</v>
      </c>
      <c r="Q593" t="s">
        <v>245</v>
      </c>
      <c r="R593">
        <v>28.6</v>
      </c>
      <c r="S593">
        <v>31.4</v>
      </c>
      <c r="T593">
        <v>28.6</v>
      </c>
      <c r="U593">
        <v>4.3</v>
      </c>
      <c r="V593">
        <v>7.1</v>
      </c>
    </row>
    <row r="594" spans="1:22" x14ac:dyDescent="0.25">
      <c r="A594" t="s">
        <v>1900</v>
      </c>
      <c r="B594" t="s">
        <v>531</v>
      </c>
      <c r="C594">
        <v>23</v>
      </c>
      <c r="D594" t="s">
        <v>260</v>
      </c>
      <c r="E594" t="s">
        <v>260</v>
      </c>
      <c r="F594" t="s">
        <v>79</v>
      </c>
      <c r="G594">
        <v>0.09</v>
      </c>
      <c r="H594" t="s">
        <v>45</v>
      </c>
      <c r="I594">
        <v>-6</v>
      </c>
      <c r="J594" t="str">
        <f>HYPERLINK("https://www.eliteprospects.com/player/862024/leo-laschon")</f>
        <v>https://www.eliteprospects.com/player/862024/leo-laschon</v>
      </c>
      <c r="K594" t="s">
        <v>27</v>
      </c>
      <c r="L594" t="s">
        <v>485</v>
      </c>
      <c r="M594" t="s">
        <v>1296</v>
      </c>
      <c r="N594">
        <v>1</v>
      </c>
      <c r="O594" t="s">
        <v>494</v>
      </c>
      <c r="P594">
        <v>0.01</v>
      </c>
      <c r="Q594" t="s">
        <v>245</v>
      </c>
      <c r="R594">
        <v>28.6</v>
      </c>
      <c r="S594">
        <v>31.4</v>
      </c>
      <c r="T594">
        <v>28.6</v>
      </c>
      <c r="U594">
        <v>4.3</v>
      </c>
      <c r="V594">
        <v>7.1</v>
      </c>
    </row>
    <row r="595" spans="1:22" x14ac:dyDescent="0.25">
      <c r="A595" t="s">
        <v>1901</v>
      </c>
      <c r="B595" t="s">
        <v>562</v>
      </c>
      <c r="C595">
        <v>11</v>
      </c>
      <c r="D595" t="s">
        <v>132</v>
      </c>
      <c r="E595" t="s">
        <v>79</v>
      </c>
      <c r="F595" t="s">
        <v>79</v>
      </c>
      <c r="G595">
        <v>0.18</v>
      </c>
      <c r="H595" t="s">
        <v>79</v>
      </c>
      <c r="I595">
        <v>-2</v>
      </c>
      <c r="J595" t="str">
        <f>HYPERLINK("https://www.eliteprospects.com/player/890943/sean-matthew-goyette")</f>
        <v>https://www.eliteprospects.com/player/890943/sean-matthew-goyette</v>
      </c>
      <c r="K595" t="s">
        <v>27</v>
      </c>
      <c r="L595" t="s">
        <v>485</v>
      </c>
      <c r="M595" t="s">
        <v>1296</v>
      </c>
      <c r="N595">
        <v>1</v>
      </c>
      <c r="O595" t="s">
        <v>494</v>
      </c>
      <c r="P595">
        <v>0.03</v>
      </c>
      <c r="Q595" t="s">
        <v>245</v>
      </c>
      <c r="R595">
        <v>28.6</v>
      </c>
      <c r="S595">
        <v>31.4</v>
      </c>
      <c r="T595">
        <v>28.6</v>
      </c>
      <c r="U595">
        <v>4.3</v>
      </c>
      <c r="V595">
        <v>7.1</v>
      </c>
    </row>
    <row r="596" spans="1:22" x14ac:dyDescent="0.25">
      <c r="A596" t="s">
        <v>1902</v>
      </c>
      <c r="B596" t="s">
        <v>561</v>
      </c>
      <c r="C596">
        <v>14</v>
      </c>
      <c r="D596" t="s">
        <v>132</v>
      </c>
      <c r="E596" t="s">
        <v>79</v>
      </c>
      <c r="F596" t="s">
        <v>79</v>
      </c>
      <c r="G596">
        <v>0.14000000000000001</v>
      </c>
      <c r="H596" t="s">
        <v>79</v>
      </c>
      <c r="I596">
        <v>-3</v>
      </c>
      <c r="J596" t="str">
        <f>HYPERLINK("https://www.eliteprospects.com/player/888237/niko-krmpotic")</f>
        <v>https://www.eliteprospects.com/player/888237/niko-krmpotic</v>
      </c>
      <c r="K596" t="s">
        <v>27</v>
      </c>
      <c r="L596" t="s">
        <v>485</v>
      </c>
      <c r="M596" t="s">
        <v>1296</v>
      </c>
      <c r="N596">
        <v>3</v>
      </c>
      <c r="O596" t="s">
        <v>492</v>
      </c>
      <c r="P596">
        <v>0.02</v>
      </c>
      <c r="Q596" t="s">
        <v>245</v>
      </c>
      <c r="R596">
        <v>28.6</v>
      </c>
      <c r="S596">
        <v>31.4</v>
      </c>
      <c r="T596">
        <v>28.6</v>
      </c>
      <c r="U596">
        <v>4.3</v>
      </c>
      <c r="V596">
        <v>7.1</v>
      </c>
    </row>
    <row r="597" spans="1:22" x14ac:dyDescent="0.25">
      <c r="A597" t="s">
        <v>1903</v>
      </c>
      <c r="B597" t="s">
        <v>493</v>
      </c>
      <c r="C597">
        <v>15</v>
      </c>
      <c r="D597" t="s">
        <v>132</v>
      </c>
      <c r="E597" t="s">
        <v>79</v>
      </c>
      <c r="F597" t="s">
        <v>79</v>
      </c>
      <c r="G597">
        <v>0.13</v>
      </c>
      <c r="H597" t="s">
        <v>79</v>
      </c>
      <c r="I597">
        <v>-2</v>
      </c>
      <c r="J597" t="str">
        <f>HYPERLINK("https://www.eliteprospects.com/player/966263/david-buchman")</f>
        <v>https://www.eliteprospects.com/player/966263/david-buchman</v>
      </c>
      <c r="K597" t="s">
        <v>27</v>
      </c>
      <c r="L597" t="s">
        <v>485</v>
      </c>
      <c r="M597" t="s">
        <v>1296</v>
      </c>
      <c r="N597">
        <v>1</v>
      </c>
      <c r="O597" t="s">
        <v>494</v>
      </c>
      <c r="P597">
        <v>0.02</v>
      </c>
      <c r="Q597" t="s">
        <v>245</v>
      </c>
      <c r="R597">
        <v>28.6</v>
      </c>
      <c r="S597">
        <v>31.4</v>
      </c>
      <c r="T597">
        <v>28.6</v>
      </c>
      <c r="U597">
        <v>4.3</v>
      </c>
      <c r="V597">
        <v>7.1</v>
      </c>
    </row>
    <row r="598" spans="1:22" x14ac:dyDescent="0.25">
      <c r="A598" t="s">
        <v>1904</v>
      </c>
      <c r="B598" t="s">
        <v>562</v>
      </c>
      <c r="C598">
        <v>15</v>
      </c>
      <c r="D598" t="s">
        <v>132</v>
      </c>
      <c r="E598" t="s">
        <v>79</v>
      </c>
      <c r="F598" t="s">
        <v>79</v>
      </c>
      <c r="G598">
        <v>0.13</v>
      </c>
      <c r="H598" t="s">
        <v>518</v>
      </c>
      <c r="I598">
        <v>-8</v>
      </c>
      <c r="J598" t="str">
        <f>HYPERLINK("https://www.eliteprospects.com/player/814149/luke-dragusica")</f>
        <v>https://www.eliteprospects.com/player/814149/luke-dragusica</v>
      </c>
      <c r="K598" t="s">
        <v>27</v>
      </c>
      <c r="L598" t="s">
        <v>485</v>
      </c>
      <c r="M598" t="s">
        <v>1296</v>
      </c>
      <c r="N598">
        <v>3</v>
      </c>
      <c r="O598" t="s">
        <v>492</v>
      </c>
      <c r="P598">
        <v>0.02</v>
      </c>
      <c r="Q598" t="s">
        <v>245</v>
      </c>
      <c r="R598">
        <v>28.6</v>
      </c>
      <c r="S598">
        <v>31.4</v>
      </c>
      <c r="T598">
        <v>28.6</v>
      </c>
      <c r="U598">
        <v>4.3</v>
      </c>
      <c r="V598">
        <v>7.1</v>
      </c>
    </row>
    <row r="599" spans="1:22" x14ac:dyDescent="0.25">
      <c r="A599" t="s">
        <v>1905</v>
      </c>
      <c r="B599" t="s">
        <v>562</v>
      </c>
      <c r="C599">
        <v>23</v>
      </c>
      <c r="D599" t="s">
        <v>132</v>
      </c>
      <c r="E599" t="s">
        <v>79</v>
      </c>
      <c r="F599" t="s">
        <v>79</v>
      </c>
      <c r="G599">
        <v>0.09</v>
      </c>
      <c r="H599" t="s">
        <v>26</v>
      </c>
      <c r="I599">
        <v>1</v>
      </c>
      <c r="J599" t="str">
        <f>HYPERLINK("https://www.eliteprospects.com/player/897532/owen-cartwright")</f>
        <v>https://www.eliteprospects.com/player/897532/owen-cartwright</v>
      </c>
      <c r="K599" t="s">
        <v>27</v>
      </c>
      <c r="L599" t="s">
        <v>485</v>
      </c>
      <c r="M599" t="s">
        <v>1296</v>
      </c>
      <c r="N599">
        <v>2</v>
      </c>
      <c r="O599" t="s">
        <v>501</v>
      </c>
      <c r="P599">
        <v>0.01</v>
      </c>
      <c r="Q599" t="s">
        <v>245</v>
      </c>
      <c r="R599">
        <v>28.6</v>
      </c>
      <c r="S599">
        <v>31.4</v>
      </c>
      <c r="T599">
        <v>28.6</v>
      </c>
      <c r="U599">
        <v>4.3</v>
      </c>
      <c r="V599">
        <v>7.1</v>
      </c>
    </row>
    <row r="600" spans="1:22" x14ac:dyDescent="0.25">
      <c r="A600" t="s">
        <v>1906</v>
      </c>
      <c r="B600" t="s">
        <v>504</v>
      </c>
      <c r="C600">
        <v>32</v>
      </c>
      <c r="D600" t="s">
        <v>132</v>
      </c>
      <c r="E600" t="s">
        <v>79</v>
      </c>
      <c r="F600" t="s">
        <v>79</v>
      </c>
      <c r="G600">
        <v>0.06</v>
      </c>
      <c r="H600" t="s">
        <v>1907</v>
      </c>
      <c r="I600">
        <v>0</v>
      </c>
      <c r="J600" t="str">
        <f>HYPERLINK("https://www.eliteprospects.com/player/880621/maxim-dirracolo")</f>
        <v>https://www.eliteprospects.com/player/880621/maxim-dirracolo</v>
      </c>
      <c r="K600" t="s">
        <v>27</v>
      </c>
      <c r="L600" t="s">
        <v>485</v>
      </c>
      <c r="M600" t="s">
        <v>1296</v>
      </c>
      <c r="N600">
        <v>3</v>
      </c>
      <c r="O600" t="s">
        <v>492</v>
      </c>
      <c r="P600">
        <v>0.01</v>
      </c>
      <c r="Q600" t="s">
        <v>245</v>
      </c>
      <c r="R600">
        <v>28.6</v>
      </c>
      <c r="S600">
        <v>31.4</v>
      </c>
      <c r="T600">
        <v>28.6</v>
      </c>
      <c r="U600">
        <v>4.3</v>
      </c>
      <c r="V600">
        <v>7.1</v>
      </c>
    </row>
    <row r="601" spans="1:22" x14ac:dyDescent="0.25">
      <c r="A601" t="s">
        <v>1528</v>
      </c>
      <c r="B601" t="s">
        <v>510</v>
      </c>
      <c r="C601">
        <v>16</v>
      </c>
      <c r="D601" t="s">
        <v>132</v>
      </c>
      <c r="E601" t="s">
        <v>260</v>
      </c>
      <c r="F601" t="s">
        <v>260</v>
      </c>
      <c r="G601">
        <v>0.06</v>
      </c>
      <c r="H601" t="s">
        <v>23</v>
      </c>
      <c r="I601">
        <v>-2</v>
      </c>
      <c r="J601" t="str">
        <f>HYPERLINK("https://www.eliteprospects.com/player/603040/jack-o-brien")</f>
        <v>https://www.eliteprospects.com/player/603040/jack-o-brien</v>
      </c>
      <c r="K601" t="s">
        <v>27</v>
      </c>
      <c r="L601" t="s">
        <v>485</v>
      </c>
      <c r="M601" t="s">
        <v>1296</v>
      </c>
      <c r="N601">
        <v>6</v>
      </c>
      <c r="O601" t="s">
        <v>1529</v>
      </c>
      <c r="P601">
        <v>0.01</v>
      </c>
      <c r="Q601" t="s">
        <v>245</v>
      </c>
      <c r="R601">
        <v>28.6</v>
      </c>
      <c r="S601">
        <v>31.4</v>
      </c>
      <c r="T601">
        <v>28.6</v>
      </c>
      <c r="U601">
        <v>4.3</v>
      </c>
      <c r="V601">
        <v>7.1</v>
      </c>
    </row>
    <row r="602" spans="1:22" x14ac:dyDescent="0.25">
      <c r="A602" t="s">
        <v>1908</v>
      </c>
      <c r="B602" t="s">
        <v>526</v>
      </c>
      <c r="C602">
        <v>18</v>
      </c>
      <c r="D602" t="s">
        <v>132</v>
      </c>
      <c r="E602" t="s">
        <v>260</v>
      </c>
      <c r="F602" t="s">
        <v>260</v>
      </c>
      <c r="G602">
        <v>0.06</v>
      </c>
      <c r="H602" t="s">
        <v>79</v>
      </c>
      <c r="I602">
        <v>-5</v>
      </c>
      <c r="J602" t="str">
        <f>HYPERLINK("https://www.eliteprospects.com/player/876197/calum-hartnell")</f>
        <v>https://www.eliteprospects.com/player/876197/calum-hartnell</v>
      </c>
      <c r="K602" t="s">
        <v>27</v>
      </c>
      <c r="L602" t="s">
        <v>485</v>
      </c>
      <c r="M602" t="s">
        <v>1296</v>
      </c>
      <c r="N602">
        <v>2</v>
      </c>
      <c r="O602" t="s">
        <v>501</v>
      </c>
      <c r="P602">
        <v>0.01</v>
      </c>
      <c r="Q602" t="s">
        <v>245</v>
      </c>
      <c r="R602">
        <v>28.6</v>
      </c>
      <c r="S602">
        <v>31.4</v>
      </c>
      <c r="T602">
        <v>28.6</v>
      </c>
      <c r="U602">
        <v>4.3</v>
      </c>
      <c r="V602">
        <v>7.1</v>
      </c>
    </row>
    <row r="603" spans="1:22" x14ac:dyDescent="0.25">
      <c r="A603" t="s">
        <v>1909</v>
      </c>
      <c r="B603" t="s">
        <v>484</v>
      </c>
      <c r="C603">
        <v>23</v>
      </c>
      <c r="D603" t="s">
        <v>132</v>
      </c>
      <c r="E603" t="s">
        <v>260</v>
      </c>
      <c r="F603" t="s">
        <v>260</v>
      </c>
      <c r="G603">
        <v>0.04</v>
      </c>
      <c r="H603" t="s">
        <v>66</v>
      </c>
      <c r="I603">
        <v>7</v>
      </c>
      <c r="J603" t="str">
        <f>HYPERLINK("https://www.eliteprospects.com/player/905984/james-paul")</f>
        <v>https://www.eliteprospects.com/player/905984/james-paul</v>
      </c>
      <c r="K603" t="s">
        <v>27</v>
      </c>
      <c r="L603" t="s">
        <v>485</v>
      </c>
      <c r="M603" t="s">
        <v>1296</v>
      </c>
      <c r="N603">
        <v>2</v>
      </c>
      <c r="O603" t="s">
        <v>501</v>
      </c>
      <c r="P603">
        <v>0.01</v>
      </c>
      <c r="Q603" t="s">
        <v>245</v>
      </c>
      <c r="R603">
        <v>28.6</v>
      </c>
      <c r="S603">
        <v>31.4</v>
      </c>
      <c r="T603">
        <v>28.6</v>
      </c>
      <c r="U603">
        <v>4.3</v>
      </c>
      <c r="V603">
        <v>7.1</v>
      </c>
    </row>
    <row r="604" spans="1:22" x14ac:dyDescent="0.25">
      <c r="A604" t="s">
        <v>1910</v>
      </c>
      <c r="B604" t="s">
        <v>578</v>
      </c>
      <c r="C604">
        <v>31</v>
      </c>
      <c r="D604" t="s">
        <v>132</v>
      </c>
      <c r="E604" t="s">
        <v>260</v>
      </c>
      <c r="F604" t="s">
        <v>260</v>
      </c>
      <c r="G604">
        <v>0.03</v>
      </c>
      <c r="H604" t="s">
        <v>277</v>
      </c>
      <c r="I604">
        <v>-9</v>
      </c>
      <c r="J604" t="str">
        <f>HYPERLINK("https://www.eliteprospects.com/player/577219/oliver-turner")</f>
        <v>https://www.eliteprospects.com/player/577219/oliver-turner</v>
      </c>
      <c r="K604" t="s">
        <v>27</v>
      </c>
      <c r="L604" t="s">
        <v>485</v>
      </c>
      <c r="M604" t="s">
        <v>1296</v>
      </c>
      <c r="N604">
        <v>2</v>
      </c>
      <c r="O604" t="s">
        <v>501</v>
      </c>
      <c r="P604">
        <v>0</v>
      </c>
      <c r="Q604" t="s">
        <v>245</v>
      </c>
      <c r="R604">
        <v>28.6</v>
      </c>
      <c r="S604">
        <v>31.4</v>
      </c>
      <c r="T604">
        <v>28.6</v>
      </c>
      <c r="U604">
        <v>4.3</v>
      </c>
      <c r="V604">
        <v>7.1</v>
      </c>
    </row>
    <row r="605" spans="1:22" x14ac:dyDescent="0.25">
      <c r="A605" t="s">
        <v>1911</v>
      </c>
      <c r="B605" t="s">
        <v>484</v>
      </c>
      <c r="C605">
        <v>32</v>
      </c>
      <c r="D605" t="s">
        <v>132</v>
      </c>
      <c r="E605" t="s">
        <v>260</v>
      </c>
      <c r="F605" t="s">
        <v>260</v>
      </c>
      <c r="G605">
        <v>0.03</v>
      </c>
      <c r="H605" t="s">
        <v>60</v>
      </c>
      <c r="I605">
        <v>0</v>
      </c>
      <c r="J605" t="str">
        <f>HYPERLINK("https://www.eliteprospects.com/player/906442/george-komadoski")</f>
        <v>https://www.eliteprospects.com/player/906442/george-komadoski</v>
      </c>
      <c r="K605" t="s">
        <v>27</v>
      </c>
      <c r="L605" t="s">
        <v>485</v>
      </c>
      <c r="M605" t="s">
        <v>1296</v>
      </c>
      <c r="N605">
        <v>1</v>
      </c>
      <c r="O605" t="s">
        <v>494</v>
      </c>
      <c r="P605">
        <v>0</v>
      </c>
      <c r="Q605" t="s">
        <v>245</v>
      </c>
      <c r="R605">
        <v>28.6</v>
      </c>
      <c r="S605">
        <v>31.4</v>
      </c>
      <c r="T605">
        <v>28.6</v>
      </c>
      <c r="U605">
        <v>4.3</v>
      </c>
      <c r="V605">
        <v>7.1</v>
      </c>
    </row>
    <row r="606" spans="1:22" x14ac:dyDescent="0.25">
      <c r="A606" t="s">
        <v>1912</v>
      </c>
      <c r="B606" t="s">
        <v>526</v>
      </c>
      <c r="C606">
        <v>37</v>
      </c>
      <c r="D606" t="s">
        <v>132</v>
      </c>
      <c r="E606" t="s">
        <v>260</v>
      </c>
      <c r="F606" t="s">
        <v>260</v>
      </c>
      <c r="G606">
        <v>0.03</v>
      </c>
      <c r="H606" t="s">
        <v>739</v>
      </c>
      <c r="I606">
        <v>-6</v>
      </c>
      <c r="J606" t="str">
        <f>HYPERLINK("https://www.eliteprospects.com/player/881014/thanasi-marentette")</f>
        <v>https://www.eliteprospects.com/player/881014/thanasi-marentette</v>
      </c>
      <c r="K606" t="s">
        <v>27</v>
      </c>
      <c r="L606" t="s">
        <v>485</v>
      </c>
      <c r="M606" t="s">
        <v>1296</v>
      </c>
      <c r="N606">
        <v>2</v>
      </c>
      <c r="O606" t="s">
        <v>501</v>
      </c>
      <c r="P606">
        <v>0</v>
      </c>
      <c r="Q606" t="s">
        <v>245</v>
      </c>
      <c r="R606">
        <v>28.6</v>
      </c>
      <c r="S606">
        <v>31.4</v>
      </c>
      <c r="T606">
        <v>28.6</v>
      </c>
      <c r="U606">
        <v>4.3</v>
      </c>
      <c r="V606">
        <v>7.1</v>
      </c>
    </row>
    <row r="607" spans="1:22" x14ac:dyDescent="0.25">
      <c r="A607" t="s">
        <v>1913</v>
      </c>
      <c r="B607" t="s">
        <v>578</v>
      </c>
      <c r="C607">
        <v>15</v>
      </c>
      <c r="D607" t="s">
        <v>132</v>
      </c>
      <c r="E607" t="s">
        <v>132</v>
      </c>
      <c r="F607" t="s">
        <v>132</v>
      </c>
      <c r="G607">
        <v>0</v>
      </c>
      <c r="H607" t="s">
        <v>132</v>
      </c>
      <c r="I607">
        <v>-5</v>
      </c>
      <c r="J607" t="str">
        <f>HYPERLINK("https://www.eliteprospects.com/player/916540/nick-frasca")</f>
        <v>https://www.eliteprospects.com/player/916540/nick-frasca</v>
      </c>
      <c r="K607" t="s">
        <v>27</v>
      </c>
      <c r="L607" t="s">
        <v>485</v>
      </c>
      <c r="M607" t="s">
        <v>1296</v>
      </c>
      <c r="N607">
        <v>2</v>
      </c>
      <c r="O607" t="s">
        <v>501</v>
      </c>
      <c r="P607">
        <v>0</v>
      </c>
      <c r="Q607" t="s">
        <v>245</v>
      </c>
      <c r="R607">
        <v>28.6</v>
      </c>
      <c r="S607">
        <v>31.4</v>
      </c>
      <c r="T607">
        <v>28.6</v>
      </c>
      <c r="U607">
        <v>4.3</v>
      </c>
      <c r="V607">
        <v>7.1</v>
      </c>
    </row>
    <row r="608" spans="1:22" x14ac:dyDescent="0.25">
      <c r="A608" t="s">
        <v>1914</v>
      </c>
      <c r="B608" t="s">
        <v>507</v>
      </c>
      <c r="C608">
        <v>19</v>
      </c>
      <c r="D608" t="s">
        <v>132</v>
      </c>
      <c r="E608" t="s">
        <v>132</v>
      </c>
      <c r="F608" t="s">
        <v>132</v>
      </c>
      <c r="G608">
        <v>0</v>
      </c>
      <c r="H608" t="s">
        <v>79</v>
      </c>
      <c r="I608">
        <v>-10</v>
      </c>
      <c r="J608" t="str">
        <f>HYPERLINK("https://www.eliteprospects.com/player/888195/mason-roy")</f>
        <v>https://www.eliteprospects.com/player/888195/mason-roy</v>
      </c>
      <c r="K608" t="s">
        <v>27</v>
      </c>
      <c r="L608" t="s">
        <v>485</v>
      </c>
      <c r="M608" t="s">
        <v>1296</v>
      </c>
      <c r="N608">
        <v>2</v>
      </c>
      <c r="O608" t="s">
        <v>501</v>
      </c>
      <c r="P608">
        <v>0</v>
      </c>
      <c r="Q608" t="s">
        <v>245</v>
      </c>
      <c r="R608">
        <v>28.6</v>
      </c>
      <c r="S608">
        <v>31.4</v>
      </c>
      <c r="T608">
        <v>28.6</v>
      </c>
      <c r="U608">
        <v>4.3</v>
      </c>
      <c r="V608">
        <v>7.1</v>
      </c>
    </row>
    <row r="609" spans="1:22" x14ac:dyDescent="0.25">
      <c r="A609" t="s">
        <v>1915</v>
      </c>
      <c r="B609" t="s">
        <v>488</v>
      </c>
      <c r="C609">
        <v>23</v>
      </c>
      <c r="D609" t="s">
        <v>132</v>
      </c>
      <c r="E609" t="s">
        <v>132</v>
      </c>
      <c r="F609" t="s">
        <v>132</v>
      </c>
      <c r="G609">
        <v>0</v>
      </c>
      <c r="H609" t="s">
        <v>24</v>
      </c>
      <c r="I609">
        <v>-4</v>
      </c>
      <c r="J609" t="str">
        <f>HYPERLINK("https://www.eliteprospects.com/player/890508/brady-smith")</f>
        <v>https://www.eliteprospects.com/player/890508/brady-smith</v>
      </c>
      <c r="K609" t="s">
        <v>27</v>
      </c>
      <c r="L609" t="s">
        <v>485</v>
      </c>
      <c r="M609" t="s">
        <v>1296</v>
      </c>
      <c r="N609">
        <v>3</v>
      </c>
      <c r="O609" t="s">
        <v>505</v>
      </c>
      <c r="P609">
        <v>0</v>
      </c>
      <c r="Q609" t="s">
        <v>245</v>
      </c>
      <c r="R609">
        <v>28.6</v>
      </c>
      <c r="S609">
        <v>31.4</v>
      </c>
      <c r="T609">
        <v>28.6</v>
      </c>
      <c r="U609">
        <v>4.3</v>
      </c>
      <c r="V609">
        <v>7.1</v>
      </c>
    </row>
    <row r="610" spans="1:22" x14ac:dyDescent="0.25">
      <c r="A610" t="s">
        <v>1883</v>
      </c>
      <c r="B610" t="s">
        <v>496</v>
      </c>
      <c r="C610">
        <v>33</v>
      </c>
      <c r="D610" t="s">
        <v>132</v>
      </c>
      <c r="E610" t="s">
        <v>132</v>
      </c>
      <c r="F610" t="s">
        <v>132</v>
      </c>
      <c r="G610">
        <v>0</v>
      </c>
      <c r="H610" t="s">
        <v>60</v>
      </c>
      <c r="I610">
        <v>-11</v>
      </c>
      <c r="J610" t="str">
        <f>HYPERLINK("https://www.eliteprospects.com/player/897420/blake-barnes")</f>
        <v>https://www.eliteprospects.com/player/897420/blake-barnes</v>
      </c>
      <c r="K610" t="s">
        <v>27</v>
      </c>
      <c r="L610" t="s">
        <v>485</v>
      </c>
      <c r="M610" t="s">
        <v>1296</v>
      </c>
      <c r="N610">
        <v>3</v>
      </c>
      <c r="O610" t="s">
        <v>492</v>
      </c>
      <c r="P610">
        <v>0</v>
      </c>
      <c r="Q610" t="s">
        <v>245</v>
      </c>
      <c r="R610">
        <v>28.6</v>
      </c>
      <c r="S610">
        <v>31.4</v>
      </c>
      <c r="T610">
        <v>28.6</v>
      </c>
      <c r="U610">
        <v>4.3</v>
      </c>
      <c r="V610">
        <v>7.1</v>
      </c>
    </row>
    <row r="611" spans="1:22" x14ac:dyDescent="0.25">
      <c r="A611" t="s">
        <v>1916</v>
      </c>
      <c r="B611" t="s">
        <v>637</v>
      </c>
      <c r="C611">
        <v>38</v>
      </c>
      <c r="D611" t="s">
        <v>25</v>
      </c>
      <c r="E611" t="s">
        <v>52</v>
      </c>
      <c r="F611" t="s">
        <v>1907</v>
      </c>
      <c r="G611">
        <v>1.58</v>
      </c>
      <c r="H611" t="s">
        <v>235</v>
      </c>
      <c r="I611">
        <v>47</v>
      </c>
      <c r="J611" t="str">
        <f>HYPERLINK("https://www.eliteprospects.com/player/733570/bryce-pickford")</f>
        <v>https://www.eliteprospects.com/player/733570/bryce-pickford</v>
      </c>
      <c r="K611" t="s">
        <v>27</v>
      </c>
      <c r="L611" t="s">
        <v>631</v>
      </c>
      <c r="M611" t="s">
        <v>1296</v>
      </c>
      <c r="N611">
        <v>5</v>
      </c>
      <c r="O611" t="s">
        <v>645</v>
      </c>
      <c r="P611">
        <v>0.22</v>
      </c>
      <c r="Q611" t="s">
        <v>2471</v>
      </c>
      <c r="R611">
        <v>0</v>
      </c>
      <c r="S611">
        <v>0</v>
      </c>
      <c r="T611">
        <v>0</v>
      </c>
      <c r="U611">
        <v>0</v>
      </c>
      <c r="V611">
        <v>0</v>
      </c>
    </row>
    <row r="612" spans="1:22" x14ac:dyDescent="0.25">
      <c r="A612" t="s">
        <v>1917</v>
      </c>
      <c r="B612" t="s">
        <v>637</v>
      </c>
      <c r="C612">
        <v>33</v>
      </c>
      <c r="D612" t="s">
        <v>24</v>
      </c>
      <c r="E612" t="s">
        <v>280</v>
      </c>
      <c r="F612" t="s">
        <v>739</v>
      </c>
      <c r="G612">
        <v>1.7</v>
      </c>
      <c r="H612" t="s">
        <v>269</v>
      </c>
      <c r="I612">
        <v>51</v>
      </c>
      <c r="J612" t="str">
        <f>HYPERLINK("https://www.eliteprospects.com/player/597734/jonas-woo")</f>
        <v>https://www.eliteprospects.com/player/597734/jonas-woo</v>
      </c>
      <c r="K612" t="s">
        <v>27</v>
      </c>
      <c r="L612" t="s">
        <v>631</v>
      </c>
      <c r="M612" t="s">
        <v>1296</v>
      </c>
      <c r="N612">
        <v>5</v>
      </c>
      <c r="O612" t="s">
        <v>645</v>
      </c>
      <c r="P612">
        <v>0.24</v>
      </c>
      <c r="Q612" t="s">
        <v>2471</v>
      </c>
      <c r="R612">
        <v>0</v>
      </c>
      <c r="S612">
        <v>0</v>
      </c>
      <c r="T612">
        <v>0</v>
      </c>
      <c r="U612">
        <v>0</v>
      </c>
      <c r="V612">
        <v>0</v>
      </c>
    </row>
    <row r="613" spans="1:22" x14ac:dyDescent="0.25">
      <c r="A613" t="s">
        <v>1918</v>
      </c>
      <c r="B613" t="s">
        <v>702</v>
      </c>
      <c r="C613">
        <v>42</v>
      </c>
      <c r="D613" t="s">
        <v>69</v>
      </c>
      <c r="E613" t="s">
        <v>187</v>
      </c>
      <c r="F613" t="s">
        <v>491</v>
      </c>
      <c r="G613">
        <v>1.19</v>
      </c>
      <c r="H613" t="s">
        <v>269</v>
      </c>
      <c r="I613">
        <v>-10</v>
      </c>
      <c r="J613" t="str">
        <f>HYPERLINK("https://www.eliteprospects.com/player/628112/ryan-lin")</f>
        <v>https://www.eliteprospects.com/player/628112/ryan-lin</v>
      </c>
      <c r="K613" t="s">
        <v>27</v>
      </c>
      <c r="L613" t="s">
        <v>631</v>
      </c>
      <c r="M613" t="s">
        <v>1296</v>
      </c>
      <c r="N613">
        <v>3</v>
      </c>
      <c r="O613" t="s">
        <v>639</v>
      </c>
      <c r="P613">
        <v>0.17</v>
      </c>
      <c r="Q613" t="s">
        <v>1300</v>
      </c>
      <c r="R613">
        <v>30.8</v>
      </c>
      <c r="S613">
        <v>20.5</v>
      </c>
      <c r="T613">
        <v>10.3</v>
      </c>
      <c r="U613">
        <v>10.3</v>
      </c>
      <c r="V613">
        <v>28.2</v>
      </c>
    </row>
    <row r="614" spans="1:22" x14ac:dyDescent="0.25">
      <c r="A614" t="s">
        <v>1919</v>
      </c>
      <c r="B614" t="s">
        <v>507</v>
      </c>
      <c r="C614">
        <v>74</v>
      </c>
      <c r="D614" t="s">
        <v>24</v>
      </c>
      <c r="E614" t="s">
        <v>52</v>
      </c>
      <c r="F614" t="s">
        <v>499</v>
      </c>
      <c r="G614">
        <v>0.65</v>
      </c>
      <c r="H614" t="s">
        <v>1920</v>
      </c>
      <c r="I614">
        <v>-22</v>
      </c>
      <c r="J614" t="str">
        <f>HYPERLINK("https://www.eliteprospects.com/player/812664/kayd-ruedig")</f>
        <v>https://www.eliteprospects.com/player/812664/kayd-ruedig</v>
      </c>
      <c r="K614" t="s">
        <v>27</v>
      </c>
      <c r="L614" t="s">
        <v>631</v>
      </c>
      <c r="M614" t="s">
        <v>1296</v>
      </c>
      <c r="N614">
        <v>3</v>
      </c>
      <c r="O614" t="s">
        <v>639</v>
      </c>
      <c r="P614">
        <v>0.09</v>
      </c>
      <c r="Q614" t="s">
        <v>1325</v>
      </c>
      <c r="R614">
        <v>27.3</v>
      </c>
      <c r="S614">
        <v>22.7</v>
      </c>
      <c r="T614">
        <v>27.3</v>
      </c>
      <c r="U614">
        <v>4.5</v>
      </c>
      <c r="V614">
        <v>18.2</v>
      </c>
    </row>
    <row r="615" spans="1:22" x14ac:dyDescent="0.25">
      <c r="A615" t="s">
        <v>1921</v>
      </c>
      <c r="B615" t="s">
        <v>651</v>
      </c>
      <c r="C615">
        <v>38</v>
      </c>
      <c r="D615" t="s">
        <v>55</v>
      </c>
      <c r="E615" t="s">
        <v>81</v>
      </c>
      <c r="F615" t="s">
        <v>512</v>
      </c>
      <c r="G615">
        <v>1.1100000000000001</v>
      </c>
      <c r="H615" t="s">
        <v>280</v>
      </c>
      <c r="I615">
        <v>9</v>
      </c>
      <c r="J615" t="str">
        <f>HYPERLINK("https://www.eliteprospects.com/player/628069/daxon-rudolph")</f>
        <v>https://www.eliteprospects.com/player/628069/daxon-rudolph</v>
      </c>
      <c r="K615" t="s">
        <v>27</v>
      </c>
      <c r="L615" t="s">
        <v>631</v>
      </c>
      <c r="M615" t="s">
        <v>1296</v>
      </c>
      <c r="N615">
        <v>2</v>
      </c>
      <c r="O615" t="s">
        <v>636</v>
      </c>
      <c r="P615">
        <v>0.16</v>
      </c>
      <c r="Q615" t="s">
        <v>1300</v>
      </c>
      <c r="R615">
        <v>30.8</v>
      </c>
      <c r="S615">
        <v>20.5</v>
      </c>
      <c r="T615">
        <v>10.3</v>
      </c>
      <c r="U615">
        <v>10.3</v>
      </c>
      <c r="V615">
        <v>28.2</v>
      </c>
    </row>
    <row r="616" spans="1:22" x14ac:dyDescent="0.25">
      <c r="A616" t="s">
        <v>1922</v>
      </c>
      <c r="B616" t="s">
        <v>647</v>
      </c>
      <c r="C616">
        <v>36</v>
      </c>
      <c r="D616" t="s">
        <v>78</v>
      </c>
      <c r="E616" t="s">
        <v>178</v>
      </c>
      <c r="F616" t="s">
        <v>277</v>
      </c>
      <c r="G616">
        <v>1.1399999999999999</v>
      </c>
      <c r="H616" t="s">
        <v>265</v>
      </c>
      <c r="I616">
        <v>12</v>
      </c>
      <c r="J616" t="str">
        <f>HYPERLINK("https://www.eliteprospects.com/player/648210/grayson-burzynski")</f>
        <v>https://www.eliteprospects.com/player/648210/grayson-burzynski</v>
      </c>
      <c r="K616" t="s">
        <v>27</v>
      </c>
      <c r="L616" t="s">
        <v>631</v>
      </c>
      <c r="M616" t="s">
        <v>1296</v>
      </c>
      <c r="N616">
        <v>5</v>
      </c>
      <c r="O616" t="s">
        <v>645</v>
      </c>
      <c r="P616">
        <v>0.16</v>
      </c>
      <c r="Q616" t="s">
        <v>1300</v>
      </c>
      <c r="R616">
        <v>30.8</v>
      </c>
      <c r="S616">
        <v>20.5</v>
      </c>
      <c r="T616">
        <v>10.3</v>
      </c>
      <c r="U616">
        <v>10.3</v>
      </c>
      <c r="V616">
        <v>28.2</v>
      </c>
    </row>
    <row r="617" spans="1:22" x14ac:dyDescent="0.25">
      <c r="A617" t="s">
        <v>1923</v>
      </c>
      <c r="B617" t="s">
        <v>649</v>
      </c>
      <c r="C617">
        <v>37</v>
      </c>
      <c r="D617" t="s">
        <v>78</v>
      </c>
      <c r="E617" t="s">
        <v>25</v>
      </c>
      <c r="F617" t="s">
        <v>187</v>
      </c>
      <c r="G617">
        <v>1.05</v>
      </c>
      <c r="H617" t="s">
        <v>737</v>
      </c>
      <c r="I617">
        <v>32</v>
      </c>
      <c r="J617" t="str">
        <f>HYPERLINK("https://www.eliteprospects.com/player/597801/tarin-smith")</f>
        <v>https://www.eliteprospects.com/player/597801/tarin-smith</v>
      </c>
      <c r="K617" t="s">
        <v>27</v>
      </c>
      <c r="L617" t="s">
        <v>631</v>
      </c>
      <c r="M617" t="s">
        <v>1296</v>
      </c>
      <c r="N617">
        <v>5</v>
      </c>
      <c r="O617" t="s">
        <v>645</v>
      </c>
      <c r="P617">
        <v>0.15</v>
      </c>
      <c r="Q617" t="s">
        <v>1300</v>
      </c>
      <c r="R617">
        <v>30.8</v>
      </c>
      <c r="S617">
        <v>20.5</v>
      </c>
      <c r="T617">
        <v>10.3</v>
      </c>
      <c r="U617">
        <v>10.3</v>
      </c>
      <c r="V617">
        <v>28.2</v>
      </c>
    </row>
    <row r="618" spans="1:22" x14ac:dyDescent="0.25">
      <c r="A618" t="s">
        <v>1924</v>
      </c>
      <c r="B618" t="s">
        <v>507</v>
      </c>
      <c r="C618">
        <v>40</v>
      </c>
      <c r="D618" t="s">
        <v>57</v>
      </c>
      <c r="E618" t="s">
        <v>269</v>
      </c>
      <c r="F618" t="s">
        <v>187</v>
      </c>
      <c r="G618">
        <v>0.98</v>
      </c>
      <c r="H618" t="s">
        <v>564</v>
      </c>
      <c r="I618">
        <v>-12</v>
      </c>
      <c r="J618" t="str">
        <f>HYPERLINK("https://www.eliteprospects.com/player/599349/carter-sotheran")</f>
        <v>https://www.eliteprospects.com/player/599349/carter-sotheran</v>
      </c>
      <c r="K618" t="s">
        <v>27</v>
      </c>
      <c r="L618" t="s">
        <v>631</v>
      </c>
      <c r="M618" t="s">
        <v>1296</v>
      </c>
      <c r="N618">
        <v>4</v>
      </c>
      <c r="O618" t="s">
        <v>632</v>
      </c>
      <c r="P618">
        <v>0.14000000000000001</v>
      </c>
      <c r="Q618" t="s">
        <v>1300</v>
      </c>
      <c r="R618">
        <v>30.8</v>
      </c>
      <c r="S618">
        <v>20.5</v>
      </c>
      <c r="T618">
        <v>10.3</v>
      </c>
      <c r="U618">
        <v>10.3</v>
      </c>
      <c r="V618">
        <v>28.2</v>
      </c>
    </row>
    <row r="619" spans="1:22" x14ac:dyDescent="0.25">
      <c r="A619" t="s">
        <v>1925</v>
      </c>
      <c r="B619" t="s">
        <v>660</v>
      </c>
      <c r="C619">
        <v>39</v>
      </c>
      <c r="D619" t="s">
        <v>69</v>
      </c>
      <c r="E619" t="s">
        <v>81</v>
      </c>
      <c r="F619" t="s">
        <v>265</v>
      </c>
      <c r="G619">
        <v>0.9</v>
      </c>
      <c r="H619" t="s">
        <v>38</v>
      </c>
      <c r="I619">
        <v>0</v>
      </c>
      <c r="J619" t="str">
        <f>HYPERLINK("https://www.eliteprospects.com/player/645754/aiden-ziprick")</f>
        <v>https://www.eliteprospects.com/player/645754/aiden-ziprick</v>
      </c>
      <c r="K619" t="s">
        <v>27</v>
      </c>
      <c r="L619" t="s">
        <v>631</v>
      </c>
      <c r="M619" t="s">
        <v>1296</v>
      </c>
      <c r="N619">
        <v>4</v>
      </c>
      <c r="O619" t="s">
        <v>632</v>
      </c>
      <c r="P619">
        <v>0.13</v>
      </c>
      <c r="Q619" t="s">
        <v>1300</v>
      </c>
      <c r="R619">
        <v>30.8</v>
      </c>
      <c r="S619">
        <v>20.5</v>
      </c>
      <c r="T619">
        <v>10.3</v>
      </c>
      <c r="U619">
        <v>10.3</v>
      </c>
      <c r="V619">
        <v>28.2</v>
      </c>
    </row>
    <row r="620" spans="1:22" x14ac:dyDescent="0.25">
      <c r="A620" t="s">
        <v>1926</v>
      </c>
      <c r="B620" t="s">
        <v>635</v>
      </c>
      <c r="C620">
        <v>32</v>
      </c>
      <c r="D620" t="s">
        <v>32</v>
      </c>
      <c r="E620" t="s">
        <v>81</v>
      </c>
      <c r="F620" t="s">
        <v>178</v>
      </c>
      <c r="G620">
        <v>1.06</v>
      </c>
      <c r="H620" t="s">
        <v>38</v>
      </c>
      <c r="I620">
        <v>22</v>
      </c>
      <c r="J620" t="str">
        <f>HYPERLINK("https://www.eliteprospects.com/player/618968/ethan-mackenzie")</f>
        <v>https://www.eliteprospects.com/player/618968/ethan-mackenzie</v>
      </c>
      <c r="K620" t="s">
        <v>27</v>
      </c>
      <c r="L620" t="s">
        <v>631</v>
      </c>
      <c r="M620" t="s">
        <v>1296</v>
      </c>
      <c r="N620">
        <v>4</v>
      </c>
      <c r="O620" t="s">
        <v>632</v>
      </c>
      <c r="P620">
        <v>0.15</v>
      </c>
      <c r="Q620" t="s">
        <v>1300</v>
      </c>
      <c r="R620">
        <v>30.8</v>
      </c>
      <c r="S620">
        <v>20.5</v>
      </c>
      <c r="T620">
        <v>10.3</v>
      </c>
      <c r="U620">
        <v>10.3</v>
      </c>
      <c r="V620">
        <v>28.2</v>
      </c>
    </row>
    <row r="621" spans="1:22" x14ac:dyDescent="0.25">
      <c r="A621" t="s">
        <v>1927</v>
      </c>
      <c r="B621" t="s">
        <v>644</v>
      </c>
      <c r="C621">
        <v>32</v>
      </c>
      <c r="D621" t="s">
        <v>45</v>
      </c>
      <c r="E621" t="s">
        <v>75</v>
      </c>
      <c r="F621" t="s">
        <v>178</v>
      </c>
      <c r="G621">
        <v>1.06</v>
      </c>
      <c r="H621" t="s">
        <v>53</v>
      </c>
      <c r="I621">
        <v>1</v>
      </c>
      <c r="J621" t="str">
        <f>HYPERLINK("https://www.eliteprospects.com/player/878533/carson-carels")</f>
        <v>https://www.eliteprospects.com/player/878533/carson-carels</v>
      </c>
      <c r="K621" t="s">
        <v>27</v>
      </c>
      <c r="L621" t="s">
        <v>631</v>
      </c>
      <c r="M621" t="s">
        <v>1296</v>
      </c>
      <c r="N621">
        <v>3</v>
      </c>
      <c r="O621" t="s">
        <v>639</v>
      </c>
      <c r="P621">
        <v>0.15</v>
      </c>
      <c r="Q621" t="s">
        <v>1300</v>
      </c>
      <c r="R621">
        <v>30.8</v>
      </c>
      <c r="S621">
        <v>20.5</v>
      </c>
      <c r="T621">
        <v>10.3</v>
      </c>
      <c r="U621">
        <v>10.3</v>
      </c>
      <c r="V621">
        <v>28.2</v>
      </c>
    </row>
    <row r="622" spans="1:22" x14ac:dyDescent="0.25">
      <c r="A622" t="s">
        <v>1928</v>
      </c>
      <c r="B622" t="s">
        <v>653</v>
      </c>
      <c r="C622">
        <v>38</v>
      </c>
      <c r="D622" t="s">
        <v>45</v>
      </c>
      <c r="E622" t="s">
        <v>81</v>
      </c>
      <c r="F622" t="s">
        <v>269</v>
      </c>
      <c r="G622">
        <v>0.87</v>
      </c>
      <c r="H622" t="s">
        <v>499</v>
      </c>
      <c r="I622">
        <v>1</v>
      </c>
      <c r="J622" t="str">
        <f>HYPERLINK("https://www.eliteprospects.com/player/565459/mazden-leslie")</f>
        <v>https://www.eliteprospects.com/player/565459/mazden-leslie</v>
      </c>
      <c r="K622" t="s">
        <v>27</v>
      </c>
      <c r="L622" t="s">
        <v>631</v>
      </c>
      <c r="M622" t="s">
        <v>1296</v>
      </c>
      <c r="N622">
        <v>6</v>
      </c>
      <c r="O622" t="s">
        <v>643</v>
      </c>
      <c r="P622">
        <v>0.12</v>
      </c>
      <c r="Q622" t="s">
        <v>1300</v>
      </c>
      <c r="R622">
        <v>30.8</v>
      </c>
      <c r="S622">
        <v>20.5</v>
      </c>
      <c r="T622">
        <v>10.3</v>
      </c>
      <c r="U622">
        <v>10.3</v>
      </c>
      <c r="V622">
        <v>28.2</v>
      </c>
    </row>
    <row r="623" spans="1:22" x14ac:dyDescent="0.25">
      <c r="A623" t="s">
        <v>1929</v>
      </c>
      <c r="B623" t="s">
        <v>649</v>
      </c>
      <c r="C623">
        <v>34</v>
      </c>
      <c r="D623" t="s">
        <v>32</v>
      </c>
      <c r="E623" t="s">
        <v>47</v>
      </c>
      <c r="F623" t="s">
        <v>25</v>
      </c>
      <c r="G623">
        <v>0.94</v>
      </c>
      <c r="H623" t="s">
        <v>81</v>
      </c>
      <c r="I623">
        <v>26</v>
      </c>
      <c r="J623" t="str">
        <f>HYPERLINK("https://www.eliteprospects.com/player/701503/landon-dupont")</f>
        <v>https://www.eliteprospects.com/player/701503/landon-dupont</v>
      </c>
      <c r="K623" t="s">
        <v>27</v>
      </c>
      <c r="L623" t="s">
        <v>631</v>
      </c>
      <c r="M623" t="s">
        <v>1296</v>
      </c>
      <c r="N623">
        <v>2</v>
      </c>
      <c r="O623" t="s">
        <v>636</v>
      </c>
      <c r="P623">
        <v>0.13</v>
      </c>
      <c r="Q623" t="s">
        <v>1300</v>
      </c>
      <c r="R623">
        <v>30.8</v>
      </c>
      <c r="S623">
        <v>20.5</v>
      </c>
      <c r="T623">
        <v>10.3</v>
      </c>
      <c r="U623">
        <v>10.3</v>
      </c>
      <c r="V623">
        <v>28.2</v>
      </c>
    </row>
    <row r="624" spans="1:22" x14ac:dyDescent="0.25">
      <c r="A624" t="s">
        <v>1930</v>
      </c>
      <c r="B624" t="s">
        <v>657</v>
      </c>
      <c r="C624">
        <v>39</v>
      </c>
      <c r="D624" t="s">
        <v>78</v>
      </c>
      <c r="E624" t="s">
        <v>75</v>
      </c>
      <c r="F624" t="s">
        <v>25</v>
      </c>
      <c r="G624">
        <v>0.82</v>
      </c>
      <c r="H624" t="s">
        <v>38</v>
      </c>
      <c r="I624">
        <v>3</v>
      </c>
      <c r="J624" t="str">
        <f>HYPERLINK("https://www.eliteprospects.com/player/845626/timofei-runtso")</f>
        <v>https://www.eliteprospects.com/player/845626/timofei-runtso</v>
      </c>
      <c r="K624" t="s">
        <v>27</v>
      </c>
      <c r="L624" t="s">
        <v>631</v>
      </c>
      <c r="M624" t="s">
        <v>1296</v>
      </c>
      <c r="N624">
        <v>1</v>
      </c>
      <c r="O624" t="s">
        <v>634</v>
      </c>
      <c r="P624">
        <v>0.12</v>
      </c>
      <c r="Q624" t="s">
        <v>1300</v>
      </c>
      <c r="R624">
        <v>30.8</v>
      </c>
      <c r="S624">
        <v>20.5</v>
      </c>
      <c r="T624">
        <v>10.3</v>
      </c>
      <c r="U624">
        <v>10.3</v>
      </c>
      <c r="V624">
        <v>28.2</v>
      </c>
    </row>
    <row r="625" spans="1:22" x14ac:dyDescent="0.25">
      <c r="A625" t="s">
        <v>1931</v>
      </c>
      <c r="B625" t="s">
        <v>684</v>
      </c>
      <c r="C625">
        <v>40</v>
      </c>
      <c r="D625" t="s">
        <v>140</v>
      </c>
      <c r="E625" t="s">
        <v>61</v>
      </c>
      <c r="F625" t="s">
        <v>40</v>
      </c>
      <c r="G625">
        <v>0.75</v>
      </c>
      <c r="H625" t="s">
        <v>24</v>
      </c>
      <c r="I625">
        <v>-10</v>
      </c>
      <c r="J625" t="str">
        <f>HYPERLINK("https://www.eliteprospects.com/player/846595/joshua-toll")</f>
        <v>https://www.eliteprospects.com/player/846595/joshua-toll</v>
      </c>
      <c r="K625" t="s">
        <v>27</v>
      </c>
      <c r="L625" t="s">
        <v>631</v>
      </c>
      <c r="M625" t="s">
        <v>1417</v>
      </c>
      <c r="N625">
        <v>1</v>
      </c>
      <c r="O625" t="s">
        <v>634</v>
      </c>
      <c r="P625">
        <v>0.11</v>
      </c>
      <c r="Q625" t="s">
        <v>1325</v>
      </c>
      <c r="R625">
        <v>27.3</v>
      </c>
      <c r="S625">
        <v>22.7</v>
      </c>
      <c r="T625">
        <v>27.3</v>
      </c>
      <c r="U625">
        <v>4.5</v>
      </c>
      <c r="V625">
        <v>18.2</v>
      </c>
    </row>
    <row r="626" spans="1:22" x14ac:dyDescent="0.25">
      <c r="A626" t="s">
        <v>1932</v>
      </c>
      <c r="B626" t="s">
        <v>671</v>
      </c>
      <c r="C626">
        <v>40</v>
      </c>
      <c r="D626" t="s">
        <v>78</v>
      </c>
      <c r="E626" t="s">
        <v>47</v>
      </c>
      <c r="F626" t="s">
        <v>46</v>
      </c>
      <c r="G626">
        <v>0.73</v>
      </c>
      <c r="H626" t="s">
        <v>178</v>
      </c>
      <c r="I626">
        <v>12</v>
      </c>
      <c r="J626" t="str">
        <f>HYPERLINK("https://www.eliteprospects.com/player/628072/rhett-sather")</f>
        <v>https://www.eliteprospects.com/player/628072/rhett-sather</v>
      </c>
      <c r="K626" t="s">
        <v>27</v>
      </c>
      <c r="L626" t="s">
        <v>631</v>
      </c>
      <c r="M626" t="s">
        <v>1296</v>
      </c>
      <c r="N626">
        <v>2</v>
      </c>
      <c r="O626" t="s">
        <v>636</v>
      </c>
      <c r="P626">
        <v>0.1</v>
      </c>
      <c r="Q626" t="s">
        <v>1325</v>
      </c>
      <c r="R626">
        <v>27.3</v>
      </c>
      <c r="S626">
        <v>22.7</v>
      </c>
      <c r="T626">
        <v>27.3</v>
      </c>
      <c r="U626">
        <v>4.5</v>
      </c>
      <c r="V626">
        <v>18.2</v>
      </c>
    </row>
    <row r="627" spans="1:22" x14ac:dyDescent="0.25">
      <c r="A627" t="s">
        <v>1933</v>
      </c>
      <c r="B627" t="s">
        <v>646</v>
      </c>
      <c r="C627">
        <v>37</v>
      </c>
      <c r="D627" t="s">
        <v>57</v>
      </c>
      <c r="E627" t="s">
        <v>84</v>
      </c>
      <c r="F627" t="s">
        <v>46</v>
      </c>
      <c r="G627">
        <v>0.78</v>
      </c>
      <c r="H627" t="s">
        <v>23</v>
      </c>
      <c r="I627">
        <v>11</v>
      </c>
      <c r="J627" t="str">
        <f>HYPERLINK("https://www.eliteprospects.com/player/628079/ben-macbeath")</f>
        <v>https://www.eliteprospects.com/player/628079/ben-macbeath</v>
      </c>
      <c r="K627" t="s">
        <v>27</v>
      </c>
      <c r="L627" t="s">
        <v>631</v>
      </c>
      <c r="M627" t="s">
        <v>1296</v>
      </c>
      <c r="N627">
        <v>1</v>
      </c>
      <c r="O627" t="s">
        <v>634</v>
      </c>
      <c r="P627">
        <v>0.11</v>
      </c>
      <c r="Q627" t="s">
        <v>1325</v>
      </c>
      <c r="R627">
        <v>27.3</v>
      </c>
      <c r="S627">
        <v>22.7</v>
      </c>
      <c r="T627">
        <v>27.3</v>
      </c>
      <c r="U627">
        <v>4.5</v>
      </c>
      <c r="V627">
        <v>18.2</v>
      </c>
    </row>
    <row r="628" spans="1:22" x14ac:dyDescent="0.25">
      <c r="A628" t="s">
        <v>1934</v>
      </c>
      <c r="B628" t="s">
        <v>667</v>
      </c>
      <c r="C628">
        <v>39</v>
      </c>
      <c r="D628" t="s">
        <v>140</v>
      </c>
      <c r="E628" t="s">
        <v>125</v>
      </c>
      <c r="F628" t="s">
        <v>46</v>
      </c>
      <c r="G628">
        <v>0.74</v>
      </c>
      <c r="H628" t="s">
        <v>24</v>
      </c>
      <c r="I628">
        <v>-1</v>
      </c>
      <c r="J628" t="str">
        <f>HYPERLINK("https://www.eliteprospects.com/player/795984/brayden-klimpke")</f>
        <v>https://www.eliteprospects.com/player/795984/brayden-klimpke</v>
      </c>
      <c r="K628" t="s">
        <v>27</v>
      </c>
      <c r="L628" t="s">
        <v>631</v>
      </c>
      <c r="M628" t="s">
        <v>1296</v>
      </c>
      <c r="N628">
        <v>3</v>
      </c>
      <c r="O628" t="s">
        <v>639</v>
      </c>
      <c r="P628">
        <v>0.1</v>
      </c>
      <c r="Q628" t="s">
        <v>1325</v>
      </c>
      <c r="R628">
        <v>27.3</v>
      </c>
      <c r="S628">
        <v>22.7</v>
      </c>
      <c r="T628">
        <v>27.3</v>
      </c>
      <c r="U628">
        <v>4.5</v>
      </c>
      <c r="V628">
        <v>18.2</v>
      </c>
    </row>
    <row r="629" spans="1:22" x14ac:dyDescent="0.25">
      <c r="A629" t="s">
        <v>1935</v>
      </c>
      <c r="B629" t="s">
        <v>676</v>
      </c>
      <c r="C629">
        <v>38</v>
      </c>
      <c r="D629" t="s">
        <v>26</v>
      </c>
      <c r="E629" t="s">
        <v>24</v>
      </c>
      <c r="F629" t="s">
        <v>52</v>
      </c>
      <c r="G629">
        <v>0.74</v>
      </c>
      <c r="H629" t="s">
        <v>47</v>
      </c>
      <c r="I629">
        <v>-17</v>
      </c>
      <c r="J629" t="str">
        <f>HYPERLINK("https://www.eliteprospects.com/player/599304/ephram-mcnutt")</f>
        <v>https://www.eliteprospects.com/player/599304/ephram-mcnutt</v>
      </c>
      <c r="K629" t="s">
        <v>27</v>
      </c>
      <c r="L629" t="s">
        <v>631</v>
      </c>
      <c r="M629" t="s">
        <v>1296</v>
      </c>
      <c r="N629">
        <v>5</v>
      </c>
      <c r="O629" t="s">
        <v>645</v>
      </c>
      <c r="P629">
        <v>0.1</v>
      </c>
      <c r="Q629" t="s">
        <v>1325</v>
      </c>
      <c r="R629">
        <v>27.3</v>
      </c>
      <c r="S629">
        <v>22.7</v>
      </c>
      <c r="T629">
        <v>27.3</v>
      </c>
      <c r="U629">
        <v>4.5</v>
      </c>
      <c r="V629">
        <v>18.2</v>
      </c>
    </row>
    <row r="630" spans="1:22" x14ac:dyDescent="0.25">
      <c r="A630" t="s">
        <v>1936</v>
      </c>
      <c r="B630" t="s">
        <v>641</v>
      </c>
      <c r="C630">
        <v>40</v>
      </c>
      <c r="D630" t="s">
        <v>57</v>
      </c>
      <c r="E630" t="s">
        <v>47</v>
      </c>
      <c r="F630" t="s">
        <v>52</v>
      </c>
      <c r="G630">
        <v>0.7</v>
      </c>
      <c r="H630" t="s">
        <v>81</v>
      </c>
      <c r="I630">
        <v>17</v>
      </c>
      <c r="J630" t="str">
        <f>HYPERLINK("https://www.eliteprospects.com/player/679639/ethan-weber")</f>
        <v>https://www.eliteprospects.com/player/679639/ethan-weber</v>
      </c>
      <c r="K630" t="s">
        <v>27</v>
      </c>
      <c r="L630" t="s">
        <v>631</v>
      </c>
      <c r="M630" t="s">
        <v>1296</v>
      </c>
      <c r="N630">
        <v>1</v>
      </c>
      <c r="O630" t="s">
        <v>634</v>
      </c>
      <c r="P630">
        <v>0.1</v>
      </c>
      <c r="Q630" t="s">
        <v>1325</v>
      </c>
      <c r="R630">
        <v>27.3</v>
      </c>
      <c r="S630">
        <v>22.7</v>
      </c>
      <c r="T630">
        <v>27.3</v>
      </c>
      <c r="U630">
        <v>4.5</v>
      </c>
      <c r="V630">
        <v>18.2</v>
      </c>
    </row>
    <row r="631" spans="1:22" x14ac:dyDescent="0.25">
      <c r="A631" t="s">
        <v>1937</v>
      </c>
      <c r="B631" t="s">
        <v>641</v>
      </c>
      <c r="C631">
        <v>40</v>
      </c>
      <c r="D631" t="s">
        <v>66</v>
      </c>
      <c r="E631" t="s">
        <v>81</v>
      </c>
      <c r="F631" t="s">
        <v>52</v>
      </c>
      <c r="G631">
        <v>0.7</v>
      </c>
      <c r="H631" t="s">
        <v>39</v>
      </c>
      <c r="I631">
        <v>1</v>
      </c>
      <c r="J631" t="str">
        <f>HYPERLINK("https://www.eliteprospects.com/player/647196/nolan-stevenson")</f>
        <v>https://www.eliteprospects.com/player/647196/nolan-stevenson</v>
      </c>
      <c r="K631" t="s">
        <v>27</v>
      </c>
      <c r="L631" t="s">
        <v>631</v>
      </c>
      <c r="M631" t="s">
        <v>1296</v>
      </c>
      <c r="N631">
        <v>1</v>
      </c>
      <c r="O631" t="s">
        <v>634</v>
      </c>
      <c r="P631">
        <v>0.1</v>
      </c>
      <c r="Q631" t="s">
        <v>1325</v>
      </c>
      <c r="R631">
        <v>27.3</v>
      </c>
      <c r="S631">
        <v>22.7</v>
      </c>
      <c r="T631">
        <v>27.3</v>
      </c>
      <c r="U631">
        <v>4.5</v>
      </c>
      <c r="V631">
        <v>18.2</v>
      </c>
    </row>
    <row r="632" spans="1:22" x14ac:dyDescent="0.25">
      <c r="A632" t="s">
        <v>1938</v>
      </c>
      <c r="B632" t="s">
        <v>660</v>
      </c>
      <c r="C632">
        <v>37</v>
      </c>
      <c r="D632" t="s">
        <v>65</v>
      </c>
      <c r="E632" t="s">
        <v>39</v>
      </c>
      <c r="F632" t="s">
        <v>61</v>
      </c>
      <c r="G632">
        <v>0.73</v>
      </c>
      <c r="H632" t="s">
        <v>280</v>
      </c>
      <c r="I632">
        <v>-2</v>
      </c>
      <c r="J632" t="str">
        <f>HYPERLINK("https://www.eliteprospects.com/player/742505/connor-schmidt")</f>
        <v>https://www.eliteprospects.com/player/742505/connor-schmidt</v>
      </c>
      <c r="K632" t="s">
        <v>27</v>
      </c>
      <c r="L632" t="s">
        <v>631</v>
      </c>
      <c r="M632" t="s">
        <v>1296</v>
      </c>
      <c r="N632">
        <v>4</v>
      </c>
      <c r="O632" t="s">
        <v>632</v>
      </c>
      <c r="P632">
        <v>0.1</v>
      </c>
      <c r="Q632" t="s">
        <v>1325</v>
      </c>
      <c r="R632">
        <v>27.3</v>
      </c>
      <c r="S632">
        <v>22.7</v>
      </c>
      <c r="T632">
        <v>27.3</v>
      </c>
      <c r="U632">
        <v>4.5</v>
      </c>
      <c r="V632">
        <v>18.2</v>
      </c>
    </row>
    <row r="633" spans="1:22" x14ac:dyDescent="0.25">
      <c r="A633" t="s">
        <v>1939</v>
      </c>
      <c r="B633" t="s">
        <v>694</v>
      </c>
      <c r="C633">
        <v>40</v>
      </c>
      <c r="D633" t="s">
        <v>66</v>
      </c>
      <c r="E633" t="s">
        <v>84</v>
      </c>
      <c r="F633" t="s">
        <v>61</v>
      </c>
      <c r="G633">
        <v>0.68</v>
      </c>
      <c r="H633" t="s">
        <v>280</v>
      </c>
      <c r="I633">
        <v>-15</v>
      </c>
      <c r="J633" t="str">
        <f>HYPERLINK("https://www.eliteprospects.com/player/723945/nathan-maloney")</f>
        <v>https://www.eliteprospects.com/player/723945/nathan-maloney</v>
      </c>
      <c r="K633" t="s">
        <v>27</v>
      </c>
      <c r="L633" t="s">
        <v>631</v>
      </c>
      <c r="M633" t="s">
        <v>1296</v>
      </c>
      <c r="N633">
        <v>1</v>
      </c>
      <c r="O633" t="s">
        <v>634</v>
      </c>
      <c r="P633">
        <v>0.1</v>
      </c>
      <c r="Q633" t="s">
        <v>1325</v>
      </c>
      <c r="R633">
        <v>27.3</v>
      </c>
      <c r="S633">
        <v>22.7</v>
      </c>
      <c r="T633">
        <v>27.3</v>
      </c>
      <c r="U633">
        <v>4.5</v>
      </c>
      <c r="V633">
        <v>18.2</v>
      </c>
    </row>
    <row r="634" spans="1:22" x14ac:dyDescent="0.25">
      <c r="A634" t="s">
        <v>1940</v>
      </c>
      <c r="B634" t="s">
        <v>644</v>
      </c>
      <c r="C634">
        <v>41</v>
      </c>
      <c r="D634" t="s">
        <v>140</v>
      </c>
      <c r="E634" t="s">
        <v>81</v>
      </c>
      <c r="F634" t="s">
        <v>61</v>
      </c>
      <c r="G634">
        <v>0.66</v>
      </c>
      <c r="H634" t="s">
        <v>280</v>
      </c>
      <c r="I634">
        <v>6</v>
      </c>
      <c r="J634" t="str">
        <f>HYPERLINK("https://www.eliteprospects.com/player/1071112/arseni-anisimov")</f>
        <v>https://www.eliteprospects.com/player/1071112/arseni-anisimov</v>
      </c>
      <c r="K634" t="s">
        <v>27</v>
      </c>
      <c r="L634" t="s">
        <v>631</v>
      </c>
      <c r="M634" t="s">
        <v>1296</v>
      </c>
      <c r="N634">
        <v>2</v>
      </c>
      <c r="O634" t="s">
        <v>636</v>
      </c>
      <c r="P634">
        <v>0.09</v>
      </c>
      <c r="Q634" t="s">
        <v>1325</v>
      </c>
      <c r="R634">
        <v>27.3</v>
      </c>
      <c r="S634">
        <v>22.7</v>
      </c>
      <c r="T634">
        <v>27.3</v>
      </c>
      <c r="U634">
        <v>4.5</v>
      </c>
      <c r="V634">
        <v>18.2</v>
      </c>
    </row>
    <row r="635" spans="1:22" x14ac:dyDescent="0.25">
      <c r="A635" t="s">
        <v>1941</v>
      </c>
      <c r="B635" t="s">
        <v>660</v>
      </c>
      <c r="C635">
        <v>33</v>
      </c>
      <c r="D635" t="s">
        <v>96</v>
      </c>
      <c r="E635" t="s">
        <v>24</v>
      </c>
      <c r="F635" t="s">
        <v>75</v>
      </c>
      <c r="G635">
        <v>0.76</v>
      </c>
      <c r="H635" t="s">
        <v>26</v>
      </c>
      <c r="I635">
        <v>-6</v>
      </c>
      <c r="J635" t="str">
        <f>HYPERLINK("https://www.eliteprospects.com/player/701499/colt-carter")</f>
        <v>https://www.eliteprospects.com/player/701499/colt-carter</v>
      </c>
      <c r="K635" t="s">
        <v>27</v>
      </c>
      <c r="L635" t="s">
        <v>631</v>
      </c>
      <c r="M635" t="s">
        <v>1296</v>
      </c>
      <c r="N635">
        <v>2</v>
      </c>
      <c r="O635" t="s">
        <v>636</v>
      </c>
      <c r="P635">
        <v>0.11</v>
      </c>
      <c r="Q635" t="s">
        <v>1325</v>
      </c>
      <c r="R635">
        <v>27.3</v>
      </c>
      <c r="S635">
        <v>22.7</v>
      </c>
      <c r="T635">
        <v>27.3</v>
      </c>
      <c r="U635">
        <v>4.5</v>
      </c>
      <c r="V635">
        <v>18.2</v>
      </c>
    </row>
    <row r="636" spans="1:22" x14ac:dyDescent="0.25">
      <c r="A636" t="s">
        <v>1942</v>
      </c>
      <c r="B636" t="s">
        <v>676</v>
      </c>
      <c r="C636">
        <v>38</v>
      </c>
      <c r="D636" t="s">
        <v>96</v>
      </c>
      <c r="E636" t="s">
        <v>24</v>
      </c>
      <c r="F636" t="s">
        <v>75</v>
      </c>
      <c r="G636">
        <v>0.66</v>
      </c>
      <c r="H636" t="s">
        <v>24</v>
      </c>
      <c r="I636">
        <v>-13</v>
      </c>
      <c r="J636" t="str">
        <f>HYPERLINK("https://www.eliteprospects.com/player/577088/matthew-paranych")</f>
        <v>https://www.eliteprospects.com/player/577088/matthew-paranych</v>
      </c>
      <c r="K636" t="s">
        <v>27</v>
      </c>
      <c r="L636" t="s">
        <v>631</v>
      </c>
      <c r="M636" t="s">
        <v>1296</v>
      </c>
      <c r="N636">
        <v>3</v>
      </c>
      <c r="O636" t="s">
        <v>639</v>
      </c>
      <c r="P636">
        <v>0.09</v>
      </c>
      <c r="Q636" t="s">
        <v>1325</v>
      </c>
      <c r="R636">
        <v>27.3</v>
      </c>
      <c r="S636">
        <v>22.7</v>
      </c>
      <c r="T636">
        <v>27.3</v>
      </c>
      <c r="U636">
        <v>4.5</v>
      </c>
      <c r="V636">
        <v>18.2</v>
      </c>
    </row>
    <row r="637" spans="1:22" x14ac:dyDescent="0.25">
      <c r="A637" t="s">
        <v>1943</v>
      </c>
      <c r="B637" t="s">
        <v>667</v>
      </c>
      <c r="C637">
        <v>37</v>
      </c>
      <c r="D637" t="s">
        <v>96</v>
      </c>
      <c r="E637" t="s">
        <v>51</v>
      </c>
      <c r="F637" t="s">
        <v>81</v>
      </c>
      <c r="G637">
        <v>0.65</v>
      </c>
      <c r="H637" t="s">
        <v>41</v>
      </c>
      <c r="I637">
        <v>6</v>
      </c>
      <c r="J637" t="str">
        <f>HYPERLINK("https://www.eliteprospects.com/player/687833/tristen-doyle")</f>
        <v>https://www.eliteprospects.com/player/687833/tristen-doyle</v>
      </c>
      <c r="K637" t="s">
        <v>27</v>
      </c>
      <c r="L637" t="s">
        <v>631</v>
      </c>
      <c r="M637" t="s">
        <v>1296</v>
      </c>
      <c r="N637">
        <v>5</v>
      </c>
      <c r="O637" t="s">
        <v>645</v>
      </c>
      <c r="P637">
        <v>0.09</v>
      </c>
      <c r="Q637" t="s">
        <v>1325</v>
      </c>
      <c r="R637">
        <v>27.3</v>
      </c>
      <c r="S637">
        <v>22.7</v>
      </c>
      <c r="T637">
        <v>27.3</v>
      </c>
      <c r="U637">
        <v>4.5</v>
      </c>
      <c r="V637">
        <v>18.2</v>
      </c>
    </row>
    <row r="638" spans="1:22" x14ac:dyDescent="0.25">
      <c r="A638" t="s">
        <v>1944</v>
      </c>
      <c r="B638" t="s">
        <v>676</v>
      </c>
      <c r="C638">
        <v>38</v>
      </c>
      <c r="D638" t="s">
        <v>66</v>
      </c>
      <c r="E638" t="s">
        <v>24</v>
      </c>
      <c r="F638" t="s">
        <v>81</v>
      </c>
      <c r="G638">
        <v>0.63</v>
      </c>
      <c r="H638" t="s">
        <v>32</v>
      </c>
      <c r="I638">
        <v>0</v>
      </c>
      <c r="J638" t="str">
        <f>HYPERLINK("https://www.eliteprospects.com/player/577065/reese-hamilton")</f>
        <v>https://www.eliteprospects.com/player/577065/reese-hamilton</v>
      </c>
      <c r="K638" t="s">
        <v>27</v>
      </c>
      <c r="L638" t="s">
        <v>631</v>
      </c>
      <c r="M638" t="s">
        <v>1296</v>
      </c>
      <c r="N638">
        <v>3</v>
      </c>
      <c r="O638" t="s">
        <v>639</v>
      </c>
      <c r="P638">
        <v>0.09</v>
      </c>
      <c r="Q638" t="s">
        <v>1325</v>
      </c>
      <c r="R638">
        <v>27.3</v>
      </c>
      <c r="S638">
        <v>22.7</v>
      </c>
      <c r="T638">
        <v>27.3</v>
      </c>
      <c r="U638">
        <v>4.5</v>
      </c>
      <c r="V638">
        <v>18.2</v>
      </c>
    </row>
    <row r="639" spans="1:22" x14ac:dyDescent="0.25">
      <c r="A639" t="s">
        <v>1945</v>
      </c>
      <c r="B639" t="s">
        <v>633</v>
      </c>
      <c r="C639">
        <v>39</v>
      </c>
      <c r="D639" t="s">
        <v>140</v>
      </c>
      <c r="E639" t="s">
        <v>24</v>
      </c>
      <c r="F639" t="s">
        <v>84</v>
      </c>
      <c r="G639">
        <v>0.59</v>
      </c>
      <c r="H639" t="s">
        <v>84</v>
      </c>
      <c r="I639">
        <v>-2</v>
      </c>
      <c r="J639" t="str">
        <f>HYPERLINK("https://www.eliteprospects.com/player/647535/ryan-michael")</f>
        <v>https://www.eliteprospects.com/player/647535/ryan-michael</v>
      </c>
      <c r="K639" t="s">
        <v>27</v>
      </c>
      <c r="L639" t="s">
        <v>631</v>
      </c>
      <c r="M639" t="s">
        <v>1296</v>
      </c>
      <c r="N639">
        <v>5</v>
      </c>
      <c r="O639" t="s">
        <v>645</v>
      </c>
      <c r="P639">
        <v>0.08</v>
      </c>
      <c r="Q639" t="s">
        <v>1325</v>
      </c>
      <c r="R639">
        <v>30</v>
      </c>
      <c r="S639">
        <v>25</v>
      </c>
      <c r="T639">
        <v>32.5</v>
      </c>
      <c r="U639">
        <v>5</v>
      </c>
      <c r="V639">
        <v>7.5</v>
      </c>
    </row>
    <row r="640" spans="1:22" x14ac:dyDescent="0.25">
      <c r="A640" t="s">
        <v>1946</v>
      </c>
      <c r="B640" t="s">
        <v>651</v>
      </c>
      <c r="C640">
        <v>34</v>
      </c>
      <c r="D640" t="s">
        <v>69</v>
      </c>
      <c r="E640" t="s">
        <v>69</v>
      </c>
      <c r="F640" t="s">
        <v>47</v>
      </c>
      <c r="G640">
        <v>0.65</v>
      </c>
      <c r="H640" t="s">
        <v>300</v>
      </c>
      <c r="I640">
        <v>4</v>
      </c>
      <c r="J640" t="str">
        <f>HYPERLINK("https://www.eliteprospects.com/player/643384/justice-christensen")</f>
        <v>https://www.eliteprospects.com/player/643384/justice-christensen</v>
      </c>
      <c r="K640" t="s">
        <v>27</v>
      </c>
      <c r="L640" t="s">
        <v>631</v>
      </c>
      <c r="M640" t="s">
        <v>1296</v>
      </c>
      <c r="N640">
        <v>4</v>
      </c>
      <c r="O640" t="s">
        <v>632</v>
      </c>
      <c r="P640">
        <v>0.09</v>
      </c>
      <c r="Q640" t="s">
        <v>1325</v>
      </c>
      <c r="R640">
        <v>27.3</v>
      </c>
      <c r="S640">
        <v>22.7</v>
      </c>
      <c r="T640">
        <v>27.3</v>
      </c>
      <c r="U640">
        <v>4.5</v>
      </c>
      <c r="V640">
        <v>18.2</v>
      </c>
    </row>
    <row r="641" spans="1:22" x14ac:dyDescent="0.25">
      <c r="A641" t="s">
        <v>1947</v>
      </c>
      <c r="B641" t="s">
        <v>635</v>
      </c>
      <c r="C641">
        <v>36</v>
      </c>
      <c r="D641" t="s">
        <v>78</v>
      </c>
      <c r="E641" t="s">
        <v>41</v>
      </c>
      <c r="F641" t="s">
        <v>47</v>
      </c>
      <c r="G641">
        <v>0.61</v>
      </c>
      <c r="H641" t="s">
        <v>81</v>
      </c>
      <c r="I641">
        <v>22</v>
      </c>
      <c r="J641" t="str">
        <f>HYPERLINK("https://www.eliteprospects.com/player/577017/blake-fiddler")</f>
        <v>https://www.eliteprospects.com/player/577017/blake-fiddler</v>
      </c>
      <c r="K641" t="s">
        <v>27</v>
      </c>
      <c r="L641" t="s">
        <v>631</v>
      </c>
      <c r="M641" t="s">
        <v>1296</v>
      </c>
      <c r="N641">
        <v>3</v>
      </c>
      <c r="O641" t="s">
        <v>639</v>
      </c>
      <c r="P641">
        <v>0.09</v>
      </c>
      <c r="Q641" t="s">
        <v>1325</v>
      </c>
      <c r="R641">
        <v>27.3</v>
      </c>
      <c r="S641">
        <v>22.7</v>
      </c>
      <c r="T641">
        <v>27.3</v>
      </c>
      <c r="U641">
        <v>4.5</v>
      </c>
      <c r="V641">
        <v>18.2</v>
      </c>
    </row>
    <row r="642" spans="1:22" x14ac:dyDescent="0.25">
      <c r="A642" t="s">
        <v>1948</v>
      </c>
      <c r="B642" t="s">
        <v>507</v>
      </c>
      <c r="C642">
        <v>39</v>
      </c>
      <c r="D642" t="s">
        <v>57</v>
      </c>
      <c r="E642" t="s">
        <v>38</v>
      </c>
      <c r="F642" t="s">
        <v>47</v>
      </c>
      <c r="G642">
        <v>0.56000000000000005</v>
      </c>
      <c r="H642" t="s">
        <v>512</v>
      </c>
      <c r="I642">
        <v>-10</v>
      </c>
      <c r="J642" t="str">
        <f>HYPERLINK("https://www.eliteprospects.com/player/685905/keith-mcinnis")</f>
        <v>https://www.eliteprospects.com/player/685905/keith-mcinnis</v>
      </c>
      <c r="K642" t="s">
        <v>27</v>
      </c>
      <c r="L642" t="s">
        <v>631</v>
      </c>
      <c r="M642" t="s">
        <v>1296</v>
      </c>
      <c r="N642">
        <v>1</v>
      </c>
      <c r="O642" t="s">
        <v>634</v>
      </c>
      <c r="P642">
        <v>0.08</v>
      </c>
      <c r="Q642" t="s">
        <v>1325</v>
      </c>
      <c r="R642">
        <v>30</v>
      </c>
      <c r="S642">
        <v>25</v>
      </c>
      <c r="T642">
        <v>32.5</v>
      </c>
      <c r="U642">
        <v>5</v>
      </c>
      <c r="V642">
        <v>7.5</v>
      </c>
    </row>
    <row r="643" spans="1:22" x14ac:dyDescent="0.25">
      <c r="A643" t="s">
        <v>1949</v>
      </c>
      <c r="B643" t="s">
        <v>633</v>
      </c>
      <c r="C643">
        <v>40</v>
      </c>
      <c r="D643" t="s">
        <v>57</v>
      </c>
      <c r="E643" t="s">
        <v>38</v>
      </c>
      <c r="F643" t="s">
        <v>47</v>
      </c>
      <c r="G643">
        <v>0.55000000000000004</v>
      </c>
      <c r="H643" t="s">
        <v>52</v>
      </c>
      <c r="I643">
        <v>1</v>
      </c>
      <c r="J643" t="str">
        <f>HYPERLINK("https://www.eliteprospects.com/player/748428/isa-guram")</f>
        <v>https://www.eliteprospects.com/player/748428/isa-guram</v>
      </c>
      <c r="K643" t="s">
        <v>27</v>
      </c>
      <c r="L643" t="s">
        <v>631</v>
      </c>
      <c r="M643" t="s">
        <v>1296</v>
      </c>
      <c r="N643">
        <v>3</v>
      </c>
      <c r="O643" t="s">
        <v>639</v>
      </c>
      <c r="P643">
        <v>0.08</v>
      </c>
      <c r="Q643" t="s">
        <v>1325</v>
      </c>
      <c r="R643">
        <v>30</v>
      </c>
      <c r="S643">
        <v>25</v>
      </c>
      <c r="T643">
        <v>32.5</v>
      </c>
      <c r="U643">
        <v>5</v>
      </c>
      <c r="V643">
        <v>7.5</v>
      </c>
    </row>
    <row r="644" spans="1:22" x14ac:dyDescent="0.25">
      <c r="A644" t="s">
        <v>1950</v>
      </c>
      <c r="B644" t="s">
        <v>651</v>
      </c>
      <c r="C644">
        <v>38</v>
      </c>
      <c r="D644" t="s">
        <v>66</v>
      </c>
      <c r="E644" t="s">
        <v>55</v>
      </c>
      <c r="F644" t="s">
        <v>47</v>
      </c>
      <c r="G644">
        <v>0.57999999999999996</v>
      </c>
      <c r="H644" t="s">
        <v>300</v>
      </c>
      <c r="I644">
        <v>36</v>
      </c>
      <c r="J644" t="str">
        <f>HYPERLINK("https://www.eliteprospects.com/player/679535/linden-burrett")</f>
        <v>https://www.eliteprospects.com/player/679535/linden-burrett</v>
      </c>
      <c r="K644" t="s">
        <v>27</v>
      </c>
      <c r="L644" t="s">
        <v>631</v>
      </c>
      <c r="M644" t="s">
        <v>1296</v>
      </c>
      <c r="N644">
        <v>2</v>
      </c>
      <c r="O644" t="s">
        <v>636</v>
      </c>
      <c r="P644">
        <v>0.08</v>
      </c>
      <c r="Q644" t="s">
        <v>1325</v>
      </c>
      <c r="R644">
        <v>30</v>
      </c>
      <c r="S644">
        <v>25</v>
      </c>
      <c r="T644">
        <v>32.5</v>
      </c>
      <c r="U644">
        <v>5</v>
      </c>
      <c r="V644">
        <v>7.5</v>
      </c>
    </row>
    <row r="645" spans="1:22" x14ac:dyDescent="0.25">
      <c r="A645" t="s">
        <v>1951</v>
      </c>
      <c r="B645" t="s">
        <v>659</v>
      </c>
      <c r="C645">
        <v>30</v>
      </c>
      <c r="D645" t="s">
        <v>26</v>
      </c>
      <c r="E645" t="s">
        <v>65</v>
      </c>
      <c r="F645" t="s">
        <v>33</v>
      </c>
      <c r="G645">
        <v>0.7</v>
      </c>
      <c r="H645" t="s">
        <v>39</v>
      </c>
      <c r="I645">
        <v>2</v>
      </c>
      <c r="J645" t="str">
        <f>HYPERLINK("https://www.eliteprospects.com/player/917755/jakub-vanecek")</f>
        <v>https://www.eliteprospects.com/player/917755/jakub-vanecek</v>
      </c>
      <c r="K645" t="s">
        <v>27</v>
      </c>
      <c r="L645" t="s">
        <v>631</v>
      </c>
      <c r="M645" t="s">
        <v>1296</v>
      </c>
      <c r="N645">
        <v>1</v>
      </c>
      <c r="O645" t="s">
        <v>634</v>
      </c>
      <c r="P645">
        <v>0.1</v>
      </c>
      <c r="Q645" t="s">
        <v>1325</v>
      </c>
      <c r="R645">
        <v>27.3</v>
      </c>
      <c r="S645">
        <v>22.7</v>
      </c>
      <c r="T645">
        <v>27.3</v>
      </c>
      <c r="U645">
        <v>4.5</v>
      </c>
      <c r="V645">
        <v>18.2</v>
      </c>
    </row>
    <row r="646" spans="1:22" x14ac:dyDescent="0.25">
      <c r="A646" t="s">
        <v>1952</v>
      </c>
      <c r="B646" t="s">
        <v>640</v>
      </c>
      <c r="C646">
        <v>41</v>
      </c>
      <c r="D646" t="s">
        <v>78</v>
      </c>
      <c r="E646" t="s">
        <v>39</v>
      </c>
      <c r="F646" t="s">
        <v>33</v>
      </c>
      <c r="G646">
        <v>0.51</v>
      </c>
      <c r="H646" t="s">
        <v>32</v>
      </c>
      <c r="I646">
        <v>12</v>
      </c>
      <c r="J646" t="str">
        <f>HYPERLINK("https://www.eliteprospects.com/player/628070/will-mclaughlin")</f>
        <v>https://www.eliteprospects.com/player/628070/will-mclaughlin</v>
      </c>
      <c r="K646" t="s">
        <v>27</v>
      </c>
      <c r="L646" t="s">
        <v>631</v>
      </c>
      <c r="M646" t="s">
        <v>1296</v>
      </c>
      <c r="N646">
        <v>1</v>
      </c>
      <c r="O646" t="s">
        <v>634</v>
      </c>
      <c r="P646">
        <v>7.0000000000000007E-2</v>
      </c>
      <c r="Q646" t="s">
        <v>1325</v>
      </c>
      <c r="R646">
        <v>30</v>
      </c>
      <c r="S646">
        <v>25</v>
      </c>
      <c r="T646">
        <v>32.5</v>
      </c>
      <c r="U646">
        <v>5</v>
      </c>
      <c r="V646">
        <v>7.5</v>
      </c>
    </row>
    <row r="647" spans="1:22" x14ac:dyDescent="0.25">
      <c r="A647" t="s">
        <v>1953</v>
      </c>
      <c r="B647" t="s">
        <v>644</v>
      </c>
      <c r="C647">
        <v>34</v>
      </c>
      <c r="D647" t="s">
        <v>57</v>
      </c>
      <c r="E647" t="s">
        <v>41</v>
      </c>
      <c r="F647" t="s">
        <v>33</v>
      </c>
      <c r="G647">
        <v>0.62</v>
      </c>
      <c r="H647" t="s">
        <v>51</v>
      </c>
      <c r="I647">
        <v>0</v>
      </c>
      <c r="J647" t="str">
        <f>HYPERLINK("https://www.eliteprospects.com/player/603578/bauer-dumanski")</f>
        <v>https://www.eliteprospects.com/player/603578/bauer-dumanski</v>
      </c>
      <c r="K647" t="s">
        <v>27</v>
      </c>
      <c r="L647" t="s">
        <v>631</v>
      </c>
      <c r="M647" t="s">
        <v>1296</v>
      </c>
      <c r="N647">
        <v>5</v>
      </c>
      <c r="O647" t="s">
        <v>645</v>
      </c>
      <c r="P647">
        <v>0.09</v>
      </c>
      <c r="Q647" t="s">
        <v>1325</v>
      </c>
      <c r="R647">
        <v>27.3</v>
      </c>
      <c r="S647">
        <v>22.7</v>
      </c>
      <c r="T647">
        <v>27.3</v>
      </c>
      <c r="U647">
        <v>4.5</v>
      </c>
      <c r="V647">
        <v>18.2</v>
      </c>
    </row>
    <row r="648" spans="1:22" x14ac:dyDescent="0.25">
      <c r="A648" t="s">
        <v>1954</v>
      </c>
      <c r="B648" t="s">
        <v>709</v>
      </c>
      <c r="C648">
        <v>39</v>
      </c>
      <c r="D648" t="s">
        <v>78</v>
      </c>
      <c r="E648" t="s">
        <v>65</v>
      </c>
      <c r="F648" t="s">
        <v>24</v>
      </c>
      <c r="G648">
        <v>0.51</v>
      </c>
      <c r="H648" t="s">
        <v>32</v>
      </c>
      <c r="I648">
        <v>-21</v>
      </c>
      <c r="J648" t="str">
        <f>HYPERLINK("https://www.eliteprospects.com/player/825498/jace-mcfaul")</f>
        <v>https://www.eliteprospects.com/player/825498/jace-mcfaul</v>
      </c>
      <c r="K648" t="s">
        <v>27</v>
      </c>
      <c r="L648" t="s">
        <v>631</v>
      </c>
      <c r="M648" t="s">
        <v>1296</v>
      </c>
      <c r="N648">
        <v>3</v>
      </c>
      <c r="O648" t="s">
        <v>639</v>
      </c>
      <c r="P648">
        <v>7.0000000000000007E-2</v>
      </c>
      <c r="Q648" t="s">
        <v>1325</v>
      </c>
      <c r="R648">
        <v>30</v>
      </c>
      <c r="S648">
        <v>25</v>
      </c>
      <c r="T648">
        <v>32.5</v>
      </c>
      <c r="U648">
        <v>5</v>
      </c>
      <c r="V648">
        <v>7.5</v>
      </c>
    </row>
    <row r="649" spans="1:22" x14ac:dyDescent="0.25">
      <c r="A649" t="s">
        <v>1955</v>
      </c>
      <c r="B649" t="s">
        <v>671</v>
      </c>
      <c r="C649">
        <v>38</v>
      </c>
      <c r="D649" t="s">
        <v>66</v>
      </c>
      <c r="E649" t="s">
        <v>38</v>
      </c>
      <c r="F649" t="s">
        <v>24</v>
      </c>
      <c r="G649">
        <v>0.53</v>
      </c>
      <c r="H649" t="s">
        <v>47</v>
      </c>
      <c r="I649">
        <v>11</v>
      </c>
      <c r="J649" t="str">
        <f>HYPERLINK("https://www.eliteprospects.com/player/597558/william-mcisaac")</f>
        <v>https://www.eliteprospects.com/player/597558/william-mcisaac</v>
      </c>
      <c r="K649" t="s">
        <v>27</v>
      </c>
      <c r="L649" t="s">
        <v>631</v>
      </c>
      <c r="M649" t="s">
        <v>1296</v>
      </c>
      <c r="N649">
        <v>5</v>
      </c>
      <c r="O649" t="s">
        <v>645</v>
      </c>
      <c r="P649">
        <v>7.0000000000000007E-2</v>
      </c>
      <c r="Q649" t="s">
        <v>1325</v>
      </c>
      <c r="R649">
        <v>30</v>
      </c>
      <c r="S649">
        <v>25</v>
      </c>
      <c r="T649">
        <v>32.5</v>
      </c>
      <c r="U649">
        <v>5</v>
      </c>
      <c r="V649">
        <v>7.5</v>
      </c>
    </row>
    <row r="650" spans="1:22" x14ac:dyDescent="0.25">
      <c r="A650" t="s">
        <v>1956</v>
      </c>
      <c r="B650" t="s">
        <v>651</v>
      </c>
      <c r="C650">
        <v>32</v>
      </c>
      <c r="D650" t="s">
        <v>140</v>
      </c>
      <c r="E650" t="s">
        <v>60</v>
      </c>
      <c r="F650" t="s">
        <v>24</v>
      </c>
      <c r="G650">
        <v>0.63</v>
      </c>
      <c r="H650" t="s">
        <v>57</v>
      </c>
      <c r="I650">
        <v>11</v>
      </c>
      <c r="J650" t="str">
        <f>HYPERLINK("https://www.eliteprospects.com/player/701389/brock-cripps")</f>
        <v>https://www.eliteprospects.com/player/701389/brock-cripps</v>
      </c>
      <c r="K650" t="s">
        <v>27</v>
      </c>
      <c r="L650" t="s">
        <v>631</v>
      </c>
      <c r="M650" t="s">
        <v>1296</v>
      </c>
      <c r="N650">
        <v>2</v>
      </c>
      <c r="O650" t="s">
        <v>636</v>
      </c>
      <c r="P650">
        <v>0.09</v>
      </c>
      <c r="Q650" t="s">
        <v>1325</v>
      </c>
      <c r="R650">
        <v>27.3</v>
      </c>
      <c r="S650">
        <v>22.7</v>
      </c>
      <c r="T650">
        <v>27.3</v>
      </c>
      <c r="U650">
        <v>4.5</v>
      </c>
      <c r="V650">
        <v>18.2</v>
      </c>
    </row>
    <row r="651" spans="1:22" x14ac:dyDescent="0.25">
      <c r="A651" t="s">
        <v>1957</v>
      </c>
      <c r="B651" t="s">
        <v>709</v>
      </c>
      <c r="C651">
        <v>39</v>
      </c>
      <c r="D651" t="s">
        <v>140</v>
      </c>
      <c r="E651" t="s">
        <v>60</v>
      </c>
      <c r="F651" t="s">
        <v>24</v>
      </c>
      <c r="G651">
        <v>0.51</v>
      </c>
      <c r="H651" t="s">
        <v>512</v>
      </c>
      <c r="I651">
        <v>-20</v>
      </c>
      <c r="J651" t="str">
        <f>HYPERLINK("https://www.eliteprospects.com/player/577136/josh-mcgregor")</f>
        <v>https://www.eliteprospects.com/player/577136/josh-mcgregor</v>
      </c>
      <c r="K651" t="s">
        <v>27</v>
      </c>
      <c r="L651" t="s">
        <v>631</v>
      </c>
      <c r="M651" t="s">
        <v>1296</v>
      </c>
      <c r="N651">
        <v>2</v>
      </c>
      <c r="O651" t="s">
        <v>636</v>
      </c>
      <c r="P651">
        <v>7.0000000000000007E-2</v>
      </c>
      <c r="Q651" t="s">
        <v>1325</v>
      </c>
      <c r="R651">
        <v>30</v>
      </c>
      <c r="S651">
        <v>25</v>
      </c>
      <c r="T651">
        <v>32.5</v>
      </c>
      <c r="U651">
        <v>5</v>
      </c>
      <c r="V651">
        <v>7.5</v>
      </c>
    </row>
    <row r="652" spans="1:22" x14ac:dyDescent="0.25">
      <c r="A652" t="s">
        <v>1958</v>
      </c>
      <c r="B652" t="s">
        <v>646</v>
      </c>
      <c r="C652">
        <v>34</v>
      </c>
      <c r="D652" t="s">
        <v>260</v>
      </c>
      <c r="E652" t="s">
        <v>51</v>
      </c>
      <c r="F652" t="s">
        <v>24</v>
      </c>
      <c r="G652">
        <v>0.59</v>
      </c>
      <c r="H652" t="s">
        <v>33</v>
      </c>
      <c r="I652">
        <v>0</v>
      </c>
      <c r="J652" t="str">
        <f>HYPERLINK("https://www.eliteprospects.com/player/878966/hunter-aura")</f>
        <v>https://www.eliteprospects.com/player/878966/hunter-aura</v>
      </c>
      <c r="K652" t="s">
        <v>27</v>
      </c>
      <c r="L652" t="s">
        <v>631</v>
      </c>
      <c r="M652" t="s">
        <v>1296</v>
      </c>
      <c r="N652">
        <v>2</v>
      </c>
      <c r="O652" t="s">
        <v>636</v>
      </c>
      <c r="P652">
        <v>0.08</v>
      </c>
      <c r="Q652" t="s">
        <v>1325</v>
      </c>
      <c r="R652">
        <v>30</v>
      </c>
      <c r="S652">
        <v>25</v>
      </c>
      <c r="T652">
        <v>32.5</v>
      </c>
      <c r="U652">
        <v>5</v>
      </c>
      <c r="V652">
        <v>7.5</v>
      </c>
    </row>
    <row r="653" spans="1:22" x14ac:dyDescent="0.25">
      <c r="A653" t="s">
        <v>1959</v>
      </c>
      <c r="B653" t="s">
        <v>646</v>
      </c>
      <c r="C653">
        <v>37</v>
      </c>
      <c r="D653" t="s">
        <v>79</v>
      </c>
      <c r="E653" t="s">
        <v>60</v>
      </c>
      <c r="F653" t="s">
        <v>51</v>
      </c>
      <c r="G653">
        <v>0.51</v>
      </c>
      <c r="H653" t="s">
        <v>25</v>
      </c>
      <c r="I653">
        <v>9</v>
      </c>
      <c r="J653" t="str">
        <f>HYPERLINK("https://www.eliteprospects.com/player/577089/wyatt-pisarczyk")</f>
        <v>https://www.eliteprospects.com/player/577089/wyatt-pisarczyk</v>
      </c>
      <c r="K653" t="s">
        <v>27</v>
      </c>
      <c r="L653" t="s">
        <v>631</v>
      </c>
      <c r="M653" t="s">
        <v>1296</v>
      </c>
      <c r="N653">
        <v>3</v>
      </c>
      <c r="O653" t="s">
        <v>639</v>
      </c>
      <c r="P653">
        <v>7.0000000000000007E-2</v>
      </c>
      <c r="Q653" t="s">
        <v>1325</v>
      </c>
      <c r="R653">
        <v>30</v>
      </c>
      <c r="S653">
        <v>25</v>
      </c>
      <c r="T653">
        <v>32.5</v>
      </c>
      <c r="U653">
        <v>5</v>
      </c>
      <c r="V653">
        <v>7.5</v>
      </c>
    </row>
    <row r="654" spans="1:22" x14ac:dyDescent="0.25">
      <c r="A654" t="s">
        <v>1960</v>
      </c>
      <c r="B654" t="s">
        <v>647</v>
      </c>
      <c r="C654">
        <v>39</v>
      </c>
      <c r="D654" t="s">
        <v>79</v>
      </c>
      <c r="E654" t="s">
        <v>60</v>
      </c>
      <c r="F654" t="s">
        <v>51</v>
      </c>
      <c r="G654">
        <v>0.49</v>
      </c>
      <c r="H654" t="s">
        <v>125</v>
      </c>
      <c r="I654">
        <v>4</v>
      </c>
      <c r="J654" t="str">
        <f>HYPERLINK("https://www.eliteprospects.com/player/619705/giorgos-pantelas")</f>
        <v>https://www.eliteprospects.com/player/619705/giorgos-pantelas</v>
      </c>
      <c r="K654" t="s">
        <v>27</v>
      </c>
      <c r="L654" t="s">
        <v>631</v>
      </c>
      <c r="M654" t="s">
        <v>1296</v>
      </c>
      <c r="N654">
        <v>3</v>
      </c>
      <c r="O654" t="s">
        <v>639</v>
      </c>
      <c r="P654">
        <v>7.0000000000000007E-2</v>
      </c>
      <c r="Q654" t="s">
        <v>1325</v>
      </c>
      <c r="R654">
        <v>30</v>
      </c>
      <c r="S654">
        <v>25</v>
      </c>
      <c r="T654">
        <v>32.5</v>
      </c>
      <c r="U654">
        <v>5</v>
      </c>
      <c r="V654">
        <v>7.5</v>
      </c>
    </row>
    <row r="655" spans="1:22" x14ac:dyDescent="0.25">
      <c r="A655" t="s">
        <v>1961</v>
      </c>
      <c r="B655" t="s">
        <v>641</v>
      </c>
      <c r="C655">
        <v>39</v>
      </c>
      <c r="D655" t="s">
        <v>260</v>
      </c>
      <c r="E655" t="s">
        <v>55</v>
      </c>
      <c r="F655" t="s">
        <v>51</v>
      </c>
      <c r="G655">
        <v>0.49</v>
      </c>
      <c r="H655" t="s">
        <v>84</v>
      </c>
      <c r="I655">
        <v>12</v>
      </c>
      <c r="J655" t="str">
        <f>HYPERLINK("https://www.eliteprospects.com/player/576974/callum-stone")</f>
        <v>https://www.eliteprospects.com/player/576974/callum-stone</v>
      </c>
      <c r="K655" t="s">
        <v>27</v>
      </c>
      <c r="L655" t="s">
        <v>631</v>
      </c>
      <c r="M655" t="s">
        <v>1296</v>
      </c>
      <c r="N655">
        <v>1</v>
      </c>
      <c r="O655" t="s">
        <v>634</v>
      </c>
      <c r="P655">
        <v>7.0000000000000007E-2</v>
      </c>
      <c r="Q655" t="s">
        <v>1325</v>
      </c>
      <c r="R655">
        <v>30</v>
      </c>
      <c r="S655">
        <v>25</v>
      </c>
      <c r="T655">
        <v>32.5</v>
      </c>
      <c r="U655">
        <v>5</v>
      </c>
      <c r="V655">
        <v>7.5</v>
      </c>
    </row>
    <row r="656" spans="1:22" x14ac:dyDescent="0.25">
      <c r="A656" t="s">
        <v>1962</v>
      </c>
      <c r="B656" t="s">
        <v>637</v>
      </c>
      <c r="C656">
        <v>30</v>
      </c>
      <c r="D656" t="s">
        <v>66</v>
      </c>
      <c r="E656" t="s">
        <v>39</v>
      </c>
      <c r="F656" t="s">
        <v>55</v>
      </c>
      <c r="G656">
        <v>0.6</v>
      </c>
      <c r="H656" t="s">
        <v>47</v>
      </c>
      <c r="I656">
        <v>5</v>
      </c>
      <c r="J656" t="str">
        <f>HYPERLINK("https://www.eliteprospects.com/player/793158/veeti-vaisanen")</f>
        <v>https://www.eliteprospects.com/player/793158/veeti-vaisanen</v>
      </c>
      <c r="K656" t="s">
        <v>27</v>
      </c>
      <c r="L656" t="s">
        <v>631</v>
      </c>
      <c r="M656" t="s">
        <v>1296</v>
      </c>
      <c r="N656">
        <v>2</v>
      </c>
      <c r="O656" t="s">
        <v>636</v>
      </c>
      <c r="P656">
        <v>0.08</v>
      </c>
      <c r="Q656" t="s">
        <v>1325</v>
      </c>
      <c r="R656">
        <v>30</v>
      </c>
      <c r="S656">
        <v>25</v>
      </c>
      <c r="T656">
        <v>32.5</v>
      </c>
      <c r="U656">
        <v>5</v>
      </c>
      <c r="V656">
        <v>7.5</v>
      </c>
    </row>
    <row r="657" spans="1:22" x14ac:dyDescent="0.25">
      <c r="A657" t="s">
        <v>1963</v>
      </c>
      <c r="B657" t="s">
        <v>667</v>
      </c>
      <c r="C657">
        <v>39</v>
      </c>
      <c r="D657" t="s">
        <v>140</v>
      </c>
      <c r="E657" t="s">
        <v>41</v>
      </c>
      <c r="F657" t="s">
        <v>55</v>
      </c>
      <c r="G657">
        <v>0.46</v>
      </c>
      <c r="H657" t="s">
        <v>34</v>
      </c>
      <c r="I657">
        <v>9</v>
      </c>
      <c r="J657" t="str">
        <f>HYPERLINK("https://www.eliteprospects.com/player/576972/jordan-martin")</f>
        <v>https://www.eliteprospects.com/player/576972/jordan-martin</v>
      </c>
      <c r="K657" t="s">
        <v>27</v>
      </c>
      <c r="L657" t="s">
        <v>631</v>
      </c>
      <c r="M657" t="s">
        <v>1296</v>
      </c>
      <c r="N657">
        <v>3</v>
      </c>
      <c r="O657" t="s">
        <v>639</v>
      </c>
      <c r="P657">
        <v>0.06</v>
      </c>
      <c r="Q657" t="s">
        <v>1325</v>
      </c>
      <c r="R657">
        <v>26.3</v>
      </c>
      <c r="S657">
        <v>23.7</v>
      </c>
      <c r="T657">
        <v>28.9</v>
      </c>
      <c r="U657">
        <v>5.3</v>
      </c>
      <c r="V657">
        <v>15.8</v>
      </c>
    </row>
    <row r="658" spans="1:22" x14ac:dyDescent="0.25">
      <c r="A658" t="s">
        <v>1964</v>
      </c>
      <c r="B658" t="s">
        <v>507</v>
      </c>
      <c r="C658">
        <v>38</v>
      </c>
      <c r="D658" t="s">
        <v>96</v>
      </c>
      <c r="E658" t="s">
        <v>23</v>
      </c>
      <c r="F658" t="s">
        <v>60</v>
      </c>
      <c r="G658">
        <v>0.45</v>
      </c>
      <c r="H658" t="s">
        <v>75</v>
      </c>
      <c r="I658">
        <v>2</v>
      </c>
      <c r="J658" t="str">
        <f>HYPERLINK("https://www.eliteprospects.com/player/855986/kyle-heger")</f>
        <v>https://www.eliteprospects.com/player/855986/kyle-heger</v>
      </c>
      <c r="K658" t="s">
        <v>27</v>
      </c>
      <c r="L658" t="s">
        <v>631</v>
      </c>
      <c r="M658" t="s">
        <v>1296</v>
      </c>
      <c r="N658">
        <v>1</v>
      </c>
      <c r="O658" t="s">
        <v>634</v>
      </c>
      <c r="P658">
        <v>0.06</v>
      </c>
      <c r="Q658" t="s">
        <v>1325</v>
      </c>
      <c r="R658">
        <v>26.3</v>
      </c>
      <c r="S658">
        <v>23.7</v>
      </c>
      <c r="T658">
        <v>28.9</v>
      </c>
      <c r="U658">
        <v>5.3</v>
      </c>
      <c r="V658">
        <v>15.8</v>
      </c>
    </row>
    <row r="659" spans="1:22" x14ac:dyDescent="0.25">
      <c r="A659" t="s">
        <v>1965</v>
      </c>
      <c r="B659" t="s">
        <v>637</v>
      </c>
      <c r="C659">
        <v>31</v>
      </c>
      <c r="D659" t="s">
        <v>78</v>
      </c>
      <c r="E659" t="s">
        <v>45</v>
      </c>
      <c r="F659" t="s">
        <v>38</v>
      </c>
      <c r="G659">
        <v>0.52</v>
      </c>
      <c r="H659" t="s">
        <v>26</v>
      </c>
      <c r="I659">
        <v>8</v>
      </c>
      <c r="J659" t="str">
        <f>HYPERLINK("https://www.eliteprospects.com/player/805920/tyson-moss")</f>
        <v>https://www.eliteprospects.com/player/805920/tyson-moss</v>
      </c>
      <c r="K659" t="s">
        <v>27</v>
      </c>
      <c r="L659" t="s">
        <v>631</v>
      </c>
      <c r="M659" t="s">
        <v>1296</v>
      </c>
      <c r="N659">
        <v>2</v>
      </c>
      <c r="O659" t="s">
        <v>636</v>
      </c>
      <c r="P659">
        <v>7.0000000000000007E-2</v>
      </c>
      <c r="Q659" t="s">
        <v>1325</v>
      </c>
      <c r="R659">
        <v>30</v>
      </c>
      <c r="S659">
        <v>25</v>
      </c>
      <c r="T659">
        <v>32.5</v>
      </c>
      <c r="U659">
        <v>5</v>
      </c>
      <c r="V659">
        <v>7.5</v>
      </c>
    </row>
    <row r="660" spans="1:22" x14ac:dyDescent="0.25">
      <c r="A660" t="s">
        <v>1966</v>
      </c>
      <c r="B660" t="s">
        <v>649</v>
      </c>
      <c r="C660">
        <v>35</v>
      </c>
      <c r="D660" t="s">
        <v>96</v>
      </c>
      <c r="E660" t="s">
        <v>69</v>
      </c>
      <c r="F660" t="s">
        <v>38</v>
      </c>
      <c r="G660">
        <v>0.46</v>
      </c>
      <c r="H660" t="s">
        <v>55</v>
      </c>
      <c r="I660">
        <v>30</v>
      </c>
      <c r="J660" t="str">
        <f>HYPERLINK("https://www.eliteprospects.com/player/577135/brek-liske")</f>
        <v>https://www.eliteprospects.com/player/577135/brek-liske</v>
      </c>
      <c r="K660" t="s">
        <v>27</v>
      </c>
      <c r="L660" t="s">
        <v>631</v>
      </c>
      <c r="M660" t="s">
        <v>1296</v>
      </c>
      <c r="N660">
        <v>3</v>
      </c>
      <c r="O660" t="s">
        <v>639</v>
      </c>
      <c r="P660">
        <v>0.06</v>
      </c>
      <c r="Q660" t="s">
        <v>1325</v>
      </c>
      <c r="R660">
        <v>26.3</v>
      </c>
      <c r="S660">
        <v>23.7</v>
      </c>
      <c r="T660">
        <v>28.9</v>
      </c>
      <c r="U660">
        <v>5.3</v>
      </c>
      <c r="V660">
        <v>15.8</v>
      </c>
    </row>
    <row r="661" spans="1:22" x14ac:dyDescent="0.25">
      <c r="A661" t="s">
        <v>1967</v>
      </c>
      <c r="B661" t="s">
        <v>507</v>
      </c>
      <c r="C661">
        <v>34</v>
      </c>
      <c r="D661" t="s">
        <v>140</v>
      </c>
      <c r="E661" t="s">
        <v>65</v>
      </c>
      <c r="F661" t="s">
        <v>38</v>
      </c>
      <c r="G661">
        <v>0.47</v>
      </c>
      <c r="H661" t="s">
        <v>39</v>
      </c>
      <c r="I661">
        <v>0</v>
      </c>
      <c r="J661" t="str">
        <f>HYPERLINK("https://www.eliteprospects.com/player/576980/will-sharpe")</f>
        <v>https://www.eliteprospects.com/player/576980/will-sharpe</v>
      </c>
      <c r="K661" t="s">
        <v>27</v>
      </c>
      <c r="L661" t="s">
        <v>631</v>
      </c>
      <c r="M661" t="s">
        <v>1296</v>
      </c>
      <c r="N661">
        <v>4</v>
      </c>
      <c r="O661" t="s">
        <v>632</v>
      </c>
      <c r="P661">
        <v>7.0000000000000007E-2</v>
      </c>
      <c r="Q661" t="s">
        <v>1325</v>
      </c>
      <c r="R661">
        <v>30</v>
      </c>
      <c r="S661">
        <v>25</v>
      </c>
      <c r="T661">
        <v>32.5</v>
      </c>
      <c r="U661">
        <v>5</v>
      </c>
      <c r="V661">
        <v>7.5</v>
      </c>
    </row>
    <row r="662" spans="1:22" x14ac:dyDescent="0.25">
      <c r="A662" t="s">
        <v>1968</v>
      </c>
      <c r="B662" t="s">
        <v>662</v>
      </c>
      <c r="C662">
        <v>14</v>
      </c>
      <c r="D662" t="s">
        <v>260</v>
      </c>
      <c r="E662" t="s">
        <v>41</v>
      </c>
      <c r="F662" t="s">
        <v>38</v>
      </c>
      <c r="G662">
        <v>1.1399999999999999</v>
      </c>
      <c r="H662" t="s">
        <v>65</v>
      </c>
      <c r="I662">
        <v>4</v>
      </c>
      <c r="J662" t="str">
        <f>HYPERLINK("https://www.eliteprospects.com/player/872673/radim-mrtka")</f>
        <v>https://www.eliteprospects.com/player/872673/radim-mrtka</v>
      </c>
      <c r="K662" t="s">
        <v>27</v>
      </c>
      <c r="L662" t="s">
        <v>631</v>
      </c>
      <c r="M662" t="s">
        <v>1296</v>
      </c>
      <c r="N662">
        <v>2</v>
      </c>
      <c r="O662" t="s">
        <v>636</v>
      </c>
      <c r="P662">
        <v>0.16</v>
      </c>
      <c r="Q662" t="s">
        <v>1300</v>
      </c>
      <c r="R662">
        <v>30.8</v>
      </c>
      <c r="S662">
        <v>20.5</v>
      </c>
      <c r="T662">
        <v>10.3</v>
      </c>
      <c r="U662">
        <v>10.3</v>
      </c>
      <c r="V662">
        <v>28.2</v>
      </c>
    </row>
    <row r="663" spans="1:22" x14ac:dyDescent="0.25">
      <c r="A663" t="s">
        <v>1969</v>
      </c>
      <c r="B663" t="s">
        <v>641</v>
      </c>
      <c r="C663">
        <v>38</v>
      </c>
      <c r="D663" t="s">
        <v>66</v>
      </c>
      <c r="E663" t="s">
        <v>69</v>
      </c>
      <c r="F663" t="s">
        <v>41</v>
      </c>
      <c r="G663">
        <v>0.39</v>
      </c>
      <c r="H663" t="s">
        <v>55</v>
      </c>
      <c r="I663">
        <v>22</v>
      </c>
      <c r="J663" t="str">
        <f>HYPERLINK("https://www.eliteprospects.com/player/817739/doogan-pederson")</f>
        <v>https://www.eliteprospects.com/player/817739/doogan-pederson</v>
      </c>
      <c r="K663" t="s">
        <v>27</v>
      </c>
      <c r="L663" t="s">
        <v>631</v>
      </c>
      <c r="M663" t="s">
        <v>1296</v>
      </c>
      <c r="N663">
        <v>3</v>
      </c>
      <c r="O663" t="s">
        <v>639</v>
      </c>
      <c r="P663">
        <v>0.05</v>
      </c>
      <c r="Q663" t="s">
        <v>1325</v>
      </c>
      <c r="R663">
        <v>26.3</v>
      </c>
      <c r="S663">
        <v>23.7</v>
      </c>
      <c r="T663">
        <v>28.9</v>
      </c>
      <c r="U663">
        <v>5.3</v>
      </c>
      <c r="V663">
        <v>15.8</v>
      </c>
    </row>
    <row r="664" spans="1:22" x14ac:dyDescent="0.25">
      <c r="A664" t="s">
        <v>1970</v>
      </c>
      <c r="B664" t="s">
        <v>507</v>
      </c>
      <c r="C664">
        <v>34</v>
      </c>
      <c r="D664" t="s">
        <v>140</v>
      </c>
      <c r="E664" t="s">
        <v>23</v>
      </c>
      <c r="F664" t="s">
        <v>41</v>
      </c>
      <c r="G664">
        <v>0.44</v>
      </c>
      <c r="H664" t="s">
        <v>25</v>
      </c>
      <c r="I664">
        <v>29</v>
      </c>
      <c r="J664" t="str">
        <f>HYPERLINK("https://www.eliteprospects.com/player/709618/parker-alcos")</f>
        <v>https://www.eliteprospects.com/player/709618/parker-alcos</v>
      </c>
      <c r="K664" t="s">
        <v>27</v>
      </c>
      <c r="L664" t="s">
        <v>631</v>
      </c>
      <c r="M664" t="s">
        <v>1296</v>
      </c>
      <c r="N664">
        <v>4</v>
      </c>
      <c r="O664" t="s">
        <v>632</v>
      </c>
      <c r="P664">
        <v>0.06</v>
      </c>
      <c r="Q664" t="s">
        <v>1325</v>
      </c>
      <c r="R664">
        <v>26.3</v>
      </c>
      <c r="S664">
        <v>23.7</v>
      </c>
      <c r="T664">
        <v>28.9</v>
      </c>
      <c r="U664">
        <v>5.3</v>
      </c>
      <c r="V664">
        <v>15.8</v>
      </c>
    </row>
    <row r="665" spans="1:22" x14ac:dyDescent="0.25">
      <c r="A665" t="s">
        <v>1971</v>
      </c>
      <c r="B665" t="s">
        <v>694</v>
      </c>
      <c r="C665">
        <v>33</v>
      </c>
      <c r="D665" t="s">
        <v>79</v>
      </c>
      <c r="E665" t="s">
        <v>65</v>
      </c>
      <c r="F665" t="s">
        <v>41</v>
      </c>
      <c r="G665">
        <v>0.45</v>
      </c>
      <c r="H665" t="s">
        <v>26</v>
      </c>
      <c r="I665">
        <v>-17</v>
      </c>
      <c r="J665" t="str">
        <f>HYPERLINK("https://www.eliteprospects.com/player/628098/william-scott")</f>
        <v>https://www.eliteprospects.com/player/628098/william-scott</v>
      </c>
      <c r="K665" t="s">
        <v>27</v>
      </c>
      <c r="L665" t="s">
        <v>631</v>
      </c>
      <c r="M665" t="s">
        <v>1296</v>
      </c>
      <c r="N665">
        <v>2</v>
      </c>
      <c r="O665" t="s">
        <v>636</v>
      </c>
      <c r="P665">
        <v>0.06</v>
      </c>
      <c r="Q665" t="s">
        <v>1325</v>
      </c>
      <c r="R665">
        <v>26.3</v>
      </c>
      <c r="S665">
        <v>23.7</v>
      </c>
      <c r="T665">
        <v>28.9</v>
      </c>
      <c r="U665">
        <v>5.3</v>
      </c>
      <c r="V665">
        <v>15.8</v>
      </c>
    </row>
    <row r="666" spans="1:22" x14ac:dyDescent="0.25">
      <c r="A666" t="s">
        <v>1972</v>
      </c>
      <c r="B666" t="s">
        <v>662</v>
      </c>
      <c r="C666">
        <v>38</v>
      </c>
      <c r="D666" t="s">
        <v>79</v>
      </c>
      <c r="E666" t="s">
        <v>65</v>
      </c>
      <c r="F666" t="s">
        <v>41</v>
      </c>
      <c r="G666">
        <v>0.39</v>
      </c>
      <c r="H666" t="s">
        <v>178</v>
      </c>
      <c r="I666">
        <v>-4</v>
      </c>
      <c r="J666" t="str">
        <f>HYPERLINK("https://www.eliteprospects.com/player/805205/tai-riley")</f>
        <v>https://www.eliteprospects.com/player/805205/tai-riley</v>
      </c>
      <c r="K666" t="s">
        <v>27</v>
      </c>
      <c r="L666" t="s">
        <v>631</v>
      </c>
      <c r="M666" t="s">
        <v>1296</v>
      </c>
      <c r="N666">
        <v>2</v>
      </c>
      <c r="O666" t="s">
        <v>636</v>
      </c>
      <c r="P666">
        <v>0.05</v>
      </c>
      <c r="Q666" t="s">
        <v>1325</v>
      </c>
      <c r="R666">
        <v>26.3</v>
      </c>
      <c r="S666">
        <v>23.7</v>
      </c>
      <c r="T666">
        <v>28.9</v>
      </c>
      <c r="U666">
        <v>5.3</v>
      </c>
      <c r="V666">
        <v>15.8</v>
      </c>
    </row>
    <row r="667" spans="1:22" x14ac:dyDescent="0.25">
      <c r="A667" t="s">
        <v>1973</v>
      </c>
      <c r="B667" t="s">
        <v>653</v>
      </c>
      <c r="C667">
        <v>38</v>
      </c>
      <c r="D667" t="s">
        <v>132</v>
      </c>
      <c r="E667" t="s">
        <v>41</v>
      </c>
      <c r="F667" t="s">
        <v>41</v>
      </c>
      <c r="G667">
        <v>0.39</v>
      </c>
      <c r="H667" t="s">
        <v>489</v>
      </c>
      <c r="I667">
        <v>10</v>
      </c>
      <c r="J667" t="str">
        <f>HYPERLINK("https://www.eliteprospects.com/player/719093/rowan-guest")</f>
        <v>https://www.eliteprospects.com/player/719093/rowan-guest</v>
      </c>
      <c r="K667" t="s">
        <v>27</v>
      </c>
      <c r="L667" t="s">
        <v>631</v>
      </c>
      <c r="M667" t="s">
        <v>1296</v>
      </c>
      <c r="N667">
        <v>2</v>
      </c>
      <c r="O667" t="s">
        <v>636</v>
      </c>
      <c r="P667">
        <v>0.05</v>
      </c>
      <c r="Q667" t="s">
        <v>1325</v>
      </c>
      <c r="R667">
        <v>26.3</v>
      </c>
      <c r="S667">
        <v>23.7</v>
      </c>
      <c r="T667">
        <v>28.9</v>
      </c>
      <c r="U667">
        <v>5.3</v>
      </c>
      <c r="V667">
        <v>15.8</v>
      </c>
    </row>
    <row r="668" spans="1:22" x14ac:dyDescent="0.25">
      <c r="A668" t="s">
        <v>1974</v>
      </c>
      <c r="B668" t="s">
        <v>667</v>
      </c>
      <c r="C668">
        <v>39</v>
      </c>
      <c r="D668" t="s">
        <v>57</v>
      </c>
      <c r="E668" t="s">
        <v>26</v>
      </c>
      <c r="F668" t="s">
        <v>39</v>
      </c>
      <c r="G668">
        <v>0.36</v>
      </c>
      <c r="H668" t="s">
        <v>66</v>
      </c>
      <c r="I668">
        <v>4</v>
      </c>
      <c r="J668" t="str">
        <f>HYPERLINK("https://www.eliteprospects.com/player/577084/jack-kachkowski")</f>
        <v>https://www.eliteprospects.com/player/577084/jack-kachkowski</v>
      </c>
      <c r="K668" t="s">
        <v>27</v>
      </c>
      <c r="L668" t="s">
        <v>631</v>
      </c>
      <c r="M668" t="s">
        <v>1296</v>
      </c>
      <c r="N668">
        <v>3</v>
      </c>
      <c r="O668" t="s">
        <v>639</v>
      </c>
      <c r="P668">
        <v>0.05</v>
      </c>
      <c r="Q668" t="s">
        <v>1325</v>
      </c>
      <c r="R668">
        <v>26.3</v>
      </c>
      <c r="S668">
        <v>23.7</v>
      </c>
      <c r="T668">
        <v>28.9</v>
      </c>
      <c r="U668">
        <v>5.3</v>
      </c>
      <c r="V668">
        <v>15.8</v>
      </c>
    </row>
    <row r="669" spans="1:22" x14ac:dyDescent="0.25">
      <c r="A669" t="s">
        <v>1975</v>
      </c>
      <c r="B669" t="s">
        <v>659</v>
      </c>
      <c r="C669">
        <v>37</v>
      </c>
      <c r="D669" t="s">
        <v>140</v>
      </c>
      <c r="E669" t="s">
        <v>69</v>
      </c>
      <c r="F669" t="s">
        <v>39</v>
      </c>
      <c r="G669">
        <v>0.38</v>
      </c>
      <c r="H669" t="s">
        <v>34</v>
      </c>
      <c r="I669">
        <v>8</v>
      </c>
      <c r="J669" t="str">
        <f>HYPERLINK("https://www.eliteprospects.com/player/597844/charlie-elick")</f>
        <v>https://www.eliteprospects.com/player/597844/charlie-elick</v>
      </c>
      <c r="K669" t="s">
        <v>27</v>
      </c>
      <c r="L669" t="s">
        <v>631</v>
      </c>
      <c r="M669" t="s">
        <v>1296</v>
      </c>
      <c r="N669">
        <v>5</v>
      </c>
      <c r="O669" t="s">
        <v>645</v>
      </c>
      <c r="P669">
        <v>0.05</v>
      </c>
      <c r="Q669" t="s">
        <v>1325</v>
      </c>
      <c r="R669">
        <v>26.3</v>
      </c>
      <c r="S669">
        <v>23.7</v>
      </c>
      <c r="T669">
        <v>28.9</v>
      </c>
      <c r="U669">
        <v>5.3</v>
      </c>
      <c r="V669">
        <v>15.8</v>
      </c>
    </row>
    <row r="670" spans="1:22" x14ac:dyDescent="0.25">
      <c r="A670" t="s">
        <v>1976</v>
      </c>
      <c r="B670" t="s">
        <v>651</v>
      </c>
      <c r="C670">
        <v>37</v>
      </c>
      <c r="D670" t="s">
        <v>140</v>
      </c>
      <c r="E670" t="s">
        <v>69</v>
      </c>
      <c r="F670" t="s">
        <v>39</v>
      </c>
      <c r="G670">
        <v>0.38</v>
      </c>
      <c r="H670" t="s">
        <v>178</v>
      </c>
      <c r="I670">
        <v>28</v>
      </c>
      <c r="J670" t="str">
        <f>HYPERLINK("https://www.eliteprospects.com/player/879768/bennett-kelly")</f>
        <v>https://www.eliteprospects.com/player/879768/bennett-kelly</v>
      </c>
      <c r="K670" t="s">
        <v>27</v>
      </c>
      <c r="L670" t="s">
        <v>631</v>
      </c>
      <c r="M670" t="s">
        <v>1296</v>
      </c>
      <c r="N670">
        <v>2</v>
      </c>
      <c r="O670" t="s">
        <v>636</v>
      </c>
      <c r="P670">
        <v>0.05</v>
      </c>
      <c r="Q670" t="s">
        <v>1325</v>
      </c>
      <c r="R670">
        <v>26.3</v>
      </c>
      <c r="S670">
        <v>23.7</v>
      </c>
      <c r="T670">
        <v>28.9</v>
      </c>
      <c r="U670">
        <v>5.3</v>
      </c>
      <c r="V670">
        <v>15.8</v>
      </c>
    </row>
    <row r="671" spans="1:22" x14ac:dyDescent="0.25">
      <c r="A671" t="s">
        <v>1977</v>
      </c>
      <c r="B671" t="s">
        <v>659</v>
      </c>
      <c r="C671">
        <v>39</v>
      </c>
      <c r="D671" t="s">
        <v>66</v>
      </c>
      <c r="E671" t="s">
        <v>45</v>
      </c>
      <c r="F671" t="s">
        <v>65</v>
      </c>
      <c r="G671">
        <v>0.33</v>
      </c>
      <c r="H671" t="s">
        <v>65</v>
      </c>
      <c r="I671">
        <v>6</v>
      </c>
      <c r="J671" t="str">
        <f>HYPERLINK("https://www.eliteprospects.com/player/576987/dylan-lebret")</f>
        <v>https://www.eliteprospects.com/player/576987/dylan-lebret</v>
      </c>
      <c r="K671" t="s">
        <v>27</v>
      </c>
      <c r="L671" t="s">
        <v>631</v>
      </c>
      <c r="M671" t="s">
        <v>1296</v>
      </c>
      <c r="N671">
        <v>1</v>
      </c>
      <c r="O671" t="s">
        <v>634</v>
      </c>
      <c r="P671">
        <v>0.05</v>
      </c>
      <c r="Q671" t="s">
        <v>1325</v>
      </c>
      <c r="R671">
        <v>26.3</v>
      </c>
      <c r="S671">
        <v>23.7</v>
      </c>
      <c r="T671">
        <v>28.9</v>
      </c>
      <c r="U671">
        <v>5.3</v>
      </c>
      <c r="V671">
        <v>15.8</v>
      </c>
    </row>
    <row r="672" spans="1:22" x14ac:dyDescent="0.25">
      <c r="A672" t="s">
        <v>1978</v>
      </c>
      <c r="B672" t="s">
        <v>684</v>
      </c>
      <c r="C672">
        <v>36</v>
      </c>
      <c r="D672" t="s">
        <v>140</v>
      </c>
      <c r="E672" t="s">
        <v>32</v>
      </c>
      <c r="F672" t="s">
        <v>65</v>
      </c>
      <c r="G672">
        <v>0.36</v>
      </c>
      <c r="H672" t="s">
        <v>53</v>
      </c>
      <c r="I672">
        <v>-5</v>
      </c>
      <c r="J672" t="str">
        <f>HYPERLINK("https://www.eliteprospects.com/player/966908/boston-tait")</f>
        <v>https://www.eliteprospects.com/player/966908/boston-tait</v>
      </c>
      <c r="K672" t="s">
        <v>27</v>
      </c>
      <c r="L672" t="s">
        <v>631</v>
      </c>
      <c r="M672" t="s">
        <v>1296</v>
      </c>
      <c r="N672">
        <v>2</v>
      </c>
      <c r="O672" t="s">
        <v>636</v>
      </c>
      <c r="P672">
        <v>0.05</v>
      </c>
      <c r="Q672" t="s">
        <v>1325</v>
      </c>
      <c r="R672">
        <v>26.3</v>
      </c>
      <c r="S672">
        <v>23.7</v>
      </c>
      <c r="T672">
        <v>28.9</v>
      </c>
      <c r="U672">
        <v>5.3</v>
      </c>
      <c r="V672">
        <v>15.8</v>
      </c>
    </row>
    <row r="673" spans="1:22" x14ac:dyDescent="0.25">
      <c r="A673" t="s">
        <v>1979</v>
      </c>
      <c r="B673" t="s">
        <v>659</v>
      </c>
      <c r="C673">
        <v>33</v>
      </c>
      <c r="D673" t="s">
        <v>260</v>
      </c>
      <c r="E673" t="s">
        <v>23</v>
      </c>
      <c r="F673" t="s">
        <v>65</v>
      </c>
      <c r="G673">
        <v>0.39</v>
      </c>
      <c r="H673" t="s">
        <v>60</v>
      </c>
      <c r="I673">
        <v>15</v>
      </c>
      <c r="J673" t="str">
        <f>HYPERLINK("https://www.eliteprospects.com/player/647519/carter-savage")</f>
        <v>https://www.eliteprospects.com/player/647519/carter-savage</v>
      </c>
      <c r="K673" t="s">
        <v>27</v>
      </c>
      <c r="L673" t="s">
        <v>631</v>
      </c>
      <c r="M673" t="s">
        <v>1296</v>
      </c>
      <c r="N673">
        <v>5</v>
      </c>
      <c r="O673" t="s">
        <v>645</v>
      </c>
      <c r="P673">
        <v>0.05</v>
      </c>
      <c r="Q673" t="s">
        <v>1325</v>
      </c>
      <c r="R673">
        <v>26.3</v>
      </c>
      <c r="S673">
        <v>23.7</v>
      </c>
      <c r="T673">
        <v>28.9</v>
      </c>
      <c r="U673">
        <v>5.3</v>
      </c>
      <c r="V673">
        <v>15.8</v>
      </c>
    </row>
    <row r="674" spans="1:22" x14ac:dyDescent="0.25">
      <c r="A674" t="s">
        <v>1980</v>
      </c>
      <c r="B674" t="s">
        <v>640</v>
      </c>
      <c r="C674">
        <v>40</v>
      </c>
      <c r="D674" t="s">
        <v>260</v>
      </c>
      <c r="E674" t="s">
        <v>23</v>
      </c>
      <c r="F674" t="s">
        <v>65</v>
      </c>
      <c r="G674">
        <v>0.33</v>
      </c>
      <c r="H674" t="s">
        <v>52</v>
      </c>
      <c r="I674">
        <v>-3</v>
      </c>
      <c r="J674" t="str">
        <f>HYPERLINK("https://www.eliteprospects.com/player/597726/cole-slobodian")</f>
        <v>https://www.eliteprospects.com/player/597726/cole-slobodian</v>
      </c>
      <c r="K674" t="s">
        <v>27</v>
      </c>
      <c r="L674" t="s">
        <v>631</v>
      </c>
      <c r="M674" t="s">
        <v>1296</v>
      </c>
      <c r="N674">
        <v>3</v>
      </c>
      <c r="O674" t="s">
        <v>639</v>
      </c>
      <c r="P674">
        <v>0.05</v>
      </c>
      <c r="Q674" t="s">
        <v>1325</v>
      </c>
      <c r="R674">
        <v>26.3</v>
      </c>
      <c r="S674">
        <v>23.7</v>
      </c>
      <c r="T674">
        <v>28.9</v>
      </c>
      <c r="U674">
        <v>5.3</v>
      </c>
      <c r="V674">
        <v>15.8</v>
      </c>
    </row>
    <row r="675" spans="1:22" x14ac:dyDescent="0.25">
      <c r="A675" t="s">
        <v>1981</v>
      </c>
      <c r="B675" t="s">
        <v>644</v>
      </c>
      <c r="C675">
        <v>34</v>
      </c>
      <c r="D675" t="s">
        <v>96</v>
      </c>
      <c r="E675" t="s">
        <v>78</v>
      </c>
      <c r="F675" t="s">
        <v>23</v>
      </c>
      <c r="G675">
        <v>0.35</v>
      </c>
      <c r="H675" t="s">
        <v>46</v>
      </c>
      <c r="I675">
        <v>-7</v>
      </c>
      <c r="J675" t="str">
        <f>HYPERLINK("https://www.eliteprospects.com/player/617229/corbin-vaughan")</f>
        <v>https://www.eliteprospects.com/player/617229/corbin-vaughan</v>
      </c>
      <c r="K675" t="s">
        <v>27</v>
      </c>
      <c r="L675" t="s">
        <v>631</v>
      </c>
      <c r="M675" t="s">
        <v>1296</v>
      </c>
      <c r="N675">
        <v>5</v>
      </c>
      <c r="O675" t="s">
        <v>645</v>
      </c>
      <c r="P675">
        <v>0.05</v>
      </c>
      <c r="Q675" t="s">
        <v>1325</v>
      </c>
      <c r="R675">
        <v>26.3</v>
      </c>
      <c r="S675">
        <v>23.7</v>
      </c>
      <c r="T675">
        <v>28.9</v>
      </c>
      <c r="U675">
        <v>5.3</v>
      </c>
      <c r="V675">
        <v>15.8</v>
      </c>
    </row>
    <row r="676" spans="1:22" x14ac:dyDescent="0.25">
      <c r="A676" t="s">
        <v>1982</v>
      </c>
      <c r="B676" t="s">
        <v>646</v>
      </c>
      <c r="C676">
        <v>25</v>
      </c>
      <c r="D676" t="s">
        <v>140</v>
      </c>
      <c r="E676" t="s">
        <v>45</v>
      </c>
      <c r="F676" t="s">
        <v>23</v>
      </c>
      <c r="G676">
        <v>0.48</v>
      </c>
      <c r="H676" t="s">
        <v>38</v>
      </c>
      <c r="I676">
        <v>-10</v>
      </c>
      <c r="J676" t="str">
        <f>HYPERLINK("https://www.eliteprospects.com/player/966880/calder-hamilton")</f>
        <v>https://www.eliteprospects.com/player/966880/calder-hamilton</v>
      </c>
      <c r="K676" t="s">
        <v>27</v>
      </c>
      <c r="L676" t="s">
        <v>631</v>
      </c>
      <c r="M676" t="s">
        <v>1296</v>
      </c>
      <c r="N676">
        <v>1</v>
      </c>
      <c r="O676" t="s">
        <v>634</v>
      </c>
      <c r="P676">
        <v>7.0000000000000007E-2</v>
      </c>
      <c r="Q676" t="s">
        <v>1325</v>
      </c>
      <c r="R676">
        <v>30</v>
      </c>
      <c r="S676">
        <v>25</v>
      </c>
      <c r="T676">
        <v>32.5</v>
      </c>
      <c r="U676">
        <v>5</v>
      </c>
      <c r="V676">
        <v>7.5</v>
      </c>
    </row>
    <row r="677" spans="1:22" x14ac:dyDescent="0.25">
      <c r="A677" t="s">
        <v>1983</v>
      </c>
      <c r="B677" t="s">
        <v>686</v>
      </c>
      <c r="C677">
        <v>37</v>
      </c>
      <c r="D677" t="s">
        <v>140</v>
      </c>
      <c r="E677" t="s">
        <v>45</v>
      </c>
      <c r="F677" t="s">
        <v>23</v>
      </c>
      <c r="G677">
        <v>0.32</v>
      </c>
      <c r="H677" t="s">
        <v>38</v>
      </c>
      <c r="I677">
        <v>-2</v>
      </c>
      <c r="J677" t="str">
        <f>HYPERLINK("https://www.eliteprospects.com/player/878987/nate-yellowaga")</f>
        <v>https://www.eliteprospects.com/player/878987/nate-yellowaga</v>
      </c>
      <c r="K677" t="s">
        <v>27</v>
      </c>
      <c r="L677" t="s">
        <v>631</v>
      </c>
      <c r="M677" t="s">
        <v>1296</v>
      </c>
      <c r="N677">
        <v>1</v>
      </c>
      <c r="O677" t="s">
        <v>634</v>
      </c>
      <c r="P677">
        <v>0.05</v>
      </c>
      <c r="Q677" t="s">
        <v>1325</v>
      </c>
      <c r="R677">
        <v>26.3</v>
      </c>
      <c r="S677">
        <v>23.7</v>
      </c>
      <c r="T677">
        <v>28.9</v>
      </c>
      <c r="U677">
        <v>5.3</v>
      </c>
      <c r="V677">
        <v>15.8</v>
      </c>
    </row>
    <row r="678" spans="1:22" x14ac:dyDescent="0.25">
      <c r="A678" t="s">
        <v>1984</v>
      </c>
      <c r="B678" t="s">
        <v>640</v>
      </c>
      <c r="C678">
        <v>26</v>
      </c>
      <c r="D678" t="s">
        <v>79</v>
      </c>
      <c r="E678" t="s">
        <v>32</v>
      </c>
      <c r="F678" t="s">
        <v>23</v>
      </c>
      <c r="G678">
        <v>0.46</v>
      </c>
      <c r="H678" t="s">
        <v>52</v>
      </c>
      <c r="I678">
        <v>0</v>
      </c>
      <c r="J678" t="str">
        <f>HYPERLINK("https://www.eliteprospects.com/player/690440/max-psenicka")</f>
        <v>https://www.eliteprospects.com/player/690440/max-psenicka</v>
      </c>
      <c r="K678" t="s">
        <v>27</v>
      </c>
      <c r="L678" t="s">
        <v>631</v>
      </c>
      <c r="M678" t="s">
        <v>1296</v>
      </c>
      <c r="N678">
        <v>2</v>
      </c>
      <c r="O678" t="s">
        <v>636</v>
      </c>
      <c r="P678">
        <v>0.06</v>
      </c>
      <c r="Q678" t="s">
        <v>1325</v>
      </c>
      <c r="R678">
        <v>26.3</v>
      </c>
      <c r="S678">
        <v>23.7</v>
      </c>
      <c r="T678">
        <v>28.9</v>
      </c>
      <c r="U678">
        <v>5.3</v>
      </c>
      <c r="V678">
        <v>15.8</v>
      </c>
    </row>
    <row r="679" spans="1:22" x14ac:dyDescent="0.25">
      <c r="A679" t="s">
        <v>1985</v>
      </c>
      <c r="B679" t="s">
        <v>662</v>
      </c>
      <c r="C679">
        <v>33</v>
      </c>
      <c r="D679" t="s">
        <v>79</v>
      </c>
      <c r="E679" t="s">
        <v>32</v>
      </c>
      <c r="F679" t="s">
        <v>23</v>
      </c>
      <c r="G679">
        <v>0.36</v>
      </c>
      <c r="H679" t="s">
        <v>638</v>
      </c>
      <c r="I679">
        <v>15</v>
      </c>
      <c r="J679" t="str">
        <f>HYPERLINK("https://www.eliteprospects.com/player/661822/ashton-cumby")</f>
        <v>https://www.eliteprospects.com/player/661822/ashton-cumby</v>
      </c>
      <c r="K679" t="s">
        <v>27</v>
      </c>
      <c r="L679" t="s">
        <v>631</v>
      </c>
      <c r="M679" t="s">
        <v>1296</v>
      </c>
      <c r="N679">
        <v>5</v>
      </c>
      <c r="O679" t="s">
        <v>645</v>
      </c>
      <c r="P679">
        <v>0.05</v>
      </c>
      <c r="Q679" t="s">
        <v>1325</v>
      </c>
      <c r="R679">
        <v>26.3</v>
      </c>
      <c r="S679">
        <v>23.7</v>
      </c>
      <c r="T679">
        <v>28.9</v>
      </c>
      <c r="U679">
        <v>5.3</v>
      </c>
      <c r="V679">
        <v>15.8</v>
      </c>
    </row>
    <row r="680" spans="1:22" x14ac:dyDescent="0.25">
      <c r="A680" t="s">
        <v>1986</v>
      </c>
      <c r="B680" t="s">
        <v>647</v>
      </c>
      <c r="C680">
        <v>34</v>
      </c>
      <c r="D680" t="s">
        <v>260</v>
      </c>
      <c r="E680" t="s">
        <v>69</v>
      </c>
      <c r="F680" t="s">
        <v>23</v>
      </c>
      <c r="G680">
        <v>0.35</v>
      </c>
      <c r="H680" t="s">
        <v>235</v>
      </c>
      <c r="I680">
        <v>12</v>
      </c>
      <c r="J680" t="str">
        <f>HYPERLINK("https://www.eliteprospects.com/player/883618/nigel-boehm")</f>
        <v>https://www.eliteprospects.com/player/883618/nigel-boehm</v>
      </c>
      <c r="K680" t="s">
        <v>27</v>
      </c>
      <c r="L680" t="s">
        <v>631</v>
      </c>
      <c r="M680" t="s">
        <v>1296</v>
      </c>
      <c r="N680">
        <v>2</v>
      </c>
      <c r="O680" t="s">
        <v>636</v>
      </c>
      <c r="P680">
        <v>0.05</v>
      </c>
      <c r="Q680" t="s">
        <v>1325</v>
      </c>
      <c r="R680">
        <v>26.3</v>
      </c>
      <c r="S680">
        <v>23.7</v>
      </c>
      <c r="T680">
        <v>28.9</v>
      </c>
      <c r="U680">
        <v>5.3</v>
      </c>
      <c r="V680">
        <v>15.8</v>
      </c>
    </row>
    <row r="681" spans="1:22" x14ac:dyDescent="0.25">
      <c r="A681" t="s">
        <v>1987</v>
      </c>
      <c r="B681" t="s">
        <v>647</v>
      </c>
      <c r="C681">
        <v>34</v>
      </c>
      <c r="D681" t="s">
        <v>66</v>
      </c>
      <c r="E681" t="s">
        <v>78</v>
      </c>
      <c r="F681" t="s">
        <v>69</v>
      </c>
      <c r="G681">
        <v>0.32</v>
      </c>
      <c r="H681" t="s">
        <v>23</v>
      </c>
      <c r="I681">
        <v>3</v>
      </c>
      <c r="J681" t="str">
        <f>HYPERLINK("https://www.eliteprospects.com/player/725709/dylan-ronald")</f>
        <v>https://www.eliteprospects.com/player/725709/dylan-ronald</v>
      </c>
      <c r="K681" t="s">
        <v>27</v>
      </c>
      <c r="L681" t="s">
        <v>631</v>
      </c>
      <c r="M681" t="s">
        <v>1296</v>
      </c>
      <c r="N681">
        <v>2</v>
      </c>
      <c r="O681" t="s">
        <v>636</v>
      </c>
      <c r="P681">
        <v>0.05</v>
      </c>
      <c r="Q681" t="s">
        <v>1325</v>
      </c>
      <c r="R681">
        <v>26.3</v>
      </c>
      <c r="S681">
        <v>23.7</v>
      </c>
      <c r="T681">
        <v>28.9</v>
      </c>
      <c r="U681">
        <v>5.3</v>
      </c>
      <c r="V681">
        <v>15.8</v>
      </c>
    </row>
    <row r="682" spans="1:22" x14ac:dyDescent="0.25">
      <c r="A682" t="s">
        <v>1988</v>
      </c>
      <c r="B682" t="s">
        <v>657</v>
      </c>
      <c r="C682">
        <v>29</v>
      </c>
      <c r="D682" t="s">
        <v>79</v>
      </c>
      <c r="E682" t="s">
        <v>45</v>
      </c>
      <c r="F682" t="s">
        <v>69</v>
      </c>
      <c r="G682">
        <v>0.38</v>
      </c>
      <c r="H682" t="s">
        <v>66</v>
      </c>
      <c r="I682">
        <v>-2</v>
      </c>
      <c r="J682" t="str">
        <f>HYPERLINK("https://www.eliteprospects.com/player/710805/landon-young")</f>
        <v>https://www.eliteprospects.com/player/710805/landon-young</v>
      </c>
      <c r="K682" t="s">
        <v>27</v>
      </c>
      <c r="L682" t="s">
        <v>631</v>
      </c>
      <c r="M682" t="s">
        <v>1296</v>
      </c>
      <c r="N682">
        <v>4</v>
      </c>
      <c r="O682" t="s">
        <v>632</v>
      </c>
      <c r="P682">
        <v>0.05</v>
      </c>
      <c r="Q682" t="s">
        <v>1325</v>
      </c>
      <c r="R682">
        <v>26.3</v>
      </c>
      <c r="S682">
        <v>23.7</v>
      </c>
      <c r="T682">
        <v>28.9</v>
      </c>
      <c r="U682">
        <v>5.3</v>
      </c>
      <c r="V682">
        <v>15.8</v>
      </c>
    </row>
    <row r="683" spans="1:22" x14ac:dyDescent="0.25">
      <c r="A683" t="s">
        <v>1989</v>
      </c>
      <c r="B683" t="s">
        <v>694</v>
      </c>
      <c r="C683">
        <v>33</v>
      </c>
      <c r="D683" t="s">
        <v>79</v>
      </c>
      <c r="E683" t="s">
        <v>45</v>
      </c>
      <c r="F683" t="s">
        <v>69</v>
      </c>
      <c r="G683">
        <v>0.33</v>
      </c>
      <c r="H683" t="s">
        <v>564</v>
      </c>
      <c r="I683">
        <v>-13</v>
      </c>
      <c r="J683" t="str">
        <f>HYPERLINK("https://www.eliteprospects.com/player/643473/matteo-fabrizi")</f>
        <v>https://www.eliteprospects.com/player/643473/matteo-fabrizi</v>
      </c>
      <c r="K683" t="s">
        <v>27</v>
      </c>
      <c r="L683" t="s">
        <v>631</v>
      </c>
      <c r="M683" t="s">
        <v>1296</v>
      </c>
      <c r="N683">
        <v>5</v>
      </c>
      <c r="O683" t="s">
        <v>645</v>
      </c>
      <c r="P683">
        <v>0.05</v>
      </c>
      <c r="Q683" t="s">
        <v>1325</v>
      </c>
      <c r="R683">
        <v>26.3</v>
      </c>
      <c r="S683">
        <v>23.7</v>
      </c>
      <c r="T683">
        <v>28.9</v>
      </c>
      <c r="U683">
        <v>5.3</v>
      </c>
      <c r="V683">
        <v>15.8</v>
      </c>
    </row>
    <row r="684" spans="1:22" x14ac:dyDescent="0.25">
      <c r="A684" t="s">
        <v>1990</v>
      </c>
      <c r="B684" t="s">
        <v>660</v>
      </c>
      <c r="C684">
        <v>39</v>
      </c>
      <c r="D684" t="s">
        <v>79</v>
      </c>
      <c r="E684" t="s">
        <v>45</v>
      </c>
      <c r="F684" t="s">
        <v>69</v>
      </c>
      <c r="G684">
        <v>0.28000000000000003</v>
      </c>
      <c r="H684" t="s">
        <v>1991</v>
      </c>
      <c r="I684">
        <v>-21</v>
      </c>
      <c r="J684" t="str">
        <f>HYPERLINK("https://www.eliteprospects.com/player/661701/brady-ness")</f>
        <v>https://www.eliteprospects.com/player/661701/brady-ness</v>
      </c>
      <c r="K684" t="s">
        <v>27</v>
      </c>
      <c r="L684" t="s">
        <v>631</v>
      </c>
      <c r="M684" t="s">
        <v>1296</v>
      </c>
      <c r="N684">
        <v>5</v>
      </c>
      <c r="O684" t="s">
        <v>645</v>
      </c>
      <c r="P684">
        <v>0.04</v>
      </c>
      <c r="Q684" t="s">
        <v>245</v>
      </c>
      <c r="R684">
        <v>28.6</v>
      </c>
      <c r="S684">
        <v>31.4</v>
      </c>
      <c r="T684">
        <v>28.6</v>
      </c>
      <c r="U684">
        <v>4.3</v>
      </c>
      <c r="V684">
        <v>7.1</v>
      </c>
    </row>
    <row r="685" spans="1:22" x14ac:dyDescent="0.25">
      <c r="A685" t="s">
        <v>1992</v>
      </c>
      <c r="B685" t="s">
        <v>671</v>
      </c>
      <c r="C685">
        <v>30</v>
      </c>
      <c r="D685" t="s">
        <v>132</v>
      </c>
      <c r="E685" t="s">
        <v>69</v>
      </c>
      <c r="F685" t="s">
        <v>69</v>
      </c>
      <c r="G685">
        <v>0.37</v>
      </c>
      <c r="H685" t="s">
        <v>513</v>
      </c>
      <c r="I685">
        <v>-9</v>
      </c>
      <c r="J685" t="str">
        <f>HYPERLINK("https://www.eliteprospects.com/player/577091/owen-schoettler")</f>
        <v>https://www.eliteprospects.com/player/577091/owen-schoettler</v>
      </c>
      <c r="K685" t="s">
        <v>27</v>
      </c>
      <c r="L685" t="s">
        <v>631</v>
      </c>
      <c r="M685" t="s">
        <v>1296</v>
      </c>
      <c r="N685">
        <v>4</v>
      </c>
      <c r="O685" t="s">
        <v>632</v>
      </c>
      <c r="P685">
        <v>0.05</v>
      </c>
      <c r="Q685" t="s">
        <v>1325</v>
      </c>
      <c r="R685">
        <v>26.3</v>
      </c>
      <c r="S685">
        <v>23.7</v>
      </c>
      <c r="T685">
        <v>28.9</v>
      </c>
      <c r="U685">
        <v>5.3</v>
      </c>
      <c r="V685">
        <v>15.8</v>
      </c>
    </row>
    <row r="686" spans="1:22" x14ac:dyDescent="0.25">
      <c r="A686" t="s">
        <v>1993</v>
      </c>
      <c r="B686" t="s">
        <v>507</v>
      </c>
      <c r="C686">
        <v>31</v>
      </c>
      <c r="D686" t="s">
        <v>66</v>
      </c>
      <c r="E686" t="s">
        <v>57</v>
      </c>
      <c r="F686" t="s">
        <v>32</v>
      </c>
      <c r="G686">
        <v>0.32</v>
      </c>
      <c r="H686" t="s">
        <v>38</v>
      </c>
      <c r="I686">
        <v>-7</v>
      </c>
      <c r="J686" t="str">
        <f>HYPERLINK("https://www.eliteprospects.com/player/647040/rylan-pearce")</f>
        <v>https://www.eliteprospects.com/player/647040/rylan-pearce</v>
      </c>
      <c r="K686" t="s">
        <v>27</v>
      </c>
      <c r="L686" t="s">
        <v>631</v>
      </c>
      <c r="M686" t="s">
        <v>1296</v>
      </c>
      <c r="N686">
        <v>4</v>
      </c>
      <c r="O686" t="s">
        <v>632</v>
      </c>
      <c r="P686">
        <v>0.05</v>
      </c>
      <c r="Q686" t="s">
        <v>1325</v>
      </c>
      <c r="R686">
        <v>26.3</v>
      </c>
      <c r="S686">
        <v>23.7</v>
      </c>
      <c r="T686">
        <v>28.9</v>
      </c>
      <c r="U686">
        <v>5.3</v>
      </c>
      <c r="V686">
        <v>15.8</v>
      </c>
    </row>
    <row r="687" spans="1:22" x14ac:dyDescent="0.25">
      <c r="A687" t="s">
        <v>1994</v>
      </c>
      <c r="B687" t="s">
        <v>635</v>
      </c>
      <c r="C687">
        <v>38</v>
      </c>
      <c r="D687" t="s">
        <v>66</v>
      </c>
      <c r="E687" t="s">
        <v>57</v>
      </c>
      <c r="F687" t="s">
        <v>32</v>
      </c>
      <c r="G687">
        <v>0.26</v>
      </c>
      <c r="H687" t="s">
        <v>23</v>
      </c>
      <c r="I687">
        <v>18</v>
      </c>
      <c r="J687" t="str">
        <f>HYPERLINK("https://www.eliteprospects.com/player/628106/josh-lee")</f>
        <v>https://www.eliteprospects.com/player/628106/josh-lee</v>
      </c>
      <c r="K687" t="s">
        <v>27</v>
      </c>
      <c r="L687" t="s">
        <v>631</v>
      </c>
      <c r="M687" t="s">
        <v>1296</v>
      </c>
      <c r="N687">
        <v>2</v>
      </c>
      <c r="O687" t="s">
        <v>636</v>
      </c>
      <c r="P687">
        <v>0.04</v>
      </c>
      <c r="Q687" t="s">
        <v>245</v>
      </c>
      <c r="R687">
        <v>28.6</v>
      </c>
      <c r="S687">
        <v>31.4</v>
      </c>
      <c r="T687">
        <v>28.6</v>
      </c>
      <c r="U687">
        <v>4.3</v>
      </c>
      <c r="V687">
        <v>7.1</v>
      </c>
    </row>
    <row r="688" spans="1:22" x14ac:dyDescent="0.25">
      <c r="A688" t="s">
        <v>1995</v>
      </c>
      <c r="B688" t="s">
        <v>694</v>
      </c>
      <c r="C688">
        <v>39</v>
      </c>
      <c r="D688" t="s">
        <v>66</v>
      </c>
      <c r="E688" t="s">
        <v>57</v>
      </c>
      <c r="F688" t="s">
        <v>32</v>
      </c>
      <c r="G688">
        <v>0.26</v>
      </c>
      <c r="H688" t="s">
        <v>512</v>
      </c>
      <c r="I688">
        <v>-19</v>
      </c>
      <c r="J688" t="str">
        <f>HYPERLINK("https://www.eliteprospects.com/player/577060/carsen-adair")</f>
        <v>https://www.eliteprospects.com/player/577060/carsen-adair</v>
      </c>
      <c r="K688" t="s">
        <v>27</v>
      </c>
      <c r="L688" t="s">
        <v>631</v>
      </c>
      <c r="M688" t="s">
        <v>1296</v>
      </c>
      <c r="N688">
        <v>3</v>
      </c>
      <c r="O688" t="s">
        <v>639</v>
      </c>
      <c r="P688">
        <v>0.04</v>
      </c>
      <c r="Q688" t="s">
        <v>245</v>
      </c>
      <c r="R688">
        <v>28.6</v>
      </c>
      <c r="S688">
        <v>31.4</v>
      </c>
      <c r="T688">
        <v>28.6</v>
      </c>
      <c r="U688">
        <v>4.3</v>
      </c>
      <c r="V688">
        <v>7.1</v>
      </c>
    </row>
    <row r="689" spans="1:22" x14ac:dyDescent="0.25">
      <c r="A689" t="s">
        <v>1996</v>
      </c>
      <c r="B689" t="s">
        <v>507</v>
      </c>
      <c r="C689">
        <v>42</v>
      </c>
      <c r="D689" t="s">
        <v>66</v>
      </c>
      <c r="E689" t="s">
        <v>57</v>
      </c>
      <c r="F689" t="s">
        <v>32</v>
      </c>
      <c r="G689">
        <v>0.24</v>
      </c>
      <c r="H689" t="s">
        <v>178</v>
      </c>
      <c r="I689">
        <v>-6</v>
      </c>
      <c r="J689" t="str">
        <f>HYPERLINK("https://www.eliteprospects.com/player/710606/marek-howell")</f>
        <v>https://www.eliteprospects.com/player/710606/marek-howell</v>
      </c>
      <c r="K689" t="s">
        <v>27</v>
      </c>
      <c r="L689" t="s">
        <v>631</v>
      </c>
      <c r="M689" t="s">
        <v>1296</v>
      </c>
      <c r="N689">
        <v>5</v>
      </c>
      <c r="O689" t="s">
        <v>645</v>
      </c>
      <c r="P689">
        <v>0.03</v>
      </c>
      <c r="Q689" t="s">
        <v>245</v>
      </c>
      <c r="R689">
        <v>28.6</v>
      </c>
      <c r="S689">
        <v>31.4</v>
      </c>
      <c r="T689">
        <v>28.6</v>
      </c>
      <c r="U689">
        <v>4.3</v>
      </c>
      <c r="V689">
        <v>7.1</v>
      </c>
    </row>
    <row r="690" spans="1:22" x14ac:dyDescent="0.25">
      <c r="A690" t="s">
        <v>1997</v>
      </c>
      <c r="B690" t="s">
        <v>659</v>
      </c>
      <c r="C690">
        <v>39</v>
      </c>
      <c r="D690" t="s">
        <v>140</v>
      </c>
      <c r="E690" t="s">
        <v>78</v>
      </c>
      <c r="F690" t="s">
        <v>32</v>
      </c>
      <c r="G690">
        <v>0.26</v>
      </c>
      <c r="H690" t="s">
        <v>529</v>
      </c>
      <c r="I690">
        <v>-7</v>
      </c>
      <c r="J690" t="str">
        <f>HYPERLINK("https://www.eliteprospects.com/player/577076/jaxen-adam")</f>
        <v>https://www.eliteprospects.com/player/577076/jaxen-adam</v>
      </c>
      <c r="K690" t="s">
        <v>27</v>
      </c>
      <c r="L690" t="s">
        <v>631</v>
      </c>
      <c r="M690" t="s">
        <v>1296</v>
      </c>
      <c r="N690">
        <v>3</v>
      </c>
      <c r="O690" t="s">
        <v>639</v>
      </c>
      <c r="P690">
        <v>0.04</v>
      </c>
      <c r="Q690" t="s">
        <v>245</v>
      </c>
      <c r="R690">
        <v>28.6</v>
      </c>
      <c r="S690">
        <v>31.4</v>
      </c>
      <c r="T690">
        <v>28.6</v>
      </c>
      <c r="U690">
        <v>4.3</v>
      </c>
      <c r="V690">
        <v>7.1</v>
      </c>
    </row>
    <row r="691" spans="1:22" x14ac:dyDescent="0.25">
      <c r="A691" t="s">
        <v>1998</v>
      </c>
      <c r="B691" t="s">
        <v>657</v>
      </c>
      <c r="C691">
        <v>36</v>
      </c>
      <c r="D691" t="s">
        <v>79</v>
      </c>
      <c r="E691" t="s">
        <v>26</v>
      </c>
      <c r="F691" t="s">
        <v>32</v>
      </c>
      <c r="G691">
        <v>0.28000000000000003</v>
      </c>
      <c r="H691" t="s">
        <v>39</v>
      </c>
      <c r="I691">
        <v>2</v>
      </c>
      <c r="J691" t="str">
        <f>HYPERLINK("https://www.eliteprospects.com/player/862394/odin-vauhkonen")</f>
        <v>https://www.eliteprospects.com/player/862394/odin-vauhkonen</v>
      </c>
      <c r="K691" t="s">
        <v>27</v>
      </c>
      <c r="L691" t="s">
        <v>631</v>
      </c>
      <c r="M691" t="s">
        <v>1296</v>
      </c>
      <c r="N691">
        <v>1</v>
      </c>
      <c r="O691" t="s">
        <v>634</v>
      </c>
      <c r="P691">
        <v>0.04</v>
      </c>
      <c r="Q691" t="s">
        <v>245</v>
      </c>
      <c r="R691">
        <v>28.6</v>
      </c>
      <c r="S691">
        <v>31.4</v>
      </c>
      <c r="T691">
        <v>28.6</v>
      </c>
      <c r="U691">
        <v>4.3</v>
      </c>
      <c r="V691">
        <v>7.1</v>
      </c>
    </row>
    <row r="692" spans="1:22" x14ac:dyDescent="0.25">
      <c r="A692" t="s">
        <v>1999</v>
      </c>
      <c r="B692" t="s">
        <v>702</v>
      </c>
      <c r="C692">
        <v>37</v>
      </c>
      <c r="D692" t="s">
        <v>79</v>
      </c>
      <c r="E692" t="s">
        <v>26</v>
      </c>
      <c r="F692" t="s">
        <v>32</v>
      </c>
      <c r="G692">
        <v>0.27</v>
      </c>
      <c r="H692" t="s">
        <v>544</v>
      </c>
      <c r="I692">
        <v>-3</v>
      </c>
      <c r="J692" t="str">
        <f>HYPERLINK("https://www.eliteprospects.com/player/758760/ethan-mittelsteadt")</f>
        <v>https://www.eliteprospects.com/player/758760/ethan-mittelsteadt</v>
      </c>
      <c r="K692" t="s">
        <v>27</v>
      </c>
      <c r="L692" t="s">
        <v>631</v>
      </c>
      <c r="M692" t="s">
        <v>1296</v>
      </c>
      <c r="N692">
        <v>5</v>
      </c>
      <c r="O692" t="s">
        <v>645</v>
      </c>
      <c r="P692">
        <v>0.04</v>
      </c>
      <c r="Q692" t="s">
        <v>245</v>
      </c>
      <c r="R692">
        <v>28.6</v>
      </c>
      <c r="S692">
        <v>31.4</v>
      </c>
      <c r="T692">
        <v>28.6</v>
      </c>
      <c r="U692">
        <v>4.3</v>
      </c>
      <c r="V692">
        <v>7.1</v>
      </c>
    </row>
    <row r="693" spans="1:22" x14ac:dyDescent="0.25">
      <c r="A693" t="s">
        <v>2000</v>
      </c>
      <c r="B693" t="s">
        <v>507</v>
      </c>
      <c r="C693">
        <v>39</v>
      </c>
      <c r="D693" t="s">
        <v>79</v>
      </c>
      <c r="E693" t="s">
        <v>26</v>
      </c>
      <c r="F693" t="s">
        <v>32</v>
      </c>
      <c r="G693">
        <v>0.26</v>
      </c>
      <c r="H693" t="s">
        <v>512</v>
      </c>
      <c r="I693">
        <v>0</v>
      </c>
      <c r="J693" t="str">
        <f>HYPERLINK("https://www.eliteprospects.com/player/719326/carson-olsen")</f>
        <v>https://www.eliteprospects.com/player/719326/carson-olsen</v>
      </c>
      <c r="K693" t="s">
        <v>27</v>
      </c>
      <c r="L693" t="s">
        <v>631</v>
      </c>
      <c r="M693" t="s">
        <v>1296</v>
      </c>
      <c r="N693">
        <v>1</v>
      </c>
      <c r="O693" t="s">
        <v>634</v>
      </c>
      <c r="P693">
        <v>0.04</v>
      </c>
      <c r="Q693" t="s">
        <v>245</v>
      </c>
      <c r="R693">
        <v>28.6</v>
      </c>
      <c r="S693">
        <v>31.4</v>
      </c>
      <c r="T693">
        <v>28.6</v>
      </c>
      <c r="U693">
        <v>4.3</v>
      </c>
      <c r="V693">
        <v>7.1</v>
      </c>
    </row>
    <row r="694" spans="1:22" x14ac:dyDescent="0.25">
      <c r="A694" t="s">
        <v>2001</v>
      </c>
      <c r="B694" t="s">
        <v>684</v>
      </c>
      <c r="C694">
        <v>38</v>
      </c>
      <c r="D694" t="s">
        <v>260</v>
      </c>
      <c r="E694" t="s">
        <v>45</v>
      </c>
      <c r="F694" t="s">
        <v>32</v>
      </c>
      <c r="G694">
        <v>0.26</v>
      </c>
      <c r="H694" t="s">
        <v>638</v>
      </c>
      <c r="I694">
        <v>-23</v>
      </c>
      <c r="J694" t="str">
        <f>HYPERLINK("https://www.eliteprospects.com/player/878405/brandon-osborne")</f>
        <v>https://www.eliteprospects.com/player/878405/brandon-osborne</v>
      </c>
      <c r="K694" t="s">
        <v>27</v>
      </c>
      <c r="L694" t="s">
        <v>631</v>
      </c>
      <c r="M694" t="s">
        <v>1296</v>
      </c>
      <c r="N694">
        <v>3</v>
      </c>
      <c r="O694" t="s">
        <v>639</v>
      </c>
      <c r="P694">
        <v>0.04</v>
      </c>
      <c r="Q694" t="s">
        <v>245</v>
      </c>
      <c r="R694">
        <v>28.6</v>
      </c>
      <c r="S694">
        <v>31.4</v>
      </c>
      <c r="T694">
        <v>28.6</v>
      </c>
      <c r="U694">
        <v>4.3</v>
      </c>
      <c r="V694">
        <v>7.1</v>
      </c>
    </row>
    <row r="695" spans="1:22" x14ac:dyDescent="0.25">
      <c r="A695" t="s">
        <v>2002</v>
      </c>
      <c r="B695" t="s">
        <v>684</v>
      </c>
      <c r="C695">
        <v>19</v>
      </c>
      <c r="D695" t="s">
        <v>66</v>
      </c>
      <c r="E695" t="s">
        <v>96</v>
      </c>
      <c r="F695" t="s">
        <v>45</v>
      </c>
      <c r="G695">
        <v>0.47</v>
      </c>
      <c r="H695" t="s">
        <v>24</v>
      </c>
      <c r="I695">
        <v>10</v>
      </c>
      <c r="J695" t="str">
        <f>HYPERLINK("https://www.eliteprospects.com/player/597715/josh-fluker")</f>
        <v>https://www.eliteprospects.com/player/597715/josh-fluker</v>
      </c>
      <c r="K695" t="s">
        <v>27</v>
      </c>
      <c r="L695" t="s">
        <v>631</v>
      </c>
      <c r="M695" t="s">
        <v>1296</v>
      </c>
      <c r="N695">
        <v>5</v>
      </c>
      <c r="O695" t="s">
        <v>645</v>
      </c>
      <c r="P695">
        <v>7.0000000000000007E-2</v>
      </c>
      <c r="Q695" t="s">
        <v>1325</v>
      </c>
      <c r="R695">
        <v>30</v>
      </c>
      <c r="S695">
        <v>25</v>
      </c>
      <c r="T695">
        <v>32.5</v>
      </c>
      <c r="U695">
        <v>5</v>
      </c>
      <c r="V695">
        <v>7.5</v>
      </c>
    </row>
    <row r="696" spans="1:22" x14ac:dyDescent="0.25">
      <c r="A696" t="s">
        <v>2003</v>
      </c>
      <c r="B696" t="s">
        <v>633</v>
      </c>
      <c r="C696">
        <v>27</v>
      </c>
      <c r="D696" t="s">
        <v>66</v>
      </c>
      <c r="E696" t="s">
        <v>96</v>
      </c>
      <c r="F696" t="s">
        <v>45</v>
      </c>
      <c r="G696">
        <v>0.33</v>
      </c>
      <c r="H696" t="s">
        <v>75</v>
      </c>
      <c r="I696">
        <v>11</v>
      </c>
      <c r="J696" t="str">
        <f>HYPERLINK("https://www.eliteprospects.com/player/603567/rhett-ravndahl")</f>
        <v>https://www.eliteprospects.com/player/603567/rhett-ravndahl</v>
      </c>
      <c r="K696" t="s">
        <v>27</v>
      </c>
      <c r="L696" t="s">
        <v>631</v>
      </c>
      <c r="M696" t="s">
        <v>1296</v>
      </c>
      <c r="N696">
        <v>5</v>
      </c>
      <c r="O696" t="s">
        <v>645</v>
      </c>
      <c r="P696">
        <v>0.05</v>
      </c>
      <c r="Q696" t="s">
        <v>1325</v>
      </c>
      <c r="R696">
        <v>26.3</v>
      </c>
      <c r="S696">
        <v>23.7</v>
      </c>
      <c r="T696">
        <v>28.9</v>
      </c>
      <c r="U696">
        <v>5.3</v>
      </c>
      <c r="V696">
        <v>15.8</v>
      </c>
    </row>
    <row r="697" spans="1:22" x14ac:dyDescent="0.25">
      <c r="A697" t="s">
        <v>2004</v>
      </c>
      <c r="B697" t="s">
        <v>637</v>
      </c>
      <c r="C697">
        <v>23</v>
      </c>
      <c r="D697" t="s">
        <v>140</v>
      </c>
      <c r="E697" t="s">
        <v>57</v>
      </c>
      <c r="F697" t="s">
        <v>45</v>
      </c>
      <c r="G697">
        <v>0.39</v>
      </c>
      <c r="H697" t="s">
        <v>65</v>
      </c>
      <c r="I697">
        <v>1</v>
      </c>
      <c r="J697" t="str">
        <f>HYPERLINK("https://www.eliteprospects.com/player/642601/josh-van-mulligen")</f>
        <v>https://www.eliteprospects.com/player/642601/josh-van-mulligen</v>
      </c>
      <c r="K697" t="s">
        <v>27</v>
      </c>
      <c r="L697" t="s">
        <v>631</v>
      </c>
      <c r="M697" t="s">
        <v>1296</v>
      </c>
      <c r="N697">
        <v>5</v>
      </c>
      <c r="O697" t="s">
        <v>645</v>
      </c>
      <c r="P697">
        <v>0.05</v>
      </c>
      <c r="Q697" t="s">
        <v>1325</v>
      </c>
      <c r="R697">
        <v>26.3</v>
      </c>
      <c r="S697">
        <v>23.7</v>
      </c>
      <c r="T697">
        <v>28.9</v>
      </c>
      <c r="U697">
        <v>5.3</v>
      </c>
      <c r="V697">
        <v>15.8</v>
      </c>
    </row>
    <row r="698" spans="1:22" x14ac:dyDescent="0.25">
      <c r="A698" t="s">
        <v>2005</v>
      </c>
      <c r="B698" t="s">
        <v>507</v>
      </c>
      <c r="C698">
        <v>24</v>
      </c>
      <c r="D698" t="s">
        <v>79</v>
      </c>
      <c r="E698" t="s">
        <v>78</v>
      </c>
      <c r="F698" t="s">
        <v>45</v>
      </c>
      <c r="G698">
        <v>0.38</v>
      </c>
      <c r="H698" t="s">
        <v>32</v>
      </c>
      <c r="I698">
        <v>2</v>
      </c>
      <c r="J698" t="str">
        <f>HYPERLINK("https://www.eliteprospects.com/player/905934/ji%C5%99i-kamas")</f>
        <v>https://www.eliteprospects.com/player/905934/ji%C5%99i-kamas</v>
      </c>
      <c r="K698" t="s">
        <v>27</v>
      </c>
      <c r="L698" t="s">
        <v>631</v>
      </c>
      <c r="M698" t="s">
        <v>1296</v>
      </c>
      <c r="N698">
        <v>1</v>
      </c>
      <c r="O698" t="s">
        <v>634</v>
      </c>
      <c r="P698">
        <v>0.05</v>
      </c>
      <c r="Q698" t="s">
        <v>1325</v>
      </c>
      <c r="R698">
        <v>26.3</v>
      </c>
      <c r="S698">
        <v>23.7</v>
      </c>
      <c r="T698">
        <v>28.9</v>
      </c>
      <c r="U698">
        <v>5.3</v>
      </c>
      <c r="V698">
        <v>15.8</v>
      </c>
    </row>
    <row r="699" spans="1:22" x14ac:dyDescent="0.25">
      <c r="A699" t="s">
        <v>2006</v>
      </c>
      <c r="B699" t="s">
        <v>647</v>
      </c>
      <c r="C699">
        <v>34</v>
      </c>
      <c r="D699" t="s">
        <v>79</v>
      </c>
      <c r="E699" t="s">
        <v>78</v>
      </c>
      <c r="F699" t="s">
        <v>45</v>
      </c>
      <c r="G699">
        <v>0.26</v>
      </c>
      <c r="H699" t="s">
        <v>23</v>
      </c>
      <c r="I699">
        <v>9</v>
      </c>
      <c r="J699" t="str">
        <f>HYPERLINK("https://www.eliteprospects.com/player/883541/cameron-allard")</f>
        <v>https://www.eliteprospects.com/player/883541/cameron-allard</v>
      </c>
      <c r="K699" t="s">
        <v>27</v>
      </c>
      <c r="L699" t="s">
        <v>631</v>
      </c>
      <c r="M699" t="s">
        <v>1296</v>
      </c>
      <c r="N699">
        <v>2</v>
      </c>
      <c r="O699" t="s">
        <v>636</v>
      </c>
      <c r="P699">
        <v>0.04</v>
      </c>
      <c r="Q699" t="s">
        <v>245</v>
      </c>
      <c r="R699">
        <v>28.6</v>
      </c>
      <c r="S699">
        <v>31.4</v>
      </c>
      <c r="T699">
        <v>28.6</v>
      </c>
      <c r="U699">
        <v>4.3</v>
      </c>
      <c r="V699">
        <v>7.1</v>
      </c>
    </row>
    <row r="700" spans="1:22" x14ac:dyDescent="0.25">
      <c r="A700" t="s">
        <v>2007</v>
      </c>
      <c r="B700" t="s">
        <v>686</v>
      </c>
      <c r="C700">
        <v>32</v>
      </c>
      <c r="D700" t="s">
        <v>140</v>
      </c>
      <c r="E700" t="s">
        <v>96</v>
      </c>
      <c r="F700" t="s">
        <v>26</v>
      </c>
      <c r="G700">
        <v>0.25</v>
      </c>
      <c r="H700" t="s">
        <v>26</v>
      </c>
      <c r="I700">
        <v>2</v>
      </c>
      <c r="J700" t="str">
        <f>HYPERLINK("https://www.eliteprospects.com/player/806018/matus-lisy")</f>
        <v>https://www.eliteprospects.com/player/806018/matus-lisy</v>
      </c>
      <c r="K700" t="s">
        <v>27</v>
      </c>
      <c r="L700" t="s">
        <v>631</v>
      </c>
      <c r="M700" t="s">
        <v>1296</v>
      </c>
      <c r="N700">
        <v>1</v>
      </c>
      <c r="O700" t="s">
        <v>634</v>
      </c>
      <c r="P700">
        <v>0.04</v>
      </c>
      <c r="Q700" t="s">
        <v>245</v>
      </c>
      <c r="R700">
        <v>28.6</v>
      </c>
      <c r="S700">
        <v>31.4</v>
      </c>
      <c r="T700">
        <v>28.6</v>
      </c>
      <c r="U700">
        <v>4.3</v>
      </c>
      <c r="V700">
        <v>7.1</v>
      </c>
    </row>
    <row r="701" spans="1:22" x14ac:dyDescent="0.25">
      <c r="A701" t="s">
        <v>2008</v>
      </c>
      <c r="B701" t="s">
        <v>646</v>
      </c>
      <c r="C701">
        <v>34</v>
      </c>
      <c r="D701" t="s">
        <v>140</v>
      </c>
      <c r="E701" t="s">
        <v>96</v>
      </c>
      <c r="F701" t="s">
        <v>26</v>
      </c>
      <c r="G701">
        <v>0.24</v>
      </c>
      <c r="H701" t="s">
        <v>61</v>
      </c>
      <c r="I701">
        <v>12</v>
      </c>
      <c r="J701" t="str">
        <f>HYPERLINK("https://www.eliteprospects.com/player/640415/axel-hurtig")</f>
        <v>https://www.eliteprospects.com/player/640415/axel-hurtig</v>
      </c>
      <c r="K701" t="s">
        <v>27</v>
      </c>
      <c r="L701" t="s">
        <v>631</v>
      </c>
      <c r="M701" t="s">
        <v>1296</v>
      </c>
      <c r="N701">
        <v>2</v>
      </c>
      <c r="O701" t="s">
        <v>636</v>
      </c>
      <c r="P701">
        <v>0.03</v>
      </c>
      <c r="Q701" t="s">
        <v>245</v>
      </c>
      <c r="R701">
        <v>28.6</v>
      </c>
      <c r="S701">
        <v>31.4</v>
      </c>
      <c r="T701">
        <v>28.6</v>
      </c>
      <c r="U701">
        <v>4.3</v>
      </c>
      <c r="V701">
        <v>7.1</v>
      </c>
    </row>
    <row r="702" spans="1:22" x14ac:dyDescent="0.25">
      <c r="A702" t="s">
        <v>2009</v>
      </c>
      <c r="B702" t="s">
        <v>507</v>
      </c>
      <c r="C702">
        <v>35</v>
      </c>
      <c r="D702" t="s">
        <v>140</v>
      </c>
      <c r="E702" t="s">
        <v>96</v>
      </c>
      <c r="F702" t="s">
        <v>26</v>
      </c>
      <c r="G702">
        <v>0.23</v>
      </c>
      <c r="H702" t="s">
        <v>47</v>
      </c>
      <c r="I702">
        <v>-1</v>
      </c>
      <c r="J702" t="str">
        <f>HYPERLINK("https://www.eliteprospects.com/player/597812/tyrone-sobry")</f>
        <v>https://www.eliteprospects.com/player/597812/tyrone-sobry</v>
      </c>
      <c r="K702" t="s">
        <v>27</v>
      </c>
      <c r="L702" t="s">
        <v>631</v>
      </c>
      <c r="M702" t="s">
        <v>1296</v>
      </c>
      <c r="N702">
        <v>3</v>
      </c>
      <c r="O702" t="s">
        <v>639</v>
      </c>
      <c r="P702">
        <v>0.03</v>
      </c>
      <c r="Q702" t="s">
        <v>245</v>
      </c>
      <c r="R702">
        <v>28.6</v>
      </c>
      <c r="S702">
        <v>31.4</v>
      </c>
      <c r="T702">
        <v>28.6</v>
      </c>
      <c r="U702">
        <v>4.3</v>
      </c>
      <c r="V702">
        <v>7.1</v>
      </c>
    </row>
    <row r="703" spans="1:22" x14ac:dyDescent="0.25">
      <c r="A703" t="s">
        <v>2010</v>
      </c>
      <c r="B703" t="s">
        <v>507</v>
      </c>
      <c r="C703">
        <v>36</v>
      </c>
      <c r="D703" t="s">
        <v>140</v>
      </c>
      <c r="E703" t="s">
        <v>96</v>
      </c>
      <c r="F703" t="s">
        <v>26</v>
      </c>
      <c r="G703">
        <v>0.22</v>
      </c>
      <c r="H703" t="s">
        <v>1907</v>
      </c>
      <c r="I703">
        <v>5</v>
      </c>
      <c r="J703" t="str">
        <f>HYPERLINK("https://www.eliteprospects.com/player/804750/kaleb-hartmann")</f>
        <v>https://www.eliteprospects.com/player/804750/kaleb-hartmann</v>
      </c>
      <c r="K703" t="s">
        <v>27</v>
      </c>
      <c r="L703" t="s">
        <v>631</v>
      </c>
      <c r="M703" t="s">
        <v>1296</v>
      </c>
      <c r="N703">
        <v>4</v>
      </c>
      <c r="O703" t="s">
        <v>632</v>
      </c>
      <c r="P703">
        <v>0.03</v>
      </c>
      <c r="Q703" t="s">
        <v>245</v>
      </c>
      <c r="R703">
        <v>28.6</v>
      </c>
      <c r="S703">
        <v>31.4</v>
      </c>
      <c r="T703">
        <v>28.6</v>
      </c>
      <c r="U703">
        <v>4.3</v>
      </c>
      <c r="V703">
        <v>7.1</v>
      </c>
    </row>
    <row r="704" spans="1:22" x14ac:dyDescent="0.25">
      <c r="A704" t="s">
        <v>2011</v>
      </c>
      <c r="B704" t="s">
        <v>671</v>
      </c>
      <c r="C704">
        <v>28</v>
      </c>
      <c r="D704" t="s">
        <v>79</v>
      </c>
      <c r="E704" t="s">
        <v>57</v>
      </c>
      <c r="F704" t="s">
        <v>26</v>
      </c>
      <c r="G704">
        <v>0.28999999999999998</v>
      </c>
      <c r="H704" t="s">
        <v>132</v>
      </c>
      <c r="I704">
        <v>6</v>
      </c>
      <c r="J704" t="str">
        <f>HYPERLINK("https://www.eliteprospects.com/player/628057/nolan-saunderson")</f>
        <v>https://www.eliteprospects.com/player/628057/nolan-saunderson</v>
      </c>
      <c r="K704" t="s">
        <v>27</v>
      </c>
      <c r="L704" t="s">
        <v>631</v>
      </c>
      <c r="M704" t="s">
        <v>1296</v>
      </c>
      <c r="N704">
        <v>2</v>
      </c>
      <c r="O704" t="s">
        <v>636</v>
      </c>
      <c r="P704">
        <v>0.04</v>
      </c>
      <c r="Q704" t="s">
        <v>245</v>
      </c>
      <c r="R704">
        <v>28.6</v>
      </c>
      <c r="S704">
        <v>31.4</v>
      </c>
      <c r="T704">
        <v>28.6</v>
      </c>
      <c r="U704">
        <v>4.3</v>
      </c>
      <c r="V704">
        <v>7.1</v>
      </c>
    </row>
    <row r="705" spans="1:22" x14ac:dyDescent="0.25">
      <c r="A705" t="s">
        <v>2012</v>
      </c>
      <c r="B705" t="s">
        <v>653</v>
      </c>
      <c r="C705">
        <v>38</v>
      </c>
      <c r="D705" t="s">
        <v>79</v>
      </c>
      <c r="E705" t="s">
        <v>57</v>
      </c>
      <c r="F705" t="s">
        <v>26</v>
      </c>
      <c r="G705">
        <v>0.21</v>
      </c>
      <c r="H705" t="s">
        <v>57</v>
      </c>
      <c r="I705">
        <v>-2</v>
      </c>
      <c r="J705" t="str">
        <f>HYPERLINK("https://www.eliteprospects.com/player/628111/jacob-henderson")</f>
        <v>https://www.eliteprospects.com/player/628111/jacob-henderson</v>
      </c>
      <c r="K705" t="s">
        <v>27</v>
      </c>
      <c r="L705" t="s">
        <v>631</v>
      </c>
      <c r="M705" t="s">
        <v>1296</v>
      </c>
      <c r="N705">
        <v>2</v>
      </c>
      <c r="O705" t="s">
        <v>636</v>
      </c>
      <c r="P705">
        <v>0.03</v>
      </c>
      <c r="Q705" t="s">
        <v>245</v>
      </c>
      <c r="R705">
        <v>28.6</v>
      </c>
      <c r="S705">
        <v>31.4</v>
      </c>
      <c r="T705">
        <v>28.6</v>
      </c>
      <c r="U705">
        <v>4.3</v>
      </c>
      <c r="V705">
        <v>7.1</v>
      </c>
    </row>
    <row r="706" spans="1:22" x14ac:dyDescent="0.25">
      <c r="A706" t="s">
        <v>2013</v>
      </c>
      <c r="B706" t="s">
        <v>684</v>
      </c>
      <c r="C706">
        <v>27</v>
      </c>
      <c r="D706" t="s">
        <v>260</v>
      </c>
      <c r="E706" t="s">
        <v>78</v>
      </c>
      <c r="F706" t="s">
        <v>26</v>
      </c>
      <c r="G706">
        <v>0.3</v>
      </c>
      <c r="H706" t="s">
        <v>178</v>
      </c>
      <c r="I706">
        <v>4</v>
      </c>
      <c r="J706" t="str">
        <f>HYPERLINK("https://www.eliteprospects.com/player/690458/michal-capos")</f>
        <v>https://www.eliteprospects.com/player/690458/michal-capos</v>
      </c>
      <c r="K706" t="s">
        <v>27</v>
      </c>
      <c r="L706" t="s">
        <v>631</v>
      </c>
      <c r="M706" t="s">
        <v>1296</v>
      </c>
      <c r="N706">
        <v>1</v>
      </c>
      <c r="O706" t="s">
        <v>634</v>
      </c>
      <c r="P706">
        <v>0.04</v>
      </c>
      <c r="Q706" t="s">
        <v>245</v>
      </c>
      <c r="R706">
        <v>28.6</v>
      </c>
      <c r="S706">
        <v>31.4</v>
      </c>
      <c r="T706">
        <v>28.6</v>
      </c>
      <c r="U706">
        <v>4.3</v>
      </c>
      <c r="V706">
        <v>7.1</v>
      </c>
    </row>
    <row r="707" spans="1:22" x14ac:dyDescent="0.25">
      <c r="A707" t="s">
        <v>2014</v>
      </c>
      <c r="B707" t="s">
        <v>662</v>
      </c>
      <c r="C707">
        <v>30</v>
      </c>
      <c r="D707" t="s">
        <v>260</v>
      </c>
      <c r="E707" t="s">
        <v>78</v>
      </c>
      <c r="F707" t="s">
        <v>26</v>
      </c>
      <c r="G707">
        <v>0.27</v>
      </c>
      <c r="H707" t="s">
        <v>26</v>
      </c>
      <c r="I707">
        <v>-2</v>
      </c>
      <c r="J707" t="str">
        <f>HYPERLINK("https://www.eliteprospects.com/player/701393/grayson-tash")</f>
        <v>https://www.eliteprospects.com/player/701393/grayson-tash</v>
      </c>
      <c r="K707" t="s">
        <v>27</v>
      </c>
      <c r="L707" t="s">
        <v>631</v>
      </c>
      <c r="M707" t="s">
        <v>1296</v>
      </c>
      <c r="N707">
        <v>2</v>
      </c>
      <c r="O707" t="s">
        <v>636</v>
      </c>
      <c r="P707">
        <v>0.04</v>
      </c>
      <c r="Q707" t="s">
        <v>245</v>
      </c>
      <c r="R707">
        <v>28.6</v>
      </c>
      <c r="S707">
        <v>31.4</v>
      </c>
      <c r="T707">
        <v>28.6</v>
      </c>
      <c r="U707">
        <v>4.3</v>
      </c>
      <c r="V707">
        <v>7.1</v>
      </c>
    </row>
    <row r="708" spans="1:22" x14ac:dyDescent="0.25">
      <c r="A708" t="s">
        <v>2015</v>
      </c>
      <c r="B708" t="s">
        <v>507</v>
      </c>
      <c r="C708">
        <v>34</v>
      </c>
      <c r="D708" t="s">
        <v>260</v>
      </c>
      <c r="E708" t="s">
        <v>78</v>
      </c>
      <c r="F708" t="s">
        <v>26</v>
      </c>
      <c r="G708">
        <v>0.24</v>
      </c>
      <c r="H708" t="s">
        <v>81</v>
      </c>
      <c r="I708">
        <v>12</v>
      </c>
      <c r="J708" t="str">
        <f>HYPERLINK("https://www.eliteprospects.com/player/917782/jakub-seidl")</f>
        <v>https://www.eliteprospects.com/player/917782/jakub-seidl</v>
      </c>
      <c r="K708" t="s">
        <v>27</v>
      </c>
      <c r="L708" t="s">
        <v>631</v>
      </c>
      <c r="M708" t="s">
        <v>1296</v>
      </c>
      <c r="N708">
        <v>1</v>
      </c>
      <c r="O708" t="s">
        <v>634</v>
      </c>
      <c r="P708">
        <v>0.03</v>
      </c>
      <c r="Q708" t="s">
        <v>245</v>
      </c>
      <c r="R708">
        <v>28.6</v>
      </c>
      <c r="S708">
        <v>31.4</v>
      </c>
      <c r="T708">
        <v>28.6</v>
      </c>
      <c r="U708">
        <v>4.3</v>
      </c>
      <c r="V708">
        <v>7.1</v>
      </c>
    </row>
    <row r="709" spans="1:22" x14ac:dyDescent="0.25">
      <c r="A709" t="s">
        <v>2016</v>
      </c>
      <c r="B709" t="s">
        <v>657</v>
      </c>
      <c r="C709">
        <v>38</v>
      </c>
      <c r="D709" t="s">
        <v>260</v>
      </c>
      <c r="E709" t="s">
        <v>78</v>
      </c>
      <c r="F709" t="s">
        <v>26</v>
      </c>
      <c r="G709">
        <v>0.21</v>
      </c>
      <c r="H709" t="s">
        <v>75</v>
      </c>
      <c r="I709">
        <v>-10</v>
      </c>
      <c r="J709" t="str">
        <f>HYPERLINK("https://www.eliteprospects.com/player/846583/henry-peterson")</f>
        <v>https://www.eliteprospects.com/player/846583/henry-peterson</v>
      </c>
      <c r="K709" t="s">
        <v>27</v>
      </c>
      <c r="L709" t="s">
        <v>631</v>
      </c>
      <c r="M709" t="s">
        <v>1296</v>
      </c>
      <c r="N709">
        <v>1</v>
      </c>
      <c r="O709" t="s">
        <v>634</v>
      </c>
      <c r="P709">
        <v>0.03</v>
      </c>
      <c r="Q709" t="s">
        <v>245</v>
      </c>
      <c r="R709">
        <v>28.6</v>
      </c>
      <c r="S709">
        <v>31.4</v>
      </c>
      <c r="T709">
        <v>28.6</v>
      </c>
      <c r="U709">
        <v>4.3</v>
      </c>
      <c r="V709">
        <v>7.1</v>
      </c>
    </row>
    <row r="710" spans="1:22" x14ac:dyDescent="0.25">
      <c r="A710" t="s">
        <v>2017</v>
      </c>
      <c r="B710" t="s">
        <v>633</v>
      </c>
      <c r="C710">
        <v>40</v>
      </c>
      <c r="D710" t="s">
        <v>260</v>
      </c>
      <c r="E710" t="s">
        <v>78</v>
      </c>
      <c r="F710" t="s">
        <v>26</v>
      </c>
      <c r="G710">
        <v>0.2</v>
      </c>
      <c r="H710" t="s">
        <v>79</v>
      </c>
      <c r="I710">
        <v>-1</v>
      </c>
      <c r="J710" t="str">
        <f>HYPERLINK("https://www.eliteprospects.com/player/883672/dryden-deobald")</f>
        <v>https://www.eliteprospects.com/player/883672/dryden-deobald</v>
      </c>
      <c r="K710" t="s">
        <v>27</v>
      </c>
      <c r="L710" t="s">
        <v>631</v>
      </c>
      <c r="M710" t="s">
        <v>1296</v>
      </c>
      <c r="N710">
        <v>2</v>
      </c>
      <c r="O710" t="s">
        <v>636</v>
      </c>
      <c r="P710">
        <v>0.03</v>
      </c>
      <c r="Q710" t="s">
        <v>245</v>
      </c>
      <c r="R710">
        <v>28.6</v>
      </c>
      <c r="S710">
        <v>31.4</v>
      </c>
      <c r="T710">
        <v>28.6</v>
      </c>
      <c r="U710">
        <v>4.3</v>
      </c>
      <c r="V710">
        <v>7.1</v>
      </c>
    </row>
    <row r="711" spans="1:22" x14ac:dyDescent="0.25">
      <c r="A711" t="s">
        <v>2018</v>
      </c>
      <c r="B711" t="s">
        <v>507</v>
      </c>
      <c r="C711">
        <v>35</v>
      </c>
      <c r="D711" t="s">
        <v>132</v>
      </c>
      <c r="E711" t="s">
        <v>26</v>
      </c>
      <c r="F711" t="s">
        <v>26</v>
      </c>
      <c r="G711">
        <v>0.23</v>
      </c>
      <c r="H711" t="s">
        <v>52</v>
      </c>
      <c r="I711">
        <v>10</v>
      </c>
      <c r="J711" t="str">
        <f>HYPERLINK("https://www.eliteprospects.com/player/801843/luke-vlooswyk")</f>
        <v>https://www.eliteprospects.com/player/801843/luke-vlooswyk</v>
      </c>
      <c r="K711" t="s">
        <v>27</v>
      </c>
      <c r="L711" t="s">
        <v>631</v>
      </c>
      <c r="M711" t="s">
        <v>1296</v>
      </c>
      <c r="N711">
        <v>4</v>
      </c>
      <c r="O711" t="s">
        <v>632</v>
      </c>
      <c r="P711">
        <v>0.03</v>
      </c>
      <c r="Q711" t="s">
        <v>245</v>
      </c>
      <c r="R711">
        <v>28.6</v>
      </c>
      <c r="S711">
        <v>31.4</v>
      </c>
      <c r="T711">
        <v>28.6</v>
      </c>
      <c r="U711">
        <v>4.3</v>
      </c>
      <c r="V711">
        <v>7.1</v>
      </c>
    </row>
    <row r="712" spans="1:22" x14ac:dyDescent="0.25">
      <c r="A712" t="s">
        <v>2019</v>
      </c>
      <c r="B712" t="s">
        <v>660</v>
      </c>
      <c r="C712">
        <v>13</v>
      </c>
      <c r="D712" t="s">
        <v>96</v>
      </c>
      <c r="E712" t="s">
        <v>79</v>
      </c>
      <c r="F712" t="s">
        <v>78</v>
      </c>
      <c r="G712">
        <v>0.54</v>
      </c>
      <c r="H712" t="s">
        <v>66</v>
      </c>
      <c r="I712">
        <v>5</v>
      </c>
      <c r="J712" t="str">
        <f>HYPERLINK("https://www.eliteprospects.com/player/804047/nolan-paquette")</f>
        <v>https://www.eliteprospects.com/player/804047/nolan-paquette</v>
      </c>
      <c r="K712" t="s">
        <v>27</v>
      </c>
      <c r="L712" t="s">
        <v>631</v>
      </c>
      <c r="M712" t="s">
        <v>1296</v>
      </c>
      <c r="N712">
        <v>2</v>
      </c>
      <c r="O712" t="s">
        <v>636</v>
      </c>
      <c r="P712">
        <v>0.08</v>
      </c>
      <c r="Q712" t="s">
        <v>1325</v>
      </c>
      <c r="R712">
        <v>30</v>
      </c>
      <c r="S712">
        <v>25</v>
      </c>
      <c r="T712">
        <v>32.5</v>
      </c>
      <c r="U712">
        <v>5</v>
      </c>
      <c r="V712">
        <v>7.5</v>
      </c>
    </row>
    <row r="713" spans="1:22" x14ac:dyDescent="0.25">
      <c r="A713" t="s">
        <v>2020</v>
      </c>
      <c r="B713" t="s">
        <v>507</v>
      </c>
      <c r="C713">
        <v>27</v>
      </c>
      <c r="D713" t="s">
        <v>79</v>
      </c>
      <c r="E713" t="s">
        <v>96</v>
      </c>
      <c r="F713" t="s">
        <v>78</v>
      </c>
      <c r="G713">
        <v>0.26</v>
      </c>
      <c r="H713" t="s">
        <v>26</v>
      </c>
      <c r="I713">
        <v>-4</v>
      </c>
      <c r="J713" t="str">
        <f>HYPERLINK("https://www.eliteprospects.com/player/597842/hyde-davidson")</f>
        <v>https://www.eliteprospects.com/player/597842/hyde-davidson</v>
      </c>
      <c r="K713" t="s">
        <v>27</v>
      </c>
      <c r="L713" t="s">
        <v>631</v>
      </c>
      <c r="M713" t="s">
        <v>1296</v>
      </c>
      <c r="N713">
        <v>5</v>
      </c>
      <c r="O713" t="s">
        <v>645</v>
      </c>
      <c r="P713">
        <v>0.04</v>
      </c>
      <c r="Q713" t="s">
        <v>245</v>
      </c>
      <c r="R713">
        <v>28.6</v>
      </c>
      <c r="S713">
        <v>31.4</v>
      </c>
      <c r="T713">
        <v>28.6</v>
      </c>
      <c r="U713">
        <v>4.3</v>
      </c>
      <c r="V713">
        <v>7.1</v>
      </c>
    </row>
    <row r="714" spans="1:22" x14ac:dyDescent="0.25">
      <c r="A714" t="s">
        <v>2021</v>
      </c>
      <c r="B714" t="s">
        <v>637</v>
      </c>
      <c r="C714">
        <v>32</v>
      </c>
      <c r="D714" t="s">
        <v>79</v>
      </c>
      <c r="E714" t="s">
        <v>96</v>
      </c>
      <c r="F714" t="s">
        <v>78</v>
      </c>
      <c r="G714">
        <v>0.22</v>
      </c>
      <c r="H714" t="s">
        <v>46</v>
      </c>
      <c r="I714">
        <v>8</v>
      </c>
      <c r="J714" t="str">
        <f>HYPERLINK("https://www.eliteprospects.com/player/825455/riley-steen")</f>
        <v>https://www.eliteprospects.com/player/825455/riley-steen</v>
      </c>
      <c r="K714" t="s">
        <v>27</v>
      </c>
      <c r="L714" t="s">
        <v>631</v>
      </c>
      <c r="M714" t="s">
        <v>1296</v>
      </c>
      <c r="N714">
        <v>2</v>
      </c>
      <c r="O714" t="s">
        <v>636</v>
      </c>
      <c r="P714">
        <v>0.03</v>
      </c>
      <c r="Q714" t="s">
        <v>245</v>
      </c>
      <c r="R714">
        <v>28.6</v>
      </c>
      <c r="S714">
        <v>31.4</v>
      </c>
      <c r="T714">
        <v>28.6</v>
      </c>
      <c r="U714">
        <v>4.3</v>
      </c>
      <c r="V714">
        <v>7.1</v>
      </c>
    </row>
    <row r="715" spans="1:22" x14ac:dyDescent="0.25">
      <c r="A715" t="s">
        <v>2022</v>
      </c>
      <c r="B715" t="s">
        <v>694</v>
      </c>
      <c r="C715">
        <v>33</v>
      </c>
      <c r="D715" t="s">
        <v>260</v>
      </c>
      <c r="E715" t="s">
        <v>57</v>
      </c>
      <c r="F715" t="s">
        <v>78</v>
      </c>
      <c r="G715">
        <v>0.21</v>
      </c>
      <c r="H715" t="s">
        <v>66</v>
      </c>
      <c r="I715">
        <v>-12</v>
      </c>
      <c r="J715" t="str">
        <f>HYPERLINK("https://www.eliteprospects.com/player/879898/grady-pichette")</f>
        <v>https://www.eliteprospects.com/player/879898/grady-pichette</v>
      </c>
      <c r="K715" t="s">
        <v>27</v>
      </c>
      <c r="L715" t="s">
        <v>631</v>
      </c>
      <c r="M715" t="s">
        <v>1296</v>
      </c>
      <c r="N715">
        <v>3</v>
      </c>
      <c r="O715" t="s">
        <v>639</v>
      </c>
      <c r="P715">
        <v>0.03</v>
      </c>
      <c r="Q715" t="s">
        <v>245</v>
      </c>
      <c r="R715">
        <v>28.6</v>
      </c>
      <c r="S715">
        <v>31.4</v>
      </c>
      <c r="T715">
        <v>28.6</v>
      </c>
      <c r="U715">
        <v>4.3</v>
      </c>
      <c r="V715">
        <v>7.1</v>
      </c>
    </row>
    <row r="716" spans="1:22" x14ac:dyDescent="0.25">
      <c r="A716" t="s">
        <v>2023</v>
      </c>
      <c r="B716" t="s">
        <v>647</v>
      </c>
      <c r="C716">
        <v>38</v>
      </c>
      <c r="D716" t="s">
        <v>140</v>
      </c>
      <c r="E716" t="s">
        <v>140</v>
      </c>
      <c r="F716" t="s">
        <v>57</v>
      </c>
      <c r="G716">
        <v>0.16</v>
      </c>
      <c r="H716" t="s">
        <v>739</v>
      </c>
      <c r="I716">
        <v>-2</v>
      </c>
      <c r="J716" t="str">
        <f>HYPERLINK("https://www.eliteprospects.com/player/804734/max-lavoie")</f>
        <v>https://www.eliteprospects.com/player/804734/max-lavoie</v>
      </c>
      <c r="K716" t="s">
        <v>27</v>
      </c>
      <c r="L716" t="s">
        <v>631</v>
      </c>
      <c r="M716" t="s">
        <v>1296</v>
      </c>
      <c r="N716">
        <v>1</v>
      </c>
      <c r="O716" t="s">
        <v>634</v>
      </c>
      <c r="P716">
        <v>0.02</v>
      </c>
      <c r="Q716" t="s">
        <v>245</v>
      </c>
      <c r="R716">
        <v>28.6</v>
      </c>
      <c r="S716">
        <v>31.4</v>
      </c>
      <c r="T716">
        <v>28.6</v>
      </c>
      <c r="U716">
        <v>4.3</v>
      </c>
      <c r="V716">
        <v>7.1</v>
      </c>
    </row>
    <row r="717" spans="1:22" x14ac:dyDescent="0.25">
      <c r="A717" t="s">
        <v>2024</v>
      </c>
      <c r="B717" t="s">
        <v>676</v>
      </c>
      <c r="C717">
        <v>21</v>
      </c>
      <c r="D717" t="s">
        <v>260</v>
      </c>
      <c r="E717" t="s">
        <v>96</v>
      </c>
      <c r="F717" t="s">
        <v>57</v>
      </c>
      <c r="G717">
        <v>0.28999999999999998</v>
      </c>
      <c r="H717" t="s">
        <v>84</v>
      </c>
      <c r="I717">
        <v>2</v>
      </c>
      <c r="J717" t="str">
        <f>HYPERLINK("https://www.eliteprospects.com/player/715231/kolten-bridgeman")</f>
        <v>https://www.eliteprospects.com/player/715231/kolten-bridgeman</v>
      </c>
      <c r="K717" t="s">
        <v>27</v>
      </c>
      <c r="L717" t="s">
        <v>631</v>
      </c>
      <c r="M717" t="s">
        <v>1296</v>
      </c>
      <c r="N717">
        <v>4</v>
      </c>
      <c r="O717" t="s">
        <v>632</v>
      </c>
      <c r="P717">
        <v>0.04</v>
      </c>
      <c r="Q717" t="s">
        <v>245</v>
      </c>
      <c r="R717">
        <v>28.6</v>
      </c>
      <c r="S717">
        <v>31.4</v>
      </c>
      <c r="T717">
        <v>28.6</v>
      </c>
      <c r="U717">
        <v>4.3</v>
      </c>
      <c r="V717">
        <v>7.1</v>
      </c>
    </row>
    <row r="718" spans="1:22" x14ac:dyDescent="0.25">
      <c r="A718" t="s">
        <v>2025</v>
      </c>
      <c r="B718" t="s">
        <v>646</v>
      </c>
      <c r="C718">
        <v>22</v>
      </c>
      <c r="D718" t="s">
        <v>260</v>
      </c>
      <c r="E718" t="s">
        <v>96</v>
      </c>
      <c r="F718" t="s">
        <v>57</v>
      </c>
      <c r="G718">
        <v>0.27</v>
      </c>
      <c r="H718" t="s">
        <v>25</v>
      </c>
      <c r="I718">
        <v>-1</v>
      </c>
      <c r="J718" t="str">
        <f>HYPERLINK("https://www.eliteprospects.com/player/891214/kaden-meyer")</f>
        <v>https://www.eliteprospects.com/player/891214/kaden-meyer</v>
      </c>
      <c r="K718" t="s">
        <v>27</v>
      </c>
      <c r="L718" t="s">
        <v>631</v>
      </c>
      <c r="M718" t="s">
        <v>1296</v>
      </c>
      <c r="N718">
        <v>1</v>
      </c>
      <c r="O718" t="s">
        <v>634</v>
      </c>
      <c r="P718">
        <v>0.04</v>
      </c>
      <c r="Q718" t="s">
        <v>245</v>
      </c>
      <c r="R718">
        <v>28.6</v>
      </c>
      <c r="S718">
        <v>31.4</v>
      </c>
      <c r="T718">
        <v>28.6</v>
      </c>
      <c r="U718">
        <v>4.3</v>
      </c>
      <c r="V718">
        <v>7.1</v>
      </c>
    </row>
    <row r="719" spans="1:22" x14ac:dyDescent="0.25">
      <c r="A719" t="s">
        <v>2026</v>
      </c>
      <c r="B719" t="s">
        <v>641</v>
      </c>
      <c r="C719">
        <v>26</v>
      </c>
      <c r="D719" t="s">
        <v>260</v>
      </c>
      <c r="E719" t="s">
        <v>96</v>
      </c>
      <c r="F719" t="s">
        <v>57</v>
      </c>
      <c r="G719">
        <v>0.23</v>
      </c>
      <c r="H719" t="s">
        <v>81</v>
      </c>
      <c r="I719">
        <v>-1</v>
      </c>
      <c r="J719" t="str">
        <f>HYPERLINK("https://www.eliteprospects.com/player/795053/morgan-tastad")</f>
        <v>https://www.eliteprospects.com/player/795053/morgan-tastad</v>
      </c>
      <c r="K719" t="s">
        <v>27</v>
      </c>
      <c r="L719" t="s">
        <v>631</v>
      </c>
      <c r="M719" t="s">
        <v>1296</v>
      </c>
      <c r="N719">
        <v>4</v>
      </c>
      <c r="O719" t="s">
        <v>632</v>
      </c>
      <c r="P719">
        <v>0.03</v>
      </c>
      <c r="Q719" t="s">
        <v>245</v>
      </c>
      <c r="R719">
        <v>28.6</v>
      </c>
      <c r="S719">
        <v>31.4</v>
      </c>
      <c r="T719">
        <v>28.6</v>
      </c>
      <c r="U719">
        <v>4.3</v>
      </c>
      <c r="V719">
        <v>7.1</v>
      </c>
    </row>
    <row r="720" spans="1:22" x14ac:dyDescent="0.25">
      <c r="A720" t="s">
        <v>2027</v>
      </c>
      <c r="B720" t="s">
        <v>635</v>
      </c>
      <c r="C720">
        <v>37</v>
      </c>
      <c r="D720" t="s">
        <v>260</v>
      </c>
      <c r="E720" t="s">
        <v>96</v>
      </c>
      <c r="F720" t="s">
        <v>57</v>
      </c>
      <c r="G720">
        <v>0.16</v>
      </c>
      <c r="H720" t="s">
        <v>503</v>
      </c>
      <c r="I720">
        <v>18</v>
      </c>
      <c r="J720" t="str">
        <f>HYPERLINK("https://www.eliteprospects.com/player/746977/noa-ta-amu")</f>
        <v>https://www.eliteprospects.com/player/746977/noa-ta-amu</v>
      </c>
      <c r="K720" t="s">
        <v>27</v>
      </c>
      <c r="L720" t="s">
        <v>631</v>
      </c>
      <c r="M720" t="s">
        <v>1296</v>
      </c>
      <c r="N720">
        <v>2</v>
      </c>
      <c r="O720" t="s">
        <v>636</v>
      </c>
      <c r="P720">
        <v>0.02</v>
      </c>
      <c r="Q720" t="s">
        <v>245</v>
      </c>
      <c r="R720">
        <v>28.6</v>
      </c>
      <c r="S720">
        <v>31.4</v>
      </c>
      <c r="T720">
        <v>28.6</v>
      </c>
      <c r="U720">
        <v>4.3</v>
      </c>
      <c r="V720">
        <v>7.1</v>
      </c>
    </row>
    <row r="721" spans="1:22" x14ac:dyDescent="0.25">
      <c r="A721" t="s">
        <v>2028</v>
      </c>
      <c r="B721" t="s">
        <v>507</v>
      </c>
      <c r="C721">
        <v>41</v>
      </c>
      <c r="D721" t="s">
        <v>260</v>
      </c>
      <c r="E721" t="s">
        <v>96</v>
      </c>
      <c r="F721" t="s">
        <v>57</v>
      </c>
      <c r="G721">
        <v>0.15</v>
      </c>
      <c r="H721" t="s">
        <v>125</v>
      </c>
      <c r="I721">
        <v>-13</v>
      </c>
      <c r="J721" t="str">
        <f>HYPERLINK("https://www.eliteprospects.com/player/825450/colton-alain")</f>
        <v>https://www.eliteprospects.com/player/825450/colton-alain</v>
      </c>
      <c r="K721" t="s">
        <v>27</v>
      </c>
      <c r="L721" t="s">
        <v>631</v>
      </c>
      <c r="M721" t="s">
        <v>1296</v>
      </c>
      <c r="N721">
        <v>4</v>
      </c>
      <c r="O721" t="s">
        <v>632</v>
      </c>
      <c r="P721">
        <v>0.02</v>
      </c>
      <c r="Q721" t="s">
        <v>245</v>
      </c>
      <c r="R721">
        <v>28.6</v>
      </c>
      <c r="S721">
        <v>31.4</v>
      </c>
      <c r="T721">
        <v>28.6</v>
      </c>
      <c r="U721">
        <v>4.3</v>
      </c>
      <c r="V721">
        <v>7.1</v>
      </c>
    </row>
    <row r="722" spans="1:22" x14ac:dyDescent="0.25">
      <c r="A722" t="s">
        <v>2029</v>
      </c>
      <c r="B722" t="s">
        <v>507</v>
      </c>
      <c r="C722">
        <v>23</v>
      </c>
      <c r="D722" t="s">
        <v>132</v>
      </c>
      <c r="E722" t="s">
        <v>57</v>
      </c>
      <c r="F722" t="s">
        <v>57</v>
      </c>
      <c r="G722">
        <v>0.26</v>
      </c>
      <c r="H722" t="s">
        <v>39</v>
      </c>
      <c r="I722">
        <v>13</v>
      </c>
      <c r="J722" t="str">
        <f>HYPERLINK("https://www.eliteprospects.com/player/647521/niko-tsakumis")</f>
        <v>https://www.eliteprospects.com/player/647521/niko-tsakumis</v>
      </c>
      <c r="K722" t="s">
        <v>27</v>
      </c>
      <c r="L722" t="s">
        <v>631</v>
      </c>
      <c r="M722" t="s">
        <v>1296</v>
      </c>
      <c r="N722">
        <v>5</v>
      </c>
      <c r="O722" t="s">
        <v>645</v>
      </c>
      <c r="P722">
        <v>0.04</v>
      </c>
      <c r="Q722" t="s">
        <v>245</v>
      </c>
      <c r="R722">
        <v>28.6</v>
      </c>
      <c r="S722">
        <v>31.4</v>
      </c>
      <c r="T722">
        <v>28.6</v>
      </c>
      <c r="U722">
        <v>4.3</v>
      </c>
      <c r="V722">
        <v>7.1</v>
      </c>
    </row>
    <row r="723" spans="1:22" x14ac:dyDescent="0.25">
      <c r="A723" t="s">
        <v>2030</v>
      </c>
      <c r="B723" t="s">
        <v>507</v>
      </c>
      <c r="C723">
        <v>24</v>
      </c>
      <c r="D723" t="s">
        <v>132</v>
      </c>
      <c r="E723" t="s">
        <v>57</v>
      </c>
      <c r="F723" t="s">
        <v>57</v>
      </c>
      <c r="G723">
        <v>0.25</v>
      </c>
      <c r="H723" t="s">
        <v>79</v>
      </c>
      <c r="I723">
        <v>-1</v>
      </c>
      <c r="J723" t="str">
        <f>HYPERLINK("https://www.eliteprospects.com/player/628126/eli-johnson")</f>
        <v>https://www.eliteprospects.com/player/628126/eli-johnson</v>
      </c>
      <c r="K723" t="s">
        <v>27</v>
      </c>
      <c r="L723" t="s">
        <v>631</v>
      </c>
      <c r="M723" t="s">
        <v>1296</v>
      </c>
      <c r="N723">
        <v>1</v>
      </c>
      <c r="O723" t="s">
        <v>634</v>
      </c>
      <c r="P723">
        <v>0.04</v>
      </c>
      <c r="Q723" t="s">
        <v>245</v>
      </c>
      <c r="R723">
        <v>28.6</v>
      </c>
      <c r="S723">
        <v>31.4</v>
      </c>
      <c r="T723">
        <v>28.6</v>
      </c>
      <c r="U723">
        <v>4.3</v>
      </c>
      <c r="V723">
        <v>7.1</v>
      </c>
    </row>
    <row r="724" spans="1:22" x14ac:dyDescent="0.25">
      <c r="A724" t="s">
        <v>2031</v>
      </c>
      <c r="B724" t="s">
        <v>646</v>
      </c>
      <c r="C724">
        <v>29</v>
      </c>
      <c r="D724" t="s">
        <v>132</v>
      </c>
      <c r="E724" t="s">
        <v>57</v>
      </c>
      <c r="F724" t="s">
        <v>57</v>
      </c>
      <c r="G724">
        <v>0.21</v>
      </c>
      <c r="H724" t="s">
        <v>55</v>
      </c>
      <c r="I724">
        <v>-3</v>
      </c>
      <c r="J724" t="str">
        <f>HYPERLINK("https://www.eliteprospects.com/player/804146/bobby-williams")</f>
        <v>https://www.eliteprospects.com/player/804146/bobby-williams</v>
      </c>
      <c r="K724" t="s">
        <v>27</v>
      </c>
      <c r="L724" t="s">
        <v>631</v>
      </c>
      <c r="M724" t="s">
        <v>1296</v>
      </c>
      <c r="N724">
        <v>1</v>
      </c>
      <c r="O724" t="s">
        <v>634</v>
      </c>
      <c r="P724">
        <v>0.03</v>
      </c>
      <c r="Q724" t="s">
        <v>245</v>
      </c>
      <c r="R724">
        <v>28.6</v>
      </c>
      <c r="S724">
        <v>31.4</v>
      </c>
      <c r="T724">
        <v>28.6</v>
      </c>
      <c r="U724">
        <v>4.3</v>
      </c>
      <c r="V724">
        <v>7.1</v>
      </c>
    </row>
    <row r="725" spans="1:22" x14ac:dyDescent="0.25">
      <c r="A725" t="s">
        <v>2032</v>
      </c>
      <c r="B725" t="s">
        <v>709</v>
      </c>
      <c r="C725">
        <v>25</v>
      </c>
      <c r="D725" t="s">
        <v>260</v>
      </c>
      <c r="E725" t="s">
        <v>66</v>
      </c>
      <c r="F725" t="s">
        <v>96</v>
      </c>
      <c r="G725">
        <v>0.2</v>
      </c>
      <c r="H725" t="s">
        <v>46</v>
      </c>
      <c r="I725">
        <v>-17</v>
      </c>
      <c r="J725" t="str">
        <f>HYPERLINK("https://www.eliteprospects.com/player/798240/caleb-potter")</f>
        <v>https://www.eliteprospects.com/player/798240/caleb-potter</v>
      </c>
      <c r="K725" t="s">
        <v>27</v>
      </c>
      <c r="L725" t="s">
        <v>631</v>
      </c>
      <c r="M725" t="s">
        <v>1296</v>
      </c>
      <c r="N725">
        <v>3</v>
      </c>
      <c r="O725" t="s">
        <v>639</v>
      </c>
      <c r="P725">
        <v>0.03</v>
      </c>
      <c r="Q725" t="s">
        <v>245</v>
      </c>
      <c r="R725">
        <v>28.6</v>
      </c>
      <c r="S725">
        <v>31.4</v>
      </c>
      <c r="T725">
        <v>28.6</v>
      </c>
      <c r="U725">
        <v>4.3</v>
      </c>
      <c r="V725">
        <v>7.1</v>
      </c>
    </row>
    <row r="726" spans="1:22" x14ac:dyDescent="0.25">
      <c r="A726" t="s">
        <v>2033</v>
      </c>
      <c r="B726" t="s">
        <v>507</v>
      </c>
      <c r="C726">
        <v>33</v>
      </c>
      <c r="D726" t="s">
        <v>260</v>
      </c>
      <c r="E726" t="s">
        <v>66</v>
      </c>
      <c r="F726" t="s">
        <v>96</v>
      </c>
      <c r="G726">
        <v>0.15</v>
      </c>
      <c r="H726" t="s">
        <v>280</v>
      </c>
      <c r="I726">
        <v>2</v>
      </c>
      <c r="J726" t="str">
        <f>HYPERLINK("https://www.eliteprospects.com/player/647852/aleksey-chichkin")</f>
        <v>https://www.eliteprospects.com/player/647852/aleksey-chichkin</v>
      </c>
      <c r="K726" t="s">
        <v>27</v>
      </c>
      <c r="L726" t="s">
        <v>631</v>
      </c>
      <c r="M726" t="s">
        <v>1296</v>
      </c>
      <c r="N726">
        <v>3</v>
      </c>
      <c r="O726" t="s">
        <v>639</v>
      </c>
      <c r="P726">
        <v>0.02</v>
      </c>
      <c r="Q726" t="s">
        <v>245</v>
      </c>
      <c r="R726">
        <v>28.6</v>
      </c>
      <c r="S726">
        <v>31.4</v>
      </c>
      <c r="T726">
        <v>28.6</v>
      </c>
      <c r="U726">
        <v>4.3</v>
      </c>
      <c r="V726">
        <v>7.1</v>
      </c>
    </row>
    <row r="727" spans="1:22" x14ac:dyDescent="0.25">
      <c r="A727" t="s">
        <v>2034</v>
      </c>
      <c r="B727" t="s">
        <v>657</v>
      </c>
      <c r="C727">
        <v>34</v>
      </c>
      <c r="D727" t="s">
        <v>260</v>
      </c>
      <c r="E727" t="s">
        <v>66</v>
      </c>
      <c r="F727" t="s">
        <v>96</v>
      </c>
      <c r="G727">
        <v>0.15</v>
      </c>
      <c r="H727" t="s">
        <v>672</v>
      </c>
      <c r="I727">
        <v>-4</v>
      </c>
      <c r="J727" t="str">
        <f>HYPERLINK("https://www.eliteprospects.com/player/804735/seth-fryer")</f>
        <v>https://www.eliteprospects.com/player/804735/seth-fryer</v>
      </c>
      <c r="K727" t="s">
        <v>27</v>
      </c>
      <c r="L727" t="s">
        <v>631</v>
      </c>
      <c r="M727" t="s">
        <v>1296</v>
      </c>
      <c r="N727">
        <v>4</v>
      </c>
      <c r="O727" t="s">
        <v>632</v>
      </c>
      <c r="P727">
        <v>0.02</v>
      </c>
      <c r="Q727" t="s">
        <v>245</v>
      </c>
      <c r="R727">
        <v>28.6</v>
      </c>
      <c r="S727">
        <v>31.4</v>
      </c>
      <c r="T727">
        <v>28.6</v>
      </c>
      <c r="U727">
        <v>4.3</v>
      </c>
      <c r="V727">
        <v>7.1</v>
      </c>
    </row>
    <row r="728" spans="1:22" x14ac:dyDescent="0.25">
      <c r="A728" t="s">
        <v>2035</v>
      </c>
      <c r="B728" t="s">
        <v>637</v>
      </c>
      <c r="C728">
        <v>19</v>
      </c>
      <c r="D728" t="s">
        <v>132</v>
      </c>
      <c r="E728" t="s">
        <v>96</v>
      </c>
      <c r="F728" t="s">
        <v>96</v>
      </c>
      <c r="G728">
        <v>0.26</v>
      </c>
      <c r="H728" t="s">
        <v>60</v>
      </c>
      <c r="I728">
        <v>8</v>
      </c>
      <c r="J728" t="str">
        <f>HYPERLINK("https://www.eliteprospects.com/player/692903/niilopekka-muhonen")</f>
        <v>https://www.eliteprospects.com/player/692903/niilopekka-muhonen</v>
      </c>
      <c r="K728" t="s">
        <v>27</v>
      </c>
      <c r="L728" t="s">
        <v>631</v>
      </c>
      <c r="M728" t="s">
        <v>1296</v>
      </c>
      <c r="N728">
        <v>2</v>
      </c>
      <c r="O728" t="s">
        <v>636</v>
      </c>
      <c r="P728">
        <v>0.04</v>
      </c>
      <c r="Q728" t="s">
        <v>245</v>
      </c>
      <c r="R728">
        <v>28.6</v>
      </c>
      <c r="S728">
        <v>31.4</v>
      </c>
      <c r="T728">
        <v>28.6</v>
      </c>
      <c r="U728">
        <v>4.3</v>
      </c>
      <c r="V728">
        <v>7.1</v>
      </c>
    </row>
    <row r="729" spans="1:22" x14ac:dyDescent="0.25">
      <c r="A729" t="s">
        <v>2036</v>
      </c>
      <c r="B729" t="s">
        <v>507</v>
      </c>
      <c r="C729">
        <v>24</v>
      </c>
      <c r="D729" t="s">
        <v>132</v>
      </c>
      <c r="E729" t="s">
        <v>96</v>
      </c>
      <c r="F729" t="s">
        <v>96</v>
      </c>
      <c r="G729">
        <v>0.21</v>
      </c>
      <c r="H729" t="s">
        <v>57</v>
      </c>
      <c r="I729">
        <v>3</v>
      </c>
      <c r="J729" t="str">
        <f>HYPERLINK("https://www.eliteprospects.com/player/890156/kaden-allan")</f>
        <v>https://www.eliteprospects.com/player/890156/kaden-allan</v>
      </c>
      <c r="K729" t="s">
        <v>27</v>
      </c>
      <c r="L729" t="s">
        <v>631</v>
      </c>
      <c r="M729" t="s">
        <v>1296</v>
      </c>
      <c r="N729">
        <v>3</v>
      </c>
      <c r="O729" t="s">
        <v>639</v>
      </c>
      <c r="P729">
        <v>0.03</v>
      </c>
      <c r="Q729" t="s">
        <v>245</v>
      </c>
      <c r="R729">
        <v>28.6</v>
      </c>
      <c r="S729">
        <v>31.4</v>
      </c>
      <c r="T729">
        <v>28.6</v>
      </c>
      <c r="U729">
        <v>4.3</v>
      </c>
      <c r="V729">
        <v>7.1</v>
      </c>
    </row>
    <row r="730" spans="1:22" x14ac:dyDescent="0.25">
      <c r="A730" t="s">
        <v>2037</v>
      </c>
      <c r="B730" t="s">
        <v>507</v>
      </c>
      <c r="C730">
        <v>24</v>
      </c>
      <c r="D730" t="s">
        <v>132</v>
      </c>
      <c r="E730" t="s">
        <v>96</v>
      </c>
      <c r="F730" t="s">
        <v>96</v>
      </c>
      <c r="G730">
        <v>0.21</v>
      </c>
      <c r="H730" t="s">
        <v>32</v>
      </c>
      <c r="I730">
        <v>-13</v>
      </c>
      <c r="J730" t="str">
        <f>HYPERLINK("https://www.eliteprospects.com/player/577074/brayden-smith")</f>
        <v>https://www.eliteprospects.com/player/577074/brayden-smith</v>
      </c>
      <c r="K730" t="s">
        <v>27</v>
      </c>
      <c r="L730" t="s">
        <v>631</v>
      </c>
      <c r="M730" t="s">
        <v>1296</v>
      </c>
      <c r="N730">
        <v>3</v>
      </c>
      <c r="O730" t="s">
        <v>639</v>
      </c>
      <c r="P730">
        <v>0.03</v>
      </c>
      <c r="Q730" t="s">
        <v>245</v>
      </c>
      <c r="R730">
        <v>28.6</v>
      </c>
      <c r="S730">
        <v>31.4</v>
      </c>
      <c r="T730">
        <v>28.6</v>
      </c>
      <c r="U730">
        <v>4.3</v>
      </c>
      <c r="V730">
        <v>7.1</v>
      </c>
    </row>
    <row r="731" spans="1:22" x14ac:dyDescent="0.25">
      <c r="A731" t="s">
        <v>2038</v>
      </c>
      <c r="B731" t="s">
        <v>640</v>
      </c>
      <c r="C731">
        <v>30</v>
      </c>
      <c r="D731" t="s">
        <v>132</v>
      </c>
      <c r="E731" t="s">
        <v>96</v>
      </c>
      <c r="F731" t="s">
        <v>96</v>
      </c>
      <c r="G731">
        <v>0.17</v>
      </c>
      <c r="H731" t="s">
        <v>39</v>
      </c>
      <c r="I731">
        <v>-14</v>
      </c>
      <c r="J731" t="str">
        <f>HYPERLINK("https://www.eliteprospects.com/player/883604/griffin-darby")</f>
        <v>https://www.eliteprospects.com/player/883604/griffin-darby</v>
      </c>
      <c r="K731" t="s">
        <v>27</v>
      </c>
      <c r="L731" t="s">
        <v>631</v>
      </c>
      <c r="M731" t="s">
        <v>1296</v>
      </c>
      <c r="N731">
        <v>2</v>
      </c>
      <c r="O731" t="s">
        <v>636</v>
      </c>
      <c r="P731">
        <v>0.02</v>
      </c>
      <c r="Q731" t="s">
        <v>245</v>
      </c>
      <c r="R731">
        <v>28.6</v>
      </c>
      <c r="S731">
        <v>31.4</v>
      </c>
      <c r="T731">
        <v>28.6</v>
      </c>
      <c r="U731">
        <v>4.3</v>
      </c>
      <c r="V731">
        <v>7.1</v>
      </c>
    </row>
    <row r="732" spans="1:22" x14ac:dyDescent="0.25">
      <c r="A732" t="s">
        <v>2039</v>
      </c>
      <c r="B732" t="s">
        <v>633</v>
      </c>
      <c r="C732">
        <v>34</v>
      </c>
      <c r="D732" t="s">
        <v>132</v>
      </c>
      <c r="E732" t="s">
        <v>96</v>
      </c>
      <c r="F732" t="s">
        <v>96</v>
      </c>
      <c r="G732">
        <v>0.15</v>
      </c>
      <c r="H732" t="s">
        <v>26</v>
      </c>
      <c r="I732">
        <v>-1</v>
      </c>
      <c r="J732" t="str">
        <f>HYPERLINK("https://www.eliteprospects.com/player/960835/joaquin-geras")</f>
        <v>https://www.eliteprospects.com/player/960835/joaquin-geras</v>
      </c>
      <c r="K732" t="s">
        <v>27</v>
      </c>
      <c r="L732" t="s">
        <v>631</v>
      </c>
      <c r="M732" t="s">
        <v>1296</v>
      </c>
      <c r="N732">
        <v>2</v>
      </c>
      <c r="O732" t="s">
        <v>636</v>
      </c>
      <c r="P732">
        <v>0.02</v>
      </c>
      <c r="Q732" t="s">
        <v>245</v>
      </c>
      <c r="R732">
        <v>28.6</v>
      </c>
      <c r="S732">
        <v>31.4</v>
      </c>
      <c r="T732">
        <v>28.6</v>
      </c>
      <c r="U732">
        <v>4.3</v>
      </c>
      <c r="V732">
        <v>7.1</v>
      </c>
    </row>
    <row r="733" spans="1:22" x14ac:dyDescent="0.25">
      <c r="A733" t="s">
        <v>2040</v>
      </c>
      <c r="B733" t="s">
        <v>660</v>
      </c>
      <c r="C733">
        <v>29</v>
      </c>
      <c r="D733" t="s">
        <v>140</v>
      </c>
      <c r="E733" t="s">
        <v>260</v>
      </c>
      <c r="F733" t="s">
        <v>66</v>
      </c>
      <c r="G733">
        <v>0.14000000000000001</v>
      </c>
      <c r="H733" t="s">
        <v>79</v>
      </c>
      <c r="I733">
        <v>0</v>
      </c>
      <c r="J733" t="str">
        <f>HYPERLINK("https://www.eliteprospects.com/player/628128/william-degagne")</f>
        <v>https://www.eliteprospects.com/player/628128/william-degagne</v>
      </c>
      <c r="K733" t="s">
        <v>27</v>
      </c>
      <c r="L733" t="s">
        <v>631</v>
      </c>
      <c r="M733" t="s">
        <v>1296</v>
      </c>
      <c r="N733">
        <v>2</v>
      </c>
      <c r="O733" t="s">
        <v>636</v>
      </c>
      <c r="P733">
        <v>0.02</v>
      </c>
      <c r="Q733" t="s">
        <v>245</v>
      </c>
      <c r="R733">
        <v>28.6</v>
      </c>
      <c r="S733">
        <v>31.4</v>
      </c>
      <c r="T733">
        <v>28.6</v>
      </c>
      <c r="U733">
        <v>4.3</v>
      </c>
      <c r="V733">
        <v>7.1</v>
      </c>
    </row>
    <row r="734" spans="1:22" x14ac:dyDescent="0.25">
      <c r="A734" t="s">
        <v>2041</v>
      </c>
      <c r="B734" t="s">
        <v>676</v>
      </c>
      <c r="C734">
        <v>21</v>
      </c>
      <c r="D734" t="s">
        <v>79</v>
      </c>
      <c r="E734" t="s">
        <v>79</v>
      </c>
      <c r="F734" t="s">
        <v>66</v>
      </c>
      <c r="G734">
        <v>0.19</v>
      </c>
      <c r="H734" t="s">
        <v>132</v>
      </c>
      <c r="I734">
        <v>0</v>
      </c>
      <c r="J734" t="str">
        <f>HYPERLINK("https://www.eliteprospects.com/player/966683/aiden-wagner")</f>
        <v>https://www.eliteprospects.com/player/966683/aiden-wagner</v>
      </c>
      <c r="K734" t="s">
        <v>27</v>
      </c>
      <c r="L734" t="s">
        <v>631</v>
      </c>
      <c r="M734" t="s">
        <v>1296</v>
      </c>
      <c r="N734">
        <v>2</v>
      </c>
      <c r="O734" t="s">
        <v>636</v>
      </c>
      <c r="P734">
        <v>0.03</v>
      </c>
      <c r="Q734" t="s">
        <v>245</v>
      </c>
      <c r="R734">
        <v>28.6</v>
      </c>
      <c r="S734">
        <v>31.4</v>
      </c>
      <c r="T734">
        <v>28.6</v>
      </c>
      <c r="U734">
        <v>4.3</v>
      </c>
      <c r="V734">
        <v>7.1</v>
      </c>
    </row>
    <row r="735" spans="1:22" x14ac:dyDescent="0.25">
      <c r="A735" t="s">
        <v>2042</v>
      </c>
      <c r="B735" t="s">
        <v>653</v>
      </c>
      <c r="C735">
        <v>22</v>
      </c>
      <c r="D735" t="s">
        <v>79</v>
      </c>
      <c r="E735" t="s">
        <v>79</v>
      </c>
      <c r="F735" t="s">
        <v>66</v>
      </c>
      <c r="G735">
        <v>0.18</v>
      </c>
      <c r="H735" t="s">
        <v>716</v>
      </c>
      <c r="I735">
        <v>7</v>
      </c>
      <c r="J735" t="str">
        <f>HYPERLINK("https://www.eliteprospects.com/player/727572/nate-corbet")</f>
        <v>https://www.eliteprospects.com/player/727572/nate-corbet</v>
      </c>
      <c r="K735" t="s">
        <v>27</v>
      </c>
      <c r="L735" t="s">
        <v>631</v>
      </c>
      <c r="M735" t="s">
        <v>1296</v>
      </c>
      <c r="N735">
        <v>3</v>
      </c>
      <c r="O735" t="s">
        <v>639</v>
      </c>
      <c r="P735">
        <v>0.03</v>
      </c>
      <c r="Q735" t="s">
        <v>245</v>
      </c>
      <c r="R735">
        <v>28.6</v>
      </c>
      <c r="S735">
        <v>31.4</v>
      </c>
      <c r="T735">
        <v>28.6</v>
      </c>
      <c r="U735">
        <v>4.3</v>
      </c>
      <c r="V735">
        <v>7.1</v>
      </c>
    </row>
    <row r="736" spans="1:22" x14ac:dyDescent="0.25">
      <c r="A736" t="s">
        <v>2043</v>
      </c>
      <c r="B736" t="s">
        <v>662</v>
      </c>
      <c r="C736">
        <v>33</v>
      </c>
      <c r="D736" t="s">
        <v>79</v>
      </c>
      <c r="E736" t="s">
        <v>79</v>
      </c>
      <c r="F736" t="s">
        <v>66</v>
      </c>
      <c r="G736">
        <v>0.12</v>
      </c>
      <c r="H736" t="s">
        <v>55</v>
      </c>
      <c r="I736">
        <v>5</v>
      </c>
      <c r="J736" t="str">
        <f>HYPERLINK("https://www.eliteprospects.com/player/891499/vanek-popil")</f>
        <v>https://www.eliteprospects.com/player/891499/vanek-popil</v>
      </c>
      <c r="K736" t="s">
        <v>27</v>
      </c>
      <c r="L736" t="s">
        <v>631</v>
      </c>
      <c r="M736" t="s">
        <v>1296</v>
      </c>
      <c r="N736">
        <v>3</v>
      </c>
      <c r="O736" t="s">
        <v>639</v>
      </c>
      <c r="P736">
        <v>0.02</v>
      </c>
      <c r="Q736" t="s">
        <v>245</v>
      </c>
      <c r="R736">
        <v>28.6</v>
      </c>
      <c r="S736">
        <v>31.4</v>
      </c>
      <c r="T736">
        <v>28.6</v>
      </c>
      <c r="U736">
        <v>4.3</v>
      </c>
      <c r="V736">
        <v>7.1</v>
      </c>
    </row>
    <row r="737" spans="1:22" x14ac:dyDescent="0.25">
      <c r="A737" t="s">
        <v>2044</v>
      </c>
      <c r="B737" t="s">
        <v>659</v>
      </c>
      <c r="C737">
        <v>39</v>
      </c>
      <c r="D737" t="s">
        <v>79</v>
      </c>
      <c r="E737" t="s">
        <v>79</v>
      </c>
      <c r="F737" t="s">
        <v>66</v>
      </c>
      <c r="G737">
        <v>0.1</v>
      </c>
      <c r="H737" t="s">
        <v>739</v>
      </c>
      <c r="I737">
        <v>-2</v>
      </c>
      <c r="J737" t="str">
        <f>HYPERLINK("https://www.eliteprospects.com/player/711430/ismail-abougouche")</f>
        <v>https://www.eliteprospects.com/player/711430/ismail-abougouche</v>
      </c>
      <c r="K737" t="s">
        <v>27</v>
      </c>
      <c r="L737" t="s">
        <v>631</v>
      </c>
      <c r="M737" t="s">
        <v>1417</v>
      </c>
      <c r="N737">
        <v>4</v>
      </c>
      <c r="O737" t="s">
        <v>632</v>
      </c>
      <c r="P737">
        <v>0.01</v>
      </c>
      <c r="Q737" t="s">
        <v>245</v>
      </c>
      <c r="R737">
        <v>28.6</v>
      </c>
      <c r="S737">
        <v>31.4</v>
      </c>
      <c r="T737">
        <v>28.6</v>
      </c>
      <c r="U737">
        <v>4.3</v>
      </c>
      <c r="V737">
        <v>7.1</v>
      </c>
    </row>
    <row r="738" spans="1:22" x14ac:dyDescent="0.25">
      <c r="A738" t="s">
        <v>2045</v>
      </c>
      <c r="B738" t="s">
        <v>651</v>
      </c>
      <c r="C738">
        <v>27</v>
      </c>
      <c r="D738" t="s">
        <v>260</v>
      </c>
      <c r="E738" t="s">
        <v>140</v>
      </c>
      <c r="F738" t="s">
        <v>66</v>
      </c>
      <c r="G738">
        <v>0.15</v>
      </c>
      <c r="H738" t="s">
        <v>47</v>
      </c>
      <c r="I738">
        <v>13</v>
      </c>
      <c r="J738" t="str">
        <f>HYPERLINK("https://www.eliteprospects.com/player/854386/matyas-man")</f>
        <v>https://www.eliteprospects.com/player/854386/matyas-man</v>
      </c>
      <c r="K738" t="s">
        <v>27</v>
      </c>
      <c r="L738" t="s">
        <v>631</v>
      </c>
      <c r="M738" t="s">
        <v>1296</v>
      </c>
      <c r="N738">
        <v>1</v>
      </c>
      <c r="O738" t="s">
        <v>634</v>
      </c>
      <c r="P738">
        <v>0.02</v>
      </c>
      <c r="Q738" t="s">
        <v>245</v>
      </c>
      <c r="R738">
        <v>28.6</v>
      </c>
      <c r="S738">
        <v>31.4</v>
      </c>
      <c r="T738">
        <v>28.6</v>
      </c>
      <c r="U738">
        <v>4.3</v>
      </c>
      <c r="V738">
        <v>7.1</v>
      </c>
    </row>
    <row r="739" spans="1:22" x14ac:dyDescent="0.25">
      <c r="A739" t="s">
        <v>2046</v>
      </c>
      <c r="B739" t="s">
        <v>694</v>
      </c>
      <c r="C739">
        <v>35</v>
      </c>
      <c r="D739" t="s">
        <v>260</v>
      </c>
      <c r="E739" t="s">
        <v>140</v>
      </c>
      <c r="F739" t="s">
        <v>66</v>
      </c>
      <c r="G739">
        <v>0.11</v>
      </c>
      <c r="H739" t="s">
        <v>47</v>
      </c>
      <c r="I739">
        <v>-9</v>
      </c>
      <c r="J739" t="str">
        <f>HYPERLINK("https://www.eliteprospects.com/player/917679/tomas-malinek")</f>
        <v>https://www.eliteprospects.com/player/917679/tomas-malinek</v>
      </c>
      <c r="K739" t="s">
        <v>27</v>
      </c>
      <c r="L739" t="s">
        <v>631</v>
      </c>
      <c r="M739" t="s">
        <v>1296</v>
      </c>
      <c r="N739">
        <v>1</v>
      </c>
      <c r="O739" t="s">
        <v>634</v>
      </c>
      <c r="P739">
        <v>0.02</v>
      </c>
      <c r="Q739" t="s">
        <v>245</v>
      </c>
      <c r="R739">
        <v>28.6</v>
      </c>
      <c r="S739">
        <v>31.4</v>
      </c>
      <c r="T739">
        <v>28.6</v>
      </c>
      <c r="U739">
        <v>4.3</v>
      </c>
      <c r="V739">
        <v>7.1</v>
      </c>
    </row>
    <row r="740" spans="1:22" x14ac:dyDescent="0.25">
      <c r="A740" t="s">
        <v>2047</v>
      </c>
      <c r="B740" t="s">
        <v>671</v>
      </c>
      <c r="C740">
        <v>37</v>
      </c>
      <c r="D740" t="s">
        <v>260</v>
      </c>
      <c r="E740" t="s">
        <v>140</v>
      </c>
      <c r="F740" t="s">
        <v>66</v>
      </c>
      <c r="G740">
        <v>0.11</v>
      </c>
      <c r="H740" t="s">
        <v>513</v>
      </c>
      <c r="I740">
        <v>-16</v>
      </c>
      <c r="J740" t="str">
        <f>HYPERLINK("https://www.eliteprospects.com/player/735915/nathan-mayes")</f>
        <v>https://www.eliteprospects.com/player/735915/nathan-mayes</v>
      </c>
      <c r="K740" t="s">
        <v>27</v>
      </c>
      <c r="L740" t="s">
        <v>631</v>
      </c>
      <c r="M740" t="s">
        <v>1296</v>
      </c>
      <c r="N740">
        <v>5</v>
      </c>
      <c r="O740" t="s">
        <v>645</v>
      </c>
      <c r="P740">
        <v>0.02</v>
      </c>
      <c r="Q740" t="s">
        <v>245</v>
      </c>
      <c r="R740">
        <v>28.6</v>
      </c>
      <c r="S740">
        <v>31.4</v>
      </c>
      <c r="T740">
        <v>28.6</v>
      </c>
      <c r="U740">
        <v>4.3</v>
      </c>
      <c r="V740">
        <v>7.1</v>
      </c>
    </row>
    <row r="741" spans="1:22" x14ac:dyDescent="0.25">
      <c r="A741" t="s">
        <v>2048</v>
      </c>
      <c r="B741" t="s">
        <v>647</v>
      </c>
      <c r="C741">
        <v>22</v>
      </c>
      <c r="D741" t="s">
        <v>132</v>
      </c>
      <c r="E741" t="s">
        <v>66</v>
      </c>
      <c r="F741" t="s">
        <v>66</v>
      </c>
      <c r="G741">
        <v>0.18</v>
      </c>
      <c r="H741" t="s">
        <v>23</v>
      </c>
      <c r="I741">
        <v>-4</v>
      </c>
      <c r="J741" t="str">
        <f>HYPERLINK("https://www.eliteprospects.com/player/836540/daniil-skvortsov")</f>
        <v>https://www.eliteprospects.com/player/836540/daniil-skvortsov</v>
      </c>
      <c r="K741" t="s">
        <v>27</v>
      </c>
      <c r="L741" t="s">
        <v>631</v>
      </c>
      <c r="M741" t="s">
        <v>1296</v>
      </c>
      <c r="N741">
        <v>3</v>
      </c>
      <c r="O741" t="s">
        <v>717</v>
      </c>
      <c r="P741">
        <v>0.03</v>
      </c>
      <c r="Q741" t="s">
        <v>245</v>
      </c>
      <c r="R741">
        <v>28.6</v>
      </c>
      <c r="S741">
        <v>31.4</v>
      </c>
      <c r="T741">
        <v>28.6</v>
      </c>
      <c r="U741">
        <v>4.3</v>
      </c>
      <c r="V741">
        <v>7.1</v>
      </c>
    </row>
    <row r="742" spans="1:22" x14ac:dyDescent="0.25">
      <c r="A742" t="s">
        <v>2049</v>
      </c>
      <c r="B742" t="s">
        <v>651</v>
      </c>
      <c r="C742">
        <v>22</v>
      </c>
      <c r="D742" t="s">
        <v>132</v>
      </c>
      <c r="E742" t="s">
        <v>66</v>
      </c>
      <c r="F742" t="s">
        <v>66</v>
      </c>
      <c r="G742">
        <v>0.18</v>
      </c>
      <c r="H742" t="s">
        <v>39</v>
      </c>
      <c r="I742">
        <v>2</v>
      </c>
      <c r="J742" t="str">
        <f>HYPERLINK("https://www.eliteprospects.com/player/805657/hubert-clarke")</f>
        <v>https://www.eliteprospects.com/player/805657/hubert-clarke</v>
      </c>
      <c r="K742" t="s">
        <v>27</v>
      </c>
      <c r="L742" t="s">
        <v>631</v>
      </c>
      <c r="M742" t="s">
        <v>1296</v>
      </c>
      <c r="N742">
        <v>1</v>
      </c>
      <c r="O742" t="s">
        <v>634</v>
      </c>
      <c r="P742">
        <v>0.03</v>
      </c>
      <c r="Q742" t="s">
        <v>245</v>
      </c>
      <c r="R742">
        <v>28.6</v>
      </c>
      <c r="S742">
        <v>31.4</v>
      </c>
      <c r="T742">
        <v>28.6</v>
      </c>
      <c r="U742">
        <v>4.3</v>
      </c>
      <c r="V742">
        <v>7.1</v>
      </c>
    </row>
    <row r="743" spans="1:22" x14ac:dyDescent="0.25">
      <c r="A743" t="s">
        <v>2050</v>
      </c>
      <c r="B743" t="s">
        <v>684</v>
      </c>
      <c r="C743">
        <v>26</v>
      </c>
      <c r="D743" t="s">
        <v>132</v>
      </c>
      <c r="E743" t="s">
        <v>66</v>
      </c>
      <c r="F743" t="s">
        <v>66</v>
      </c>
      <c r="G743">
        <v>0.15</v>
      </c>
      <c r="H743" t="s">
        <v>39</v>
      </c>
      <c r="I743">
        <v>-6</v>
      </c>
      <c r="J743" t="str">
        <f>HYPERLINK("https://www.eliteprospects.com/player/815003/drew-smith")</f>
        <v>https://www.eliteprospects.com/player/815003/drew-smith</v>
      </c>
      <c r="K743" t="s">
        <v>27</v>
      </c>
      <c r="L743" t="s">
        <v>631</v>
      </c>
      <c r="M743" t="s">
        <v>1296</v>
      </c>
      <c r="N743">
        <v>1</v>
      </c>
      <c r="O743" t="s">
        <v>634</v>
      </c>
      <c r="P743">
        <v>0.02</v>
      </c>
      <c r="Q743" t="s">
        <v>245</v>
      </c>
      <c r="R743">
        <v>28.6</v>
      </c>
      <c r="S743">
        <v>31.4</v>
      </c>
      <c r="T743">
        <v>28.6</v>
      </c>
      <c r="U743">
        <v>4.3</v>
      </c>
      <c r="V743">
        <v>7.1</v>
      </c>
    </row>
    <row r="744" spans="1:22" x14ac:dyDescent="0.25">
      <c r="A744" t="s">
        <v>2051</v>
      </c>
      <c r="B744" t="s">
        <v>507</v>
      </c>
      <c r="C744">
        <v>27</v>
      </c>
      <c r="D744" t="s">
        <v>132</v>
      </c>
      <c r="E744" t="s">
        <v>66</v>
      </c>
      <c r="F744" t="s">
        <v>66</v>
      </c>
      <c r="G744">
        <v>0.15</v>
      </c>
      <c r="H744" t="s">
        <v>39</v>
      </c>
      <c r="I744">
        <v>-25</v>
      </c>
      <c r="J744" t="str">
        <f>HYPERLINK("https://www.eliteprospects.com/player/788680/jackson-gillespie")</f>
        <v>https://www.eliteprospects.com/player/788680/jackson-gillespie</v>
      </c>
      <c r="K744" t="s">
        <v>27</v>
      </c>
      <c r="L744" t="s">
        <v>631</v>
      </c>
      <c r="M744" t="s">
        <v>1296</v>
      </c>
      <c r="N744">
        <v>3</v>
      </c>
      <c r="O744" t="s">
        <v>639</v>
      </c>
      <c r="P744">
        <v>0.02</v>
      </c>
      <c r="Q744" t="s">
        <v>245</v>
      </c>
      <c r="R744">
        <v>28.6</v>
      </c>
      <c r="S744">
        <v>31.4</v>
      </c>
      <c r="T744">
        <v>28.6</v>
      </c>
      <c r="U744">
        <v>4.3</v>
      </c>
      <c r="V744">
        <v>7.1</v>
      </c>
    </row>
    <row r="745" spans="1:22" x14ac:dyDescent="0.25">
      <c r="A745" t="s">
        <v>2052</v>
      </c>
      <c r="B745" t="s">
        <v>684</v>
      </c>
      <c r="C745">
        <v>35</v>
      </c>
      <c r="D745" t="s">
        <v>132</v>
      </c>
      <c r="E745" t="s">
        <v>66</v>
      </c>
      <c r="F745" t="s">
        <v>66</v>
      </c>
      <c r="G745">
        <v>0.11</v>
      </c>
      <c r="H745" t="s">
        <v>39</v>
      </c>
      <c r="I745">
        <v>-8</v>
      </c>
      <c r="J745" t="str">
        <f>HYPERLINK("https://www.eliteprospects.com/player/810648/darian-rolsing")</f>
        <v>https://www.eliteprospects.com/player/810648/darian-rolsing</v>
      </c>
      <c r="K745" t="s">
        <v>27</v>
      </c>
      <c r="L745" t="s">
        <v>631</v>
      </c>
      <c r="M745" t="s">
        <v>1296</v>
      </c>
      <c r="N745">
        <v>1</v>
      </c>
      <c r="O745" t="s">
        <v>634</v>
      </c>
      <c r="P745">
        <v>0.02</v>
      </c>
      <c r="Q745" t="s">
        <v>245</v>
      </c>
      <c r="R745">
        <v>28.6</v>
      </c>
      <c r="S745">
        <v>31.4</v>
      </c>
      <c r="T745">
        <v>28.6</v>
      </c>
      <c r="U745">
        <v>4.3</v>
      </c>
      <c r="V745">
        <v>7.1</v>
      </c>
    </row>
    <row r="746" spans="1:22" x14ac:dyDescent="0.25">
      <c r="A746" t="s">
        <v>2053</v>
      </c>
      <c r="B746" t="s">
        <v>507</v>
      </c>
      <c r="C746">
        <v>39</v>
      </c>
      <c r="D746" t="s">
        <v>132</v>
      </c>
      <c r="E746" t="s">
        <v>66</v>
      </c>
      <c r="F746" t="s">
        <v>66</v>
      </c>
      <c r="G746">
        <v>0.1</v>
      </c>
      <c r="H746" t="s">
        <v>23</v>
      </c>
      <c r="I746">
        <v>-22</v>
      </c>
      <c r="J746" t="str">
        <f>HYPERLINK("https://www.eliteprospects.com/player/577083/brennen-hocher")</f>
        <v>https://www.eliteprospects.com/player/577083/brennen-hocher</v>
      </c>
      <c r="K746" t="s">
        <v>27</v>
      </c>
      <c r="L746" t="s">
        <v>631</v>
      </c>
      <c r="M746" t="s">
        <v>1296</v>
      </c>
      <c r="N746">
        <v>1</v>
      </c>
      <c r="O746" t="s">
        <v>634</v>
      </c>
      <c r="P746">
        <v>0.01</v>
      </c>
      <c r="Q746" t="s">
        <v>245</v>
      </c>
      <c r="R746">
        <v>28.6</v>
      </c>
      <c r="S746">
        <v>31.4</v>
      </c>
      <c r="T746">
        <v>28.6</v>
      </c>
      <c r="U746">
        <v>4.3</v>
      </c>
      <c r="V746">
        <v>7.1</v>
      </c>
    </row>
    <row r="747" spans="1:22" x14ac:dyDescent="0.25">
      <c r="A747" t="s">
        <v>2054</v>
      </c>
      <c r="B747" t="s">
        <v>507</v>
      </c>
      <c r="C747">
        <v>19</v>
      </c>
      <c r="D747" t="s">
        <v>79</v>
      </c>
      <c r="E747" t="s">
        <v>260</v>
      </c>
      <c r="F747" t="s">
        <v>140</v>
      </c>
      <c r="G747">
        <v>0.16</v>
      </c>
      <c r="H747" t="s">
        <v>66</v>
      </c>
      <c r="I747">
        <v>-2</v>
      </c>
      <c r="J747" t="str">
        <f>HYPERLINK("https://www.eliteprospects.com/player/830374/cameron-dillard")</f>
        <v>https://www.eliteprospects.com/player/830374/cameron-dillard</v>
      </c>
      <c r="K747" t="s">
        <v>27</v>
      </c>
      <c r="L747" t="s">
        <v>631</v>
      </c>
      <c r="M747" t="s">
        <v>1296</v>
      </c>
      <c r="N747">
        <v>1</v>
      </c>
      <c r="O747" t="s">
        <v>634</v>
      </c>
      <c r="P747">
        <v>0.02</v>
      </c>
      <c r="Q747" t="s">
        <v>245</v>
      </c>
      <c r="R747">
        <v>28.6</v>
      </c>
      <c r="S747">
        <v>31.4</v>
      </c>
      <c r="T747">
        <v>28.6</v>
      </c>
      <c r="U747">
        <v>4.3</v>
      </c>
      <c r="V747">
        <v>7.1</v>
      </c>
    </row>
    <row r="748" spans="1:22" x14ac:dyDescent="0.25">
      <c r="A748" t="s">
        <v>2055</v>
      </c>
      <c r="B748" t="s">
        <v>653</v>
      </c>
      <c r="C748">
        <v>12</v>
      </c>
      <c r="D748" t="s">
        <v>260</v>
      </c>
      <c r="E748" t="s">
        <v>79</v>
      </c>
      <c r="F748" t="s">
        <v>140</v>
      </c>
      <c r="G748">
        <v>0.25</v>
      </c>
      <c r="H748" t="s">
        <v>132</v>
      </c>
      <c r="I748">
        <v>0</v>
      </c>
      <c r="J748" t="str">
        <f>HYPERLINK("https://www.eliteprospects.com/player/692793/gabriel-guilbault")</f>
        <v>https://www.eliteprospects.com/player/692793/gabriel-guilbault</v>
      </c>
      <c r="K748" t="s">
        <v>27</v>
      </c>
      <c r="L748" t="s">
        <v>631</v>
      </c>
      <c r="M748" t="s">
        <v>1296</v>
      </c>
      <c r="N748">
        <v>2</v>
      </c>
      <c r="O748" t="s">
        <v>636</v>
      </c>
      <c r="P748">
        <v>0.04</v>
      </c>
      <c r="Q748" t="s">
        <v>245</v>
      </c>
      <c r="R748">
        <v>28.6</v>
      </c>
      <c r="S748">
        <v>31.4</v>
      </c>
      <c r="T748">
        <v>28.6</v>
      </c>
      <c r="U748">
        <v>4.3</v>
      </c>
      <c r="V748">
        <v>7.1</v>
      </c>
    </row>
    <row r="749" spans="1:22" x14ac:dyDescent="0.25">
      <c r="A749" t="s">
        <v>2056</v>
      </c>
      <c r="B749" t="s">
        <v>507</v>
      </c>
      <c r="C749">
        <v>14</v>
      </c>
      <c r="D749" t="s">
        <v>260</v>
      </c>
      <c r="E749" t="s">
        <v>79</v>
      </c>
      <c r="F749" t="s">
        <v>140</v>
      </c>
      <c r="G749">
        <v>0.21</v>
      </c>
      <c r="H749" t="s">
        <v>66</v>
      </c>
      <c r="I749">
        <v>-7</v>
      </c>
      <c r="J749" t="str">
        <f>HYPERLINK("https://www.eliteprospects.com/player/881380/easton-laplante")</f>
        <v>https://www.eliteprospects.com/player/881380/easton-laplante</v>
      </c>
      <c r="K749" t="s">
        <v>27</v>
      </c>
      <c r="L749" t="s">
        <v>631</v>
      </c>
      <c r="M749" t="s">
        <v>1296</v>
      </c>
      <c r="N749">
        <v>3</v>
      </c>
      <c r="O749" t="s">
        <v>639</v>
      </c>
      <c r="P749">
        <v>0.03</v>
      </c>
      <c r="Q749" t="s">
        <v>245</v>
      </c>
      <c r="R749">
        <v>28.6</v>
      </c>
      <c r="S749">
        <v>31.4</v>
      </c>
      <c r="T749">
        <v>28.6</v>
      </c>
      <c r="U749">
        <v>4.3</v>
      </c>
      <c r="V749">
        <v>7.1</v>
      </c>
    </row>
    <row r="750" spans="1:22" x14ac:dyDescent="0.25">
      <c r="A750" t="s">
        <v>2057</v>
      </c>
      <c r="B750" t="s">
        <v>657</v>
      </c>
      <c r="C750">
        <v>14</v>
      </c>
      <c r="D750" t="s">
        <v>260</v>
      </c>
      <c r="E750" t="s">
        <v>79</v>
      </c>
      <c r="F750" t="s">
        <v>140</v>
      </c>
      <c r="G750">
        <v>0.21</v>
      </c>
      <c r="H750" t="s">
        <v>26</v>
      </c>
      <c r="I750">
        <v>3</v>
      </c>
      <c r="J750" t="str">
        <f>HYPERLINK("https://www.eliteprospects.com/player/698203/cosmo-wilson")</f>
        <v>https://www.eliteprospects.com/player/698203/cosmo-wilson</v>
      </c>
      <c r="K750" t="s">
        <v>27</v>
      </c>
      <c r="L750" t="s">
        <v>631</v>
      </c>
      <c r="M750" t="s">
        <v>1296</v>
      </c>
      <c r="N750">
        <v>5</v>
      </c>
      <c r="O750" t="s">
        <v>645</v>
      </c>
      <c r="P750">
        <v>0.03</v>
      </c>
      <c r="Q750" t="s">
        <v>245</v>
      </c>
      <c r="R750">
        <v>28.6</v>
      </c>
      <c r="S750">
        <v>31.4</v>
      </c>
      <c r="T750">
        <v>28.6</v>
      </c>
      <c r="U750">
        <v>4.3</v>
      </c>
      <c r="V750">
        <v>7.1</v>
      </c>
    </row>
    <row r="751" spans="1:22" x14ac:dyDescent="0.25">
      <c r="A751" t="s">
        <v>2058</v>
      </c>
      <c r="B751" t="s">
        <v>659</v>
      </c>
      <c r="C751">
        <v>23</v>
      </c>
      <c r="D751" t="s">
        <v>260</v>
      </c>
      <c r="E751" t="s">
        <v>79</v>
      </c>
      <c r="F751" t="s">
        <v>140</v>
      </c>
      <c r="G751">
        <v>0.13</v>
      </c>
      <c r="H751" t="s">
        <v>79</v>
      </c>
      <c r="I751">
        <v>-4</v>
      </c>
      <c r="J751" t="str">
        <f>HYPERLINK("https://www.eliteprospects.com/player/884921/david-byrne")</f>
        <v>https://www.eliteprospects.com/player/884921/david-byrne</v>
      </c>
      <c r="K751" t="s">
        <v>27</v>
      </c>
      <c r="L751" t="s">
        <v>631</v>
      </c>
      <c r="M751" t="s">
        <v>1296</v>
      </c>
      <c r="N751">
        <v>2</v>
      </c>
      <c r="O751" t="s">
        <v>636</v>
      </c>
      <c r="P751">
        <v>0.02</v>
      </c>
      <c r="Q751" t="s">
        <v>245</v>
      </c>
      <c r="R751">
        <v>28.6</v>
      </c>
      <c r="S751">
        <v>31.4</v>
      </c>
      <c r="T751">
        <v>28.6</v>
      </c>
      <c r="U751">
        <v>4.3</v>
      </c>
      <c r="V751">
        <v>7.1</v>
      </c>
    </row>
    <row r="752" spans="1:22" x14ac:dyDescent="0.25">
      <c r="A752" t="s">
        <v>2059</v>
      </c>
      <c r="B752" t="s">
        <v>507</v>
      </c>
      <c r="C752">
        <v>23</v>
      </c>
      <c r="D752" t="s">
        <v>260</v>
      </c>
      <c r="E752" t="s">
        <v>79</v>
      </c>
      <c r="F752" t="s">
        <v>140</v>
      </c>
      <c r="G752">
        <v>0.13</v>
      </c>
      <c r="H752" t="s">
        <v>518</v>
      </c>
      <c r="I752">
        <v>-2</v>
      </c>
      <c r="J752" t="str">
        <f>HYPERLINK("https://www.eliteprospects.com/player/709809/derek-thurston")</f>
        <v>https://www.eliteprospects.com/player/709809/derek-thurston</v>
      </c>
      <c r="K752" t="s">
        <v>27</v>
      </c>
      <c r="L752" t="s">
        <v>631</v>
      </c>
      <c r="M752" t="s">
        <v>1296</v>
      </c>
      <c r="N752">
        <v>3</v>
      </c>
      <c r="O752" t="s">
        <v>639</v>
      </c>
      <c r="P752">
        <v>0.02</v>
      </c>
      <c r="Q752" t="s">
        <v>245</v>
      </c>
      <c r="R752">
        <v>28.6</v>
      </c>
      <c r="S752">
        <v>31.4</v>
      </c>
      <c r="T752">
        <v>28.6</v>
      </c>
      <c r="U752">
        <v>4.3</v>
      </c>
      <c r="V752">
        <v>7.1</v>
      </c>
    </row>
    <row r="753" spans="1:22" x14ac:dyDescent="0.25">
      <c r="A753" t="s">
        <v>2060</v>
      </c>
      <c r="B753" t="s">
        <v>659</v>
      </c>
      <c r="C753">
        <v>29</v>
      </c>
      <c r="D753" t="s">
        <v>260</v>
      </c>
      <c r="E753" t="s">
        <v>79</v>
      </c>
      <c r="F753" t="s">
        <v>140</v>
      </c>
      <c r="G753">
        <v>0.1</v>
      </c>
      <c r="H753" t="s">
        <v>79</v>
      </c>
      <c r="I753">
        <v>-8</v>
      </c>
      <c r="J753" t="str">
        <f>HYPERLINK("https://www.eliteprospects.com/player/701498/aden-bouchard")</f>
        <v>https://www.eliteprospects.com/player/701498/aden-bouchard</v>
      </c>
      <c r="K753" t="s">
        <v>27</v>
      </c>
      <c r="L753" t="s">
        <v>631</v>
      </c>
      <c r="M753" t="s">
        <v>1296</v>
      </c>
      <c r="N753">
        <v>2</v>
      </c>
      <c r="O753" t="s">
        <v>636</v>
      </c>
      <c r="P753">
        <v>0.01</v>
      </c>
      <c r="Q753" t="s">
        <v>245</v>
      </c>
      <c r="R753">
        <v>28.6</v>
      </c>
      <c r="S753">
        <v>31.4</v>
      </c>
      <c r="T753">
        <v>28.6</v>
      </c>
      <c r="U753">
        <v>4.3</v>
      </c>
      <c r="V753">
        <v>7.1</v>
      </c>
    </row>
    <row r="754" spans="1:22" x14ac:dyDescent="0.25">
      <c r="A754" t="s">
        <v>2061</v>
      </c>
      <c r="B754" t="s">
        <v>660</v>
      </c>
      <c r="C754">
        <v>29</v>
      </c>
      <c r="D754" t="s">
        <v>260</v>
      </c>
      <c r="E754" t="s">
        <v>79</v>
      </c>
      <c r="F754" t="s">
        <v>140</v>
      </c>
      <c r="G754">
        <v>0.1</v>
      </c>
      <c r="H754" t="s">
        <v>45</v>
      </c>
      <c r="I754">
        <v>-17</v>
      </c>
      <c r="J754" t="str">
        <f>HYPERLINK("https://www.eliteprospects.com/player/962129/cohen-williams")</f>
        <v>https://www.eliteprospects.com/player/962129/cohen-williams</v>
      </c>
      <c r="K754" t="s">
        <v>27</v>
      </c>
      <c r="L754" t="s">
        <v>631</v>
      </c>
      <c r="M754" t="s">
        <v>1296</v>
      </c>
      <c r="N754">
        <v>2</v>
      </c>
      <c r="O754" t="s">
        <v>636</v>
      </c>
      <c r="P754">
        <v>0.01</v>
      </c>
      <c r="Q754" t="s">
        <v>245</v>
      </c>
      <c r="R754">
        <v>28.6</v>
      </c>
      <c r="S754">
        <v>31.4</v>
      </c>
      <c r="T754">
        <v>28.6</v>
      </c>
      <c r="U754">
        <v>4.3</v>
      </c>
      <c r="V754">
        <v>7.1</v>
      </c>
    </row>
    <row r="755" spans="1:22" x14ac:dyDescent="0.25">
      <c r="A755" t="s">
        <v>2062</v>
      </c>
      <c r="B755" t="s">
        <v>671</v>
      </c>
      <c r="C755">
        <v>30</v>
      </c>
      <c r="D755" t="s">
        <v>260</v>
      </c>
      <c r="E755" t="s">
        <v>79</v>
      </c>
      <c r="F755" t="s">
        <v>140</v>
      </c>
      <c r="G755">
        <v>0.1</v>
      </c>
      <c r="H755" t="s">
        <v>47</v>
      </c>
      <c r="I755">
        <v>2</v>
      </c>
      <c r="J755" t="str">
        <f>HYPERLINK("https://www.eliteprospects.com/player/941082/harry-mattern")</f>
        <v>https://www.eliteprospects.com/player/941082/harry-mattern</v>
      </c>
      <c r="K755" t="s">
        <v>27</v>
      </c>
      <c r="L755" t="s">
        <v>631</v>
      </c>
      <c r="M755" t="s">
        <v>1296</v>
      </c>
      <c r="N755">
        <v>2</v>
      </c>
      <c r="O755" t="s">
        <v>636</v>
      </c>
      <c r="P755">
        <v>0.01</v>
      </c>
      <c r="Q755" t="s">
        <v>245</v>
      </c>
      <c r="R755">
        <v>28.6</v>
      </c>
      <c r="S755">
        <v>31.4</v>
      </c>
      <c r="T755">
        <v>28.6</v>
      </c>
      <c r="U755">
        <v>4.3</v>
      </c>
      <c r="V755">
        <v>7.1</v>
      </c>
    </row>
    <row r="756" spans="1:22" x14ac:dyDescent="0.25">
      <c r="A756" t="s">
        <v>2063</v>
      </c>
      <c r="B756" t="s">
        <v>702</v>
      </c>
      <c r="C756">
        <v>38</v>
      </c>
      <c r="D756" t="s">
        <v>260</v>
      </c>
      <c r="E756" t="s">
        <v>79</v>
      </c>
      <c r="F756" t="s">
        <v>140</v>
      </c>
      <c r="G756">
        <v>0.08</v>
      </c>
      <c r="H756" t="s">
        <v>39</v>
      </c>
      <c r="I756">
        <v>-3</v>
      </c>
      <c r="J756" t="str">
        <f>HYPERLINK("https://www.eliteprospects.com/player/784264/lance-mccloskey")</f>
        <v>https://www.eliteprospects.com/player/784264/lance-mccloskey</v>
      </c>
      <c r="K756" t="s">
        <v>27</v>
      </c>
      <c r="L756" t="s">
        <v>631</v>
      </c>
      <c r="M756" t="s">
        <v>1296</v>
      </c>
      <c r="N756">
        <v>1</v>
      </c>
      <c r="O756" t="s">
        <v>634</v>
      </c>
      <c r="P756">
        <v>0.01</v>
      </c>
      <c r="Q756" t="s">
        <v>245</v>
      </c>
      <c r="R756">
        <v>28.6</v>
      </c>
      <c r="S756">
        <v>31.4</v>
      </c>
      <c r="T756">
        <v>28.6</v>
      </c>
      <c r="U756">
        <v>4.3</v>
      </c>
      <c r="V756">
        <v>7.1</v>
      </c>
    </row>
    <row r="757" spans="1:22" x14ac:dyDescent="0.25">
      <c r="A757" t="s">
        <v>2064</v>
      </c>
      <c r="B757" t="s">
        <v>676</v>
      </c>
      <c r="C757">
        <v>27</v>
      </c>
      <c r="D757" t="s">
        <v>132</v>
      </c>
      <c r="E757" t="s">
        <v>140</v>
      </c>
      <c r="F757" t="s">
        <v>140</v>
      </c>
      <c r="G757">
        <v>0.11</v>
      </c>
      <c r="H757" t="s">
        <v>25</v>
      </c>
      <c r="I757">
        <v>-9</v>
      </c>
      <c r="J757" t="str">
        <f>HYPERLINK("https://www.eliteprospects.com/player/795077/dayton-deschamps")</f>
        <v>https://www.eliteprospects.com/player/795077/dayton-deschamps</v>
      </c>
      <c r="K757" t="s">
        <v>27</v>
      </c>
      <c r="L757" t="s">
        <v>631</v>
      </c>
      <c r="M757" t="s">
        <v>1296</v>
      </c>
      <c r="N757">
        <v>2</v>
      </c>
      <c r="O757" t="s">
        <v>636</v>
      </c>
      <c r="P757">
        <v>0.02</v>
      </c>
      <c r="Q757" t="s">
        <v>245</v>
      </c>
      <c r="R757">
        <v>28.6</v>
      </c>
      <c r="S757">
        <v>31.4</v>
      </c>
      <c r="T757">
        <v>28.6</v>
      </c>
      <c r="U757">
        <v>4.3</v>
      </c>
      <c r="V757">
        <v>7.1</v>
      </c>
    </row>
    <row r="758" spans="1:22" x14ac:dyDescent="0.25">
      <c r="A758" t="s">
        <v>2065</v>
      </c>
      <c r="B758" t="s">
        <v>635</v>
      </c>
      <c r="C758">
        <v>28</v>
      </c>
      <c r="D758" t="s">
        <v>132</v>
      </c>
      <c r="E758" t="s">
        <v>140</v>
      </c>
      <c r="F758" t="s">
        <v>140</v>
      </c>
      <c r="G758">
        <v>0.11</v>
      </c>
      <c r="H758" t="s">
        <v>269</v>
      </c>
      <c r="I758">
        <v>4</v>
      </c>
      <c r="J758" t="str">
        <f>HYPERLINK("https://www.eliteprospects.com/player/725705/rhys-pederson")</f>
        <v>https://www.eliteprospects.com/player/725705/rhys-pederson</v>
      </c>
      <c r="K758" t="s">
        <v>27</v>
      </c>
      <c r="L758" t="s">
        <v>631</v>
      </c>
      <c r="M758" t="s">
        <v>1296</v>
      </c>
      <c r="N758">
        <v>4</v>
      </c>
      <c r="O758" t="s">
        <v>632</v>
      </c>
      <c r="P758">
        <v>0.02</v>
      </c>
      <c r="Q758" t="s">
        <v>245</v>
      </c>
      <c r="R758">
        <v>28.6</v>
      </c>
      <c r="S758">
        <v>31.4</v>
      </c>
      <c r="T758">
        <v>28.6</v>
      </c>
      <c r="U758">
        <v>4.3</v>
      </c>
      <c r="V758">
        <v>7.1</v>
      </c>
    </row>
    <row r="759" spans="1:22" x14ac:dyDescent="0.25">
      <c r="A759" t="s">
        <v>2066</v>
      </c>
      <c r="B759" t="s">
        <v>641</v>
      </c>
      <c r="C759">
        <v>30</v>
      </c>
      <c r="D759" t="s">
        <v>132</v>
      </c>
      <c r="E759" t="s">
        <v>140</v>
      </c>
      <c r="F759" t="s">
        <v>140</v>
      </c>
      <c r="G759">
        <v>0.1</v>
      </c>
      <c r="H759" t="s">
        <v>277</v>
      </c>
      <c r="I759">
        <v>15</v>
      </c>
      <c r="J759" t="str">
        <f>HYPERLINK("https://www.eliteprospects.com/player/617646/sean-burick")</f>
        <v>https://www.eliteprospects.com/player/617646/sean-burick</v>
      </c>
      <c r="K759" t="s">
        <v>27</v>
      </c>
      <c r="L759" t="s">
        <v>631</v>
      </c>
      <c r="M759" t="s">
        <v>1296</v>
      </c>
      <c r="N759">
        <v>1</v>
      </c>
      <c r="O759" t="s">
        <v>634</v>
      </c>
      <c r="P759">
        <v>0.01</v>
      </c>
      <c r="Q759" t="s">
        <v>245</v>
      </c>
      <c r="R759">
        <v>28.6</v>
      </c>
      <c r="S759">
        <v>31.4</v>
      </c>
      <c r="T759">
        <v>28.6</v>
      </c>
      <c r="U759">
        <v>4.3</v>
      </c>
      <c r="V759">
        <v>7.1</v>
      </c>
    </row>
    <row r="760" spans="1:22" x14ac:dyDescent="0.25">
      <c r="A760" t="s">
        <v>2067</v>
      </c>
      <c r="B760" t="s">
        <v>686</v>
      </c>
      <c r="C760">
        <v>38</v>
      </c>
      <c r="D760" t="s">
        <v>132</v>
      </c>
      <c r="E760" t="s">
        <v>140</v>
      </c>
      <c r="F760" t="s">
        <v>140</v>
      </c>
      <c r="G760">
        <v>0.08</v>
      </c>
      <c r="H760" t="s">
        <v>178</v>
      </c>
      <c r="I760">
        <v>-11</v>
      </c>
      <c r="J760" t="str">
        <f>HYPERLINK("https://www.eliteprospects.com/player/883645/jake-missura")</f>
        <v>https://www.eliteprospects.com/player/883645/jake-missura</v>
      </c>
      <c r="K760" t="s">
        <v>27</v>
      </c>
      <c r="L760" t="s">
        <v>631</v>
      </c>
      <c r="M760" t="s">
        <v>1296</v>
      </c>
      <c r="N760">
        <v>3</v>
      </c>
      <c r="O760" t="s">
        <v>639</v>
      </c>
      <c r="P760">
        <v>0.01</v>
      </c>
      <c r="Q760" t="s">
        <v>245</v>
      </c>
      <c r="R760">
        <v>28.6</v>
      </c>
      <c r="S760">
        <v>31.4</v>
      </c>
      <c r="T760">
        <v>28.6</v>
      </c>
      <c r="U760">
        <v>4.3</v>
      </c>
      <c r="V760">
        <v>7.1</v>
      </c>
    </row>
    <row r="761" spans="1:22" x14ac:dyDescent="0.25">
      <c r="A761" t="s">
        <v>2068</v>
      </c>
      <c r="B761" t="s">
        <v>507</v>
      </c>
      <c r="C761">
        <v>17</v>
      </c>
      <c r="D761" t="s">
        <v>79</v>
      </c>
      <c r="E761" t="s">
        <v>132</v>
      </c>
      <c r="F761" t="s">
        <v>79</v>
      </c>
      <c r="G761">
        <v>0.12</v>
      </c>
      <c r="H761" t="s">
        <v>39</v>
      </c>
      <c r="I761">
        <v>-3</v>
      </c>
      <c r="J761" t="str">
        <f>HYPERLINK("https://www.eliteprospects.com/player/746975/caden-campion")</f>
        <v>https://www.eliteprospects.com/player/746975/caden-campion</v>
      </c>
      <c r="K761" t="s">
        <v>27</v>
      </c>
      <c r="L761" t="s">
        <v>631</v>
      </c>
      <c r="M761" t="s">
        <v>1296</v>
      </c>
      <c r="N761">
        <v>1</v>
      </c>
      <c r="O761" t="s">
        <v>634</v>
      </c>
      <c r="P761">
        <v>0.02</v>
      </c>
      <c r="Q761" t="s">
        <v>245</v>
      </c>
      <c r="R761">
        <v>28.6</v>
      </c>
      <c r="S761">
        <v>31.4</v>
      </c>
      <c r="T761">
        <v>28.6</v>
      </c>
      <c r="U761">
        <v>4.3</v>
      </c>
      <c r="V761">
        <v>7.1</v>
      </c>
    </row>
    <row r="762" spans="1:22" x14ac:dyDescent="0.25">
      <c r="A762" t="s">
        <v>2069</v>
      </c>
      <c r="B762" t="s">
        <v>667</v>
      </c>
      <c r="C762">
        <v>14</v>
      </c>
      <c r="D762" t="s">
        <v>260</v>
      </c>
      <c r="E762" t="s">
        <v>260</v>
      </c>
      <c r="F762" t="s">
        <v>79</v>
      </c>
      <c r="G762">
        <v>0.14000000000000001</v>
      </c>
      <c r="H762" t="s">
        <v>24</v>
      </c>
      <c r="I762">
        <v>6</v>
      </c>
      <c r="J762" t="str">
        <f>HYPERLINK("https://www.eliteprospects.com/player/736409/isaac-poll")</f>
        <v>https://www.eliteprospects.com/player/736409/isaac-poll</v>
      </c>
      <c r="K762" t="s">
        <v>27</v>
      </c>
      <c r="L762" t="s">
        <v>631</v>
      </c>
      <c r="M762" t="s">
        <v>1296</v>
      </c>
      <c r="N762">
        <v>3</v>
      </c>
      <c r="O762" t="s">
        <v>639</v>
      </c>
      <c r="P762">
        <v>0.02</v>
      </c>
      <c r="Q762" t="s">
        <v>245</v>
      </c>
      <c r="R762">
        <v>28.6</v>
      </c>
      <c r="S762">
        <v>31.4</v>
      </c>
      <c r="T762">
        <v>28.6</v>
      </c>
      <c r="U762">
        <v>4.3</v>
      </c>
      <c r="V762">
        <v>7.1</v>
      </c>
    </row>
    <row r="763" spans="1:22" x14ac:dyDescent="0.25">
      <c r="A763" t="s">
        <v>2070</v>
      </c>
      <c r="B763" t="s">
        <v>640</v>
      </c>
      <c r="C763">
        <v>18</v>
      </c>
      <c r="D763" t="s">
        <v>260</v>
      </c>
      <c r="E763" t="s">
        <v>260</v>
      </c>
      <c r="F763" t="s">
        <v>79</v>
      </c>
      <c r="G763">
        <v>0.11</v>
      </c>
      <c r="H763" t="s">
        <v>132</v>
      </c>
      <c r="I763">
        <v>3</v>
      </c>
      <c r="J763" t="str">
        <f>HYPERLINK("https://www.eliteprospects.com/player/950610/luke-christopherson")</f>
        <v>https://www.eliteprospects.com/player/950610/luke-christopherson</v>
      </c>
      <c r="K763" t="s">
        <v>27</v>
      </c>
      <c r="L763" t="s">
        <v>631</v>
      </c>
      <c r="M763" t="s">
        <v>1296</v>
      </c>
      <c r="N763">
        <v>1</v>
      </c>
      <c r="O763" t="s">
        <v>634</v>
      </c>
      <c r="P763">
        <v>0.02</v>
      </c>
      <c r="Q763" t="s">
        <v>245</v>
      </c>
      <c r="R763">
        <v>28.6</v>
      </c>
      <c r="S763">
        <v>31.4</v>
      </c>
      <c r="T763">
        <v>28.6</v>
      </c>
      <c r="U763">
        <v>4.3</v>
      </c>
      <c r="V763">
        <v>7.1</v>
      </c>
    </row>
    <row r="764" spans="1:22" x14ac:dyDescent="0.25">
      <c r="A764" t="s">
        <v>2071</v>
      </c>
      <c r="B764" t="s">
        <v>507</v>
      </c>
      <c r="C764">
        <v>23</v>
      </c>
      <c r="D764" t="s">
        <v>260</v>
      </c>
      <c r="E764" t="s">
        <v>260</v>
      </c>
      <c r="F764" t="s">
        <v>79</v>
      </c>
      <c r="G764">
        <v>0.09</v>
      </c>
      <c r="H764" t="s">
        <v>40</v>
      </c>
      <c r="I764">
        <v>0</v>
      </c>
      <c r="J764" t="str">
        <f>HYPERLINK("https://www.eliteprospects.com/player/825478/jaxson-pawlenchuk")</f>
        <v>https://www.eliteprospects.com/player/825478/jaxson-pawlenchuk</v>
      </c>
      <c r="K764" t="s">
        <v>27</v>
      </c>
      <c r="L764" t="s">
        <v>631</v>
      </c>
      <c r="M764" t="s">
        <v>1296</v>
      </c>
      <c r="N764">
        <v>2</v>
      </c>
      <c r="O764" t="s">
        <v>636</v>
      </c>
      <c r="P764">
        <v>0.01</v>
      </c>
      <c r="Q764" t="s">
        <v>245</v>
      </c>
      <c r="R764">
        <v>28.6</v>
      </c>
      <c r="S764">
        <v>31.4</v>
      </c>
      <c r="T764">
        <v>28.6</v>
      </c>
      <c r="U764">
        <v>4.3</v>
      </c>
      <c r="V764">
        <v>7.1</v>
      </c>
    </row>
    <row r="765" spans="1:22" x14ac:dyDescent="0.25">
      <c r="A765" t="s">
        <v>2072</v>
      </c>
      <c r="B765" t="s">
        <v>684</v>
      </c>
      <c r="C765">
        <v>13</v>
      </c>
      <c r="D765" t="s">
        <v>132</v>
      </c>
      <c r="E765" t="s">
        <v>79</v>
      </c>
      <c r="F765" t="s">
        <v>79</v>
      </c>
      <c r="G765">
        <v>0.15</v>
      </c>
      <c r="H765" t="s">
        <v>23</v>
      </c>
      <c r="I765">
        <v>-6</v>
      </c>
      <c r="J765" t="str">
        <f>HYPERLINK("https://www.eliteprospects.com/player/965717/daniel-vaillant")</f>
        <v>https://www.eliteprospects.com/player/965717/daniel-vaillant</v>
      </c>
      <c r="K765" t="s">
        <v>27</v>
      </c>
      <c r="L765" t="s">
        <v>631</v>
      </c>
      <c r="M765" t="s">
        <v>1296</v>
      </c>
      <c r="N765">
        <v>2</v>
      </c>
      <c r="O765" t="s">
        <v>636</v>
      </c>
      <c r="P765">
        <v>0.02</v>
      </c>
      <c r="Q765" t="s">
        <v>245</v>
      </c>
      <c r="R765">
        <v>28.6</v>
      </c>
      <c r="S765">
        <v>31.4</v>
      </c>
      <c r="T765">
        <v>28.6</v>
      </c>
      <c r="U765">
        <v>4.3</v>
      </c>
      <c r="V765">
        <v>7.1</v>
      </c>
    </row>
    <row r="766" spans="1:22" x14ac:dyDescent="0.25">
      <c r="A766" t="s">
        <v>2073</v>
      </c>
      <c r="B766" t="s">
        <v>635</v>
      </c>
      <c r="C766">
        <v>17</v>
      </c>
      <c r="D766" t="s">
        <v>132</v>
      </c>
      <c r="E766" t="s">
        <v>79</v>
      </c>
      <c r="F766" t="s">
        <v>79</v>
      </c>
      <c r="G766">
        <v>0.12</v>
      </c>
      <c r="H766" t="s">
        <v>60</v>
      </c>
      <c r="I766">
        <v>4</v>
      </c>
      <c r="J766" t="str">
        <f>HYPERLINK("https://www.eliteprospects.com/player/804399/ryan-gower")</f>
        <v>https://www.eliteprospects.com/player/804399/ryan-gower</v>
      </c>
      <c r="K766" t="s">
        <v>27</v>
      </c>
      <c r="L766" t="s">
        <v>631</v>
      </c>
      <c r="M766" t="s">
        <v>1296</v>
      </c>
      <c r="N766">
        <v>2</v>
      </c>
      <c r="O766" t="s">
        <v>636</v>
      </c>
      <c r="P766">
        <v>0.02</v>
      </c>
      <c r="Q766" t="s">
        <v>245</v>
      </c>
      <c r="R766">
        <v>28.6</v>
      </c>
      <c r="S766">
        <v>31.4</v>
      </c>
      <c r="T766">
        <v>28.6</v>
      </c>
      <c r="U766">
        <v>4.3</v>
      </c>
      <c r="V766">
        <v>7.1</v>
      </c>
    </row>
    <row r="767" spans="1:22" x14ac:dyDescent="0.25">
      <c r="A767" t="s">
        <v>2074</v>
      </c>
      <c r="B767" t="s">
        <v>709</v>
      </c>
      <c r="C767">
        <v>25</v>
      </c>
      <c r="D767" t="s">
        <v>132</v>
      </c>
      <c r="E767" t="s">
        <v>79</v>
      </c>
      <c r="F767" t="s">
        <v>79</v>
      </c>
      <c r="G767">
        <v>0.08</v>
      </c>
      <c r="H767" t="s">
        <v>55</v>
      </c>
      <c r="I767">
        <v>-10</v>
      </c>
      <c r="J767" t="str">
        <f>HYPERLINK("https://www.eliteprospects.com/player/879108/nathan-gray")</f>
        <v>https://www.eliteprospects.com/player/879108/nathan-gray</v>
      </c>
      <c r="K767" t="s">
        <v>27</v>
      </c>
      <c r="L767" t="s">
        <v>631</v>
      </c>
      <c r="M767" t="s">
        <v>1296</v>
      </c>
      <c r="N767">
        <v>2</v>
      </c>
      <c r="O767" t="s">
        <v>636</v>
      </c>
      <c r="P767">
        <v>0.01</v>
      </c>
      <c r="Q767" t="s">
        <v>245</v>
      </c>
      <c r="R767">
        <v>28.6</v>
      </c>
      <c r="S767">
        <v>31.4</v>
      </c>
      <c r="T767">
        <v>28.6</v>
      </c>
      <c r="U767">
        <v>4.3</v>
      </c>
      <c r="V767">
        <v>7.1</v>
      </c>
    </row>
    <row r="768" spans="1:22" x14ac:dyDescent="0.25">
      <c r="A768" t="s">
        <v>2075</v>
      </c>
      <c r="B768" t="s">
        <v>676</v>
      </c>
      <c r="C768">
        <v>27</v>
      </c>
      <c r="D768" t="s">
        <v>132</v>
      </c>
      <c r="E768" t="s">
        <v>79</v>
      </c>
      <c r="F768" t="s">
        <v>79</v>
      </c>
      <c r="G768">
        <v>7.0000000000000007E-2</v>
      </c>
      <c r="H768" t="s">
        <v>34</v>
      </c>
      <c r="I768">
        <v>-8</v>
      </c>
      <c r="J768" t="str">
        <f>HYPERLINK("https://www.eliteprospects.com/player/855900/jonas-kohn")</f>
        <v>https://www.eliteprospects.com/player/855900/jonas-kohn</v>
      </c>
      <c r="K768" t="s">
        <v>27</v>
      </c>
      <c r="L768" t="s">
        <v>631</v>
      </c>
      <c r="M768" t="s">
        <v>1296</v>
      </c>
      <c r="N768">
        <v>1</v>
      </c>
      <c r="O768" t="s">
        <v>634</v>
      </c>
      <c r="P768">
        <v>0.01</v>
      </c>
      <c r="Q768" t="s">
        <v>245</v>
      </c>
      <c r="R768">
        <v>28.6</v>
      </c>
      <c r="S768">
        <v>31.4</v>
      </c>
      <c r="T768">
        <v>28.6</v>
      </c>
      <c r="U768">
        <v>4.3</v>
      </c>
      <c r="V768">
        <v>7.1</v>
      </c>
    </row>
    <row r="769" spans="1:22" x14ac:dyDescent="0.25">
      <c r="A769" t="s">
        <v>2076</v>
      </c>
      <c r="B769" t="s">
        <v>640</v>
      </c>
      <c r="C769">
        <v>28</v>
      </c>
      <c r="D769" t="s">
        <v>132</v>
      </c>
      <c r="E769" t="s">
        <v>79</v>
      </c>
      <c r="F769" t="s">
        <v>79</v>
      </c>
      <c r="G769">
        <v>7.0000000000000007E-2</v>
      </c>
      <c r="H769" t="s">
        <v>41</v>
      </c>
      <c r="I769">
        <v>-8</v>
      </c>
      <c r="J769" t="str">
        <f>HYPERLINK("https://www.eliteprospects.com/player/883528/cameron-jacobson")</f>
        <v>https://www.eliteprospects.com/player/883528/cameron-jacobson</v>
      </c>
      <c r="K769" t="s">
        <v>27</v>
      </c>
      <c r="L769" t="s">
        <v>631</v>
      </c>
      <c r="M769" t="s">
        <v>1296</v>
      </c>
      <c r="N769">
        <v>1</v>
      </c>
      <c r="O769" t="s">
        <v>634</v>
      </c>
      <c r="P769">
        <v>0.01</v>
      </c>
      <c r="Q769" t="s">
        <v>245</v>
      </c>
      <c r="R769">
        <v>28.6</v>
      </c>
      <c r="S769">
        <v>31.4</v>
      </c>
      <c r="T769">
        <v>28.6</v>
      </c>
      <c r="U769">
        <v>4.3</v>
      </c>
      <c r="V769">
        <v>7.1</v>
      </c>
    </row>
    <row r="770" spans="1:22" x14ac:dyDescent="0.25">
      <c r="A770" t="s">
        <v>2077</v>
      </c>
      <c r="B770" t="s">
        <v>709</v>
      </c>
      <c r="C770">
        <v>32</v>
      </c>
      <c r="D770" t="s">
        <v>132</v>
      </c>
      <c r="E770" t="s">
        <v>79</v>
      </c>
      <c r="F770" t="s">
        <v>79</v>
      </c>
      <c r="G770">
        <v>0.06</v>
      </c>
      <c r="H770" t="s">
        <v>52</v>
      </c>
      <c r="I770">
        <v>-17</v>
      </c>
      <c r="J770" t="str">
        <f>HYPERLINK("https://www.eliteprospects.com/player/885641/daxon-yerex")</f>
        <v>https://www.eliteprospects.com/player/885641/daxon-yerex</v>
      </c>
      <c r="K770" t="s">
        <v>27</v>
      </c>
      <c r="L770" t="s">
        <v>631</v>
      </c>
      <c r="M770" t="s">
        <v>1296</v>
      </c>
      <c r="N770">
        <v>3</v>
      </c>
      <c r="O770" t="s">
        <v>639</v>
      </c>
      <c r="P770">
        <v>0.01</v>
      </c>
      <c r="Q770" t="s">
        <v>245</v>
      </c>
      <c r="R770">
        <v>28.6</v>
      </c>
      <c r="S770">
        <v>31.4</v>
      </c>
      <c r="T770">
        <v>28.6</v>
      </c>
      <c r="U770">
        <v>4.3</v>
      </c>
      <c r="V770">
        <v>7.1</v>
      </c>
    </row>
    <row r="771" spans="1:22" x14ac:dyDescent="0.25">
      <c r="A771" t="s">
        <v>2078</v>
      </c>
      <c r="B771" t="s">
        <v>644</v>
      </c>
      <c r="C771">
        <v>35</v>
      </c>
      <c r="D771" t="s">
        <v>132</v>
      </c>
      <c r="E771" t="s">
        <v>79</v>
      </c>
      <c r="F771" t="s">
        <v>79</v>
      </c>
      <c r="G771">
        <v>0.06</v>
      </c>
      <c r="H771" t="s">
        <v>39</v>
      </c>
      <c r="I771">
        <v>-5</v>
      </c>
      <c r="J771" t="str">
        <f>HYPERLINK("https://www.eliteprospects.com/player/862399/phoenix-cahill")</f>
        <v>https://www.eliteprospects.com/player/862399/phoenix-cahill</v>
      </c>
      <c r="K771" t="s">
        <v>27</v>
      </c>
      <c r="L771" t="s">
        <v>631</v>
      </c>
      <c r="M771" t="s">
        <v>1296</v>
      </c>
      <c r="N771">
        <v>1</v>
      </c>
      <c r="O771" t="s">
        <v>634</v>
      </c>
      <c r="P771">
        <v>0.01</v>
      </c>
      <c r="Q771" t="s">
        <v>245</v>
      </c>
      <c r="R771">
        <v>28.6</v>
      </c>
      <c r="S771">
        <v>31.4</v>
      </c>
      <c r="T771">
        <v>28.6</v>
      </c>
      <c r="U771">
        <v>4.3</v>
      </c>
      <c r="V771">
        <v>7.1</v>
      </c>
    </row>
    <row r="772" spans="1:22" x14ac:dyDescent="0.25">
      <c r="A772" t="s">
        <v>2079</v>
      </c>
      <c r="B772" t="s">
        <v>671</v>
      </c>
      <c r="C772">
        <v>11</v>
      </c>
      <c r="D772" t="s">
        <v>260</v>
      </c>
      <c r="E772" t="s">
        <v>132</v>
      </c>
      <c r="F772" t="s">
        <v>260</v>
      </c>
      <c r="G772">
        <v>0.09</v>
      </c>
      <c r="H772" t="s">
        <v>79</v>
      </c>
      <c r="I772">
        <v>5</v>
      </c>
      <c r="J772" t="str">
        <f>HYPERLINK("https://www.eliteprospects.com/player/963790/bryson-roberts")</f>
        <v>https://www.eliteprospects.com/player/963790/bryson-roberts</v>
      </c>
      <c r="K772" t="s">
        <v>27</v>
      </c>
      <c r="L772" t="s">
        <v>631</v>
      </c>
      <c r="M772" t="s">
        <v>1296</v>
      </c>
      <c r="N772">
        <v>1</v>
      </c>
      <c r="O772" t="s">
        <v>634</v>
      </c>
      <c r="P772">
        <v>0.01</v>
      </c>
      <c r="Q772" t="s">
        <v>245</v>
      </c>
      <c r="R772">
        <v>28.6</v>
      </c>
      <c r="S772">
        <v>31.4</v>
      </c>
      <c r="T772">
        <v>28.6</v>
      </c>
      <c r="U772">
        <v>4.3</v>
      </c>
      <c r="V772">
        <v>7.1</v>
      </c>
    </row>
    <row r="773" spans="1:22" x14ac:dyDescent="0.25">
      <c r="A773" t="s">
        <v>2080</v>
      </c>
      <c r="B773" t="s">
        <v>640</v>
      </c>
      <c r="C773">
        <v>11</v>
      </c>
      <c r="D773" t="s">
        <v>260</v>
      </c>
      <c r="E773" t="s">
        <v>132</v>
      </c>
      <c r="F773" t="s">
        <v>260</v>
      </c>
      <c r="G773">
        <v>0.09</v>
      </c>
      <c r="H773" t="s">
        <v>51</v>
      </c>
      <c r="I773">
        <v>-2</v>
      </c>
      <c r="J773" t="str">
        <f>HYPERLINK("https://www.eliteprospects.com/player/879242/aaron-zulinick")</f>
        <v>https://www.eliteprospects.com/player/879242/aaron-zulinick</v>
      </c>
      <c r="K773" t="s">
        <v>27</v>
      </c>
      <c r="L773" t="s">
        <v>631</v>
      </c>
      <c r="M773" t="s">
        <v>1296</v>
      </c>
      <c r="N773">
        <v>2</v>
      </c>
      <c r="O773" t="s">
        <v>636</v>
      </c>
      <c r="P773">
        <v>0.01</v>
      </c>
      <c r="Q773" t="s">
        <v>245</v>
      </c>
      <c r="R773">
        <v>28.6</v>
      </c>
      <c r="S773">
        <v>31.4</v>
      </c>
      <c r="T773">
        <v>28.6</v>
      </c>
      <c r="U773">
        <v>4.3</v>
      </c>
      <c r="V773">
        <v>7.1</v>
      </c>
    </row>
    <row r="774" spans="1:22" x14ac:dyDescent="0.25">
      <c r="A774" t="s">
        <v>2081</v>
      </c>
      <c r="B774" t="s">
        <v>657</v>
      </c>
      <c r="C774">
        <v>13</v>
      </c>
      <c r="D774" t="s">
        <v>132</v>
      </c>
      <c r="E774" t="s">
        <v>260</v>
      </c>
      <c r="F774" t="s">
        <v>260</v>
      </c>
      <c r="G774">
        <v>0.08</v>
      </c>
      <c r="H774" t="s">
        <v>26</v>
      </c>
      <c r="I774">
        <v>-4</v>
      </c>
      <c r="J774" t="str">
        <f>HYPERLINK("https://www.eliteprospects.com/player/597560/cohen-massey")</f>
        <v>https://www.eliteprospects.com/player/597560/cohen-massey</v>
      </c>
      <c r="K774" t="s">
        <v>27</v>
      </c>
      <c r="L774" t="s">
        <v>631</v>
      </c>
      <c r="M774" t="s">
        <v>1296</v>
      </c>
      <c r="N774">
        <v>3</v>
      </c>
      <c r="O774" t="s">
        <v>639</v>
      </c>
      <c r="P774">
        <v>0.01</v>
      </c>
      <c r="Q774" t="s">
        <v>245</v>
      </c>
      <c r="R774">
        <v>28.6</v>
      </c>
      <c r="S774">
        <v>31.4</v>
      </c>
      <c r="T774">
        <v>28.6</v>
      </c>
      <c r="U774">
        <v>4.3</v>
      </c>
      <c r="V774">
        <v>7.1</v>
      </c>
    </row>
    <row r="775" spans="1:22" x14ac:dyDescent="0.25">
      <c r="A775" t="s">
        <v>2082</v>
      </c>
      <c r="B775" t="s">
        <v>633</v>
      </c>
      <c r="C775">
        <v>17</v>
      </c>
      <c r="D775" t="s">
        <v>132</v>
      </c>
      <c r="E775" t="s">
        <v>260</v>
      </c>
      <c r="F775" t="s">
        <v>260</v>
      </c>
      <c r="G775">
        <v>0.06</v>
      </c>
      <c r="H775" t="s">
        <v>26</v>
      </c>
      <c r="I775">
        <v>-6</v>
      </c>
      <c r="J775" t="str">
        <f>HYPERLINK("https://www.eliteprospects.com/player/804863/evan-markel")</f>
        <v>https://www.eliteprospects.com/player/804863/evan-markel</v>
      </c>
      <c r="K775" t="s">
        <v>27</v>
      </c>
      <c r="L775" t="s">
        <v>631</v>
      </c>
      <c r="M775" t="s">
        <v>1296</v>
      </c>
      <c r="N775">
        <v>1</v>
      </c>
      <c r="O775" t="s">
        <v>634</v>
      </c>
      <c r="P775">
        <v>0.01</v>
      </c>
      <c r="Q775" t="s">
        <v>245</v>
      </c>
      <c r="R775">
        <v>28.6</v>
      </c>
      <c r="S775">
        <v>31.4</v>
      </c>
      <c r="T775">
        <v>28.6</v>
      </c>
      <c r="U775">
        <v>4.3</v>
      </c>
      <c r="V775">
        <v>7.1</v>
      </c>
    </row>
    <row r="776" spans="1:22" x14ac:dyDescent="0.25">
      <c r="A776" t="s">
        <v>2083</v>
      </c>
      <c r="B776" t="s">
        <v>657</v>
      </c>
      <c r="C776">
        <v>21</v>
      </c>
      <c r="D776" t="s">
        <v>132</v>
      </c>
      <c r="E776" t="s">
        <v>260</v>
      </c>
      <c r="F776" t="s">
        <v>260</v>
      </c>
      <c r="G776">
        <v>0.05</v>
      </c>
      <c r="H776" t="s">
        <v>65</v>
      </c>
      <c r="I776">
        <v>-11</v>
      </c>
      <c r="J776" t="str">
        <f>HYPERLINK("https://www.eliteprospects.com/player/762929/mykola-kosarev")</f>
        <v>https://www.eliteprospects.com/player/762929/mykola-kosarev</v>
      </c>
      <c r="K776" t="s">
        <v>27</v>
      </c>
      <c r="L776" t="s">
        <v>631</v>
      </c>
      <c r="M776" t="s">
        <v>1296</v>
      </c>
      <c r="N776">
        <v>1</v>
      </c>
      <c r="O776" t="s">
        <v>634</v>
      </c>
      <c r="P776">
        <v>0.01</v>
      </c>
      <c r="Q776" t="s">
        <v>245</v>
      </c>
      <c r="R776">
        <v>28.6</v>
      </c>
      <c r="S776">
        <v>31.4</v>
      </c>
      <c r="T776">
        <v>28.6</v>
      </c>
      <c r="U776">
        <v>4.3</v>
      </c>
      <c r="V776">
        <v>7.1</v>
      </c>
    </row>
    <row r="777" spans="1:22" x14ac:dyDescent="0.25">
      <c r="A777" t="s">
        <v>2084</v>
      </c>
      <c r="B777" t="s">
        <v>702</v>
      </c>
      <c r="C777">
        <v>24</v>
      </c>
      <c r="D777" t="s">
        <v>132</v>
      </c>
      <c r="E777" t="s">
        <v>260</v>
      </c>
      <c r="F777" t="s">
        <v>260</v>
      </c>
      <c r="G777">
        <v>0.04</v>
      </c>
      <c r="H777" t="s">
        <v>45</v>
      </c>
      <c r="I777">
        <v>-6</v>
      </c>
      <c r="J777" t="str">
        <f>HYPERLINK("https://www.eliteprospects.com/player/884880/braydon-riggall")</f>
        <v>https://www.eliteprospects.com/player/884880/braydon-riggall</v>
      </c>
      <c r="K777" t="s">
        <v>27</v>
      </c>
      <c r="L777" t="s">
        <v>631</v>
      </c>
      <c r="M777" t="s">
        <v>1296</v>
      </c>
      <c r="N777">
        <v>2</v>
      </c>
      <c r="O777" t="s">
        <v>636</v>
      </c>
      <c r="P777">
        <v>0.01</v>
      </c>
      <c r="Q777" t="s">
        <v>245</v>
      </c>
      <c r="R777">
        <v>28.6</v>
      </c>
      <c r="S777">
        <v>31.4</v>
      </c>
      <c r="T777">
        <v>28.6</v>
      </c>
      <c r="U777">
        <v>4.3</v>
      </c>
      <c r="V777">
        <v>7.1</v>
      </c>
    </row>
    <row r="778" spans="1:22" x14ac:dyDescent="0.25">
      <c r="A778" t="s">
        <v>2085</v>
      </c>
      <c r="B778" t="s">
        <v>653</v>
      </c>
      <c r="C778">
        <v>24</v>
      </c>
      <c r="D778" t="s">
        <v>132</v>
      </c>
      <c r="E778" t="s">
        <v>260</v>
      </c>
      <c r="F778" t="s">
        <v>260</v>
      </c>
      <c r="G778">
        <v>0.04</v>
      </c>
      <c r="H778" t="s">
        <v>265</v>
      </c>
      <c r="I778">
        <v>-3</v>
      </c>
      <c r="J778" t="str">
        <f>HYPERLINK("https://www.eliteprospects.com/player/889565/owen-hayden")</f>
        <v>https://www.eliteprospects.com/player/889565/owen-hayden</v>
      </c>
      <c r="K778" t="s">
        <v>27</v>
      </c>
      <c r="L778" t="s">
        <v>631</v>
      </c>
      <c r="M778" t="s">
        <v>1296</v>
      </c>
      <c r="N778">
        <v>1</v>
      </c>
      <c r="O778" t="s">
        <v>634</v>
      </c>
      <c r="P778">
        <v>0.01</v>
      </c>
      <c r="Q778" t="s">
        <v>245</v>
      </c>
      <c r="R778">
        <v>28.6</v>
      </c>
      <c r="S778">
        <v>31.4</v>
      </c>
      <c r="T778">
        <v>28.6</v>
      </c>
      <c r="U778">
        <v>4.3</v>
      </c>
      <c r="V778">
        <v>7.1</v>
      </c>
    </row>
    <row r="779" spans="1:22" x14ac:dyDescent="0.25">
      <c r="A779" t="s">
        <v>2086</v>
      </c>
      <c r="B779" t="s">
        <v>667</v>
      </c>
      <c r="C779">
        <v>25</v>
      </c>
      <c r="D779" t="s">
        <v>132</v>
      </c>
      <c r="E779" t="s">
        <v>260</v>
      </c>
      <c r="F779" t="s">
        <v>260</v>
      </c>
      <c r="G779">
        <v>0.04</v>
      </c>
      <c r="H779" t="s">
        <v>57</v>
      </c>
      <c r="I779">
        <v>3</v>
      </c>
      <c r="J779" t="str">
        <f>HYPERLINK("https://www.eliteprospects.com/player/628119/jack-lavallee")</f>
        <v>https://www.eliteprospects.com/player/628119/jack-lavallee</v>
      </c>
      <c r="K779" t="s">
        <v>27</v>
      </c>
      <c r="L779" t="s">
        <v>631</v>
      </c>
      <c r="M779" t="s">
        <v>1296</v>
      </c>
      <c r="N779">
        <v>2</v>
      </c>
      <c r="O779" t="s">
        <v>636</v>
      </c>
      <c r="P779">
        <v>0.01</v>
      </c>
      <c r="Q779" t="s">
        <v>245</v>
      </c>
      <c r="R779">
        <v>28.6</v>
      </c>
      <c r="S779">
        <v>31.4</v>
      </c>
      <c r="T779">
        <v>28.6</v>
      </c>
      <c r="U779">
        <v>4.3</v>
      </c>
      <c r="V779">
        <v>7.1</v>
      </c>
    </row>
    <row r="780" spans="1:22" x14ac:dyDescent="0.25">
      <c r="A780" t="s">
        <v>2087</v>
      </c>
      <c r="B780" t="s">
        <v>649</v>
      </c>
      <c r="C780">
        <v>29</v>
      </c>
      <c r="D780" t="s">
        <v>132</v>
      </c>
      <c r="E780" t="s">
        <v>260</v>
      </c>
      <c r="F780" t="s">
        <v>260</v>
      </c>
      <c r="G780">
        <v>0.03</v>
      </c>
      <c r="H780" t="s">
        <v>38</v>
      </c>
      <c r="I780">
        <v>-8</v>
      </c>
      <c r="J780" t="str">
        <f>HYPERLINK("https://www.eliteprospects.com/player/701510/jaxon-pisani")</f>
        <v>https://www.eliteprospects.com/player/701510/jaxon-pisani</v>
      </c>
      <c r="K780" t="s">
        <v>27</v>
      </c>
      <c r="L780" t="s">
        <v>631</v>
      </c>
      <c r="M780" t="s">
        <v>1296</v>
      </c>
      <c r="N780">
        <v>2</v>
      </c>
      <c r="O780" t="s">
        <v>636</v>
      </c>
      <c r="P780">
        <v>0</v>
      </c>
      <c r="Q780" t="s">
        <v>245</v>
      </c>
      <c r="R780">
        <v>28.6</v>
      </c>
      <c r="S780">
        <v>31.4</v>
      </c>
      <c r="T780">
        <v>28.6</v>
      </c>
      <c r="U780">
        <v>4.3</v>
      </c>
      <c r="V780">
        <v>7.1</v>
      </c>
    </row>
    <row r="781" spans="1:22" x14ac:dyDescent="0.25">
      <c r="A781" t="s">
        <v>2088</v>
      </c>
      <c r="B781" t="s">
        <v>633</v>
      </c>
      <c r="C781">
        <v>34</v>
      </c>
      <c r="D781" t="s">
        <v>132</v>
      </c>
      <c r="E781" t="s">
        <v>260</v>
      </c>
      <c r="F781" t="s">
        <v>260</v>
      </c>
      <c r="G781">
        <v>0.03</v>
      </c>
      <c r="H781" t="s">
        <v>25</v>
      </c>
      <c r="I781">
        <v>-9</v>
      </c>
      <c r="J781" t="str">
        <f>HYPERLINK("https://www.eliteprospects.com/player/967125/madden-tymchak")</f>
        <v>https://www.eliteprospects.com/player/967125/madden-tymchak</v>
      </c>
      <c r="K781" t="s">
        <v>27</v>
      </c>
      <c r="L781" t="s">
        <v>631</v>
      </c>
      <c r="M781" t="s">
        <v>1296</v>
      </c>
      <c r="N781">
        <v>1</v>
      </c>
      <c r="O781" t="s">
        <v>634</v>
      </c>
      <c r="P781">
        <v>0</v>
      </c>
      <c r="Q781" t="s">
        <v>245</v>
      </c>
      <c r="R781">
        <v>28.6</v>
      </c>
      <c r="S781">
        <v>31.4</v>
      </c>
      <c r="T781">
        <v>28.6</v>
      </c>
      <c r="U781">
        <v>4.3</v>
      </c>
      <c r="V781">
        <v>7.1</v>
      </c>
    </row>
    <row r="782" spans="1:22" x14ac:dyDescent="0.25">
      <c r="A782" t="s">
        <v>2089</v>
      </c>
      <c r="B782" t="s">
        <v>702</v>
      </c>
      <c r="C782">
        <v>35</v>
      </c>
      <c r="D782" t="s">
        <v>132</v>
      </c>
      <c r="E782" t="s">
        <v>260</v>
      </c>
      <c r="F782" t="s">
        <v>260</v>
      </c>
      <c r="G782">
        <v>0.03</v>
      </c>
      <c r="H782" t="s">
        <v>503</v>
      </c>
      <c r="I782">
        <v>-5</v>
      </c>
      <c r="J782" t="str">
        <f>HYPERLINK("https://www.eliteprospects.com/player/869430/jan-skok")</f>
        <v>https://www.eliteprospects.com/player/869430/jan-skok</v>
      </c>
      <c r="K782" t="s">
        <v>27</v>
      </c>
      <c r="L782" t="s">
        <v>631</v>
      </c>
      <c r="M782" t="s">
        <v>1296</v>
      </c>
      <c r="N782">
        <v>1</v>
      </c>
      <c r="O782" t="s">
        <v>634</v>
      </c>
      <c r="P782">
        <v>0</v>
      </c>
      <c r="Q782" t="s">
        <v>245</v>
      </c>
      <c r="R782">
        <v>28.6</v>
      </c>
      <c r="S782">
        <v>31.4</v>
      </c>
      <c r="T782">
        <v>28.6</v>
      </c>
      <c r="U782">
        <v>4.3</v>
      </c>
      <c r="V782">
        <v>7.1</v>
      </c>
    </row>
    <row r="783" spans="1:22" x14ac:dyDescent="0.25">
      <c r="A783" t="s">
        <v>2090</v>
      </c>
      <c r="B783" t="s">
        <v>662</v>
      </c>
      <c r="C783">
        <v>11</v>
      </c>
      <c r="D783" t="s">
        <v>132</v>
      </c>
      <c r="E783" t="s">
        <v>132</v>
      </c>
      <c r="F783" t="s">
        <v>132</v>
      </c>
      <c r="G783">
        <v>0</v>
      </c>
      <c r="H783" t="s">
        <v>66</v>
      </c>
      <c r="I783">
        <v>2</v>
      </c>
      <c r="J783" t="str">
        <f>HYPERLINK("https://www.eliteprospects.com/player/891523/ethan-creran")</f>
        <v>https://www.eliteprospects.com/player/891523/ethan-creran</v>
      </c>
      <c r="K783" t="s">
        <v>27</v>
      </c>
      <c r="L783" t="s">
        <v>631</v>
      </c>
      <c r="M783" t="s">
        <v>1296</v>
      </c>
      <c r="N783">
        <v>1</v>
      </c>
      <c r="O783" t="s">
        <v>634</v>
      </c>
      <c r="P783">
        <v>0</v>
      </c>
      <c r="Q783" t="s">
        <v>245</v>
      </c>
      <c r="R783">
        <v>28.6</v>
      </c>
      <c r="S783">
        <v>31.4</v>
      </c>
      <c r="T783">
        <v>28.6</v>
      </c>
      <c r="U783">
        <v>4.3</v>
      </c>
      <c r="V783">
        <v>7.1</v>
      </c>
    </row>
    <row r="784" spans="1:22" x14ac:dyDescent="0.25">
      <c r="A784" t="s">
        <v>2091</v>
      </c>
      <c r="B784" t="s">
        <v>686</v>
      </c>
      <c r="C784">
        <v>14</v>
      </c>
      <c r="D784" t="s">
        <v>132</v>
      </c>
      <c r="E784" t="s">
        <v>132</v>
      </c>
      <c r="F784" t="s">
        <v>132</v>
      </c>
      <c r="G784">
        <v>0</v>
      </c>
      <c r="H784" t="s">
        <v>132</v>
      </c>
      <c r="I784">
        <v>-4</v>
      </c>
      <c r="J784" t="str">
        <f>HYPERLINK("https://www.eliteprospects.com/player/956760/nikolas-ferry")</f>
        <v>https://www.eliteprospects.com/player/956760/nikolas-ferry</v>
      </c>
      <c r="K784" t="s">
        <v>27</v>
      </c>
      <c r="L784" t="s">
        <v>631</v>
      </c>
      <c r="M784" t="s">
        <v>1296</v>
      </c>
      <c r="N784">
        <v>1</v>
      </c>
      <c r="O784" t="s">
        <v>634</v>
      </c>
      <c r="P784">
        <v>0</v>
      </c>
      <c r="Q784" t="s">
        <v>245</v>
      </c>
      <c r="R784">
        <v>28.6</v>
      </c>
      <c r="S784">
        <v>31.4</v>
      </c>
      <c r="T784">
        <v>28.6</v>
      </c>
      <c r="U784">
        <v>4.3</v>
      </c>
      <c r="V784">
        <v>7.1</v>
      </c>
    </row>
    <row r="785" spans="1:22" x14ac:dyDescent="0.25">
      <c r="A785" t="s">
        <v>2092</v>
      </c>
      <c r="B785" t="s">
        <v>660</v>
      </c>
      <c r="C785">
        <v>22</v>
      </c>
      <c r="D785" t="s">
        <v>132</v>
      </c>
      <c r="E785" t="s">
        <v>132</v>
      </c>
      <c r="F785" t="s">
        <v>132</v>
      </c>
      <c r="G785">
        <v>0</v>
      </c>
      <c r="H785" t="s">
        <v>45</v>
      </c>
      <c r="I785">
        <v>-8</v>
      </c>
      <c r="J785" t="str">
        <f>HYPERLINK("https://www.eliteprospects.com/player/908418/benson-hirst")</f>
        <v>https://www.eliteprospects.com/player/908418/benson-hirst</v>
      </c>
      <c r="K785" t="s">
        <v>27</v>
      </c>
      <c r="L785" t="s">
        <v>631</v>
      </c>
      <c r="M785" t="s">
        <v>1296</v>
      </c>
      <c r="N785">
        <v>1</v>
      </c>
      <c r="O785" t="s">
        <v>634</v>
      </c>
      <c r="P785">
        <v>0</v>
      </c>
      <c r="Q785" t="s">
        <v>245</v>
      </c>
      <c r="R785">
        <v>28.6</v>
      </c>
      <c r="S785">
        <v>31.4</v>
      </c>
      <c r="T785">
        <v>28.6</v>
      </c>
      <c r="U785">
        <v>4.3</v>
      </c>
      <c r="V785">
        <v>7.1</v>
      </c>
    </row>
    <row r="786" spans="1:22" x14ac:dyDescent="0.25">
      <c r="A786" t="s">
        <v>2093</v>
      </c>
      <c r="B786" t="s">
        <v>644</v>
      </c>
      <c r="C786">
        <v>32</v>
      </c>
      <c r="D786" t="s">
        <v>132</v>
      </c>
      <c r="E786" t="s">
        <v>132</v>
      </c>
      <c r="F786" t="s">
        <v>132</v>
      </c>
      <c r="G786">
        <v>0</v>
      </c>
      <c r="H786" t="s">
        <v>69</v>
      </c>
      <c r="I786">
        <v>-9</v>
      </c>
      <c r="J786" t="str">
        <f>HYPERLINK("https://www.eliteprospects.com/player/881368/dermot-johnston")</f>
        <v>https://www.eliteprospects.com/player/881368/dermot-johnston</v>
      </c>
      <c r="K786" t="s">
        <v>27</v>
      </c>
      <c r="L786" t="s">
        <v>631</v>
      </c>
      <c r="M786" t="s">
        <v>1296</v>
      </c>
      <c r="N786">
        <v>2</v>
      </c>
      <c r="O786" t="s">
        <v>636</v>
      </c>
      <c r="P786">
        <v>0</v>
      </c>
      <c r="Q786" t="s">
        <v>245</v>
      </c>
      <c r="R786">
        <v>28.6</v>
      </c>
      <c r="S786">
        <v>31.4</v>
      </c>
      <c r="T786">
        <v>28.6</v>
      </c>
      <c r="U786">
        <v>4.3</v>
      </c>
      <c r="V786">
        <v>7.1</v>
      </c>
    </row>
    <row r="787" spans="1:22" x14ac:dyDescent="0.25">
      <c r="A787" t="s">
        <v>2094</v>
      </c>
      <c r="B787" t="s">
        <v>820</v>
      </c>
      <c r="C787">
        <v>37</v>
      </c>
      <c r="D787" t="s">
        <v>78</v>
      </c>
      <c r="E787" t="s">
        <v>300</v>
      </c>
      <c r="F787" t="s">
        <v>503</v>
      </c>
      <c r="G787">
        <v>1.27</v>
      </c>
      <c r="H787" t="s">
        <v>38</v>
      </c>
      <c r="I787">
        <v>41</v>
      </c>
      <c r="J787" t="str">
        <f>HYPERLINK("https://www.eliteprospects.com/player/577026/tommy-bleyl")</f>
        <v>https://www.eliteprospects.com/player/577026/tommy-bleyl</v>
      </c>
      <c r="K787" t="s">
        <v>27</v>
      </c>
      <c r="L787" t="s">
        <v>804</v>
      </c>
      <c r="M787" t="s">
        <v>1296</v>
      </c>
      <c r="N787">
        <v>1</v>
      </c>
      <c r="O787" t="s">
        <v>816</v>
      </c>
      <c r="P787">
        <v>0.14000000000000001</v>
      </c>
      <c r="Q787" t="s">
        <v>1300</v>
      </c>
      <c r="R787">
        <v>30.8</v>
      </c>
      <c r="S787">
        <v>20.5</v>
      </c>
      <c r="T787">
        <v>10.3</v>
      </c>
      <c r="U787">
        <v>10.3</v>
      </c>
      <c r="V787">
        <v>28.2</v>
      </c>
    </row>
    <row r="788" spans="1:22" x14ac:dyDescent="0.25">
      <c r="A788" t="s">
        <v>2095</v>
      </c>
      <c r="B788" t="s">
        <v>808</v>
      </c>
      <c r="C788">
        <v>37</v>
      </c>
      <c r="D788" t="s">
        <v>66</v>
      </c>
      <c r="E788" t="s">
        <v>518</v>
      </c>
      <c r="F788" t="s">
        <v>277</v>
      </c>
      <c r="G788">
        <v>1.1100000000000001</v>
      </c>
      <c r="H788" t="s">
        <v>26</v>
      </c>
      <c r="I788">
        <v>33</v>
      </c>
      <c r="J788" t="str">
        <f>HYPERLINK("https://www.eliteprospects.com/player/689875/alex-huang")</f>
        <v>https://www.eliteprospects.com/player/689875/alex-huang</v>
      </c>
      <c r="K788" t="s">
        <v>27</v>
      </c>
      <c r="L788" t="s">
        <v>804</v>
      </c>
      <c r="M788" t="s">
        <v>1296</v>
      </c>
      <c r="N788">
        <v>3</v>
      </c>
      <c r="O788" t="s">
        <v>805</v>
      </c>
      <c r="P788">
        <v>0.13</v>
      </c>
      <c r="Q788" t="s">
        <v>1300</v>
      </c>
      <c r="R788">
        <v>30.8</v>
      </c>
      <c r="S788">
        <v>20.5</v>
      </c>
      <c r="T788">
        <v>10.3</v>
      </c>
      <c r="U788">
        <v>10.3</v>
      </c>
      <c r="V788">
        <v>28.2</v>
      </c>
    </row>
    <row r="789" spans="1:22" x14ac:dyDescent="0.25">
      <c r="A789" t="s">
        <v>2096</v>
      </c>
      <c r="B789" t="s">
        <v>832</v>
      </c>
      <c r="C789">
        <v>39</v>
      </c>
      <c r="D789" t="s">
        <v>32</v>
      </c>
      <c r="E789" t="s">
        <v>61</v>
      </c>
      <c r="F789" t="s">
        <v>518</v>
      </c>
      <c r="G789">
        <v>0.95</v>
      </c>
      <c r="H789" t="s">
        <v>47</v>
      </c>
      <c r="I789">
        <v>-13</v>
      </c>
      <c r="J789" t="str">
        <f>HYPERLINK("https://www.eliteprospects.com/player/577057/louis-alex-tremblay")</f>
        <v>https://www.eliteprospects.com/player/577057/louis-alex-tremblay</v>
      </c>
      <c r="K789" t="s">
        <v>27</v>
      </c>
      <c r="L789" t="s">
        <v>804</v>
      </c>
      <c r="M789" t="s">
        <v>1296</v>
      </c>
      <c r="N789">
        <v>3</v>
      </c>
      <c r="O789" t="s">
        <v>805</v>
      </c>
      <c r="P789">
        <v>0.11</v>
      </c>
      <c r="Q789" t="s">
        <v>1325</v>
      </c>
      <c r="R789">
        <v>27.3</v>
      </c>
      <c r="S789">
        <v>22.7</v>
      </c>
      <c r="T789">
        <v>27.3</v>
      </c>
      <c r="U789">
        <v>4.5</v>
      </c>
      <c r="V789">
        <v>18.2</v>
      </c>
    </row>
    <row r="790" spans="1:22" x14ac:dyDescent="0.25">
      <c r="A790" t="s">
        <v>2097</v>
      </c>
      <c r="B790" t="s">
        <v>818</v>
      </c>
      <c r="C790">
        <v>35</v>
      </c>
      <c r="D790" t="s">
        <v>57</v>
      </c>
      <c r="E790" t="s">
        <v>40</v>
      </c>
      <c r="F790" t="s">
        <v>280</v>
      </c>
      <c r="G790">
        <v>1.03</v>
      </c>
      <c r="H790" t="s">
        <v>265</v>
      </c>
      <c r="I790">
        <v>6</v>
      </c>
      <c r="J790" t="str">
        <f>HYPERLINK("https://www.eliteprospects.com/player/746649/xavier-villeneuve")</f>
        <v>https://www.eliteprospects.com/player/746649/xavier-villeneuve</v>
      </c>
      <c r="K790" t="s">
        <v>27</v>
      </c>
      <c r="L790" t="s">
        <v>804</v>
      </c>
      <c r="M790" t="s">
        <v>1296</v>
      </c>
      <c r="N790">
        <v>3</v>
      </c>
      <c r="O790" t="s">
        <v>805</v>
      </c>
      <c r="P790">
        <v>0.12</v>
      </c>
      <c r="Q790" t="s">
        <v>1300</v>
      </c>
      <c r="R790">
        <v>30.8</v>
      </c>
      <c r="S790">
        <v>20.5</v>
      </c>
      <c r="T790">
        <v>10.3</v>
      </c>
      <c r="U790">
        <v>10.3</v>
      </c>
      <c r="V790">
        <v>28.2</v>
      </c>
    </row>
    <row r="791" spans="1:22" x14ac:dyDescent="0.25">
      <c r="A791" t="s">
        <v>2098</v>
      </c>
      <c r="B791" t="s">
        <v>821</v>
      </c>
      <c r="C791">
        <v>38</v>
      </c>
      <c r="D791" t="s">
        <v>69</v>
      </c>
      <c r="E791" t="s">
        <v>47</v>
      </c>
      <c r="F791" t="s">
        <v>269</v>
      </c>
      <c r="G791">
        <v>0.87</v>
      </c>
      <c r="H791" t="s">
        <v>39</v>
      </c>
      <c r="I791">
        <v>-6</v>
      </c>
      <c r="J791" t="str">
        <f>HYPERLINK("https://www.eliteprospects.com/player/718482/marcus-kearsey")</f>
        <v>https://www.eliteprospects.com/player/718482/marcus-kearsey</v>
      </c>
      <c r="K791" t="s">
        <v>27</v>
      </c>
      <c r="L791" t="s">
        <v>804</v>
      </c>
      <c r="M791" t="s">
        <v>1296</v>
      </c>
      <c r="N791">
        <v>4</v>
      </c>
      <c r="O791" t="s">
        <v>809</v>
      </c>
      <c r="P791">
        <v>0.1</v>
      </c>
      <c r="Q791" t="s">
        <v>1325</v>
      </c>
      <c r="R791">
        <v>27.3</v>
      </c>
      <c r="S791">
        <v>22.7</v>
      </c>
      <c r="T791">
        <v>27.3</v>
      </c>
      <c r="U791">
        <v>4.5</v>
      </c>
      <c r="V791">
        <v>18.2</v>
      </c>
    </row>
    <row r="792" spans="1:22" x14ac:dyDescent="0.25">
      <c r="A792" t="s">
        <v>2099</v>
      </c>
      <c r="B792" t="s">
        <v>806</v>
      </c>
      <c r="C792">
        <v>38</v>
      </c>
      <c r="D792" t="s">
        <v>57</v>
      </c>
      <c r="E792" t="s">
        <v>61</v>
      </c>
      <c r="F792" t="s">
        <v>269</v>
      </c>
      <c r="G792">
        <v>0.87</v>
      </c>
      <c r="H792" t="s">
        <v>34</v>
      </c>
      <c r="I792">
        <v>2</v>
      </c>
      <c r="J792" t="str">
        <f>HYPERLINK("https://www.eliteprospects.com/player/597538/noah-laberge")</f>
        <v>https://www.eliteprospects.com/player/597538/noah-laberge</v>
      </c>
      <c r="K792" t="s">
        <v>27</v>
      </c>
      <c r="L792" t="s">
        <v>804</v>
      </c>
      <c r="M792" t="s">
        <v>1296</v>
      </c>
      <c r="N792">
        <v>3</v>
      </c>
      <c r="O792" t="s">
        <v>805</v>
      </c>
      <c r="P792">
        <v>0.1</v>
      </c>
      <c r="Q792" t="s">
        <v>1325</v>
      </c>
      <c r="R792">
        <v>27.3</v>
      </c>
      <c r="S792">
        <v>22.7</v>
      </c>
      <c r="T792">
        <v>27.3</v>
      </c>
      <c r="U792">
        <v>4.5</v>
      </c>
      <c r="V792">
        <v>18.2</v>
      </c>
    </row>
    <row r="793" spans="1:22" x14ac:dyDescent="0.25">
      <c r="A793" t="s">
        <v>2100</v>
      </c>
      <c r="B793" t="s">
        <v>823</v>
      </c>
      <c r="C793">
        <v>39</v>
      </c>
      <c r="D793" t="s">
        <v>69</v>
      </c>
      <c r="E793" t="s">
        <v>33</v>
      </c>
      <c r="F793" t="s">
        <v>25</v>
      </c>
      <c r="G793">
        <v>0.82</v>
      </c>
      <c r="H793" t="s">
        <v>52</v>
      </c>
      <c r="I793">
        <v>12</v>
      </c>
      <c r="J793" t="str">
        <f>HYPERLINK("https://www.eliteprospects.com/player/710730/cal-uens")</f>
        <v>https://www.eliteprospects.com/player/710730/cal-uens</v>
      </c>
      <c r="K793" t="s">
        <v>27</v>
      </c>
      <c r="L793" t="s">
        <v>804</v>
      </c>
      <c r="M793" t="s">
        <v>1296</v>
      </c>
      <c r="N793">
        <v>5</v>
      </c>
      <c r="O793" t="s">
        <v>620</v>
      </c>
      <c r="P793">
        <v>0.09</v>
      </c>
      <c r="Q793" t="s">
        <v>1325</v>
      </c>
      <c r="R793">
        <v>27.3</v>
      </c>
      <c r="S793">
        <v>22.7</v>
      </c>
      <c r="T793">
        <v>27.3</v>
      </c>
      <c r="U793">
        <v>4.5</v>
      </c>
      <c r="V793">
        <v>18.2</v>
      </c>
    </row>
    <row r="794" spans="1:22" x14ac:dyDescent="0.25">
      <c r="A794" t="s">
        <v>2101</v>
      </c>
      <c r="B794" t="s">
        <v>507</v>
      </c>
      <c r="C794">
        <v>31</v>
      </c>
      <c r="D794" t="s">
        <v>57</v>
      </c>
      <c r="E794" t="s">
        <v>47</v>
      </c>
      <c r="F794" t="s">
        <v>52</v>
      </c>
      <c r="G794">
        <v>0.9</v>
      </c>
      <c r="H794" t="s">
        <v>55</v>
      </c>
      <c r="I794">
        <v>9</v>
      </c>
      <c r="J794" t="str">
        <f>HYPERLINK("https://www.eliteprospects.com/player/610512/tomas-lavoie")</f>
        <v>https://www.eliteprospects.com/player/610512/tomas-lavoie</v>
      </c>
      <c r="K794" t="s">
        <v>27</v>
      </c>
      <c r="L794" t="s">
        <v>804</v>
      </c>
      <c r="M794" t="s">
        <v>1296</v>
      </c>
      <c r="N794">
        <v>4</v>
      </c>
      <c r="O794" t="s">
        <v>809</v>
      </c>
      <c r="P794">
        <v>0.1</v>
      </c>
      <c r="Q794" t="s">
        <v>1325</v>
      </c>
      <c r="R794">
        <v>27.3</v>
      </c>
      <c r="S794">
        <v>22.7</v>
      </c>
      <c r="T794">
        <v>27.3</v>
      </c>
      <c r="U794">
        <v>4.5</v>
      </c>
      <c r="V794">
        <v>18.2</v>
      </c>
    </row>
    <row r="795" spans="1:22" x14ac:dyDescent="0.25">
      <c r="A795" t="s">
        <v>2102</v>
      </c>
      <c r="B795" t="s">
        <v>507</v>
      </c>
      <c r="C795">
        <v>36</v>
      </c>
      <c r="D795" t="s">
        <v>32</v>
      </c>
      <c r="E795" t="s">
        <v>60</v>
      </c>
      <c r="F795" t="s">
        <v>61</v>
      </c>
      <c r="G795">
        <v>0.75</v>
      </c>
      <c r="H795" t="s">
        <v>187</v>
      </c>
      <c r="I795">
        <v>2</v>
      </c>
      <c r="J795" t="str">
        <f>HYPERLINK("https://www.eliteprospects.com/player/716098/evan-depatie")</f>
        <v>https://www.eliteprospects.com/player/716098/evan-depatie</v>
      </c>
      <c r="K795" t="s">
        <v>27</v>
      </c>
      <c r="L795" t="s">
        <v>804</v>
      </c>
      <c r="M795" t="s">
        <v>1296</v>
      </c>
      <c r="N795">
        <v>4</v>
      </c>
      <c r="O795" t="s">
        <v>809</v>
      </c>
      <c r="P795">
        <v>0.08</v>
      </c>
      <c r="Q795" t="s">
        <v>1325</v>
      </c>
      <c r="R795">
        <v>30</v>
      </c>
      <c r="S795">
        <v>25</v>
      </c>
      <c r="T795">
        <v>32.5</v>
      </c>
      <c r="U795">
        <v>5</v>
      </c>
      <c r="V795">
        <v>7.5</v>
      </c>
    </row>
    <row r="796" spans="1:22" x14ac:dyDescent="0.25">
      <c r="A796" t="s">
        <v>2103</v>
      </c>
      <c r="B796" t="s">
        <v>507</v>
      </c>
      <c r="C796">
        <v>33</v>
      </c>
      <c r="D796" t="s">
        <v>96</v>
      </c>
      <c r="E796" t="s">
        <v>47</v>
      </c>
      <c r="F796" t="s">
        <v>61</v>
      </c>
      <c r="G796">
        <v>0.82</v>
      </c>
      <c r="H796" t="s">
        <v>53</v>
      </c>
      <c r="I796">
        <v>5</v>
      </c>
      <c r="J796" t="str">
        <f>HYPERLINK("https://www.eliteprospects.com/player/599314/jordan-tourigny")</f>
        <v>https://www.eliteprospects.com/player/599314/jordan-tourigny</v>
      </c>
      <c r="K796" t="s">
        <v>27</v>
      </c>
      <c r="L796" t="s">
        <v>804</v>
      </c>
      <c r="M796" t="s">
        <v>1296</v>
      </c>
      <c r="N796">
        <v>5</v>
      </c>
      <c r="O796" t="s">
        <v>807</v>
      </c>
      <c r="P796">
        <v>0.09</v>
      </c>
      <c r="Q796" t="s">
        <v>1325</v>
      </c>
      <c r="R796">
        <v>27.3</v>
      </c>
      <c r="S796">
        <v>22.7</v>
      </c>
      <c r="T796">
        <v>27.3</v>
      </c>
      <c r="U796">
        <v>4.5</v>
      </c>
      <c r="V796">
        <v>18.2</v>
      </c>
    </row>
    <row r="797" spans="1:22" x14ac:dyDescent="0.25">
      <c r="A797" t="s">
        <v>2104</v>
      </c>
      <c r="B797" t="s">
        <v>507</v>
      </c>
      <c r="C797">
        <v>64</v>
      </c>
      <c r="D797" t="s">
        <v>57</v>
      </c>
      <c r="E797" t="s">
        <v>24</v>
      </c>
      <c r="F797" t="s">
        <v>125</v>
      </c>
      <c r="G797">
        <v>0.41</v>
      </c>
      <c r="H797" t="s">
        <v>81</v>
      </c>
      <c r="I797">
        <v>36</v>
      </c>
      <c r="J797" t="str">
        <f>HYPERLINK("https://www.eliteprospects.com/player/646882/xavier-daigle")</f>
        <v>https://www.eliteprospects.com/player/646882/xavier-daigle</v>
      </c>
      <c r="K797" t="s">
        <v>27</v>
      </c>
      <c r="L797" t="s">
        <v>804</v>
      </c>
      <c r="M797" t="s">
        <v>1296</v>
      </c>
      <c r="N797">
        <v>5</v>
      </c>
      <c r="O797" t="s">
        <v>807</v>
      </c>
      <c r="P797">
        <v>0.05</v>
      </c>
      <c r="Q797" t="s">
        <v>1325</v>
      </c>
      <c r="R797">
        <v>26.3</v>
      </c>
      <c r="S797">
        <v>23.7</v>
      </c>
      <c r="T797">
        <v>28.9</v>
      </c>
      <c r="U797">
        <v>5.3</v>
      </c>
      <c r="V797">
        <v>15.8</v>
      </c>
    </row>
    <row r="798" spans="1:22" x14ac:dyDescent="0.25">
      <c r="A798" t="s">
        <v>2105</v>
      </c>
      <c r="B798" t="s">
        <v>826</v>
      </c>
      <c r="C798">
        <v>40</v>
      </c>
      <c r="D798" t="s">
        <v>66</v>
      </c>
      <c r="E798" t="s">
        <v>33</v>
      </c>
      <c r="F798" t="s">
        <v>75</v>
      </c>
      <c r="G798">
        <v>0.63</v>
      </c>
      <c r="H798" t="s">
        <v>277</v>
      </c>
      <c r="I798">
        <v>11</v>
      </c>
      <c r="J798" t="str">
        <f>HYPERLINK("https://www.eliteprospects.com/player/597624/owen-keefe")</f>
        <v>https://www.eliteprospects.com/player/597624/owen-keefe</v>
      </c>
      <c r="K798" t="s">
        <v>27</v>
      </c>
      <c r="L798" t="s">
        <v>804</v>
      </c>
      <c r="M798" t="s">
        <v>1296</v>
      </c>
      <c r="N798">
        <v>1</v>
      </c>
      <c r="O798" t="s">
        <v>816</v>
      </c>
      <c r="P798">
        <v>7.0000000000000007E-2</v>
      </c>
      <c r="Q798" t="s">
        <v>1325</v>
      </c>
      <c r="R798">
        <v>30</v>
      </c>
      <c r="S798">
        <v>25</v>
      </c>
      <c r="T798">
        <v>32.5</v>
      </c>
      <c r="U798">
        <v>5</v>
      </c>
      <c r="V798">
        <v>7.5</v>
      </c>
    </row>
    <row r="799" spans="1:22" x14ac:dyDescent="0.25">
      <c r="A799" t="s">
        <v>2106</v>
      </c>
      <c r="B799" t="s">
        <v>812</v>
      </c>
      <c r="C799">
        <v>34</v>
      </c>
      <c r="D799" t="s">
        <v>57</v>
      </c>
      <c r="E799" t="s">
        <v>55</v>
      </c>
      <c r="F799" t="s">
        <v>81</v>
      </c>
      <c r="G799">
        <v>0.71</v>
      </c>
      <c r="H799" t="s">
        <v>65</v>
      </c>
      <c r="I799">
        <v>-6</v>
      </c>
      <c r="J799" t="str">
        <f>HYPERLINK("https://www.eliteprospects.com/player/763425/antoine-st-laurent")</f>
        <v>https://www.eliteprospects.com/player/763425/antoine-st-laurent</v>
      </c>
      <c r="K799" t="s">
        <v>27</v>
      </c>
      <c r="L799" t="s">
        <v>804</v>
      </c>
      <c r="M799" t="s">
        <v>1296</v>
      </c>
      <c r="N799">
        <v>2</v>
      </c>
      <c r="O799" t="s">
        <v>825</v>
      </c>
      <c r="P799">
        <v>0.08</v>
      </c>
      <c r="Q799" t="s">
        <v>1325</v>
      </c>
      <c r="R799">
        <v>30</v>
      </c>
      <c r="S799">
        <v>25</v>
      </c>
      <c r="T799">
        <v>32.5</v>
      </c>
      <c r="U799">
        <v>5</v>
      </c>
      <c r="V799">
        <v>7.5</v>
      </c>
    </row>
    <row r="800" spans="1:22" x14ac:dyDescent="0.25">
      <c r="A800" t="s">
        <v>2107</v>
      </c>
      <c r="B800" t="s">
        <v>811</v>
      </c>
      <c r="C800">
        <v>38</v>
      </c>
      <c r="D800" t="s">
        <v>66</v>
      </c>
      <c r="E800" t="s">
        <v>24</v>
      </c>
      <c r="F800" t="s">
        <v>81</v>
      </c>
      <c r="G800">
        <v>0.63</v>
      </c>
      <c r="H800" t="s">
        <v>32</v>
      </c>
      <c r="I800">
        <v>32</v>
      </c>
      <c r="J800" t="str">
        <f>HYPERLINK("https://www.eliteprospects.com/player/722857/felix-plamondon")</f>
        <v>https://www.eliteprospects.com/player/722857/felix-plamondon</v>
      </c>
      <c r="K800" t="s">
        <v>27</v>
      </c>
      <c r="L800" t="s">
        <v>804</v>
      </c>
      <c r="M800" t="s">
        <v>1296</v>
      </c>
      <c r="N800">
        <v>4</v>
      </c>
      <c r="O800" t="s">
        <v>809</v>
      </c>
      <c r="P800">
        <v>7.0000000000000007E-2</v>
      </c>
      <c r="Q800" t="s">
        <v>1325</v>
      </c>
      <c r="R800">
        <v>30</v>
      </c>
      <c r="S800">
        <v>25</v>
      </c>
      <c r="T800">
        <v>32.5</v>
      </c>
      <c r="U800">
        <v>5</v>
      </c>
      <c r="V800">
        <v>7.5</v>
      </c>
    </row>
    <row r="801" spans="1:22" x14ac:dyDescent="0.25">
      <c r="A801" t="s">
        <v>2108</v>
      </c>
      <c r="B801" t="s">
        <v>824</v>
      </c>
      <c r="C801">
        <v>38</v>
      </c>
      <c r="D801" t="s">
        <v>79</v>
      </c>
      <c r="E801" t="s">
        <v>47</v>
      </c>
      <c r="F801" t="s">
        <v>81</v>
      </c>
      <c r="G801">
        <v>0.63</v>
      </c>
      <c r="H801" t="s">
        <v>23</v>
      </c>
      <c r="I801">
        <v>2</v>
      </c>
      <c r="J801" t="str">
        <f>HYPERLINK("https://www.eliteprospects.com/player/712192/owen-phillips")</f>
        <v>https://www.eliteprospects.com/player/712192/owen-phillips</v>
      </c>
      <c r="K801" t="s">
        <v>27</v>
      </c>
      <c r="L801" t="s">
        <v>804</v>
      </c>
      <c r="M801" t="s">
        <v>1296</v>
      </c>
      <c r="N801">
        <v>4</v>
      </c>
      <c r="O801" t="s">
        <v>809</v>
      </c>
      <c r="P801">
        <v>7.0000000000000007E-2</v>
      </c>
      <c r="Q801" t="s">
        <v>1325</v>
      </c>
      <c r="R801">
        <v>30</v>
      </c>
      <c r="S801">
        <v>25</v>
      </c>
      <c r="T801">
        <v>32.5</v>
      </c>
      <c r="U801">
        <v>5</v>
      </c>
      <c r="V801">
        <v>7.5</v>
      </c>
    </row>
    <row r="802" spans="1:22" x14ac:dyDescent="0.25">
      <c r="A802" t="s">
        <v>2109</v>
      </c>
      <c r="B802" t="s">
        <v>803</v>
      </c>
      <c r="C802">
        <v>38</v>
      </c>
      <c r="D802" t="s">
        <v>260</v>
      </c>
      <c r="E802" t="s">
        <v>84</v>
      </c>
      <c r="F802" t="s">
        <v>81</v>
      </c>
      <c r="G802">
        <v>0.63</v>
      </c>
      <c r="H802" t="s">
        <v>39</v>
      </c>
      <c r="I802">
        <v>-6</v>
      </c>
      <c r="J802" t="str">
        <f>HYPERLINK("https://www.eliteprospects.com/player/870116/benjamin-cossette-ayotte")</f>
        <v>https://www.eliteprospects.com/player/870116/benjamin-cossette-ayotte</v>
      </c>
      <c r="K802" t="s">
        <v>27</v>
      </c>
      <c r="L802" t="s">
        <v>804</v>
      </c>
      <c r="M802" t="s">
        <v>1296</v>
      </c>
      <c r="N802">
        <v>2</v>
      </c>
      <c r="O802" t="s">
        <v>825</v>
      </c>
      <c r="P802">
        <v>7.0000000000000007E-2</v>
      </c>
      <c r="Q802" t="s">
        <v>1325</v>
      </c>
      <c r="R802">
        <v>30</v>
      </c>
      <c r="S802">
        <v>25</v>
      </c>
      <c r="T802">
        <v>32.5</v>
      </c>
      <c r="U802">
        <v>5</v>
      </c>
      <c r="V802">
        <v>7.5</v>
      </c>
    </row>
    <row r="803" spans="1:22" x14ac:dyDescent="0.25">
      <c r="A803" t="s">
        <v>2110</v>
      </c>
      <c r="B803" t="s">
        <v>808</v>
      </c>
      <c r="C803">
        <v>37</v>
      </c>
      <c r="D803" t="s">
        <v>78</v>
      </c>
      <c r="E803" t="s">
        <v>38</v>
      </c>
      <c r="F803" t="s">
        <v>84</v>
      </c>
      <c r="G803">
        <v>0.62</v>
      </c>
      <c r="H803" t="s">
        <v>26</v>
      </c>
      <c r="I803">
        <v>25</v>
      </c>
      <c r="J803" t="str">
        <f>HYPERLINK("https://www.eliteprospects.com/player/620205/peteris-bulans")</f>
        <v>https://www.eliteprospects.com/player/620205/peteris-bulans</v>
      </c>
      <c r="K803" t="s">
        <v>27</v>
      </c>
      <c r="L803" t="s">
        <v>804</v>
      </c>
      <c r="M803" t="s">
        <v>1296</v>
      </c>
      <c r="N803">
        <v>4</v>
      </c>
      <c r="O803" t="s">
        <v>809</v>
      </c>
      <c r="P803">
        <v>7.0000000000000007E-2</v>
      </c>
      <c r="Q803" t="s">
        <v>1325</v>
      </c>
      <c r="R803">
        <v>30</v>
      </c>
      <c r="S803">
        <v>25</v>
      </c>
      <c r="T803">
        <v>32.5</v>
      </c>
      <c r="U803">
        <v>5</v>
      </c>
      <c r="V803">
        <v>7.5</v>
      </c>
    </row>
    <row r="804" spans="1:22" x14ac:dyDescent="0.25">
      <c r="A804" t="s">
        <v>2111</v>
      </c>
      <c r="B804" t="s">
        <v>818</v>
      </c>
      <c r="C804">
        <v>39</v>
      </c>
      <c r="D804" t="s">
        <v>66</v>
      </c>
      <c r="E804" t="s">
        <v>55</v>
      </c>
      <c r="F804" t="s">
        <v>47</v>
      </c>
      <c r="G804">
        <v>0.56000000000000005</v>
      </c>
      <c r="H804" t="s">
        <v>47</v>
      </c>
      <c r="I804">
        <v>26</v>
      </c>
      <c r="J804" t="str">
        <f>HYPERLINK("https://www.eliteprospects.com/player/592903/theo-lemieux")</f>
        <v>https://www.eliteprospects.com/player/592903/theo-lemieux</v>
      </c>
      <c r="K804" t="s">
        <v>27</v>
      </c>
      <c r="L804" t="s">
        <v>804</v>
      </c>
      <c r="M804" t="s">
        <v>1296</v>
      </c>
      <c r="N804">
        <v>5</v>
      </c>
      <c r="O804" t="s">
        <v>807</v>
      </c>
      <c r="P804">
        <v>0.06</v>
      </c>
      <c r="Q804" t="s">
        <v>1325</v>
      </c>
      <c r="R804">
        <v>26.3</v>
      </c>
      <c r="S804">
        <v>23.7</v>
      </c>
      <c r="T804">
        <v>28.9</v>
      </c>
      <c r="U804">
        <v>5.3</v>
      </c>
      <c r="V804">
        <v>15.8</v>
      </c>
    </row>
    <row r="805" spans="1:22" x14ac:dyDescent="0.25">
      <c r="A805" t="s">
        <v>2112</v>
      </c>
      <c r="B805" t="s">
        <v>815</v>
      </c>
      <c r="C805">
        <v>35</v>
      </c>
      <c r="D805" t="s">
        <v>79</v>
      </c>
      <c r="E805" t="s">
        <v>24</v>
      </c>
      <c r="F805" t="s">
        <v>47</v>
      </c>
      <c r="G805">
        <v>0.63</v>
      </c>
      <c r="H805" t="s">
        <v>57</v>
      </c>
      <c r="I805">
        <v>-2</v>
      </c>
      <c r="J805" t="str">
        <f>HYPERLINK("https://www.eliteprospects.com/player/721275/matheo-lepage")</f>
        <v>https://www.eliteprospects.com/player/721275/matheo-lepage</v>
      </c>
      <c r="K805" t="s">
        <v>27</v>
      </c>
      <c r="L805" t="s">
        <v>804</v>
      </c>
      <c r="M805" t="s">
        <v>1296</v>
      </c>
      <c r="N805">
        <v>2</v>
      </c>
      <c r="O805" t="s">
        <v>825</v>
      </c>
      <c r="P805">
        <v>7.0000000000000007E-2</v>
      </c>
      <c r="Q805" t="s">
        <v>1325</v>
      </c>
      <c r="R805">
        <v>30</v>
      </c>
      <c r="S805">
        <v>25</v>
      </c>
      <c r="T805">
        <v>32.5</v>
      </c>
      <c r="U805">
        <v>5</v>
      </c>
      <c r="V805">
        <v>7.5</v>
      </c>
    </row>
    <row r="806" spans="1:22" x14ac:dyDescent="0.25">
      <c r="A806" t="s">
        <v>2113</v>
      </c>
      <c r="B806" t="s">
        <v>828</v>
      </c>
      <c r="C806">
        <v>37</v>
      </c>
      <c r="D806" t="s">
        <v>45</v>
      </c>
      <c r="E806" t="s">
        <v>23</v>
      </c>
      <c r="F806" t="s">
        <v>33</v>
      </c>
      <c r="G806">
        <v>0.56999999999999995</v>
      </c>
      <c r="H806" t="s">
        <v>24</v>
      </c>
      <c r="I806">
        <v>-21</v>
      </c>
      <c r="J806" t="str">
        <f>HYPERLINK("https://www.eliteprospects.com/player/893556/everett-baldwin")</f>
        <v>https://www.eliteprospects.com/player/893556/everett-baldwin</v>
      </c>
      <c r="K806" t="s">
        <v>27</v>
      </c>
      <c r="L806" t="s">
        <v>804</v>
      </c>
      <c r="M806" t="s">
        <v>1296</v>
      </c>
      <c r="N806">
        <v>1</v>
      </c>
      <c r="O806" t="s">
        <v>816</v>
      </c>
      <c r="P806">
        <v>0.06</v>
      </c>
      <c r="Q806" t="s">
        <v>1325</v>
      </c>
      <c r="R806">
        <v>26.3</v>
      </c>
      <c r="S806">
        <v>23.7</v>
      </c>
      <c r="T806">
        <v>28.9</v>
      </c>
      <c r="U806">
        <v>5.3</v>
      </c>
      <c r="V806">
        <v>15.8</v>
      </c>
    </row>
    <row r="807" spans="1:22" x14ac:dyDescent="0.25">
      <c r="A807" t="s">
        <v>2114</v>
      </c>
      <c r="B807" t="s">
        <v>828</v>
      </c>
      <c r="C807">
        <v>35</v>
      </c>
      <c r="D807" t="s">
        <v>96</v>
      </c>
      <c r="E807" t="s">
        <v>41</v>
      </c>
      <c r="F807" t="s">
        <v>24</v>
      </c>
      <c r="G807">
        <v>0.56999999999999995</v>
      </c>
      <c r="H807" t="s">
        <v>66</v>
      </c>
      <c r="I807">
        <v>-1</v>
      </c>
      <c r="J807" t="str">
        <f>HYPERLINK("https://www.eliteprospects.com/player/878286/olivier-duhamel")</f>
        <v>https://www.eliteprospects.com/player/878286/olivier-duhamel</v>
      </c>
      <c r="K807" t="s">
        <v>27</v>
      </c>
      <c r="L807" t="s">
        <v>804</v>
      </c>
      <c r="M807" t="s">
        <v>1296</v>
      </c>
      <c r="N807">
        <v>3</v>
      </c>
      <c r="O807" t="s">
        <v>805</v>
      </c>
      <c r="P807">
        <v>0.06</v>
      </c>
      <c r="Q807" t="s">
        <v>1325</v>
      </c>
      <c r="R807">
        <v>26.3</v>
      </c>
      <c r="S807">
        <v>23.7</v>
      </c>
      <c r="T807">
        <v>28.9</v>
      </c>
      <c r="U807">
        <v>5.3</v>
      </c>
      <c r="V807">
        <v>15.8</v>
      </c>
    </row>
    <row r="808" spans="1:22" x14ac:dyDescent="0.25">
      <c r="A808" t="s">
        <v>2115</v>
      </c>
      <c r="B808" t="s">
        <v>820</v>
      </c>
      <c r="C808">
        <v>38</v>
      </c>
      <c r="D808" t="s">
        <v>140</v>
      </c>
      <c r="E808" t="s">
        <v>60</v>
      </c>
      <c r="F808" t="s">
        <v>24</v>
      </c>
      <c r="G808">
        <v>0.53</v>
      </c>
      <c r="H808" t="s">
        <v>23</v>
      </c>
      <c r="I808">
        <v>35</v>
      </c>
      <c r="J808" t="str">
        <f>HYPERLINK("https://www.eliteprospects.com/player/597537/adam-fortier-gendron")</f>
        <v>https://www.eliteprospects.com/player/597537/adam-fortier-gendron</v>
      </c>
      <c r="K808" t="s">
        <v>27</v>
      </c>
      <c r="L808" t="s">
        <v>804</v>
      </c>
      <c r="M808" t="s">
        <v>1296</v>
      </c>
      <c r="N808">
        <v>4</v>
      </c>
      <c r="O808" t="s">
        <v>809</v>
      </c>
      <c r="P808">
        <v>0.06</v>
      </c>
      <c r="Q808" t="s">
        <v>1325</v>
      </c>
      <c r="R808">
        <v>26.3</v>
      </c>
      <c r="S808">
        <v>23.7</v>
      </c>
      <c r="T808">
        <v>28.9</v>
      </c>
      <c r="U808">
        <v>5.3</v>
      </c>
      <c r="V808">
        <v>15.8</v>
      </c>
    </row>
    <row r="809" spans="1:22" x14ac:dyDescent="0.25">
      <c r="A809" t="s">
        <v>2116</v>
      </c>
      <c r="B809" t="s">
        <v>865</v>
      </c>
      <c r="C809">
        <v>40</v>
      </c>
      <c r="D809" t="s">
        <v>66</v>
      </c>
      <c r="E809" t="s">
        <v>39</v>
      </c>
      <c r="F809" t="s">
        <v>55</v>
      </c>
      <c r="G809">
        <v>0.45</v>
      </c>
      <c r="H809" t="s">
        <v>66</v>
      </c>
      <c r="I809">
        <v>-5</v>
      </c>
      <c r="J809" t="str">
        <f>HYPERLINK("https://www.eliteprospects.com/player/714709/mattias-gilbert")</f>
        <v>https://www.eliteprospects.com/player/714709/mattias-gilbert</v>
      </c>
      <c r="K809" t="s">
        <v>27</v>
      </c>
      <c r="L809" t="s">
        <v>804</v>
      </c>
      <c r="M809" t="s">
        <v>1296</v>
      </c>
      <c r="N809">
        <v>4</v>
      </c>
      <c r="O809" t="s">
        <v>809</v>
      </c>
      <c r="P809">
        <v>0.05</v>
      </c>
      <c r="Q809" t="s">
        <v>1325</v>
      </c>
      <c r="R809">
        <v>26.3</v>
      </c>
      <c r="S809">
        <v>23.7</v>
      </c>
      <c r="T809">
        <v>28.9</v>
      </c>
      <c r="U809">
        <v>5.3</v>
      </c>
      <c r="V809">
        <v>15.8</v>
      </c>
    </row>
    <row r="810" spans="1:22" x14ac:dyDescent="0.25">
      <c r="A810" t="s">
        <v>2117</v>
      </c>
      <c r="B810" t="s">
        <v>803</v>
      </c>
      <c r="C810">
        <v>39</v>
      </c>
      <c r="D810" t="s">
        <v>140</v>
      </c>
      <c r="E810" t="s">
        <v>41</v>
      </c>
      <c r="F810" t="s">
        <v>55</v>
      </c>
      <c r="G810">
        <v>0.46</v>
      </c>
      <c r="H810" t="s">
        <v>23</v>
      </c>
      <c r="I810">
        <v>-12</v>
      </c>
      <c r="J810" t="str">
        <f>HYPERLINK("https://www.eliteprospects.com/player/661400/anthony-pare")</f>
        <v>https://www.eliteprospects.com/player/661400/anthony-pare</v>
      </c>
      <c r="K810" t="s">
        <v>27</v>
      </c>
      <c r="L810" t="s">
        <v>804</v>
      </c>
      <c r="M810" t="s">
        <v>1296</v>
      </c>
      <c r="N810">
        <v>4</v>
      </c>
      <c r="O810" t="s">
        <v>809</v>
      </c>
      <c r="P810">
        <v>0.05</v>
      </c>
      <c r="Q810" t="s">
        <v>1325</v>
      </c>
      <c r="R810">
        <v>26.3</v>
      </c>
      <c r="S810">
        <v>23.7</v>
      </c>
      <c r="T810">
        <v>28.9</v>
      </c>
      <c r="U810">
        <v>5.3</v>
      </c>
      <c r="V810">
        <v>15.8</v>
      </c>
    </row>
    <row r="811" spans="1:22" x14ac:dyDescent="0.25">
      <c r="A811" t="s">
        <v>2118</v>
      </c>
      <c r="B811" t="s">
        <v>821</v>
      </c>
      <c r="C811">
        <v>38</v>
      </c>
      <c r="D811" t="s">
        <v>260</v>
      </c>
      <c r="E811" t="s">
        <v>60</v>
      </c>
      <c r="F811" t="s">
        <v>55</v>
      </c>
      <c r="G811">
        <v>0.47</v>
      </c>
      <c r="H811" t="s">
        <v>26</v>
      </c>
      <c r="I811">
        <v>2</v>
      </c>
      <c r="J811" t="str">
        <f>HYPERLINK("https://www.eliteprospects.com/player/803922/owen-conrad")</f>
        <v>https://www.eliteprospects.com/player/803922/owen-conrad</v>
      </c>
      <c r="K811" t="s">
        <v>27</v>
      </c>
      <c r="L811" t="s">
        <v>804</v>
      </c>
      <c r="M811" t="s">
        <v>1296</v>
      </c>
      <c r="N811">
        <v>3</v>
      </c>
      <c r="O811" t="s">
        <v>805</v>
      </c>
      <c r="P811">
        <v>0.05</v>
      </c>
      <c r="Q811" t="s">
        <v>1325</v>
      </c>
      <c r="R811">
        <v>26.3</v>
      </c>
      <c r="S811">
        <v>23.7</v>
      </c>
      <c r="T811">
        <v>28.9</v>
      </c>
      <c r="U811">
        <v>5.3</v>
      </c>
      <c r="V811">
        <v>15.8</v>
      </c>
    </row>
    <row r="812" spans="1:22" x14ac:dyDescent="0.25">
      <c r="A812" t="s">
        <v>2119</v>
      </c>
      <c r="B812" t="s">
        <v>811</v>
      </c>
      <c r="C812">
        <v>33</v>
      </c>
      <c r="D812" t="s">
        <v>96</v>
      </c>
      <c r="E812" t="s">
        <v>23</v>
      </c>
      <c r="F812" t="s">
        <v>60</v>
      </c>
      <c r="G812">
        <v>0.52</v>
      </c>
      <c r="H812" t="s">
        <v>55</v>
      </c>
      <c r="I812">
        <v>13</v>
      </c>
      <c r="J812" t="str">
        <f>HYPERLINK("https://www.eliteprospects.com/player/722856/mathieu-plante")</f>
        <v>https://www.eliteprospects.com/player/722856/mathieu-plante</v>
      </c>
      <c r="K812" t="s">
        <v>27</v>
      </c>
      <c r="L812" t="s">
        <v>804</v>
      </c>
      <c r="M812" t="s">
        <v>1296</v>
      </c>
      <c r="N812">
        <v>3</v>
      </c>
      <c r="O812" t="s">
        <v>805</v>
      </c>
      <c r="P812">
        <v>0.06</v>
      </c>
      <c r="Q812" t="s">
        <v>1325</v>
      </c>
      <c r="R812">
        <v>26.3</v>
      </c>
      <c r="S812">
        <v>23.7</v>
      </c>
      <c r="T812">
        <v>28.9</v>
      </c>
      <c r="U812">
        <v>5.3</v>
      </c>
      <c r="V812">
        <v>15.8</v>
      </c>
    </row>
    <row r="813" spans="1:22" x14ac:dyDescent="0.25">
      <c r="A813" t="s">
        <v>2120</v>
      </c>
      <c r="B813" t="s">
        <v>823</v>
      </c>
      <c r="C813">
        <v>28</v>
      </c>
      <c r="D813" t="s">
        <v>79</v>
      </c>
      <c r="E813" t="s">
        <v>41</v>
      </c>
      <c r="F813" t="s">
        <v>60</v>
      </c>
      <c r="G813">
        <v>0.61</v>
      </c>
      <c r="H813" t="s">
        <v>41</v>
      </c>
      <c r="I813">
        <v>6</v>
      </c>
      <c r="J813" t="str">
        <f>HYPERLINK("https://www.eliteprospects.com/player/747957/alexandre-taillefer")</f>
        <v>https://www.eliteprospects.com/player/747957/alexandre-taillefer</v>
      </c>
      <c r="K813" t="s">
        <v>27</v>
      </c>
      <c r="L813" t="s">
        <v>804</v>
      </c>
      <c r="M813" t="s">
        <v>1296</v>
      </c>
      <c r="N813">
        <v>2</v>
      </c>
      <c r="O813" t="s">
        <v>825</v>
      </c>
      <c r="P813">
        <v>7.0000000000000007E-2</v>
      </c>
      <c r="Q813" t="s">
        <v>1325</v>
      </c>
      <c r="R813">
        <v>30</v>
      </c>
      <c r="S813">
        <v>25</v>
      </c>
      <c r="T813">
        <v>32.5</v>
      </c>
      <c r="U813">
        <v>5</v>
      </c>
      <c r="V813">
        <v>7.5</v>
      </c>
    </row>
    <row r="814" spans="1:22" x14ac:dyDescent="0.25">
      <c r="A814" t="s">
        <v>2121</v>
      </c>
      <c r="B814" t="s">
        <v>507</v>
      </c>
      <c r="C814">
        <v>32</v>
      </c>
      <c r="D814" t="s">
        <v>260</v>
      </c>
      <c r="E814" t="s">
        <v>38</v>
      </c>
      <c r="F814" t="s">
        <v>60</v>
      </c>
      <c r="G814">
        <v>0.53</v>
      </c>
      <c r="H814" t="s">
        <v>125</v>
      </c>
      <c r="I814">
        <v>-17</v>
      </c>
      <c r="J814" t="str">
        <f>HYPERLINK("https://www.eliteprospects.com/player/843589/jan-golicic")</f>
        <v>https://www.eliteprospects.com/player/843589/jan-golicic</v>
      </c>
      <c r="K814" t="s">
        <v>27</v>
      </c>
      <c r="L814" t="s">
        <v>804</v>
      </c>
      <c r="M814" t="s">
        <v>1296</v>
      </c>
      <c r="N814">
        <v>3</v>
      </c>
      <c r="O814" t="s">
        <v>805</v>
      </c>
      <c r="P814">
        <v>0.06</v>
      </c>
      <c r="Q814" t="s">
        <v>1325</v>
      </c>
      <c r="R814">
        <v>26.3</v>
      </c>
      <c r="S814">
        <v>23.7</v>
      </c>
      <c r="T814">
        <v>28.9</v>
      </c>
      <c r="U814">
        <v>5.3</v>
      </c>
      <c r="V814">
        <v>15.8</v>
      </c>
    </row>
    <row r="815" spans="1:22" x14ac:dyDescent="0.25">
      <c r="A815" t="s">
        <v>2122</v>
      </c>
      <c r="B815" t="s">
        <v>815</v>
      </c>
      <c r="C815">
        <v>34</v>
      </c>
      <c r="D815" t="s">
        <v>260</v>
      </c>
      <c r="E815" t="s">
        <v>38</v>
      </c>
      <c r="F815" t="s">
        <v>60</v>
      </c>
      <c r="G815">
        <v>0.5</v>
      </c>
      <c r="H815" t="s">
        <v>269</v>
      </c>
      <c r="I815">
        <v>-8</v>
      </c>
      <c r="J815" t="str">
        <f>HYPERLINK("https://www.eliteprospects.com/player/660791/simon-pier-brunet")</f>
        <v>https://www.eliteprospects.com/player/660791/simon-pier-brunet</v>
      </c>
      <c r="K815" t="s">
        <v>27</v>
      </c>
      <c r="L815" t="s">
        <v>804</v>
      </c>
      <c r="M815" t="s">
        <v>1296</v>
      </c>
      <c r="N815">
        <v>5</v>
      </c>
      <c r="O815" t="s">
        <v>807</v>
      </c>
      <c r="P815">
        <v>0.06</v>
      </c>
      <c r="Q815" t="s">
        <v>1325</v>
      </c>
      <c r="R815">
        <v>26.3</v>
      </c>
      <c r="S815">
        <v>23.7</v>
      </c>
      <c r="T815">
        <v>28.9</v>
      </c>
      <c r="U815">
        <v>5.3</v>
      </c>
      <c r="V815">
        <v>15.8</v>
      </c>
    </row>
    <row r="816" spans="1:22" x14ac:dyDescent="0.25">
      <c r="A816" t="s">
        <v>2123</v>
      </c>
      <c r="B816" t="s">
        <v>811</v>
      </c>
      <c r="C816">
        <v>32</v>
      </c>
      <c r="D816" t="s">
        <v>66</v>
      </c>
      <c r="E816" t="s">
        <v>23</v>
      </c>
      <c r="F816" t="s">
        <v>38</v>
      </c>
      <c r="G816">
        <v>0.5</v>
      </c>
      <c r="H816" t="s">
        <v>46</v>
      </c>
      <c r="I816">
        <v>7</v>
      </c>
      <c r="J816" t="str">
        <f>HYPERLINK("https://www.eliteprospects.com/player/759417/noah-mckinnon")</f>
        <v>https://www.eliteprospects.com/player/759417/noah-mckinnon</v>
      </c>
      <c r="K816" t="s">
        <v>27</v>
      </c>
      <c r="L816" t="s">
        <v>804</v>
      </c>
      <c r="M816" t="s">
        <v>1296</v>
      </c>
      <c r="N816">
        <v>3</v>
      </c>
      <c r="O816" t="s">
        <v>805</v>
      </c>
      <c r="P816">
        <v>0.06</v>
      </c>
      <c r="Q816" t="s">
        <v>1325</v>
      </c>
      <c r="R816">
        <v>26.3</v>
      </c>
      <c r="S816">
        <v>23.7</v>
      </c>
      <c r="T816">
        <v>28.9</v>
      </c>
      <c r="U816">
        <v>5.3</v>
      </c>
      <c r="V816">
        <v>15.8</v>
      </c>
    </row>
    <row r="817" spans="1:22" x14ac:dyDescent="0.25">
      <c r="A817" t="s">
        <v>2124</v>
      </c>
      <c r="B817" t="s">
        <v>808</v>
      </c>
      <c r="C817">
        <v>39</v>
      </c>
      <c r="D817" t="s">
        <v>79</v>
      </c>
      <c r="E817" t="s">
        <v>39</v>
      </c>
      <c r="F817" t="s">
        <v>38</v>
      </c>
      <c r="G817">
        <v>0.41</v>
      </c>
      <c r="H817" t="s">
        <v>47</v>
      </c>
      <c r="I817">
        <v>21</v>
      </c>
      <c r="J817" t="str">
        <f>HYPERLINK("https://www.eliteprospects.com/player/577050/alonso-gosselin")</f>
        <v>https://www.eliteprospects.com/player/577050/alonso-gosselin</v>
      </c>
      <c r="K817" t="s">
        <v>27</v>
      </c>
      <c r="L817" t="s">
        <v>804</v>
      </c>
      <c r="M817" t="s">
        <v>1296</v>
      </c>
      <c r="N817">
        <v>3</v>
      </c>
      <c r="O817" t="s">
        <v>805</v>
      </c>
      <c r="P817">
        <v>0.05</v>
      </c>
      <c r="Q817" t="s">
        <v>1325</v>
      </c>
      <c r="R817">
        <v>26.3</v>
      </c>
      <c r="S817">
        <v>23.7</v>
      </c>
      <c r="T817">
        <v>28.9</v>
      </c>
      <c r="U817">
        <v>5.3</v>
      </c>
      <c r="V817">
        <v>15.8</v>
      </c>
    </row>
    <row r="818" spans="1:22" x14ac:dyDescent="0.25">
      <c r="A818" t="s">
        <v>2125</v>
      </c>
      <c r="B818" t="s">
        <v>808</v>
      </c>
      <c r="C818">
        <v>39</v>
      </c>
      <c r="D818" t="s">
        <v>78</v>
      </c>
      <c r="E818" t="s">
        <v>26</v>
      </c>
      <c r="F818" t="s">
        <v>41</v>
      </c>
      <c r="G818">
        <v>0.38</v>
      </c>
      <c r="H818" t="s">
        <v>61</v>
      </c>
      <c r="I818">
        <v>15</v>
      </c>
      <c r="J818" t="str">
        <f>HYPERLINK("https://www.eliteprospects.com/player/720898/alexandre-desmarais")</f>
        <v>https://www.eliteprospects.com/player/720898/alexandre-desmarais</v>
      </c>
      <c r="K818" t="s">
        <v>27</v>
      </c>
      <c r="L818" t="s">
        <v>804</v>
      </c>
      <c r="M818" t="s">
        <v>1296</v>
      </c>
      <c r="N818">
        <v>3</v>
      </c>
      <c r="O818" t="s">
        <v>805</v>
      </c>
      <c r="P818">
        <v>0.04</v>
      </c>
      <c r="Q818" t="s">
        <v>245</v>
      </c>
      <c r="R818">
        <v>28.6</v>
      </c>
      <c r="S818">
        <v>31.4</v>
      </c>
      <c r="T818">
        <v>28.6</v>
      </c>
      <c r="U818">
        <v>4.3</v>
      </c>
      <c r="V818">
        <v>7.1</v>
      </c>
    </row>
    <row r="819" spans="1:22" x14ac:dyDescent="0.25">
      <c r="A819" t="s">
        <v>2126</v>
      </c>
      <c r="B819" t="s">
        <v>826</v>
      </c>
      <c r="C819">
        <v>31</v>
      </c>
      <c r="D819" t="s">
        <v>96</v>
      </c>
      <c r="E819" t="s">
        <v>32</v>
      </c>
      <c r="F819" t="s">
        <v>41</v>
      </c>
      <c r="G819">
        <v>0.48</v>
      </c>
      <c r="H819" t="s">
        <v>66</v>
      </c>
      <c r="I819">
        <v>12</v>
      </c>
      <c r="J819" t="str">
        <f>HYPERLINK("https://www.eliteprospects.com/player/892667/xavier-cormier")</f>
        <v>https://www.eliteprospects.com/player/892667/xavier-cormier</v>
      </c>
      <c r="K819" t="s">
        <v>27</v>
      </c>
      <c r="L819" t="s">
        <v>804</v>
      </c>
      <c r="M819" t="s">
        <v>1296</v>
      </c>
      <c r="N819">
        <v>1</v>
      </c>
      <c r="O819" t="s">
        <v>816</v>
      </c>
      <c r="P819">
        <v>0.05</v>
      </c>
      <c r="Q819" t="s">
        <v>1325</v>
      </c>
      <c r="R819">
        <v>26.3</v>
      </c>
      <c r="S819">
        <v>23.7</v>
      </c>
      <c r="T819">
        <v>28.9</v>
      </c>
      <c r="U819">
        <v>5.3</v>
      </c>
      <c r="V819">
        <v>15.8</v>
      </c>
    </row>
    <row r="820" spans="1:22" x14ac:dyDescent="0.25">
      <c r="A820" t="s">
        <v>2127</v>
      </c>
      <c r="B820" t="s">
        <v>820</v>
      </c>
      <c r="C820">
        <v>38</v>
      </c>
      <c r="D820" t="s">
        <v>66</v>
      </c>
      <c r="E820" t="s">
        <v>69</v>
      </c>
      <c r="F820" t="s">
        <v>41</v>
      </c>
      <c r="G820">
        <v>0.39</v>
      </c>
      <c r="H820" t="s">
        <v>178</v>
      </c>
      <c r="I820">
        <v>14</v>
      </c>
      <c r="J820" t="str">
        <f>HYPERLINK("https://www.eliteprospects.com/player/597693/matthew-virgilio")</f>
        <v>https://www.eliteprospects.com/player/597693/matthew-virgilio</v>
      </c>
      <c r="K820" t="s">
        <v>27</v>
      </c>
      <c r="L820" t="s">
        <v>804</v>
      </c>
      <c r="M820" t="s">
        <v>1296</v>
      </c>
      <c r="N820">
        <v>4</v>
      </c>
      <c r="O820" t="s">
        <v>2128</v>
      </c>
      <c r="P820">
        <v>0.04</v>
      </c>
      <c r="Q820" t="s">
        <v>245</v>
      </c>
      <c r="R820">
        <v>28.6</v>
      </c>
      <c r="S820">
        <v>31.4</v>
      </c>
      <c r="T820">
        <v>28.6</v>
      </c>
      <c r="U820">
        <v>4.3</v>
      </c>
      <c r="V820">
        <v>7.1</v>
      </c>
    </row>
    <row r="821" spans="1:22" x14ac:dyDescent="0.25">
      <c r="A821" t="s">
        <v>2129</v>
      </c>
      <c r="B821" t="s">
        <v>822</v>
      </c>
      <c r="C821">
        <v>40</v>
      </c>
      <c r="D821" t="s">
        <v>66</v>
      </c>
      <c r="E821" t="s">
        <v>69</v>
      </c>
      <c r="F821" t="s">
        <v>41</v>
      </c>
      <c r="G821">
        <v>0.38</v>
      </c>
      <c r="H821" t="s">
        <v>26</v>
      </c>
      <c r="I821">
        <v>9</v>
      </c>
      <c r="J821" t="str">
        <f>HYPERLINK("https://www.eliteprospects.com/player/679623/noah-jettelson")</f>
        <v>https://www.eliteprospects.com/player/679623/noah-jettelson</v>
      </c>
      <c r="K821" t="s">
        <v>27</v>
      </c>
      <c r="L821" t="s">
        <v>804</v>
      </c>
      <c r="M821" t="s">
        <v>1296</v>
      </c>
      <c r="N821">
        <v>1</v>
      </c>
      <c r="O821" t="s">
        <v>816</v>
      </c>
      <c r="P821">
        <v>0.04</v>
      </c>
      <c r="Q821" t="s">
        <v>245</v>
      </c>
      <c r="R821">
        <v>28.6</v>
      </c>
      <c r="S821">
        <v>31.4</v>
      </c>
      <c r="T821">
        <v>28.6</v>
      </c>
      <c r="U821">
        <v>4.3</v>
      </c>
      <c r="V821">
        <v>7.1</v>
      </c>
    </row>
    <row r="822" spans="1:22" x14ac:dyDescent="0.25">
      <c r="A822" t="s">
        <v>2130</v>
      </c>
      <c r="B822" t="s">
        <v>823</v>
      </c>
      <c r="C822">
        <v>39</v>
      </c>
      <c r="D822" t="s">
        <v>140</v>
      </c>
      <c r="E822" t="s">
        <v>23</v>
      </c>
      <c r="F822" t="s">
        <v>41</v>
      </c>
      <c r="G822">
        <v>0.38</v>
      </c>
      <c r="H822" t="s">
        <v>60</v>
      </c>
      <c r="I822">
        <v>19</v>
      </c>
      <c r="J822" t="str">
        <f>HYPERLINK("https://www.eliteprospects.com/player/727836/etienne-desjardins")</f>
        <v>https://www.eliteprospects.com/player/727836/etienne-desjardins</v>
      </c>
      <c r="K822" t="s">
        <v>27</v>
      </c>
      <c r="L822" t="s">
        <v>804</v>
      </c>
      <c r="M822" t="s">
        <v>1296</v>
      </c>
      <c r="N822">
        <v>4</v>
      </c>
      <c r="O822" t="s">
        <v>809</v>
      </c>
      <c r="P822">
        <v>0.04</v>
      </c>
      <c r="Q822" t="s">
        <v>245</v>
      </c>
      <c r="R822">
        <v>28.6</v>
      </c>
      <c r="S822">
        <v>31.4</v>
      </c>
      <c r="T822">
        <v>28.6</v>
      </c>
      <c r="U822">
        <v>4.3</v>
      </c>
      <c r="V822">
        <v>7.1</v>
      </c>
    </row>
    <row r="823" spans="1:22" x14ac:dyDescent="0.25">
      <c r="A823" t="s">
        <v>2131</v>
      </c>
      <c r="B823" t="s">
        <v>824</v>
      </c>
      <c r="C823">
        <v>27</v>
      </c>
      <c r="D823" t="s">
        <v>79</v>
      </c>
      <c r="E823" t="s">
        <v>65</v>
      </c>
      <c r="F823" t="s">
        <v>41</v>
      </c>
      <c r="G823">
        <v>0.56000000000000005</v>
      </c>
      <c r="H823" t="s">
        <v>23</v>
      </c>
      <c r="I823">
        <v>-10</v>
      </c>
      <c r="J823" t="str">
        <f>HYPERLINK("https://www.eliteprospects.com/player/872615/carlos-handel")</f>
        <v>https://www.eliteprospects.com/player/872615/carlos-handel</v>
      </c>
      <c r="K823" t="s">
        <v>27</v>
      </c>
      <c r="L823" t="s">
        <v>804</v>
      </c>
      <c r="M823" t="s">
        <v>1296</v>
      </c>
      <c r="N823">
        <v>2</v>
      </c>
      <c r="O823" t="s">
        <v>825</v>
      </c>
      <c r="P823">
        <v>0.06</v>
      </c>
      <c r="Q823" t="s">
        <v>1325</v>
      </c>
      <c r="R823">
        <v>26.3</v>
      </c>
      <c r="S823">
        <v>23.7</v>
      </c>
      <c r="T823">
        <v>28.9</v>
      </c>
      <c r="U823">
        <v>5.3</v>
      </c>
      <c r="V823">
        <v>15.8</v>
      </c>
    </row>
    <row r="824" spans="1:22" x14ac:dyDescent="0.25">
      <c r="A824" t="s">
        <v>2132</v>
      </c>
      <c r="B824" t="s">
        <v>806</v>
      </c>
      <c r="C824">
        <v>38</v>
      </c>
      <c r="D824" t="s">
        <v>79</v>
      </c>
      <c r="E824" t="s">
        <v>65</v>
      </c>
      <c r="F824" t="s">
        <v>41</v>
      </c>
      <c r="G824">
        <v>0.39</v>
      </c>
      <c r="H824" t="s">
        <v>544</v>
      </c>
      <c r="I824">
        <v>15</v>
      </c>
      <c r="J824" t="str">
        <f>HYPERLINK("https://www.eliteprospects.com/player/876161/will-reynolds")</f>
        <v>https://www.eliteprospects.com/player/876161/will-reynolds</v>
      </c>
      <c r="K824" t="s">
        <v>27</v>
      </c>
      <c r="L824" t="s">
        <v>804</v>
      </c>
      <c r="M824" t="s">
        <v>1296</v>
      </c>
      <c r="N824">
        <v>3</v>
      </c>
      <c r="O824" t="s">
        <v>805</v>
      </c>
      <c r="P824">
        <v>0.04</v>
      </c>
      <c r="Q824" t="s">
        <v>245</v>
      </c>
      <c r="R824">
        <v>28.6</v>
      </c>
      <c r="S824">
        <v>31.4</v>
      </c>
      <c r="T824">
        <v>28.6</v>
      </c>
      <c r="U824">
        <v>4.3</v>
      </c>
      <c r="V824">
        <v>7.1</v>
      </c>
    </row>
    <row r="825" spans="1:22" x14ac:dyDescent="0.25">
      <c r="A825" t="s">
        <v>2133</v>
      </c>
      <c r="B825" t="s">
        <v>806</v>
      </c>
      <c r="C825">
        <v>40</v>
      </c>
      <c r="D825" t="s">
        <v>66</v>
      </c>
      <c r="E825" t="s">
        <v>32</v>
      </c>
      <c r="F825" t="s">
        <v>39</v>
      </c>
      <c r="G825">
        <v>0.35</v>
      </c>
      <c r="H825" t="s">
        <v>24</v>
      </c>
      <c r="I825">
        <v>17</v>
      </c>
      <c r="J825" t="str">
        <f>HYPERLINK("https://www.eliteprospects.com/player/644801/emile-perron")</f>
        <v>https://www.eliteprospects.com/player/644801/emile-perron</v>
      </c>
      <c r="K825" t="s">
        <v>27</v>
      </c>
      <c r="L825" t="s">
        <v>804</v>
      </c>
      <c r="M825" t="s">
        <v>1296</v>
      </c>
      <c r="N825">
        <v>5</v>
      </c>
      <c r="O825" t="s">
        <v>807</v>
      </c>
      <c r="P825">
        <v>0.04</v>
      </c>
      <c r="Q825" t="s">
        <v>245</v>
      </c>
      <c r="R825">
        <v>28.6</v>
      </c>
      <c r="S825">
        <v>31.4</v>
      </c>
      <c r="T825">
        <v>28.6</v>
      </c>
      <c r="U825">
        <v>4.3</v>
      </c>
      <c r="V825">
        <v>7.1</v>
      </c>
    </row>
    <row r="826" spans="1:22" x14ac:dyDescent="0.25">
      <c r="A826" t="s">
        <v>2134</v>
      </c>
      <c r="B826" t="s">
        <v>507</v>
      </c>
      <c r="C826">
        <v>29</v>
      </c>
      <c r="D826" t="s">
        <v>79</v>
      </c>
      <c r="E826" t="s">
        <v>23</v>
      </c>
      <c r="F826" t="s">
        <v>39</v>
      </c>
      <c r="G826">
        <v>0.48</v>
      </c>
      <c r="H826" t="s">
        <v>23</v>
      </c>
      <c r="I826">
        <v>-7</v>
      </c>
      <c r="J826" t="str">
        <f>HYPERLINK("https://www.eliteprospects.com/player/796654/max-vilen")</f>
        <v>https://www.eliteprospects.com/player/796654/max-vilen</v>
      </c>
      <c r="K826" t="s">
        <v>27</v>
      </c>
      <c r="L826" t="s">
        <v>804</v>
      </c>
      <c r="M826" t="s">
        <v>1296</v>
      </c>
      <c r="N826">
        <v>1</v>
      </c>
      <c r="O826" t="s">
        <v>816</v>
      </c>
      <c r="P826">
        <v>0.05</v>
      </c>
      <c r="Q826" t="s">
        <v>1325</v>
      </c>
      <c r="R826">
        <v>26.3</v>
      </c>
      <c r="S826">
        <v>23.7</v>
      </c>
      <c r="T826">
        <v>28.9</v>
      </c>
      <c r="U826">
        <v>5.3</v>
      </c>
      <c r="V826">
        <v>15.8</v>
      </c>
    </row>
    <row r="827" spans="1:22" x14ac:dyDescent="0.25">
      <c r="A827" t="s">
        <v>2135</v>
      </c>
      <c r="B827" t="s">
        <v>824</v>
      </c>
      <c r="C827">
        <v>33</v>
      </c>
      <c r="D827" t="s">
        <v>79</v>
      </c>
      <c r="E827" t="s">
        <v>23</v>
      </c>
      <c r="F827" t="s">
        <v>39</v>
      </c>
      <c r="G827">
        <v>0.42</v>
      </c>
      <c r="H827" t="s">
        <v>32</v>
      </c>
      <c r="I827">
        <v>5</v>
      </c>
      <c r="J827" t="str">
        <f>HYPERLINK("https://www.eliteprospects.com/player/806442/eddy-doyle")</f>
        <v>https://www.eliteprospects.com/player/806442/eddy-doyle</v>
      </c>
      <c r="K827" t="s">
        <v>27</v>
      </c>
      <c r="L827" t="s">
        <v>804</v>
      </c>
      <c r="M827" t="s">
        <v>1296</v>
      </c>
      <c r="N827">
        <v>3</v>
      </c>
      <c r="O827" t="s">
        <v>805</v>
      </c>
      <c r="P827">
        <v>0.05</v>
      </c>
      <c r="Q827" t="s">
        <v>1325</v>
      </c>
      <c r="R827">
        <v>26.3</v>
      </c>
      <c r="S827">
        <v>23.7</v>
      </c>
      <c r="T827">
        <v>28.9</v>
      </c>
      <c r="U827">
        <v>5.3</v>
      </c>
      <c r="V827">
        <v>15.8</v>
      </c>
    </row>
    <row r="828" spans="1:22" x14ac:dyDescent="0.25">
      <c r="A828" t="s">
        <v>2136</v>
      </c>
      <c r="B828" t="s">
        <v>826</v>
      </c>
      <c r="C828">
        <v>33</v>
      </c>
      <c r="D828" t="s">
        <v>260</v>
      </c>
      <c r="E828" t="s">
        <v>65</v>
      </c>
      <c r="F828" t="s">
        <v>39</v>
      </c>
      <c r="G828">
        <v>0.42</v>
      </c>
      <c r="H828" t="s">
        <v>66</v>
      </c>
      <c r="I828">
        <v>9</v>
      </c>
      <c r="J828" t="str">
        <f>HYPERLINK("https://www.eliteprospects.com/player/958724/filip-kovalcik")</f>
        <v>https://www.eliteprospects.com/player/958724/filip-kovalcik</v>
      </c>
      <c r="K828" t="s">
        <v>27</v>
      </c>
      <c r="L828" t="s">
        <v>804</v>
      </c>
      <c r="M828" t="s">
        <v>1296</v>
      </c>
      <c r="N828">
        <v>1</v>
      </c>
      <c r="O828" t="s">
        <v>816</v>
      </c>
      <c r="P828">
        <v>0.05</v>
      </c>
      <c r="Q828" t="s">
        <v>1325</v>
      </c>
      <c r="R828">
        <v>26.3</v>
      </c>
      <c r="S828">
        <v>23.7</v>
      </c>
      <c r="T828">
        <v>28.9</v>
      </c>
      <c r="U828">
        <v>5.3</v>
      </c>
      <c r="V828">
        <v>15.8</v>
      </c>
    </row>
    <row r="829" spans="1:22" x14ac:dyDescent="0.25">
      <c r="A829" t="s">
        <v>2137</v>
      </c>
      <c r="B829" t="s">
        <v>507</v>
      </c>
      <c r="C829">
        <v>38</v>
      </c>
      <c r="D829" t="s">
        <v>79</v>
      </c>
      <c r="E829" t="s">
        <v>69</v>
      </c>
      <c r="F829" t="s">
        <v>65</v>
      </c>
      <c r="G829">
        <v>0.34</v>
      </c>
      <c r="H829" t="s">
        <v>55</v>
      </c>
      <c r="I829">
        <v>-6</v>
      </c>
      <c r="J829" t="str">
        <f>HYPERLINK("https://www.eliteprospects.com/player/880927/biagio-jr.-daniele")</f>
        <v>https://www.eliteprospects.com/player/880927/biagio-jr.-daniele</v>
      </c>
      <c r="K829" t="s">
        <v>27</v>
      </c>
      <c r="L829" t="s">
        <v>804</v>
      </c>
      <c r="M829" t="s">
        <v>1296</v>
      </c>
      <c r="N829">
        <v>2</v>
      </c>
      <c r="O829" t="s">
        <v>825</v>
      </c>
      <c r="P829">
        <v>0.04</v>
      </c>
      <c r="Q829" t="s">
        <v>245</v>
      </c>
      <c r="R829">
        <v>28.6</v>
      </c>
      <c r="S829">
        <v>31.4</v>
      </c>
      <c r="T829">
        <v>28.6</v>
      </c>
      <c r="U829">
        <v>4.3</v>
      </c>
      <c r="V829">
        <v>7.1</v>
      </c>
    </row>
    <row r="830" spans="1:22" x14ac:dyDescent="0.25">
      <c r="A830" t="s">
        <v>2138</v>
      </c>
      <c r="B830" t="s">
        <v>812</v>
      </c>
      <c r="C830">
        <v>38</v>
      </c>
      <c r="D830" t="s">
        <v>79</v>
      </c>
      <c r="E830" t="s">
        <v>69</v>
      </c>
      <c r="F830" t="s">
        <v>65</v>
      </c>
      <c r="G830">
        <v>0.34</v>
      </c>
      <c r="H830" t="s">
        <v>47</v>
      </c>
      <c r="I830">
        <v>17</v>
      </c>
      <c r="J830" t="str">
        <f>HYPERLINK("https://www.eliteprospects.com/player/727113/alexis-lemire")</f>
        <v>https://www.eliteprospects.com/player/727113/alexis-lemire</v>
      </c>
      <c r="K830" t="s">
        <v>27</v>
      </c>
      <c r="L830" t="s">
        <v>804</v>
      </c>
      <c r="M830" t="s">
        <v>1296</v>
      </c>
      <c r="N830">
        <v>4</v>
      </c>
      <c r="O830" t="s">
        <v>809</v>
      </c>
      <c r="P830">
        <v>0.04</v>
      </c>
      <c r="Q830" t="s">
        <v>245</v>
      </c>
      <c r="R830">
        <v>28.6</v>
      </c>
      <c r="S830">
        <v>31.4</v>
      </c>
      <c r="T830">
        <v>28.6</v>
      </c>
      <c r="U830">
        <v>4.3</v>
      </c>
      <c r="V830">
        <v>7.1</v>
      </c>
    </row>
    <row r="831" spans="1:22" x14ac:dyDescent="0.25">
      <c r="A831" t="s">
        <v>2139</v>
      </c>
      <c r="B831" t="s">
        <v>818</v>
      </c>
      <c r="C831">
        <v>38</v>
      </c>
      <c r="D831" t="s">
        <v>260</v>
      </c>
      <c r="E831" t="s">
        <v>23</v>
      </c>
      <c r="F831" t="s">
        <v>65</v>
      </c>
      <c r="G831">
        <v>0.34</v>
      </c>
      <c r="H831" t="s">
        <v>24</v>
      </c>
      <c r="I831">
        <v>17</v>
      </c>
      <c r="J831" t="str">
        <f>HYPERLINK("https://www.eliteprospects.com/player/577055/zackary-plamondon")</f>
        <v>https://www.eliteprospects.com/player/577055/zackary-plamondon</v>
      </c>
      <c r="K831" t="s">
        <v>27</v>
      </c>
      <c r="L831" t="s">
        <v>804</v>
      </c>
      <c r="M831" t="s">
        <v>1296</v>
      </c>
      <c r="N831">
        <v>3</v>
      </c>
      <c r="O831" t="s">
        <v>805</v>
      </c>
      <c r="P831">
        <v>0.04</v>
      </c>
      <c r="Q831" t="s">
        <v>245</v>
      </c>
      <c r="R831">
        <v>28.6</v>
      </c>
      <c r="S831">
        <v>31.4</v>
      </c>
      <c r="T831">
        <v>28.6</v>
      </c>
      <c r="U831">
        <v>4.3</v>
      </c>
      <c r="V831">
        <v>7.1</v>
      </c>
    </row>
    <row r="832" spans="1:22" x14ac:dyDescent="0.25">
      <c r="A832" t="s">
        <v>2140</v>
      </c>
      <c r="B832" t="s">
        <v>815</v>
      </c>
      <c r="C832">
        <v>34</v>
      </c>
      <c r="D832" t="s">
        <v>132</v>
      </c>
      <c r="E832" t="s">
        <v>65</v>
      </c>
      <c r="F832" t="s">
        <v>65</v>
      </c>
      <c r="G832">
        <v>0.38</v>
      </c>
      <c r="H832" t="s">
        <v>38</v>
      </c>
      <c r="I832">
        <v>-11</v>
      </c>
      <c r="J832" t="str">
        <f>HYPERLINK("https://www.eliteprospects.com/player/747936/maddox-labre")</f>
        <v>https://www.eliteprospects.com/player/747936/maddox-labre</v>
      </c>
      <c r="K832" t="s">
        <v>27</v>
      </c>
      <c r="L832" t="s">
        <v>804</v>
      </c>
      <c r="M832" t="s">
        <v>1296</v>
      </c>
      <c r="N832">
        <v>3</v>
      </c>
      <c r="O832" t="s">
        <v>805</v>
      </c>
      <c r="P832">
        <v>0.04</v>
      </c>
      <c r="Q832" t="s">
        <v>245</v>
      </c>
      <c r="R832">
        <v>28.6</v>
      </c>
      <c r="S832">
        <v>31.4</v>
      </c>
      <c r="T832">
        <v>28.6</v>
      </c>
      <c r="U832">
        <v>4.3</v>
      </c>
      <c r="V832">
        <v>7.1</v>
      </c>
    </row>
    <row r="833" spans="1:22" x14ac:dyDescent="0.25">
      <c r="A833" t="s">
        <v>2141</v>
      </c>
      <c r="B833" t="s">
        <v>856</v>
      </c>
      <c r="C833">
        <v>28</v>
      </c>
      <c r="D833" t="s">
        <v>96</v>
      </c>
      <c r="E833" t="s">
        <v>78</v>
      </c>
      <c r="F833" t="s">
        <v>23</v>
      </c>
      <c r="G833">
        <v>0.43</v>
      </c>
      <c r="H833" t="s">
        <v>65</v>
      </c>
      <c r="I833">
        <v>-4</v>
      </c>
      <c r="J833" t="str">
        <f>HYPERLINK("https://www.eliteprospects.com/player/673078/jack-martin")</f>
        <v>https://www.eliteprospects.com/player/673078/jack-martin</v>
      </c>
      <c r="K833" t="s">
        <v>27</v>
      </c>
      <c r="L833" t="s">
        <v>804</v>
      </c>
      <c r="M833" t="s">
        <v>1296</v>
      </c>
      <c r="N833">
        <v>5</v>
      </c>
      <c r="O833" t="s">
        <v>807</v>
      </c>
      <c r="P833">
        <v>0.05</v>
      </c>
      <c r="Q833" t="s">
        <v>1325</v>
      </c>
      <c r="R833">
        <v>26.3</v>
      </c>
      <c r="S833">
        <v>23.7</v>
      </c>
      <c r="T833">
        <v>28.9</v>
      </c>
      <c r="U833">
        <v>5.3</v>
      </c>
      <c r="V833">
        <v>15.8</v>
      </c>
    </row>
    <row r="834" spans="1:22" x14ac:dyDescent="0.25">
      <c r="A834" t="s">
        <v>2142</v>
      </c>
      <c r="B834" t="s">
        <v>821</v>
      </c>
      <c r="C834">
        <v>38</v>
      </c>
      <c r="D834" t="s">
        <v>79</v>
      </c>
      <c r="E834" t="s">
        <v>32</v>
      </c>
      <c r="F834" t="s">
        <v>23</v>
      </c>
      <c r="G834">
        <v>0.32</v>
      </c>
      <c r="H834" t="s">
        <v>53</v>
      </c>
      <c r="I834">
        <v>-3</v>
      </c>
      <c r="J834" t="str">
        <f>HYPERLINK("https://www.eliteprospects.com/player/803899/brady-peddle")</f>
        <v>https://www.eliteprospects.com/player/803899/brady-peddle</v>
      </c>
      <c r="K834" t="s">
        <v>27</v>
      </c>
      <c r="L834" t="s">
        <v>804</v>
      </c>
      <c r="M834" t="s">
        <v>1296</v>
      </c>
      <c r="N834">
        <v>1</v>
      </c>
      <c r="O834" t="s">
        <v>816</v>
      </c>
      <c r="P834">
        <v>0.04</v>
      </c>
      <c r="Q834" t="s">
        <v>245</v>
      </c>
      <c r="R834">
        <v>28.6</v>
      </c>
      <c r="S834">
        <v>31.4</v>
      </c>
      <c r="T834">
        <v>28.6</v>
      </c>
      <c r="U834">
        <v>4.3</v>
      </c>
      <c r="V834">
        <v>7.1</v>
      </c>
    </row>
    <row r="835" spans="1:22" x14ac:dyDescent="0.25">
      <c r="A835" t="s">
        <v>2143</v>
      </c>
      <c r="B835" t="s">
        <v>848</v>
      </c>
      <c r="C835">
        <v>39</v>
      </c>
      <c r="D835" t="s">
        <v>79</v>
      </c>
      <c r="E835" t="s">
        <v>32</v>
      </c>
      <c r="F835" t="s">
        <v>23</v>
      </c>
      <c r="G835">
        <v>0.31</v>
      </c>
      <c r="H835" t="s">
        <v>265</v>
      </c>
      <c r="I835">
        <v>-22</v>
      </c>
      <c r="J835" t="str">
        <f>HYPERLINK("https://www.eliteprospects.com/player/599567/jeremie-dumas")</f>
        <v>https://www.eliteprospects.com/player/599567/jeremie-dumas</v>
      </c>
      <c r="K835" t="s">
        <v>27</v>
      </c>
      <c r="L835" t="s">
        <v>804</v>
      </c>
      <c r="M835" t="s">
        <v>1296</v>
      </c>
      <c r="N835">
        <v>5</v>
      </c>
      <c r="O835" t="s">
        <v>807</v>
      </c>
      <c r="P835">
        <v>0.04</v>
      </c>
      <c r="Q835" t="s">
        <v>245</v>
      </c>
      <c r="R835">
        <v>28.6</v>
      </c>
      <c r="S835">
        <v>31.4</v>
      </c>
      <c r="T835">
        <v>28.6</v>
      </c>
      <c r="U835">
        <v>4.3</v>
      </c>
      <c r="V835">
        <v>7.1</v>
      </c>
    </row>
    <row r="836" spans="1:22" x14ac:dyDescent="0.25">
      <c r="A836" t="s">
        <v>2144</v>
      </c>
      <c r="B836" t="s">
        <v>812</v>
      </c>
      <c r="C836">
        <v>32</v>
      </c>
      <c r="D836" t="s">
        <v>260</v>
      </c>
      <c r="E836" t="s">
        <v>69</v>
      </c>
      <c r="F836" t="s">
        <v>23</v>
      </c>
      <c r="G836">
        <v>0.38</v>
      </c>
      <c r="H836" t="s">
        <v>55</v>
      </c>
      <c r="I836">
        <v>7</v>
      </c>
      <c r="J836" t="str">
        <f>HYPERLINK("https://www.eliteprospects.com/player/944329/guus-van-der-kaaij")</f>
        <v>https://www.eliteprospects.com/player/944329/guus-van-der-kaaij</v>
      </c>
      <c r="K836" t="s">
        <v>27</v>
      </c>
      <c r="L836" t="s">
        <v>804</v>
      </c>
      <c r="M836" t="s">
        <v>1296</v>
      </c>
      <c r="N836">
        <v>1</v>
      </c>
      <c r="O836" t="s">
        <v>816</v>
      </c>
      <c r="P836">
        <v>0.04</v>
      </c>
      <c r="Q836" t="s">
        <v>245</v>
      </c>
      <c r="R836">
        <v>28.6</v>
      </c>
      <c r="S836">
        <v>31.4</v>
      </c>
      <c r="T836">
        <v>28.6</v>
      </c>
      <c r="U836">
        <v>4.3</v>
      </c>
      <c r="V836">
        <v>7.1</v>
      </c>
    </row>
    <row r="837" spans="1:22" x14ac:dyDescent="0.25">
      <c r="A837" t="s">
        <v>2145</v>
      </c>
      <c r="B837" t="s">
        <v>507</v>
      </c>
      <c r="C837">
        <v>39</v>
      </c>
      <c r="D837" t="s">
        <v>260</v>
      </c>
      <c r="E837" t="s">
        <v>69</v>
      </c>
      <c r="F837" t="s">
        <v>23</v>
      </c>
      <c r="G837">
        <v>0.31</v>
      </c>
      <c r="H837" t="s">
        <v>39</v>
      </c>
      <c r="I837">
        <v>12</v>
      </c>
      <c r="J837" t="str">
        <f>HYPERLINK("https://www.eliteprospects.com/player/744834/bo-damphousse")</f>
        <v>https://www.eliteprospects.com/player/744834/bo-damphousse</v>
      </c>
      <c r="K837" t="s">
        <v>27</v>
      </c>
      <c r="L837" t="s">
        <v>804</v>
      </c>
      <c r="M837" t="s">
        <v>1296</v>
      </c>
      <c r="N837">
        <v>3</v>
      </c>
      <c r="O837" t="s">
        <v>805</v>
      </c>
      <c r="P837">
        <v>0.04</v>
      </c>
      <c r="Q837" t="s">
        <v>245</v>
      </c>
      <c r="R837">
        <v>28.6</v>
      </c>
      <c r="S837">
        <v>31.4</v>
      </c>
      <c r="T837">
        <v>28.6</v>
      </c>
      <c r="U837">
        <v>4.3</v>
      </c>
      <c r="V837">
        <v>7.1</v>
      </c>
    </row>
    <row r="838" spans="1:22" x14ac:dyDescent="0.25">
      <c r="A838" t="s">
        <v>2146</v>
      </c>
      <c r="B838" t="s">
        <v>832</v>
      </c>
      <c r="C838">
        <v>36</v>
      </c>
      <c r="D838" t="s">
        <v>96</v>
      </c>
      <c r="E838" t="s">
        <v>57</v>
      </c>
      <c r="F838" t="s">
        <v>69</v>
      </c>
      <c r="G838">
        <v>0.31</v>
      </c>
      <c r="H838" t="s">
        <v>26</v>
      </c>
      <c r="I838">
        <v>-3</v>
      </c>
      <c r="J838" t="str">
        <f>HYPERLINK("https://www.eliteprospects.com/player/885506/brandon-delarosbil")</f>
        <v>https://www.eliteprospects.com/player/885506/brandon-delarosbil</v>
      </c>
      <c r="K838" t="s">
        <v>27</v>
      </c>
      <c r="L838" t="s">
        <v>804</v>
      </c>
      <c r="M838" t="s">
        <v>1296</v>
      </c>
      <c r="N838">
        <v>2</v>
      </c>
      <c r="O838" t="s">
        <v>825</v>
      </c>
      <c r="P838">
        <v>0.04</v>
      </c>
      <c r="Q838" t="s">
        <v>245</v>
      </c>
      <c r="R838">
        <v>28.6</v>
      </c>
      <c r="S838">
        <v>31.4</v>
      </c>
      <c r="T838">
        <v>28.6</v>
      </c>
      <c r="U838">
        <v>4.3</v>
      </c>
      <c r="V838">
        <v>7.1</v>
      </c>
    </row>
    <row r="839" spans="1:22" x14ac:dyDescent="0.25">
      <c r="A839" t="s">
        <v>2147</v>
      </c>
      <c r="B839" t="s">
        <v>856</v>
      </c>
      <c r="C839">
        <v>35</v>
      </c>
      <c r="D839" t="s">
        <v>66</v>
      </c>
      <c r="E839" t="s">
        <v>78</v>
      </c>
      <c r="F839" t="s">
        <v>69</v>
      </c>
      <c r="G839">
        <v>0.31</v>
      </c>
      <c r="H839" t="s">
        <v>24</v>
      </c>
      <c r="I839">
        <v>-9</v>
      </c>
      <c r="J839" t="str">
        <f>HYPERLINK("https://www.eliteprospects.com/player/765828/luca-nappiot")</f>
        <v>https://www.eliteprospects.com/player/765828/luca-nappiot</v>
      </c>
      <c r="K839" t="s">
        <v>27</v>
      </c>
      <c r="L839" t="s">
        <v>804</v>
      </c>
      <c r="M839" t="s">
        <v>1296</v>
      </c>
      <c r="N839">
        <v>1</v>
      </c>
      <c r="O839" t="s">
        <v>816</v>
      </c>
      <c r="P839">
        <v>0.04</v>
      </c>
      <c r="Q839" t="s">
        <v>245</v>
      </c>
      <c r="R839">
        <v>28.6</v>
      </c>
      <c r="S839">
        <v>31.4</v>
      </c>
      <c r="T839">
        <v>28.6</v>
      </c>
      <c r="U839">
        <v>4.3</v>
      </c>
      <c r="V839">
        <v>7.1</v>
      </c>
    </row>
    <row r="840" spans="1:22" x14ac:dyDescent="0.25">
      <c r="A840" t="s">
        <v>2148</v>
      </c>
      <c r="B840" t="s">
        <v>832</v>
      </c>
      <c r="C840">
        <v>39</v>
      </c>
      <c r="D840" t="s">
        <v>66</v>
      </c>
      <c r="E840" t="s">
        <v>78</v>
      </c>
      <c r="F840" t="s">
        <v>69</v>
      </c>
      <c r="G840">
        <v>0.28000000000000003</v>
      </c>
      <c r="H840" t="s">
        <v>427</v>
      </c>
      <c r="I840">
        <v>-16</v>
      </c>
      <c r="J840" t="str">
        <f>HYPERLINK("https://www.eliteprospects.com/player/727930/sydney-gagnon")</f>
        <v>https://www.eliteprospects.com/player/727930/sydney-gagnon</v>
      </c>
      <c r="K840" t="s">
        <v>27</v>
      </c>
      <c r="L840" t="s">
        <v>804</v>
      </c>
      <c r="M840" t="s">
        <v>1296</v>
      </c>
      <c r="N840">
        <v>3</v>
      </c>
      <c r="O840" t="s">
        <v>805</v>
      </c>
      <c r="P840">
        <v>0.03</v>
      </c>
      <c r="Q840" t="s">
        <v>245</v>
      </c>
      <c r="R840">
        <v>28.6</v>
      </c>
      <c r="S840">
        <v>31.4</v>
      </c>
      <c r="T840">
        <v>28.6</v>
      </c>
      <c r="U840">
        <v>4.3</v>
      </c>
      <c r="V840">
        <v>7.1</v>
      </c>
    </row>
    <row r="841" spans="1:22" x14ac:dyDescent="0.25">
      <c r="A841" t="s">
        <v>2149</v>
      </c>
      <c r="B841" t="s">
        <v>507</v>
      </c>
      <c r="C841">
        <v>37</v>
      </c>
      <c r="D841" t="s">
        <v>140</v>
      </c>
      <c r="E841" t="s">
        <v>26</v>
      </c>
      <c r="F841" t="s">
        <v>69</v>
      </c>
      <c r="G841">
        <v>0.3</v>
      </c>
      <c r="H841" t="s">
        <v>600</v>
      </c>
      <c r="I841">
        <v>20</v>
      </c>
      <c r="J841" t="str">
        <f>HYPERLINK("https://www.eliteprospects.com/player/646706/alexandre-carbonneau")</f>
        <v>https://www.eliteprospects.com/player/646706/alexandre-carbonneau</v>
      </c>
      <c r="K841" t="s">
        <v>27</v>
      </c>
      <c r="L841" t="s">
        <v>804</v>
      </c>
      <c r="M841" t="s">
        <v>1296</v>
      </c>
      <c r="N841">
        <v>3</v>
      </c>
      <c r="O841" t="s">
        <v>805</v>
      </c>
      <c r="P841">
        <v>0.03</v>
      </c>
      <c r="Q841" t="s">
        <v>245</v>
      </c>
      <c r="R841">
        <v>28.6</v>
      </c>
      <c r="S841">
        <v>31.4</v>
      </c>
      <c r="T841">
        <v>28.6</v>
      </c>
      <c r="U841">
        <v>4.3</v>
      </c>
      <c r="V841">
        <v>7.1</v>
      </c>
    </row>
    <row r="842" spans="1:22" x14ac:dyDescent="0.25">
      <c r="A842" t="s">
        <v>2150</v>
      </c>
      <c r="B842" t="s">
        <v>812</v>
      </c>
      <c r="C842">
        <v>25</v>
      </c>
      <c r="D842" t="s">
        <v>79</v>
      </c>
      <c r="E842" t="s">
        <v>45</v>
      </c>
      <c r="F842" t="s">
        <v>69</v>
      </c>
      <c r="G842">
        <v>0.44</v>
      </c>
      <c r="H842" t="s">
        <v>57</v>
      </c>
      <c r="I842">
        <v>-5</v>
      </c>
      <c r="J842" t="str">
        <f>HYPERLINK("https://www.eliteprospects.com/player/592015/axel-dufresne")</f>
        <v>https://www.eliteprospects.com/player/592015/axel-dufresne</v>
      </c>
      <c r="K842" t="s">
        <v>27</v>
      </c>
      <c r="L842" t="s">
        <v>804</v>
      </c>
      <c r="M842" t="s">
        <v>1296</v>
      </c>
      <c r="N842">
        <v>5</v>
      </c>
      <c r="O842" t="s">
        <v>807</v>
      </c>
      <c r="P842">
        <v>0.05</v>
      </c>
      <c r="Q842" t="s">
        <v>1325</v>
      </c>
      <c r="R842">
        <v>26.3</v>
      </c>
      <c r="S842">
        <v>23.7</v>
      </c>
      <c r="T842">
        <v>28.9</v>
      </c>
      <c r="U842">
        <v>5.3</v>
      </c>
      <c r="V842">
        <v>15.8</v>
      </c>
    </row>
    <row r="843" spans="1:22" x14ac:dyDescent="0.25">
      <c r="A843" t="s">
        <v>2151</v>
      </c>
      <c r="B843" t="s">
        <v>824</v>
      </c>
      <c r="C843">
        <v>38</v>
      </c>
      <c r="D843" t="s">
        <v>79</v>
      </c>
      <c r="E843" t="s">
        <v>45</v>
      </c>
      <c r="F843" t="s">
        <v>69</v>
      </c>
      <c r="G843">
        <v>0.28999999999999998</v>
      </c>
      <c r="H843" t="s">
        <v>24</v>
      </c>
      <c r="I843">
        <v>-8</v>
      </c>
      <c r="J843" t="str">
        <f>HYPERLINK("https://www.eliteprospects.com/player/908578/malik-l-italien")</f>
        <v>https://www.eliteprospects.com/player/908578/malik-l-italien</v>
      </c>
      <c r="K843" t="s">
        <v>27</v>
      </c>
      <c r="L843" t="s">
        <v>804</v>
      </c>
      <c r="M843" t="s">
        <v>1296</v>
      </c>
      <c r="N843">
        <v>1</v>
      </c>
      <c r="O843" t="s">
        <v>816</v>
      </c>
      <c r="P843">
        <v>0.03</v>
      </c>
      <c r="Q843" t="s">
        <v>245</v>
      </c>
      <c r="R843">
        <v>28.6</v>
      </c>
      <c r="S843">
        <v>31.4</v>
      </c>
      <c r="T843">
        <v>28.6</v>
      </c>
      <c r="U843">
        <v>4.3</v>
      </c>
      <c r="V843">
        <v>7.1</v>
      </c>
    </row>
    <row r="844" spans="1:22" x14ac:dyDescent="0.25">
      <c r="A844" t="s">
        <v>2152</v>
      </c>
      <c r="B844" t="s">
        <v>832</v>
      </c>
      <c r="C844">
        <v>37</v>
      </c>
      <c r="D844" t="s">
        <v>79</v>
      </c>
      <c r="E844" t="s">
        <v>26</v>
      </c>
      <c r="F844" t="s">
        <v>32</v>
      </c>
      <c r="G844">
        <v>0.27</v>
      </c>
      <c r="H844" t="s">
        <v>34</v>
      </c>
      <c r="I844">
        <v>-13</v>
      </c>
      <c r="J844" t="str">
        <f>HYPERLINK("https://www.eliteprospects.com/player/646866/jean-felix-lapointe")</f>
        <v>https://www.eliteprospects.com/player/646866/jean-felix-lapointe</v>
      </c>
      <c r="K844" t="s">
        <v>27</v>
      </c>
      <c r="L844" t="s">
        <v>804</v>
      </c>
      <c r="M844" t="s">
        <v>1296</v>
      </c>
      <c r="N844">
        <v>4</v>
      </c>
      <c r="O844" t="s">
        <v>809</v>
      </c>
      <c r="P844">
        <v>0.03</v>
      </c>
      <c r="Q844" t="s">
        <v>245</v>
      </c>
      <c r="R844">
        <v>28.6</v>
      </c>
      <c r="S844">
        <v>31.4</v>
      </c>
      <c r="T844">
        <v>28.6</v>
      </c>
      <c r="U844">
        <v>4.3</v>
      </c>
      <c r="V844">
        <v>7.1</v>
      </c>
    </row>
    <row r="845" spans="1:22" x14ac:dyDescent="0.25">
      <c r="A845" t="s">
        <v>2153</v>
      </c>
      <c r="B845" t="s">
        <v>865</v>
      </c>
      <c r="C845">
        <v>38</v>
      </c>
      <c r="D845" t="s">
        <v>79</v>
      </c>
      <c r="E845" t="s">
        <v>26</v>
      </c>
      <c r="F845" t="s">
        <v>32</v>
      </c>
      <c r="G845">
        <v>0.26</v>
      </c>
      <c r="H845" t="s">
        <v>81</v>
      </c>
      <c r="I845">
        <v>-4</v>
      </c>
      <c r="J845" t="str">
        <f>HYPERLINK("https://www.eliteprospects.com/player/876253/drew-allison")</f>
        <v>https://www.eliteprospects.com/player/876253/drew-allison</v>
      </c>
      <c r="K845" t="s">
        <v>27</v>
      </c>
      <c r="L845" t="s">
        <v>804</v>
      </c>
      <c r="M845" t="s">
        <v>1296</v>
      </c>
      <c r="N845">
        <v>2</v>
      </c>
      <c r="O845" t="s">
        <v>825</v>
      </c>
      <c r="P845">
        <v>0.03</v>
      </c>
      <c r="Q845" t="s">
        <v>245</v>
      </c>
      <c r="R845">
        <v>28.6</v>
      </c>
      <c r="S845">
        <v>31.4</v>
      </c>
      <c r="T845">
        <v>28.6</v>
      </c>
      <c r="U845">
        <v>4.3</v>
      </c>
      <c r="V845">
        <v>7.1</v>
      </c>
    </row>
    <row r="846" spans="1:22" x14ac:dyDescent="0.25">
      <c r="A846" t="s">
        <v>2154</v>
      </c>
      <c r="B846" t="s">
        <v>826</v>
      </c>
      <c r="C846">
        <v>40</v>
      </c>
      <c r="D846" t="s">
        <v>79</v>
      </c>
      <c r="E846" t="s">
        <v>78</v>
      </c>
      <c r="F846" t="s">
        <v>45</v>
      </c>
      <c r="G846">
        <v>0.23</v>
      </c>
      <c r="H846" t="s">
        <v>23</v>
      </c>
      <c r="I846">
        <v>6</v>
      </c>
      <c r="J846" t="str">
        <f>HYPERLINK("https://www.eliteprospects.com/player/668063/matteo-rotondi")</f>
        <v>https://www.eliteprospects.com/player/668063/matteo-rotondi</v>
      </c>
      <c r="K846" t="s">
        <v>27</v>
      </c>
      <c r="L846" t="s">
        <v>804</v>
      </c>
      <c r="M846" t="s">
        <v>1296</v>
      </c>
      <c r="N846">
        <v>5</v>
      </c>
      <c r="O846" t="s">
        <v>807</v>
      </c>
      <c r="P846">
        <v>0.03</v>
      </c>
      <c r="Q846" t="s">
        <v>245</v>
      </c>
      <c r="R846">
        <v>28.6</v>
      </c>
      <c r="S846">
        <v>31.4</v>
      </c>
      <c r="T846">
        <v>28.6</v>
      </c>
      <c r="U846">
        <v>4.3</v>
      </c>
      <c r="V846">
        <v>7.1</v>
      </c>
    </row>
    <row r="847" spans="1:22" x14ac:dyDescent="0.25">
      <c r="A847" t="s">
        <v>2155</v>
      </c>
      <c r="B847" t="s">
        <v>822</v>
      </c>
      <c r="C847">
        <v>19</v>
      </c>
      <c r="D847" t="s">
        <v>260</v>
      </c>
      <c r="E847" t="s">
        <v>26</v>
      </c>
      <c r="F847" t="s">
        <v>45</v>
      </c>
      <c r="G847">
        <v>0.47</v>
      </c>
      <c r="H847" t="s">
        <v>47</v>
      </c>
      <c r="I847">
        <v>0</v>
      </c>
      <c r="J847" t="str">
        <f>HYPERLINK("https://www.eliteprospects.com/player/693221/jack-brauti")</f>
        <v>https://www.eliteprospects.com/player/693221/jack-brauti</v>
      </c>
      <c r="K847" t="s">
        <v>27</v>
      </c>
      <c r="L847" t="s">
        <v>804</v>
      </c>
      <c r="M847" t="s">
        <v>1296</v>
      </c>
      <c r="N847">
        <v>3</v>
      </c>
      <c r="O847" t="s">
        <v>894</v>
      </c>
      <c r="P847">
        <v>0.05</v>
      </c>
      <c r="Q847" t="s">
        <v>1325</v>
      </c>
      <c r="R847">
        <v>26.3</v>
      </c>
      <c r="S847">
        <v>23.7</v>
      </c>
      <c r="T847">
        <v>28.9</v>
      </c>
      <c r="U847">
        <v>5.3</v>
      </c>
      <c r="V847">
        <v>15.8</v>
      </c>
    </row>
    <row r="848" spans="1:22" x14ac:dyDescent="0.25">
      <c r="A848" t="s">
        <v>2156</v>
      </c>
      <c r="B848" t="s">
        <v>823</v>
      </c>
      <c r="C848">
        <v>35</v>
      </c>
      <c r="D848" t="s">
        <v>140</v>
      </c>
      <c r="E848" t="s">
        <v>96</v>
      </c>
      <c r="F848" t="s">
        <v>26</v>
      </c>
      <c r="G848">
        <v>0.23</v>
      </c>
      <c r="H848" t="s">
        <v>497</v>
      </c>
      <c r="I848">
        <v>5</v>
      </c>
      <c r="J848" t="str">
        <f>HYPERLINK("https://www.eliteprospects.com/player/852128/logan-brennan")</f>
        <v>https://www.eliteprospects.com/player/852128/logan-brennan</v>
      </c>
      <c r="K848" t="s">
        <v>27</v>
      </c>
      <c r="L848" t="s">
        <v>804</v>
      </c>
      <c r="M848" t="s">
        <v>1296</v>
      </c>
      <c r="N848">
        <v>1</v>
      </c>
      <c r="O848" t="s">
        <v>816</v>
      </c>
      <c r="P848">
        <v>0.03</v>
      </c>
      <c r="Q848" t="s">
        <v>245</v>
      </c>
      <c r="R848">
        <v>28.6</v>
      </c>
      <c r="S848">
        <v>31.4</v>
      </c>
      <c r="T848">
        <v>28.6</v>
      </c>
      <c r="U848">
        <v>4.3</v>
      </c>
      <c r="V848">
        <v>7.1</v>
      </c>
    </row>
    <row r="849" spans="1:22" x14ac:dyDescent="0.25">
      <c r="A849" t="s">
        <v>2157</v>
      </c>
      <c r="B849" t="s">
        <v>818</v>
      </c>
      <c r="C849">
        <v>39</v>
      </c>
      <c r="D849" t="s">
        <v>79</v>
      </c>
      <c r="E849" t="s">
        <v>57</v>
      </c>
      <c r="F849" t="s">
        <v>26</v>
      </c>
      <c r="G849">
        <v>0.21</v>
      </c>
      <c r="H849" t="s">
        <v>81</v>
      </c>
      <c r="I849">
        <v>19</v>
      </c>
      <c r="J849" t="str">
        <f>HYPERLINK("https://www.eliteprospects.com/player/259004/olivier-filaj")</f>
        <v>https://www.eliteprospects.com/player/259004/olivier-filaj</v>
      </c>
      <c r="K849" t="s">
        <v>27</v>
      </c>
      <c r="L849" t="s">
        <v>804</v>
      </c>
      <c r="M849" t="s">
        <v>1296</v>
      </c>
      <c r="N849">
        <v>4</v>
      </c>
      <c r="O849" t="s">
        <v>809</v>
      </c>
      <c r="P849">
        <v>0.02</v>
      </c>
      <c r="Q849" t="s">
        <v>245</v>
      </c>
      <c r="R849">
        <v>28.6</v>
      </c>
      <c r="S849">
        <v>31.4</v>
      </c>
      <c r="T849">
        <v>28.6</v>
      </c>
      <c r="U849">
        <v>4.3</v>
      </c>
      <c r="V849">
        <v>7.1</v>
      </c>
    </row>
    <row r="850" spans="1:22" x14ac:dyDescent="0.25">
      <c r="A850" t="s">
        <v>2158</v>
      </c>
      <c r="B850" t="s">
        <v>507</v>
      </c>
      <c r="C850">
        <v>34</v>
      </c>
      <c r="D850" t="s">
        <v>260</v>
      </c>
      <c r="E850" t="s">
        <v>78</v>
      </c>
      <c r="F850" t="s">
        <v>26</v>
      </c>
      <c r="G850">
        <v>0.24</v>
      </c>
      <c r="H850" t="s">
        <v>84</v>
      </c>
      <c r="I850">
        <v>2</v>
      </c>
      <c r="J850" t="str">
        <f>HYPERLINK("https://www.eliteprospects.com/player/723525/carl-otto-magnusson")</f>
        <v>https://www.eliteprospects.com/player/723525/carl-otto-magnusson</v>
      </c>
      <c r="K850" t="s">
        <v>27</v>
      </c>
      <c r="L850" t="s">
        <v>804</v>
      </c>
      <c r="M850" t="s">
        <v>1296</v>
      </c>
      <c r="N850">
        <v>1</v>
      </c>
      <c r="O850" t="s">
        <v>816</v>
      </c>
      <c r="P850">
        <v>0.03</v>
      </c>
      <c r="Q850" t="s">
        <v>245</v>
      </c>
      <c r="R850">
        <v>28.6</v>
      </c>
      <c r="S850">
        <v>31.4</v>
      </c>
      <c r="T850">
        <v>28.6</v>
      </c>
      <c r="U850">
        <v>4.3</v>
      </c>
      <c r="V850">
        <v>7.1</v>
      </c>
    </row>
    <row r="851" spans="1:22" x14ac:dyDescent="0.25">
      <c r="A851" t="s">
        <v>2159</v>
      </c>
      <c r="B851" t="s">
        <v>820</v>
      </c>
      <c r="C851">
        <v>36</v>
      </c>
      <c r="D851" t="s">
        <v>260</v>
      </c>
      <c r="E851" t="s">
        <v>78</v>
      </c>
      <c r="F851" t="s">
        <v>26</v>
      </c>
      <c r="G851">
        <v>0.22</v>
      </c>
      <c r="H851" t="s">
        <v>589</v>
      </c>
      <c r="I851">
        <v>12</v>
      </c>
      <c r="J851" t="str">
        <f>HYPERLINK("https://www.eliteprospects.com/player/865077/eerik-wallenius")</f>
        <v>https://www.eliteprospects.com/player/865077/eerik-wallenius</v>
      </c>
      <c r="K851" t="s">
        <v>27</v>
      </c>
      <c r="L851" t="s">
        <v>804</v>
      </c>
      <c r="M851" t="s">
        <v>1296</v>
      </c>
      <c r="N851">
        <v>1</v>
      </c>
      <c r="O851" t="s">
        <v>816</v>
      </c>
      <c r="P851">
        <v>0.02</v>
      </c>
      <c r="Q851" t="s">
        <v>245</v>
      </c>
      <c r="R851">
        <v>28.6</v>
      </c>
      <c r="S851">
        <v>31.4</v>
      </c>
      <c r="T851">
        <v>28.6</v>
      </c>
      <c r="U851">
        <v>4.3</v>
      </c>
      <c r="V851">
        <v>7.1</v>
      </c>
    </row>
    <row r="852" spans="1:22" x14ac:dyDescent="0.25">
      <c r="A852" t="s">
        <v>2160</v>
      </c>
      <c r="B852" t="s">
        <v>832</v>
      </c>
      <c r="C852">
        <v>39</v>
      </c>
      <c r="D852" t="s">
        <v>260</v>
      </c>
      <c r="E852" t="s">
        <v>78</v>
      </c>
      <c r="F852" t="s">
        <v>26</v>
      </c>
      <c r="G852">
        <v>0.21</v>
      </c>
      <c r="H852" t="s">
        <v>489</v>
      </c>
      <c r="I852">
        <v>-16</v>
      </c>
      <c r="J852" t="str">
        <f>HYPERLINK("https://www.eliteprospects.com/player/599569/eloi-bourdeau")</f>
        <v>https://www.eliteprospects.com/player/599569/eloi-bourdeau</v>
      </c>
      <c r="K852" t="s">
        <v>27</v>
      </c>
      <c r="L852" t="s">
        <v>804</v>
      </c>
      <c r="M852" t="s">
        <v>1296</v>
      </c>
      <c r="N852">
        <v>4</v>
      </c>
      <c r="O852" t="s">
        <v>809</v>
      </c>
      <c r="P852">
        <v>0.02</v>
      </c>
      <c r="Q852" t="s">
        <v>245</v>
      </c>
      <c r="R852">
        <v>28.6</v>
      </c>
      <c r="S852">
        <v>31.4</v>
      </c>
      <c r="T852">
        <v>28.6</v>
      </c>
      <c r="U852">
        <v>4.3</v>
      </c>
      <c r="V852">
        <v>7.1</v>
      </c>
    </row>
    <row r="853" spans="1:22" x14ac:dyDescent="0.25">
      <c r="A853" t="s">
        <v>2161</v>
      </c>
      <c r="B853" t="s">
        <v>828</v>
      </c>
      <c r="C853">
        <v>38</v>
      </c>
      <c r="D853" t="s">
        <v>132</v>
      </c>
      <c r="E853" t="s">
        <v>26</v>
      </c>
      <c r="F853" t="s">
        <v>26</v>
      </c>
      <c r="G853">
        <v>0.21</v>
      </c>
      <c r="H853" t="s">
        <v>24</v>
      </c>
      <c r="I853">
        <v>-10</v>
      </c>
      <c r="J853" t="str">
        <f>HYPERLINK("https://www.eliteprospects.com/player/707136/julien-wasmer")</f>
        <v>https://www.eliteprospects.com/player/707136/julien-wasmer</v>
      </c>
      <c r="K853" t="s">
        <v>27</v>
      </c>
      <c r="L853" t="s">
        <v>804</v>
      </c>
      <c r="M853" t="s">
        <v>1296</v>
      </c>
      <c r="N853">
        <v>2</v>
      </c>
      <c r="O853" t="s">
        <v>825</v>
      </c>
      <c r="P853">
        <v>0.02</v>
      </c>
      <c r="Q853" t="s">
        <v>245</v>
      </c>
      <c r="R853">
        <v>28.6</v>
      </c>
      <c r="S853">
        <v>31.4</v>
      </c>
      <c r="T853">
        <v>28.6</v>
      </c>
      <c r="U853">
        <v>4.3</v>
      </c>
      <c r="V853">
        <v>7.1</v>
      </c>
    </row>
    <row r="854" spans="1:22" x14ac:dyDescent="0.25">
      <c r="A854" t="s">
        <v>2162</v>
      </c>
      <c r="B854" t="s">
        <v>826</v>
      </c>
      <c r="C854">
        <v>39</v>
      </c>
      <c r="D854" t="s">
        <v>132</v>
      </c>
      <c r="E854" t="s">
        <v>26</v>
      </c>
      <c r="F854" t="s">
        <v>26</v>
      </c>
      <c r="G854">
        <v>0.21</v>
      </c>
      <c r="H854" t="s">
        <v>66</v>
      </c>
      <c r="I854">
        <v>9</v>
      </c>
      <c r="J854" t="str">
        <f>HYPERLINK("https://www.eliteprospects.com/player/905937/owen-ronson")</f>
        <v>https://www.eliteprospects.com/player/905937/owen-ronson</v>
      </c>
      <c r="K854" t="s">
        <v>27</v>
      </c>
      <c r="L854" t="s">
        <v>804</v>
      </c>
      <c r="M854" t="s">
        <v>1296</v>
      </c>
      <c r="N854">
        <v>2</v>
      </c>
      <c r="O854" t="s">
        <v>825</v>
      </c>
      <c r="P854">
        <v>0.02</v>
      </c>
      <c r="Q854" t="s">
        <v>245</v>
      </c>
      <c r="R854">
        <v>28.6</v>
      </c>
      <c r="S854">
        <v>31.4</v>
      </c>
      <c r="T854">
        <v>28.6</v>
      </c>
      <c r="U854">
        <v>4.3</v>
      </c>
      <c r="V854">
        <v>7.1</v>
      </c>
    </row>
    <row r="855" spans="1:22" x14ac:dyDescent="0.25">
      <c r="A855" t="s">
        <v>2163</v>
      </c>
      <c r="B855" t="s">
        <v>507</v>
      </c>
      <c r="C855">
        <v>39</v>
      </c>
      <c r="D855" t="s">
        <v>132</v>
      </c>
      <c r="E855" t="s">
        <v>26</v>
      </c>
      <c r="F855" t="s">
        <v>26</v>
      </c>
      <c r="G855">
        <v>0.21</v>
      </c>
      <c r="H855" t="s">
        <v>2164</v>
      </c>
      <c r="I855">
        <v>9</v>
      </c>
      <c r="J855" t="str">
        <f>HYPERLINK("https://www.eliteprospects.com/player/679662/jonathan-prud-homme")</f>
        <v>https://www.eliteprospects.com/player/679662/jonathan-prud-homme</v>
      </c>
      <c r="K855" t="s">
        <v>27</v>
      </c>
      <c r="L855" t="s">
        <v>804</v>
      </c>
      <c r="M855" t="s">
        <v>1296</v>
      </c>
      <c r="N855">
        <v>3</v>
      </c>
      <c r="O855" t="s">
        <v>805</v>
      </c>
      <c r="P855">
        <v>0.02</v>
      </c>
      <c r="Q855" t="s">
        <v>245</v>
      </c>
      <c r="R855">
        <v>28.6</v>
      </c>
      <c r="S855">
        <v>31.4</v>
      </c>
      <c r="T855">
        <v>28.6</v>
      </c>
      <c r="U855">
        <v>4.3</v>
      </c>
      <c r="V855">
        <v>7.1</v>
      </c>
    </row>
    <row r="856" spans="1:22" x14ac:dyDescent="0.25">
      <c r="A856" t="s">
        <v>2165</v>
      </c>
      <c r="B856" t="s">
        <v>507</v>
      </c>
      <c r="C856">
        <v>37</v>
      </c>
      <c r="D856" t="s">
        <v>66</v>
      </c>
      <c r="E856" t="s">
        <v>140</v>
      </c>
      <c r="F856" t="s">
        <v>78</v>
      </c>
      <c r="G856">
        <v>0.19</v>
      </c>
      <c r="H856" t="s">
        <v>427</v>
      </c>
      <c r="I856">
        <v>-21</v>
      </c>
      <c r="J856" t="str">
        <f>HYPERLINK("https://www.eliteprospects.com/player/763400/alexis-mathieu")</f>
        <v>https://www.eliteprospects.com/player/763400/alexis-mathieu</v>
      </c>
      <c r="K856" t="s">
        <v>27</v>
      </c>
      <c r="L856" t="s">
        <v>804</v>
      </c>
      <c r="M856" t="s">
        <v>1296</v>
      </c>
      <c r="N856">
        <v>3</v>
      </c>
      <c r="O856" t="s">
        <v>805</v>
      </c>
      <c r="P856">
        <v>0.02</v>
      </c>
      <c r="Q856" t="s">
        <v>245</v>
      </c>
      <c r="R856">
        <v>28.6</v>
      </c>
      <c r="S856">
        <v>31.4</v>
      </c>
      <c r="T856">
        <v>28.6</v>
      </c>
      <c r="U856">
        <v>4.3</v>
      </c>
      <c r="V856">
        <v>7.1</v>
      </c>
    </row>
    <row r="857" spans="1:22" x14ac:dyDescent="0.25">
      <c r="A857" t="s">
        <v>2166</v>
      </c>
      <c r="B857" t="s">
        <v>848</v>
      </c>
      <c r="C857">
        <v>30</v>
      </c>
      <c r="D857" t="s">
        <v>140</v>
      </c>
      <c r="E857" t="s">
        <v>66</v>
      </c>
      <c r="F857" t="s">
        <v>78</v>
      </c>
      <c r="G857">
        <v>0.23</v>
      </c>
      <c r="H857" t="s">
        <v>61</v>
      </c>
      <c r="I857">
        <v>-3</v>
      </c>
      <c r="J857" t="str">
        <f>HYPERLINK("https://www.eliteprospects.com/player/887190/zachary-roussy")</f>
        <v>https://www.eliteprospects.com/player/887190/zachary-roussy</v>
      </c>
      <c r="K857" t="s">
        <v>27</v>
      </c>
      <c r="L857" t="s">
        <v>804</v>
      </c>
      <c r="M857" t="s">
        <v>1296</v>
      </c>
      <c r="N857">
        <v>1</v>
      </c>
      <c r="O857" t="s">
        <v>816</v>
      </c>
      <c r="P857">
        <v>0.03</v>
      </c>
      <c r="Q857" t="s">
        <v>245</v>
      </c>
      <c r="R857">
        <v>28.6</v>
      </c>
      <c r="S857">
        <v>31.4</v>
      </c>
      <c r="T857">
        <v>28.6</v>
      </c>
      <c r="U857">
        <v>4.3</v>
      </c>
      <c r="V857">
        <v>7.1</v>
      </c>
    </row>
    <row r="858" spans="1:22" x14ac:dyDescent="0.25">
      <c r="A858" t="s">
        <v>2167</v>
      </c>
      <c r="B858" t="s">
        <v>803</v>
      </c>
      <c r="C858">
        <v>39</v>
      </c>
      <c r="D858" t="s">
        <v>140</v>
      </c>
      <c r="E858" t="s">
        <v>66</v>
      </c>
      <c r="F858" t="s">
        <v>78</v>
      </c>
      <c r="G858">
        <v>0.18</v>
      </c>
      <c r="H858" t="s">
        <v>39</v>
      </c>
      <c r="I858">
        <v>-9</v>
      </c>
      <c r="J858" t="str">
        <f>HYPERLINK("https://www.eliteprospects.com/player/772967/alexis-fortin")</f>
        <v>https://www.eliteprospects.com/player/772967/alexis-fortin</v>
      </c>
      <c r="K858" t="s">
        <v>27</v>
      </c>
      <c r="L858" t="s">
        <v>804</v>
      </c>
      <c r="M858" t="s">
        <v>1296</v>
      </c>
      <c r="N858">
        <v>3</v>
      </c>
      <c r="O858" t="s">
        <v>805</v>
      </c>
      <c r="P858">
        <v>0.02</v>
      </c>
      <c r="Q858" t="s">
        <v>245</v>
      </c>
      <c r="R858">
        <v>28.6</v>
      </c>
      <c r="S858">
        <v>31.4</v>
      </c>
      <c r="T858">
        <v>28.6</v>
      </c>
      <c r="U858">
        <v>4.3</v>
      </c>
      <c r="V858">
        <v>7.1</v>
      </c>
    </row>
    <row r="859" spans="1:22" x14ac:dyDescent="0.25">
      <c r="A859" t="s">
        <v>2168</v>
      </c>
      <c r="B859" t="s">
        <v>822</v>
      </c>
      <c r="C859">
        <v>35</v>
      </c>
      <c r="D859" t="s">
        <v>79</v>
      </c>
      <c r="E859" t="s">
        <v>96</v>
      </c>
      <c r="F859" t="s">
        <v>78</v>
      </c>
      <c r="G859">
        <v>0.2</v>
      </c>
      <c r="H859" t="s">
        <v>26</v>
      </c>
      <c r="I859">
        <v>9</v>
      </c>
      <c r="J859" t="str">
        <f>HYPERLINK("https://www.eliteprospects.com/player/806149/jacob-de-ladurantaye")</f>
        <v>https://www.eliteprospects.com/player/806149/jacob-de-ladurantaye</v>
      </c>
      <c r="K859" t="s">
        <v>27</v>
      </c>
      <c r="L859" t="s">
        <v>804</v>
      </c>
      <c r="M859" t="s">
        <v>1296</v>
      </c>
      <c r="N859">
        <v>2</v>
      </c>
      <c r="O859" t="s">
        <v>825</v>
      </c>
      <c r="P859">
        <v>0.02</v>
      </c>
      <c r="Q859" t="s">
        <v>245</v>
      </c>
      <c r="R859">
        <v>28.6</v>
      </c>
      <c r="S859">
        <v>31.4</v>
      </c>
      <c r="T859">
        <v>28.6</v>
      </c>
      <c r="U859">
        <v>4.3</v>
      </c>
      <c r="V859">
        <v>7.1</v>
      </c>
    </row>
    <row r="860" spans="1:22" x14ac:dyDescent="0.25">
      <c r="A860" t="s">
        <v>2169</v>
      </c>
      <c r="B860" t="s">
        <v>824</v>
      </c>
      <c r="C860">
        <v>38</v>
      </c>
      <c r="D860" t="s">
        <v>79</v>
      </c>
      <c r="E860" t="s">
        <v>96</v>
      </c>
      <c r="F860" t="s">
        <v>78</v>
      </c>
      <c r="G860">
        <v>0.18</v>
      </c>
      <c r="H860" t="s">
        <v>66</v>
      </c>
      <c r="I860">
        <v>-5</v>
      </c>
      <c r="J860" t="str">
        <f>HYPERLINK("https://www.eliteprospects.com/player/978999/cameron-minella")</f>
        <v>https://www.eliteprospects.com/player/978999/cameron-minella</v>
      </c>
      <c r="K860" t="s">
        <v>27</v>
      </c>
      <c r="L860" t="s">
        <v>804</v>
      </c>
      <c r="M860" t="s">
        <v>1296</v>
      </c>
      <c r="N860">
        <v>1</v>
      </c>
      <c r="O860" t="s">
        <v>816</v>
      </c>
      <c r="P860">
        <v>0.02</v>
      </c>
      <c r="Q860" t="s">
        <v>245</v>
      </c>
      <c r="R860">
        <v>28.6</v>
      </c>
      <c r="S860">
        <v>31.4</v>
      </c>
      <c r="T860">
        <v>28.6</v>
      </c>
      <c r="U860">
        <v>4.3</v>
      </c>
      <c r="V860">
        <v>7.1</v>
      </c>
    </row>
    <row r="861" spans="1:22" x14ac:dyDescent="0.25">
      <c r="A861" t="s">
        <v>2170</v>
      </c>
      <c r="B861" t="s">
        <v>811</v>
      </c>
      <c r="C861">
        <v>17</v>
      </c>
      <c r="D861" t="s">
        <v>260</v>
      </c>
      <c r="E861" t="s">
        <v>57</v>
      </c>
      <c r="F861" t="s">
        <v>78</v>
      </c>
      <c r="G861">
        <v>0.41</v>
      </c>
      <c r="H861" t="s">
        <v>81</v>
      </c>
      <c r="I861">
        <v>5</v>
      </c>
      <c r="J861" t="str">
        <f>HYPERLINK("https://www.eliteprospects.com/player/718561/julien-lanthier")</f>
        <v>https://www.eliteprospects.com/player/718561/julien-lanthier</v>
      </c>
      <c r="K861" t="s">
        <v>27</v>
      </c>
      <c r="L861" t="s">
        <v>804</v>
      </c>
      <c r="M861" t="s">
        <v>1296</v>
      </c>
      <c r="N861">
        <v>4</v>
      </c>
      <c r="O861" t="s">
        <v>809</v>
      </c>
      <c r="P861">
        <v>0.05</v>
      </c>
      <c r="Q861" t="s">
        <v>1325</v>
      </c>
      <c r="R861">
        <v>26.3</v>
      </c>
      <c r="S861">
        <v>23.7</v>
      </c>
      <c r="T861">
        <v>28.9</v>
      </c>
      <c r="U861">
        <v>5.3</v>
      </c>
      <c r="V861">
        <v>15.8</v>
      </c>
    </row>
    <row r="862" spans="1:22" x14ac:dyDescent="0.25">
      <c r="A862" t="s">
        <v>2171</v>
      </c>
      <c r="B862" t="s">
        <v>507</v>
      </c>
      <c r="C862">
        <v>31</v>
      </c>
      <c r="D862" t="s">
        <v>260</v>
      </c>
      <c r="E862" t="s">
        <v>57</v>
      </c>
      <c r="F862" t="s">
        <v>78</v>
      </c>
      <c r="G862">
        <v>0.23</v>
      </c>
      <c r="H862" t="s">
        <v>39</v>
      </c>
      <c r="I862">
        <v>1</v>
      </c>
      <c r="J862" t="str">
        <f>HYPERLINK("https://www.eliteprospects.com/player/673059/dylan-mackinnon")</f>
        <v>https://www.eliteprospects.com/player/673059/dylan-mackinnon</v>
      </c>
      <c r="K862" t="s">
        <v>27</v>
      </c>
      <c r="L862" t="s">
        <v>804</v>
      </c>
      <c r="M862" t="s">
        <v>1296</v>
      </c>
      <c r="N862">
        <v>5</v>
      </c>
      <c r="O862" t="s">
        <v>807</v>
      </c>
      <c r="P862">
        <v>0.03</v>
      </c>
      <c r="Q862" t="s">
        <v>245</v>
      </c>
      <c r="R862">
        <v>28.6</v>
      </c>
      <c r="S862">
        <v>31.4</v>
      </c>
      <c r="T862">
        <v>28.6</v>
      </c>
      <c r="U862">
        <v>4.3</v>
      </c>
      <c r="V862">
        <v>7.1</v>
      </c>
    </row>
    <row r="863" spans="1:22" x14ac:dyDescent="0.25">
      <c r="A863" t="s">
        <v>2172</v>
      </c>
      <c r="B863" t="s">
        <v>507</v>
      </c>
      <c r="C863">
        <v>40</v>
      </c>
      <c r="D863" t="s">
        <v>260</v>
      </c>
      <c r="E863" t="s">
        <v>57</v>
      </c>
      <c r="F863" t="s">
        <v>78</v>
      </c>
      <c r="G863">
        <v>0.18</v>
      </c>
      <c r="H863" t="s">
        <v>75</v>
      </c>
      <c r="I863">
        <v>11</v>
      </c>
      <c r="J863" t="str">
        <f>HYPERLINK("https://www.eliteprospects.com/player/684089/yan-gaudreau")</f>
        <v>https://www.eliteprospects.com/player/684089/yan-gaudreau</v>
      </c>
      <c r="K863" t="s">
        <v>27</v>
      </c>
      <c r="L863" t="s">
        <v>804</v>
      </c>
      <c r="M863" t="s">
        <v>1296</v>
      </c>
      <c r="N863">
        <v>3</v>
      </c>
      <c r="O863" t="s">
        <v>805</v>
      </c>
      <c r="P863">
        <v>0.02</v>
      </c>
      <c r="Q863" t="s">
        <v>245</v>
      </c>
      <c r="R863">
        <v>28.6</v>
      </c>
      <c r="S863">
        <v>31.4</v>
      </c>
      <c r="T863">
        <v>28.6</v>
      </c>
      <c r="U863">
        <v>4.3</v>
      </c>
      <c r="V863">
        <v>7.1</v>
      </c>
    </row>
    <row r="864" spans="1:22" x14ac:dyDescent="0.25">
      <c r="A864" t="s">
        <v>2173</v>
      </c>
      <c r="B864" t="s">
        <v>826</v>
      </c>
      <c r="C864">
        <v>24</v>
      </c>
      <c r="D864" t="s">
        <v>132</v>
      </c>
      <c r="E864" t="s">
        <v>78</v>
      </c>
      <c r="F864" t="s">
        <v>78</v>
      </c>
      <c r="G864">
        <v>0.28999999999999998</v>
      </c>
      <c r="H864" t="s">
        <v>60</v>
      </c>
      <c r="I864">
        <v>10</v>
      </c>
      <c r="J864" t="str">
        <f>HYPERLINK("https://www.eliteprospects.com/player/914130/cooper-campbell")</f>
        <v>https://www.eliteprospects.com/player/914130/cooper-campbell</v>
      </c>
      <c r="K864" t="s">
        <v>27</v>
      </c>
      <c r="L864" t="s">
        <v>804</v>
      </c>
      <c r="M864" t="s">
        <v>1296</v>
      </c>
      <c r="N864">
        <v>1</v>
      </c>
      <c r="O864" t="s">
        <v>816</v>
      </c>
      <c r="P864">
        <v>0.03</v>
      </c>
      <c r="Q864" t="s">
        <v>245</v>
      </c>
      <c r="R864">
        <v>28.6</v>
      </c>
      <c r="S864">
        <v>31.4</v>
      </c>
      <c r="T864">
        <v>28.6</v>
      </c>
      <c r="U864">
        <v>4.3</v>
      </c>
      <c r="V864">
        <v>7.1</v>
      </c>
    </row>
    <row r="865" spans="1:22" x14ac:dyDescent="0.25">
      <c r="A865" t="s">
        <v>2174</v>
      </c>
      <c r="B865" t="s">
        <v>820</v>
      </c>
      <c r="C865">
        <v>27</v>
      </c>
      <c r="D865" t="s">
        <v>132</v>
      </c>
      <c r="E865" t="s">
        <v>78</v>
      </c>
      <c r="F865" t="s">
        <v>78</v>
      </c>
      <c r="G865">
        <v>0.26</v>
      </c>
      <c r="H865" t="s">
        <v>41</v>
      </c>
      <c r="I865">
        <v>4</v>
      </c>
      <c r="J865" t="str">
        <f>HYPERLINK("https://www.eliteprospects.com/player/781217/aiden-diamond")</f>
        <v>https://www.eliteprospects.com/player/781217/aiden-diamond</v>
      </c>
      <c r="K865" t="s">
        <v>27</v>
      </c>
      <c r="L865" t="s">
        <v>804</v>
      </c>
      <c r="M865" t="s">
        <v>1296</v>
      </c>
      <c r="N865">
        <v>2</v>
      </c>
      <c r="O865" t="s">
        <v>825</v>
      </c>
      <c r="P865">
        <v>0.03</v>
      </c>
      <c r="Q865" t="s">
        <v>245</v>
      </c>
      <c r="R865">
        <v>28.6</v>
      </c>
      <c r="S865">
        <v>31.4</v>
      </c>
      <c r="T865">
        <v>28.6</v>
      </c>
      <c r="U865">
        <v>4.3</v>
      </c>
      <c r="V865">
        <v>7.1</v>
      </c>
    </row>
    <row r="866" spans="1:22" x14ac:dyDescent="0.25">
      <c r="A866" t="s">
        <v>2175</v>
      </c>
      <c r="B866" t="s">
        <v>823</v>
      </c>
      <c r="C866">
        <v>23</v>
      </c>
      <c r="D866" t="s">
        <v>79</v>
      </c>
      <c r="E866" t="s">
        <v>66</v>
      </c>
      <c r="F866" t="s">
        <v>57</v>
      </c>
      <c r="G866">
        <v>0.26</v>
      </c>
      <c r="H866" t="s">
        <v>51</v>
      </c>
      <c r="I866">
        <v>2</v>
      </c>
      <c r="J866" t="str">
        <f>HYPERLINK("https://www.eliteprospects.com/player/745779/charlie-morrison")</f>
        <v>https://www.eliteprospects.com/player/745779/charlie-morrison</v>
      </c>
      <c r="K866" t="s">
        <v>27</v>
      </c>
      <c r="L866" t="s">
        <v>804</v>
      </c>
      <c r="M866" t="s">
        <v>1296</v>
      </c>
      <c r="N866">
        <v>2</v>
      </c>
      <c r="O866" t="s">
        <v>825</v>
      </c>
      <c r="P866">
        <v>0.03</v>
      </c>
      <c r="Q866" t="s">
        <v>245</v>
      </c>
      <c r="R866">
        <v>28.6</v>
      </c>
      <c r="S866">
        <v>31.4</v>
      </c>
      <c r="T866">
        <v>28.6</v>
      </c>
      <c r="U866">
        <v>4.3</v>
      </c>
      <c r="V866">
        <v>7.1</v>
      </c>
    </row>
    <row r="867" spans="1:22" x14ac:dyDescent="0.25">
      <c r="A867" t="s">
        <v>2176</v>
      </c>
      <c r="B867" t="s">
        <v>828</v>
      </c>
      <c r="C867">
        <v>27</v>
      </c>
      <c r="D867" t="s">
        <v>79</v>
      </c>
      <c r="E867" t="s">
        <v>66</v>
      </c>
      <c r="F867" t="s">
        <v>57</v>
      </c>
      <c r="G867">
        <v>0.22</v>
      </c>
      <c r="H867" t="s">
        <v>132</v>
      </c>
      <c r="I867">
        <v>11</v>
      </c>
      <c r="J867" t="str">
        <f>HYPERLINK("https://www.eliteprospects.com/player/898377/oskar-drabczynski")</f>
        <v>https://www.eliteprospects.com/player/898377/oskar-drabczynski</v>
      </c>
      <c r="K867" t="s">
        <v>27</v>
      </c>
      <c r="L867" t="s">
        <v>804</v>
      </c>
      <c r="M867" t="s">
        <v>1296</v>
      </c>
      <c r="N867">
        <v>1</v>
      </c>
      <c r="O867" t="s">
        <v>816</v>
      </c>
      <c r="P867">
        <v>0.02</v>
      </c>
      <c r="Q867" t="s">
        <v>245</v>
      </c>
      <c r="R867">
        <v>28.6</v>
      </c>
      <c r="S867">
        <v>31.4</v>
      </c>
      <c r="T867">
        <v>28.6</v>
      </c>
      <c r="U867">
        <v>4.3</v>
      </c>
      <c r="V867">
        <v>7.1</v>
      </c>
    </row>
    <row r="868" spans="1:22" x14ac:dyDescent="0.25">
      <c r="A868" t="s">
        <v>2177</v>
      </c>
      <c r="B868" t="s">
        <v>803</v>
      </c>
      <c r="C868">
        <v>31</v>
      </c>
      <c r="D868" t="s">
        <v>79</v>
      </c>
      <c r="E868" t="s">
        <v>66</v>
      </c>
      <c r="F868" t="s">
        <v>57</v>
      </c>
      <c r="G868">
        <v>0.19</v>
      </c>
      <c r="H868" t="s">
        <v>638</v>
      </c>
      <c r="I868">
        <v>-4</v>
      </c>
      <c r="J868" t="str">
        <f>HYPERLINK("https://www.eliteprospects.com/player/889796/jacob-gouchie")</f>
        <v>https://www.eliteprospects.com/player/889796/jacob-gouchie</v>
      </c>
      <c r="K868" t="s">
        <v>27</v>
      </c>
      <c r="L868" t="s">
        <v>804</v>
      </c>
      <c r="M868" t="s">
        <v>1296</v>
      </c>
      <c r="N868">
        <v>2</v>
      </c>
      <c r="O868" t="s">
        <v>825</v>
      </c>
      <c r="P868">
        <v>0.02</v>
      </c>
      <c r="Q868" t="s">
        <v>245</v>
      </c>
      <c r="R868">
        <v>28.6</v>
      </c>
      <c r="S868">
        <v>31.4</v>
      </c>
      <c r="T868">
        <v>28.6</v>
      </c>
      <c r="U868">
        <v>4.3</v>
      </c>
      <c r="V868">
        <v>7.1</v>
      </c>
    </row>
    <row r="869" spans="1:22" x14ac:dyDescent="0.25">
      <c r="A869" t="s">
        <v>2178</v>
      </c>
      <c r="B869" t="s">
        <v>507</v>
      </c>
      <c r="C869">
        <v>33</v>
      </c>
      <c r="D869" t="s">
        <v>260</v>
      </c>
      <c r="E869" t="s">
        <v>96</v>
      </c>
      <c r="F869" t="s">
        <v>57</v>
      </c>
      <c r="G869">
        <v>0.18</v>
      </c>
      <c r="H869" t="s">
        <v>57</v>
      </c>
      <c r="I869">
        <v>-10</v>
      </c>
      <c r="J869" t="str">
        <f>HYPERLINK("https://www.eliteprospects.com/player/852804/brady-flynn")</f>
        <v>https://www.eliteprospects.com/player/852804/brady-flynn</v>
      </c>
      <c r="K869" t="s">
        <v>27</v>
      </c>
      <c r="L869" t="s">
        <v>804</v>
      </c>
      <c r="M869" t="s">
        <v>1296</v>
      </c>
      <c r="N869">
        <v>2</v>
      </c>
      <c r="O869" t="s">
        <v>825</v>
      </c>
      <c r="P869">
        <v>0.02</v>
      </c>
      <c r="Q869" t="s">
        <v>245</v>
      </c>
      <c r="R869">
        <v>28.6</v>
      </c>
      <c r="S869">
        <v>31.4</v>
      </c>
      <c r="T869">
        <v>28.6</v>
      </c>
      <c r="U869">
        <v>4.3</v>
      </c>
      <c r="V869">
        <v>7.1</v>
      </c>
    </row>
    <row r="870" spans="1:22" x14ac:dyDescent="0.25">
      <c r="A870" t="s">
        <v>2179</v>
      </c>
      <c r="B870" t="s">
        <v>823</v>
      </c>
      <c r="C870">
        <v>33</v>
      </c>
      <c r="D870" t="s">
        <v>260</v>
      </c>
      <c r="E870" t="s">
        <v>96</v>
      </c>
      <c r="F870" t="s">
        <v>57</v>
      </c>
      <c r="G870">
        <v>0.18</v>
      </c>
      <c r="H870" t="s">
        <v>69</v>
      </c>
      <c r="I870">
        <v>-5</v>
      </c>
      <c r="J870" t="str">
        <f>HYPERLINK("https://www.eliteprospects.com/player/689946/freddy-meyer")</f>
        <v>https://www.eliteprospects.com/player/689946/freddy-meyer</v>
      </c>
      <c r="K870" t="s">
        <v>27</v>
      </c>
      <c r="L870" t="s">
        <v>804</v>
      </c>
      <c r="M870" t="s">
        <v>1296</v>
      </c>
      <c r="N870">
        <v>1</v>
      </c>
      <c r="O870" t="s">
        <v>816</v>
      </c>
      <c r="P870">
        <v>0.02</v>
      </c>
      <c r="Q870" t="s">
        <v>245</v>
      </c>
      <c r="R870">
        <v>28.6</v>
      </c>
      <c r="S870">
        <v>31.4</v>
      </c>
      <c r="T870">
        <v>28.6</v>
      </c>
      <c r="U870">
        <v>4.3</v>
      </c>
      <c r="V870">
        <v>7.1</v>
      </c>
    </row>
    <row r="871" spans="1:22" x14ac:dyDescent="0.25">
      <c r="A871" t="s">
        <v>2180</v>
      </c>
      <c r="B871" t="s">
        <v>823</v>
      </c>
      <c r="C871">
        <v>25</v>
      </c>
      <c r="D871" t="s">
        <v>132</v>
      </c>
      <c r="E871" t="s">
        <v>57</v>
      </c>
      <c r="F871" t="s">
        <v>57</v>
      </c>
      <c r="G871">
        <v>0.24</v>
      </c>
      <c r="H871" t="s">
        <v>32</v>
      </c>
      <c r="I871">
        <v>3</v>
      </c>
      <c r="J871" t="str">
        <f>HYPERLINK("https://www.eliteprospects.com/player/701452/thomas-charbonneau")</f>
        <v>https://www.eliteprospects.com/player/701452/thomas-charbonneau</v>
      </c>
      <c r="K871" t="s">
        <v>27</v>
      </c>
      <c r="L871" t="s">
        <v>804</v>
      </c>
      <c r="M871" t="s">
        <v>1296</v>
      </c>
      <c r="N871">
        <v>1</v>
      </c>
      <c r="O871" t="s">
        <v>816</v>
      </c>
      <c r="P871">
        <v>0.03</v>
      </c>
      <c r="Q871" t="s">
        <v>245</v>
      </c>
      <c r="R871">
        <v>28.6</v>
      </c>
      <c r="S871">
        <v>31.4</v>
      </c>
      <c r="T871">
        <v>28.6</v>
      </c>
      <c r="U871">
        <v>4.3</v>
      </c>
      <c r="V871">
        <v>7.1</v>
      </c>
    </row>
    <row r="872" spans="1:22" x14ac:dyDescent="0.25">
      <c r="A872" t="s">
        <v>2181</v>
      </c>
      <c r="B872" t="s">
        <v>507</v>
      </c>
      <c r="C872">
        <v>29</v>
      </c>
      <c r="D872" t="s">
        <v>132</v>
      </c>
      <c r="E872" t="s">
        <v>57</v>
      </c>
      <c r="F872" t="s">
        <v>57</v>
      </c>
      <c r="G872">
        <v>0.21</v>
      </c>
      <c r="H872" t="s">
        <v>55</v>
      </c>
      <c r="I872">
        <v>-9</v>
      </c>
      <c r="J872" t="str">
        <f>HYPERLINK("https://www.eliteprospects.com/player/957296/patryk-zubek")</f>
        <v>https://www.eliteprospects.com/player/957296/patryk-zubek</v>
      </c>
      <c r="K872" t="s">
        <v>27</v>
      </c>
      <c r="L872" t="s">
        <v>804</v>
      </c>
      <c r="M872" t="s">
        <v>1296</v>
      </c>
      <c r="N872">
        <v>1</v>
      </c>
      <c r="O872" t="s">
        <v>816</v>
      </c>
      <c r="P872">
        <v>0.02</v>
      </c>
      <c r="Q872" t="s">
        <v>245</v>
      </c>
      <c r="R872">
        <v>28.6</v>
      </c>
      <c r="S872">
        <v>31.4</v>
      </c>
      <c r="T872">
        <v>28.6</v>
      </c>
      <c r="U872">
        <v>4.3</v>
      </c>
      <c r="V872">
        <v>7.1</v>
      </c>
    </row>
    <row r="873" spans="1:22" x14ac:dyDescent="0.25">
      <c r="A873" t="s">
        <v>2182</v>
      </c>
      <c r="B873" t="s">
        <v>806</v>
      </c>
      <c r="C873">
        <v>34</v>
      </c>
      <c r="D873" t="s">
        <v>132</v>
      </c>
      <c r="E873" t="s">
        <v>57</v>
      </c>
      <c r="F873" t="s">
        <v>57</v>
      </c>
      <c r="G873">
        <v>0.18</v>
      </c>
      <c r="H873" t="s">
        <v>32</v>
      </c>
      <c r="I873">
        <v>-8</v>
      </c>
      <c r="J873" t="str">
        <f>HYPERLINK("https://www.eliteprospects.com/player/999201/quinn-norman")</f>
        <v>https://www.eliteprospects.com/player/999201/quinn-norman</v>
      </c>
      <c r="K873" t="s">
        <v>27</v>
      </c>
      <c r="L873" t="s">
        <v>804</v>
      </c>
      <c r="M873" t="s">
        <v>1296</v>
      </c>
      <c r="N873">
        <v>1</v>
      </c>
      <c r="O873" t="s">
        <v>816</v>
      </c>
      <c r="P873">
        <v>0.02</v>
      </c>
      <c r="Q873" t="s">
        <v>245</v>
      </c>
      <c r="R873">
        <v>28.6</v>
      </c>
      <c r="S873">
        <v>31.4</v>
      </c>
      <c r="T873">
        <v>28.6</v>
      </c>
      <c r="U873">
        <v>4.3</v>
      </c>
      <c r="V873">
        <v>7.1</v>
      </c>
    </row>
    <row r="874" spans="1:22" x14ac:dyDescent="0.25">
      <c r="A874" t="s">
        <v>2183</v>
      </c>
      <c r="B874" t="s">
        <v>822</v>
      </c>
      <c r="C874">
        <v>28</v>
      </c>
      <c r="D874" t="s">
        <v>140</v>
      </c>
      <c r="E874" t="s">
        <v>79</v>
      </c>
      <c r="F874" t="s">
        <v>96</v>
      </c>
      <c r="G874">
        <v>0.18</v>
      </c>
      <c r="H874" t="s">
        <v>277</v>
      </c>
      <c r="I874">
        <v>1</v>
      </c>
      <c r="J874" t="str">
        <f>HYPERLINK("https://www.eliteprospects.com/player/806444/will-murphy")</f>
        <v>https://www.eliteprospects.com/player/806444/will-murphy</v>
      </c>
      <c r="K874" t="s">
        <v>27</v>
      </c>
      <c r="L874" t="s">
        <v>804</v>
      </c>
      <c r="M874" t="s">
        <v>1296</v>
      </c>
      <c r="N874">
        <v>3</v>
      </c>
      <c r="O874" t="s">
        <v>805</v>
      </c>
      <c r="P874">
        <v>0.02</v>
      </c>
      <c r="Q874" t="s">
        <v>245</v>
      </c>
      <c r="R874">
        <v>28.6</v>
      </c>
      <c r="S874">
        <v>31.4</v>
      </c>
      <c r="T874">
        <v>28.6</v>
      </c>
      <c r="U874">
        <v>4.3</v>
      </c>
      <c r="V874">
        <v>7.1</v>
      </c>
    </row>
    <row r="875" spans="1:22" x14ac:dyDescent="0.25">
      <c r="A875" t="s">
        <v>2184</v>
      </c>
      <c r="B875" t="s">
        <v>865</v>
      </c>
      <c r="C875">
        <v>34</v>
      </c>
      <c r="D875" t="s">
        <v>140</v>
      </c>
      <c r="E875" t="s">
        <v>79</v>
      </c>
      <c r="F875" t="s">
        <v>96</v>
      </c>
      <c r="G875">
        <v>0.15</v>
      </c>
      <c r="H875" t="s">
        <v>32</v>
      </c>
      <c r="I875">
        <v>-7</v>
      </c>
      <c r="J875" t="str">
        <f>HYPERLINK("https://www.eliteprospects.com/player/805225/zachary-hachey")</f>
        <v>https://www.eliteprospects.com/player/805225/zachary-hachey</v>
      </c>
      <c r="K875" t="s">
        <v>27</v>
      </c>
      <c r="L875" t="s">
        <v>804</v>
      </c>
      <c r="M875" t="s">
        <v>1296</v>
      </c>
      <c r="N875">
        <v>1</v>
      </c>
      <c r="O875" t="s">
        <v>816</v>
      </c>
      <c r="P875">
        <v>0.02</v>
      </c>
      <c r="Q875" t="s">
        <v>245</v>
      </c>
      <c r="R875">
        <v>28.6</v>
      </c>
      <c r="S875">
        <v>31.4</v>
      </c>
      <c r="T875">
        <v>28.6</v>
      </c>
      <c r="U875">
        <v>4.3</v>
      </c>
      <c r="V875">
        <v>7.1</v>
      </c>
    </row>
    <row r="876" spans="1:22" x14ac:dyDescent="0.25">
      <c r="A876" t="s">
        <v>2185</v>
      </c>
      <c r="B876" t="s">
        <v>828</v>
      </c>
      <c r="C876">
        <v>18</v>
      </c>
      <c r="D876" t="s">
        <v>79</v>
      </c>
      <c r="E876" t="s">
        <v>140</v>
      </c>
      <c r="F876" t="s">
        <v>96</v>
      </c>
      <c r="G876">
        <v>0.28000000000000003</v>
      </c>
      <c r="H876" t="s">
        <v>57</v>
      </c>
      <c r="I876">
        <v>1</v>
      </c>
      <c r="J876" t="str">
        <f>HYPERLINK("https://www.eliteprospects.com/player/877117/cameron-chartrand")</f>
        <v>https://www.eliteprospects.com/player/877117/cameron-chartrand</v>
      </c>
      <c r="K876" t="s">
        <v>27</v>
      </c>
      <c r="L876" t="s">
        <v>804</v>
      </c>
      <c r="M876" t="s">
        <v>1296</v>
      </c>
      <c r="N876">
        <v>1</v>
      </c>
      <c r="O876" t="s">
        <v>816</v>
      </c>
      <c r="P876">
        <v>0.03</v>
      </c>
      <c r="Q876" t="s">
        <v>245</v>
      </c>
      <c r="R876">
        <v>28.6</v>
      </c>
      <c r="S876">
        <v>31.4</v>
      </c>
      <c r="T876">
        <v>28.6</v>
      </c>
      <c r="U876">
        <v>4.3</v>
      </c>
      <c r="V876">
        <v>7.1</v>
      </c>
    </row>
    <row r="877" spans="1:22" x14ac:dyDescent="0.25">
      <c r="A877" t="s">
        <v>2186</v>
      </c>
      <c r="B877" t="s">
        <v>803</v>
      </c>
      <c r="C877">
        <v>35</v>
      </c>
      <c r="D877" t="s">
        <v>79</v>
      </c>
      <c r="E877" t="s">
        <v>140</v>
      </c>
      <c r="F877" t="s">
        <v>96</v>
      </c>
      <c r="G877">
        <v>0.14000000000000001</v>
      </c>
      <c r="H877" t="s">
        <v>65</v>
      </c>
      <c r="I877">
        <v>5</v>
      </c>
      <c r="J877" t="str">
        <f>HYPERLINK("https://www.eliteprospects.com/player/755225/hemrick-carbonneau")</f>
        <v>https://www.eliteprospects.com/player/755225/hemrick-carbonneau</v>
      </c>
      <c r="K877" t="s">
        <v>27</v>
      </c>
      <c r="L877" t="s">
        <v>804</v>
      </c>
      <c r="M877" t="s">
        <v>1296</v>
      </c>
      <c r="N877">
        <v>3</v>
      </c>
      <c r="O877" t="s">
        <v>805</v>
      </c>
      <c r="P877">
        <v>0.02</v>
      </c>
      <c r="Q877" t="s">
        <v>245</v>
      </c>
      <c r="R877">
        <v>28.6</v>
      </c>
      <c r="S877">
        <v>31.4</v>
      </c>
      <c r="T877">
        <v>28.6</v>
      </c>
      <c r="U877">
        <v>4.3</v>
      </c>
      <c r="V877">
        <v>7.1</v>
      </c>
    </row>
    <row r="878" spans="1:22" x14ac:dyDescent="0.25">
      <c r="A878" t="s">
        <v>2187</v>
      </c>
      <c r="B878" t="s">
        <v>822</v>
      </c>
      <c r="C878">
        <v>36</v>
      </c>
      <c r="D878" t="s">
        <v>79</v>
      </c>
      <c r="E878" t="s">
        <v>140</v>
      </c>
      <c r="F878" t="s">
        <v>96</v>
      </c>
      <c r="G878">
        <v>0.14000000000000001</v>
      </c>
      <c r="H878" t="s">
        <v>40</v>
      </c>
      <c r="I878">
        <v>-12</v>
      </c>
      <c r="J878" t="str">
        <f>HYPERLINK("https://www.eliteprospects.com/player/889802/aiden-mccullough")</f>
        <v>https://www.eliteprospects.com/player/889802/aiden-mccullough</v>
      </c>
      <c r="K878" t="s">
        <v>27</v>
      </c>
      <c r="L878" t="s">
        <v>804</v>
      </c>
      <c r="M878" t="s">
        <v>1296</v>
      </c>
      <c r="N878">
        <v>2</v>
      </c>
      <c r="O878" t="s">
        <v>825</v>
      </c>
      <c r="P878">
        <v>0.02</v>
      </c>
      <c r="Q878" t="s">
        <v>245</v>
      </c>
      <c r="R878">
        <v>28.6</v>
      </c>
      <c r="S878">
        <v>31.4</v>
      </c>
      <c r="T878">
        <v>28.6</v>
      </c>
      <c r="U878">
        <v>4.3</v>
      </c>
      <c r="V878">
        <v>7.1</v>
      </c>
    </row>
    <row r="879" spans="1:22" x14ac:dyDescent="0.25">
      <c r="A879" t="s">
        <v>2188</v>
      </c>
      <c r="B879" t="s">
        <v>812</v>
      </c>
      <c r="C879">
        <v>37</v>
      </c>
      <c r="D879" t="s">
        <v>79</v>
      </c>
      <c r="E879" t="s">
        <v>140</v>
      </c>
      <c r="F879" t="s">
        <v>96</v>
      </c>
      <c r="G879">
        <v>0.14000000000000001</v>
      </c>
      <c r="H879" t="s">
        <v>51</v>
      </c>
      <c r="I879">
        <v>-1</v>
      </c>
      <c r="J879" t="str">
        <f>HYPERLINK("https://www.eliteprospects.com/player/755216/tristan-langlois")</f>
        <v>https://www.eliteprospects.com/player/755216/tristan-langlois</v>
      </c>
      <c r="K879" t="s">
        <v>27</v>
      </c>
      <c r="L879" t="s">
        <v>804</v>
      </c>
      <c r="M879" t="s">
        <v>1296</v>
      </c>
      <c r="N879">
        <v>2</v>
      </c>
      <c r="O879" t="s">
        <v>825</v>
      </c>
      <c r="P879">
        <v>0.02</v>
      </c>
      <c r="Q879" t="s">
        <v>245</v>
      </c>
      <c r="R879">
        <v>28.6</v>
      </c>
      <c r="S879">
        <v>31.4</v>
      </c>
      <c r="T879">
        <v>28.6</v>
      </c>
      <c r="U879">
        <v>4.3</v>
      </c>
      <c r="V879">
        <v>7.1</v>
      </c>
    </row>
    <row r="880" spans="1:22" x14ac:dyDescent="0.25">
      <c r="A880" t="s">
        <v>2189</v>
      </c>
      <c r="B880" t="s">
        <v>856</v>
      </c>
      <c r="C880">
        <v>11</v>
      </c>
      <c r="D880" t="s">
        <v>260</v>
      </c>
      <c r="E880" t="s">
        <v>66</v>
      </c>
      <c r="F880" t="s">
        <v>96</v>
      </c>
      <c r="G880">
        <v>0.45</v>
      </c>
      <c r="H880" t="s">
        <v>57</v>
      </c>
      <c r="I880">
        <v>-4</v>
      </c>
      <c r="J880" t="str">
        <f>HYPERLINK("https://www.eliteprospects.com/player/646847/olivier-theberge")</f>
        <v>https://www.eliteprospects.com/player/646847/olivier-theberge</v>
      </c>
      <c r="K880" t="s">
        <v>27</v>
      </c>
      <c r="L880" t="s">
        <v>804</v>
      </c>
      <c r="M880" t="s">
        <v>1296</v>
      </c>
      <c r="N880">
        <v>6</v>
      </c>
      <c r="O880" t="s">
        <v>968</v>
      </c>
      <c r="P880">
        <v>0.05</v>
      </c>
      <c r="Q880" t="s">
        <v>1325</v>
      </c>
      <c r="R880">
        <v>26.3</v>
      </c>
      <c r="S880">
        <v>23.7</v>
      </c>
      <c r="T880">
        <v>28.9</v>
      </c>
      <c r="U880">
        <v>5.3</v>
      </c>
      <c r="V880">
        <v>15.8</v>
      </c>
    </row>
    <row r="881" spans="1:22" x14ac:dyDescent="0.25">
      <c r="A881" t="s">
        <v>2190</v>
      </c>
      <c r="B881" t="s">
        <v>507</v>
      </c>
      <c r="C881">
        <v>26</v>
      </c>
      <c r="D881" t="s">
        <v>260</v>
      </c>
      <c r="E881" t="s">
        <v>66</v>
      </c>
      <c r="F881" t="s">
        <v>96</v>
      </c>
      <c r="G881">
        <v>0.19</v>
      </c>
      <c r="H881" t="s">
        <v>125</v>
      </c>
      <c r="I881">
        <v>10</v>
      </c>
      <c r="J881" t="str">
        <f>HYPERLINK("https://www.eliteprospects.com/player/654405/mathieu-taillefer")</f>
        <v>https://www.eliteprospects.com/player/654405/mathieu-taillefer</v>
      </c>
      <c r="K881" t="s">
        <v>27</v>
      </c>
      <c r="L881" t="s">
        <v>804</v>
      </c>
      <c r="M881" t="s">
        <v>1296</v>
      </c>
      <c r="N881">
        <v>2</v>
      </c>
      <c r="O881" t="s">
        <v>825</v>
      </c>
      <c r="P881">
        <v>0.02</v>
      </c>
      <c r="Q881" t="s">
        <v>245</v>
      </c>
      <c r="R881">
        <v>28.6</v>
      </c>
      <c r="S881">
        <v>31.4</v>
      </c>
      <c r="T881">
        <v>28.6</v>
      </c>
      <c r="U881">
        <v>4.3</v>
      </c>
      <c r="V881">
        <v>7.1</v>
      </c>
    </row>
    <row r="882" spans="1:22" x14ac:dyDescent="0.25">
      <c r="A882" t="s">
        <v>2191</v>
      </c>
      <c r="B882" t="s">
        <v>821</v>
      </c>
      <c r="C882">
        <v>38</v>
      </c>
      <c r="D882" t="s">
        <v>260</v>
      </c>
      <c r="E882" t="s">
        <v>66</v>
      </c>
      <c r="F882" t="s">
        <v>96</v>
      </c>
      <c r="G882">
        <v>0.13</v>
      </c>
      <c r="H882" t="s">
        <v>55</v>
      </c>
      <c r="I882">
        <v>-2</v>
      </c>
      <c r="J882" t="str">
        <f>HYPERLINK("https://www.eliteprospects.com/player/689984/nikita-voyaga")</f>
        <v>https://www.eliteprospects.com/player/689984/nikita-voyaga</v>
      </c>
      <c r="K882" t="s">
        <v>27</v>
      </c>
      <c r="L882" t="s">
        <v>804</v>
      </c>
      <c r="M882" t="s">
        <v>1296</v>
      </c>
      <c r="N882">
        <v>2</v>
      </c>
      <c r="O882" t="s">
        <v>825</v>
      </c>
      <c r="P882">
        <v>0.01</v>
      </c>
      <c r="Q882" t="s">
        <v>245</v>
      </c>
      <c r="R882">
        <v>28.6</v>
      </c>
      <c r="S882">
        <v>31.4</v>
      </c>
      <c r="T882">
        <v>28.6</v>
      </c>
      <c r="U882">
        <v>4.3</v>
      </c>
      <c r="V882">
        <v>7.1</v>
      </c>
    </row>
    <row r="883" spans="1:22" x14ac:dyDescent="0.25">
      <c r="A883" t="s">
        <v>2192</v>
      </c>
      <c r="B883" t="s">
        <v>848</v>
      </c>
      <c r="C883">
        <v>38</v>
      </c>
      <c r="D883" t="s">
        <v>260</v>
      </c>
      <c r="E883" t="s">
        <v>66</v>
      </c>
      <c r="F883" t="s">
        <v>96</v>
      </c>
      <c r="G883">
        <v>0.13</v>
      </c>
      <c r="H883" t="s">
        <v>2164</v>
      </c>
      <c r="I883">
        <v>-11</v>
      </c>
      <c r="J883" t="str">
        <f>HYPERLINK("https://www.eliteprospects.com/player/888967/michel-myloserdnyy")</f>
        <v>https://www.eliteprospects.com/player/888967/michel-myloserdnyy</v>
      </c>
      <c r="K883" t="s">
        <v>27</v>
      </c>
      <c r="L883" t="s">
        <v>804</v>
      </c>
      <c r="M883" t="s">
        <v>1296</v>
      </c>
      <c r="N883">
        <v>2</v>
      </c>
      <c r="O883" t="s">
        <v>825</v>
      </c>
      <c r="P883">
        <v>0.01</v>
      </c>
      <c r="Q883" t="s">
        <v>245</v>
      </c>
      <c r="R883">
        <v>28.6</v>
      </c>
      <c r="S883">
        <v>31.4</v>
      </c>
      <c r="T883">
        <v>28.6</v>
      </c>
      <c r="U883">
        <v>4.3</v>
      </c>
      <c r="V883">
        <v>7.1</v>
      </c>
    </row>
    <row r="884" spans="1:22" x14ac:dyDescent="0.25">
      <c r="A884" t="s">
        <v>2193</v>
      </c>
      <c r="B884" t="s">
        <v>865</v>
      </c>
      <c r="C884">
        <v>40</v>
      </c>
      <c r="D884" t="s">
        <v>260</v>
      </c>
      <c r="E884" t="s">
        <v>66</v>
      </c>
      <c r="F884" t="s">
        <v>96</v>
      </c>
      <c r="G884">
        <v>0.13</v>
      </c>
      <c r="H884" t="s">
        <v>187</v>
      </c>
      <c r="I884">
        <v>-29</v>
      </c>
      <c r="J884" t="str">
        <f>HYPERLINK("https://www.eliteprospects.com/player/727701/samuel-brunet")</f>
        <v>https://www.eliteprospects.com/player/727701/samuel-brunet</v>
      </c>
      <c r="K884" t="s">
        <v>27</v>
      </c>
      <c r="L884" t="s">
        <v>804</v>
      </c>
      <c r="M884" t="s">
        <v>1296</v>
      </c>
      <c r="N884">
        <v>2</v>
      </c>
      <c r="O884" t="s">
        <v>825</v>
      </c>
      <c r="P884">
        <v>0.01</v>
      </c>
      <c r="Q884" t="s">
        <v>245</v>
      </c>
      <c r="R884">
        <v>28.6</v>
      </c>
      <c r="S884">
        <v>31.4</v>
      </c>
      <c r="T884">
        <v>28.6</v>
      </c>
      <c r="U884">
        <v>4.3</v>
      </c>
      <c r="V884">
        <v>7.1</v>
      </c>
    </row>
    <row r="885" spans="1:22" x14ac:dyDescent="0.25">
      <c r="A885" t="s">
        <v>2194</v>
      </c>
      <c r="B885" t="s">
        <v>865</v>
      </c>
      <c r="C885">
        <v>19</v>
      </c>
      <c r="D885" t="s">
        <v>132</v>
      </c>
      <c r="E885" t="s">
        <v>96</v>
      </c>
      <c r="F885" t="s">
        <v>96</v>
      </c>
      <c r="G885">
        <v>0.26</v>
      </c>
      <c r="H885" t="s">
        <v>66</v>
      </c>
      <c r="I885">
        <v>-8</v>
      </c>
      <c r="J885" t="str">
        <f>HYPERLINK("https://www.eliteprospects.com/player/884545/toby-almstedt")</f>
        <v>https://www.eliteprospects.com/player/884545/toby-almstedt</v>
      </c>
      <c r="K885" t="s">
        <v>27</v>
      </c>
      <c r="L885" t="s">
        <v>804</v>
      </c>
      <c r="M885" t="s">
        <v>1296</v>
      </c>
      <c r="N885">
        <v>1</v>
      </c>
      <c r="O885" t="s">
        <v>816</v>
      </c>
      <c r="P885">
        <v>0.03</v>
      </c>
      <c r="Q885" t="s">
        <v>245</v>
      </c>
      <c r="R885">
        <v>28.6</v>
      </c>
      <c r="S885">
        <v>31.4</v>
      </c>
      <c r="T885">
        <v>28.6</v>
      </c>
      <c r="U885">
        <v>4.3</v>
      </c>
      <c r="V885">
        <v>7.1</v>
      </c>
    </row>
    <row r="886" spans="1:22" x14ac:dyDescent="0.25">
      <c r="A886" t="s">
        <v>2195</v>
      </c>
      <c r="B886" t="s">
        <v>821</v>
      </c>
      <c r="C886">
        <v>38</v>
      </c>
      <c r="D886" t="s">
        <v>132</v>
      </c>
      <c r="E886" t="s">
        <v>96</v>
      </c>
      <c r="F886" t="s">
        <v>96</v>
      </c>
      <c r="G886">
        <v>0.13</v>
      </c>
      <c r="H886" t="s">
        <v>46</v>
      </c>
      <c r="I886">
        <v>5</v>
      </c>
      <c r="J886" t="str">
        <f>HYPERLINK("https://www.eliteprospects.com/player/872399/emile-alexandro-lemieux-goupil")</f>
        <v>https://www.eliteprospects.com/player/872399/emile-alexandro-lemieux-goupil</v>
      </c>
      <c r="K886" t="s">
        <v>27</v>
      </c>
      <c r="L886" t="s">
        <v>804</v>
      </c>
      <c r="M886" t="s">
        <v>1296</v>
      </c>
      <c r="N886">
        <v>2</v>
      </c>
      <c r="O886" t="s">
        <v>825</v>
      </c>
      <c r="P886">
        <v>0.01</v>
      </c>
      <c r="Q886" t="s">
        <v>245</v>
      </c>
      <c r="R886">
        <v>28.6</v>
      </c>
      <c r="S886">
        <v>31.4</v>
      </c>
      <c r="T886">
        <v>28.6</v>
      </c>
      <c r="U886">
        <v>4.3</v>
      </c>
      <c r="V886">
        <v>7.1</v>
      </c>
    </row>
    <row r="887" spans="1:22" x14ac:dyDescent="0.25">
      <c r="A887" t="s">
        <v>2196</v>
      </c>
      <c r="B887" t="s">
        <v>806</v>
      </c>
      <c r="C887">
        <v>22</v>
      </c>
      <c r="D887" t="s">
        <v>260</v>
      </c>
      <c r="E887" t="s">
        <v>140</v>
      </c>
      <c r="F887" t="s">
        <v>66</v>
      </c>
      <c r="G887">
        <v>0.18</v>
      </c>
      <c r="H887" t="s">
        <v>32</v>
      </c>
      <c r="I887">
        <v>-1</v>
      </c>
      <c r="J887" t="str">
        <f>HYPERLINK("https://www.eliteprospects.com/player/887242/benjamin-girard")</f>
        <v>https://www.eliteprospects.com/player/887242/benjamin-girard</v>
      </c>
      <c r="K887" t="s">
        <v>27</v>
      </c>
      <c r="L887" t="s">
        <v>804</v>
      </c>
      <c r="M887" t="s">
        <v>1296</v>
      </c>
      <c r="N887">
        <v>1</v>
      </c>
      <c r="O887" t="s">
        <v>816</v>
      </c>
      <c r="P887">
        <v>0.02</v>
      </c>
      <c r="Q887" t="s">
        <v>245</v>
      </c>
      <c r="R887">
        <v>28.6</v>
      </c>
      <c r="S887">
        <v>31.4</v>
      </c>
      <c r="T887">
        <v>28.6</v>
      </c>
      <c r="U887">
        <v>4.3</v>
      </c>
      <c r="V887">
        <v>7.1</v>
      </c>
    </row>
    <row r="888" spans="1:22" x14ac:dyDescent="0.25">
      <c r="A888" t="s">
        <v>2197</v>
      </c>
      <c r="B888" t="s">
        <v>828</v>
      </c>
      <c r="C888">
        <v>27</v>
      </c>
      <c r="D888" t="s">
        <v>260</v>
      </c>
      <c r="E888" t="s">
        <v>140</v>
      </c>
      <c r="F888" t="s">
        <v>66</v>
      </c>
      <c r="G888">
        <v>0.15</v>
      </c>
      <c r="H888" t="s">
        <v>24</v>
      </c>
      <c r="I888">
        <v>0</v>
      </c>
      <c r="J888" t="str">
        <f>HYPERLINK("https://www.eliteprospects.com/player/851969/vincent-croteau")</f>
        <v>https://www.eliteprospects.com/player/851969/vincent-croteau</v>
      </c>
      <c r="K888" t="s">
        <v>27</v>
      </c>
      <c r="L888" t="s">
        <v>804</v>
      </c>
      <c r="M888" t="s">
        <v>1296</v>
      </c>
      <c r="N888">
        <v>1</v>
      </c>
      <c r="O888" t="s">
        <v>816</v>
      </c>
      <c r="P888">
        <v>0.02</v>
      </c>
      <c r="Q888" t="s">
        <v>245</v>
      </c>
      <c r="R888">
        <v>28.6</v>
      </c>
      <c r="S888">
        <v>31.4</v>
      </c>
      <c r="T888">
        <v>28.6</v>
      </c>
      <c r="U888">
        <v>4.3</v>
      </c>
      <c r="V888">
        <v>7.1</v>
      </c>
    </row>
    <row r="889" spans="1:22" x14ac:dyDescent="0.25">
      <c r="A889" t="s">
        <v>2198</v>
      </c>
      <c r="B889" t="s">
        <v>811</v>
      </c>
      <c r="C889">
        <v>29</v>
      </c>
      <c r="D889" t="s">
        <v>260</v>
      </c>
      <c r="E889" t="s">
        <v>140</v>
      </c>
      <c r="F889" t="s">
        <v>66</v>
      </c>
      <c r="G889">
        <v>0.14000000000000001</v>
      </c>
      <c r="H889" t="s">
        <v>39</v>
      </c>
      <c r="I889">
        <v>8</v>
      </c>
      <c r="J889" t="str">
        <f>HYPERLINK("https://www.eliteprospects.com/player/760919/mickael-chapdelaine")</f>
        <v>https://www.eliteprospects.com/player/760919/mickael-chapdelaine</v>
      </c>
      <c r="K889" t="s">
        <v>27</v>
      </c>
      <c r="L889" t="s">
        <v>804</v>
      </c>
      <c r="M889" t="s">
        <v>1296</v>
      </c>
      <c r="N889">
        <v>3</v>
      </c>
      <c r="O889" t="s">
        <v>805</v>
      </c>
      <c r="P889">
        <v>0.02</v>
      </c>
      <c r="Q889" t="s">
        <v>245</v>
      </c>
      <c r="R889">
        <v>28.6</v>
      </c>
      <c r="S889">
        <v>31.4</v>
      </c>
      <c r="T889">
        <v>28.6</v>
      </c>
      <c r="U889">
        <v>4.3</v>
      </c>
      <c r="V889">
        <v>7.1</v>
      </c>
    </row>
    <row r="890" spans="1:22" x14ac:dyDescent="0.25">
      <c r="A890" t="s">
        <v>2199</v>
      </c>
      <c r="B890" t="s">
        <v>856</v>
      </c>
      <c r="C890">
        <v>37</v>
      </c>
      <c r="D890" t="s">
        <v>260</v>
      </c>
      <c r="E890" t="s">
        <v>140</v>
      </c>
      <c r="F890" t="s">
        <v>66</v>
      </c>
      <c r="G890">
        <v>0.11</v>
      </c>
      <c r="H890" t="s">
        <v>32</v>
      </c>
      <c r="I890">
        <v>-13</v>
      </c>
      <c r="J890" t="str">
        <f>HYPERLINK("https://www.eliteprospects.com/player/890925/justin-beaulieu")</f>
        <v>https://www.eliteprospects.com/player/890925/justin-beaulieu</v>
      </c>
      <c r="K890" t="s">
        <v>27</v>
      </c>
      <c r="L890" t="s">
        <v>804</v>
      </c>
      <c r="M890" t="s">
        <v>1296</v>
      </c>
      <c r="N890">
        <v>1</v>
      </c>
      <c r="O890" t="s">
        <v>816</v>
      </c>
      <c r="P890">
        <v>0.01</v>
      </c>
      <c r="Q890" t="s">
        <v>245</v>
      </c>
      <c r="R890">
        <v>28.6</v>
      </c>
      <c r="S890">
        <v>31.4</v>
      </c>
      <c r="T890">
        <v>28.6</v>
      </c>
      <c r="U890">
        <v>4.3</v>
      </c>
      <c r="V890">
        <v>7.1</v>
      </c>
    </row>
    <row r="891" spans="1:22" x14ac:dyDescent="0.25">
      <c r="A891" t="s">
        <v>2200</v>
      </c>
      <c r="B891" t="s">
        <v>848</v>
      </c>
      <c r="C891">
        <v>35</v>
      </c>
      <c r="D891" t="s">
        <v>132</v>
      </c>
      <c r="E891" t="s">
        <v>66</v>
      </c>
      <c r="F891" t="s">
        <v>66</v>
      </c>
      <c r="G891">
        <v>0.11</v>
      </c>
      <c r="H891" t="s">
        <v>39</v>
      </c>
      <c r="I891">
        <v>1</v>
      </c>
      <c r="J891" t="str">
        <f>HYPERLINK("https://www.eliteprospects.com/player/897610/drew-mclennan")</f>
        <v>https://www.eliteprospects.com/player/897610/drew-mclennan</v>
      </c>
      <c r="K891" t="s">
        <v>27</v>
      </c>
      <c r="L891" t="s">
        <v>804</v>
      </c>
      <c r="M891" t="s">
        <v>1296</v>
      </c>
      <c r="N891">
        <v>1</v>
      </c>
      <c r="O891" t="s">
        <v>816</v>
      </c>
      <c r="P891">
        <v>0.01</v>
      </c>
      <c r="Q891" t="s">
        <v>245</v>
      </c>
      <c r="R891">
        <v>28.6</v>
      </c>
      <c r="S891">
        <v>31.4</v>
      </c>
      <c r="T891">
        <v>28.6</v>
      </c>
      <c r="U891">
        <v>4.3</v>
      </c>
      <c r="V891">
        <v>7.1</v>
      </c>
    </row>
    <row r="892" spans="1:22" x14ac:dyDescent="0.25">
      <c r="A892" t="s">
        <v>2201</v>
      </c>
      <c r="B892" t="s">
        <v>803</v>
      </c>
      <c r="C892">
        <v>35</v>
      </c>
      <c r="D892" t="s">
        <v>132</v>
      </c>
      <c r="E892" t="s">
        <v>66</v>
      </c>
      <c r="F892" t="s">
        <v>66</v>
      </c>
      <c r="G892">
        <v>0.11</v>
      </c>
      <c r="H892" t="s">
        <v>40</v>
      </c>
      <c r="I892">
        <v>-5</v>
      </c>
      <c r="J892" t="str">
        <f>HYPERLINK("https://www.eliteprospects.com/player/908486/eduard-bondar")</f>
        <v>https://www.eliteprospects.com/player/908486/eduard-bondar</v>
      </c>
      <c r="K892" t="s">
        <v>27</v>
      </c>
      <c r="L892" t="s">
        <v>804</v>
      </c>
      <c r="M892" t="s">
        <v>1296</v>
      </c>
      <c r="N892">
        <v>2</v>
      </c>
      <c r="O892" t="s">
        <v>825</v>
      </c>
      <c r="P892">
        <v>0.01</v>
      </c>
      <c r="Q892" t="s">
        <v>245</v>
      </c>
      <c r="R892">
        <v>28.6</v>
      </c>
      <c r="S892">
        <v>31.4</v>
      </c>
      <c r="T892">
        <v>28.6</v>
      </c>
      <c r="U892">
        <v>4.3</v>
      </c>
      <c r="V892">
        <v>7.1</v>
      </c>
    </row>
    <row r="893" spans="1:22" x14ac:dyDescent="0.25">
      <c r="A893" t="s">
        <v>2202</v>
      </c>
      <c r="B893" t="s">
        <v>815</v>
      </c>
      <c r="C893">
        <v>39</v>
      </c>
      <c r="D893" t="s">
        <v>132</v>
      </c>
      <c r="E893" t="s">
        <v>66</v>
      </c>
      <c r="F893" t="s">
        <v>66</v>
      </c>
      <c r="G893">
        <v>0.1</v>
      </c>
      <c r="H893" t="s">
        <v>512</v>
      </c>
      <c r="I893">
        <v>-11</v>
      </c>
      <c r="J893" t="str">
        <f>HYPERLINK("https://www.eliteprospects.com/player/760894/arno-delisle")</f>
        <v>https://www.eliteprospects.com/player/760894/arno-delisle</v>
      </c>
      <c r="K893" t="s">
        <v>27</v>
      </c>
      <c r="L893" t="s">
        <v>804</v>
      </c>
      <c r="M893" t="s">
        <v>1296</v>
      </c>
      <c r="N893">
        <v>2</v>
      </c>
      <c r="O893" t="s">
        <v>825</v>
      </c>
      <c r="P893">
        <v>0.01</v>
      </c>
      <c r="Q893" t="s">
        <v>245</v>
      </c>
      <c r="R893">
        <v>28.6</v>
      </c>
      <c r="S893">
        <v>31.4</v>
      </c>
      <c r="T893">
        <v>28.6</v>
      </c>
      <c r="U893">
        <v>4.3</v>
      </c>
      <c r="V893">
        <v>7.1</v>
      </c>
    </row>
    <row r="894" spans="1:22" x14ac:dyDescent="0.25">
      <c r="A894" t="s">
        <v>2203</v>
      </c>
      <c r="B894" t="s">
        <v>507</v>
      </c>
      <c r="C894">
        <v>25</v>
      </c>
      <c r="D894" t="s">
        <v>79</v>
      </c>
      <c r="E894" t="s">
        <v>260</v>
      </c>
      <c r="F894" t="s">
        <v>140</v>
      </c>
      <c r="G894">
        <v>0.12</v>
      </c>
      <c r="H894" t="s">
        <v>66</v>
      </c>
      <c r="I894">
        <v>-3</v>
      </c>
      <c r="J894" t="str">
        <f>HYPERLINK("https://www.eliteprospects.com/player/743554/james-roberts")</f>
        <v>https://www.eliteprospects.com/player/743554/james-roberts</v>
      </c>
      <c r="K894" t="s">
        <v>27</v>
      </c>
      <c r="L894" t="s">
        <v>804</v>
      </c>
      <c r="M894" t="s">
        <v>1296</v>
      </c>
      <c r="N894">
        <v>3</v>
      </c>
      <c r="O894" t="s">
        <v>805</v>
      </c>
      <c r="P894">
        <v>0.01</v>
      </c>
      <c r="Q894" t="s">
        <v>245</v>
      </c>
      <c r="R894">
        <v>28.6</v>
      </c>
      <c r="S894">
        <v>31.4</v>
      </c>
      <c r="T894">
        <v>28.6</v>
      </c>
      <c r="U894">
        <v>4.3</v>
      </c>
      <c r="V894">
        <v>7.1</v>
      </c>
    </row>
    <row r="895" spans="1:22" x14ac:dyDescent="0.25">
      <c r="A895" t="s">
        <v>2204</v>
      </c>
      <c r="B895" t="s">
        <v>824</v>
      </c>
      <c r="C895">
        <v>12</v>
      </c>
      <c r="D895" t="s">
        <v>260</v>
      </c>
      <c r="E895" t="s">
        <v>79</v>
      </c>
      <c r="F895" t="s">
        <v>140</v>
      </c>
      <c r="G895">
        <v>0.25</v>
      </c>
      <c r="H895" t="s">
        <v>57</v>
      </c>
      <c r="I895">
        <v>-5</v>
      </c>
      <c r="J895" t="str">
        <f>HYPERLINK("https://www.eliteprospects.com/player/679263/lincoln-waugh")</f>
        <v>https://www.eliteprospects.com/player/679263/lincoln-waugh</v>
      </c>
      <c r="K895" t="s">
        <v>27</v>
      </c>
      <c r="L895" t="s">
        <v>804</v>
      </c>
      <c r="M895" t="s">
        <v>1296</v>
      </c>
      <c r="N895">
        <v>4</v>
      </c>
      <c r="O895" t="s">
        <v>809</v>
      </c>
      <c r="P895">
        <v>0.03</v>
      </c>
      <c r="Q895" t="s">
        <v>245</v>
      </c>
      <c r="R895">
        <v>28.6</v>
      </c>
      <c r="S895">
        <v>31.4</v>
      </c>
      <c r="T895">
        <v>28.6</v>
      </c>
      <c r="U895">
        <v>4.3</v>
      </c>
      <c r="V895">
        <v>7.1</v>
      </c>
    </row>
    <row r="896" spans="1:22" x14ac:dyDescent="0.25">
      <c r="A896" t="s">
        <v>2205</v>
      </c>
      <c r="B896" t="s">
        <v>811</v>
      </c>
      <c r="C896">
        <v>17</v>
      </c>
      <c r="D896" t="s">
        <v>132</v>
      </c>
      <c r="E896" t="s">
        <v>140</v>
      </c>
      <c r="F896" t="s">
        <v>140</v>
      </c>
      <c r="G896">
        <v>0.18</v>
      </c>
      <c r="H896" t="s">
        <v>39</v>
      </c>
      <c r="I896">
        <v>4</v>
      </c>
      <c r="J896" t="str">
        <f>HYPERLINK("https://www.eliteprospects.com/player/871214/louis-felix-gagnon")</f>
        <v>https://www.eliteprospects.com/player/871214/louis-felix-gagnon</v>
      </c>
      <c r="K896" t="s">
        <v>27</v>
      </c>
      <c r="L896" t="s">
        <v>804</v>
      </c>
      <c r="M896" t="s">
        <v>1296</v>
      </c>
      <c r="N896">
        <v>2</v>
      </c>
      <c r="O896" t="s">
        <v>825</v>
      </c>
      <c r="P896">
        <v>0.02</v>
      </c>
      <c r="Q896" t="s">
        <v>245</v>
      </c>
      <c r="R896">
        <v>28.6</v>
      </c>
      <c r="S896">
        <v>31.4</v>
      </c>
      <c r="T896">
        <v>28.6</v>
      </c>
      <c r="U896">
        <v>4.3</v>
      </c>
      <c r="V896">
        <v>7.1</v>
      </c>
    </row>
    <row r="897" spans="1:22" x14ac:dyDescent="0.25">
      <c r="A897" t="s">
        <v>2206</v>
      </c>
      <c r="B897" t="s">
        <v>820</v>
      </c>
      <c r="C897">
        <v>21</v>
      </c>
      <c r="D897" t="s">
        <v>132</v>
      </c>
      <c r="E897" t="s">
        <v>140</v>
      </c>
      <c r="F897" t="s">
        <v>140</v>
      </c>
      <c r="G897">
        <v>0.14000000000000001</v>
      </c>
      <c r="H897" t="s">
        <v>57</v>
      </c>
      <c r="I897">
        <v>-1</v>
      </c>
      <c r="J897" t="str">
        <f>HYPERLINK("https://www.eliteprospects.com/player/806427/jackson-batchilder")</f>
        <v>https://www.eliteprospects.com/player/806427/jackson-batchilder</v>
      </c>
      <c r="K897" t="s">
        <v>27</v>
      </c>
      <c r="L897" t="s">
        <v>804</v>
      </c>
      <c r="M897" t="s">
        <v>1296</v>
      </c>
      <c r="N897">
        <v>2</v>
      </c>
      <c r="O897" t="s">
        <v>825</v>
      </c>
      <c r="P897">
        <v>0.02</v>
      </c>
      <c r="Q897" t="s">
        <v>245</v>
      </c>
      <c r="R897">
        <v>28.6</v>
      </c>
      <c r="S897">
        <v>31.4</v>
      </c>
      <c r="T897">
        <v>28.6</v>
      </c>
      <c r="U897">
        <v>4.3</v>
      </c>
      <c r="V897">
        <v>7.1</v>
      </c>
    </row>
    <row r="898" spans="1:22" x14ac:dyDescent="0.25">
      <c r="A898" t="s">
        <v>2207</v>
      </c>
      <c r="B898" t="s">
        <v>806</v>
      </c>
      <c r="C898">
        <v>24</v>
      </c>
      <c r="D898" t="s">
        <v>132</v>
      </c>
      <c r="E898" t="s">
        <v>140</v>
      </c>
      <c r="F898" t="s">
        <v>140</v>
      </c>
      <c r="G898">
        <v>0.13</v>
      </c>
      <c r="H898" t="s">
        <v>23</v>
      </c>
      <c r="I898">
        <v>-8</v>
      </c>
      <c r="J898" t="str">
        <f>HYPERLINK("https://www.eliteprospects.com/player/760887/jayden-lazare")</f>
        <v>https://www.eliteprospects.com/player/760887/jayden-lazare</v>
      </c>
      <c r="K898" t="s">
        <v>27</v>
      </c>
      <c r="L898" t="s">
        <v>804</v>
      </c>
      <c r="M898" t="s">
        <v>1296</v>
      </c>
      <c r="N898">
        <v>2</v>
      </c>
      <c r="O898" t="s">
        <v>825</v>
      </c>
      <c r="P898">
        <v>0.01</v>
      </c>
      <c r="Q898" t="s">
        <v>245</v>
      </c>
      <c r="R898">
        <v>28.6</v>
      </c>
      <c r="S898">
        <v>31.4</v>
      </c>
      <c r="T898">
        <v>28.6</v>
      </c>
      <c r="U898">
        <v>4.3</v>
      </c>
      <c r="V898">
        <v>7.1</v>
      </c>
    </row>
    <row r="899" spans="1:22" x14ac:dyDescent="0.25">
      <c r="A899" t="s">
        <v>2208</v>
      </c>
      <c r="B899" t="s">
        <v>856</v>
      </c>
      <c r="C899">
        <v>25</v>
      </c>
      <c r="D899" t="s">
        <v>132</v>
      </c>
      <c r="E899" t="s">
        <v>140</v>
      </c>
      <c r="F899" t="s">
        <v>140</v>
      </c>
      <c r="G899">
        <v>0.12</v>
      </c>
      <c r="H899" t="s">
        <v>57</v>
      </c>
      <c r="I899">
        <v>0</v>
      </c>
      <c r="J899" t="str">
        <f>HYPERLINK("https://www.eliteprospects.com/player/806152/benjamin-benoit-rioux")</f>
        <v>https://www.eliteprospects.com/player/806152/benjamin-benoit-rioux</v>
      </c>
      <c r="K899" t="s">
        <v>27</v>
      </c>
      <c r="L899" t="s">
        <v>804</v>
      </c>
      <c r="M899" t="s">
        <v>1296</v>
      </c>
      <c r="N899">
        <v>3</v>
      </c>
      <c r="O899" t="s">
        <v>805</v>
      </c>
      <c r="P899">
        <v>0.01</v>
      </c>
      <c r="Q899" t="s">
        <v>245</v>
      </c>
      <c r="R899">
        <v>28.6</v>
      </c>
      <c r="S899">
        <v>31.4</v>
      </c>
      <c r="T899">
        <v>28.6</v>
      </c>
      <c r="U899">
        <v>4.3</v>
      </c>
      <c r="V899">
        <v>7.1</v>
      </c>
    </row>
    <row r="900" spans="1:22" x14ac:dyDescent="0.25">
      <c r="A900" t="s">
        <v>2209</v>
      </c>
      <c r="B900" t="s">
        <v>832</v>
      </c>
      <c r="C900">
        <v>32</v>
      </c>
      <c r="D900" t="s">
        <v>132</v>
      </c>
      <c r="E900" t="s">
        <v>140</v>
      </c>
      <c r="F900" t="s">
        <v>140</v>
      </c>
      <c r="G900">
        <v>0.09</v>
      </c>
      <c r="H900" t="s">
        <v>57</v>
      </c>
      <c r="I900">
        <v>-2</v>
      </c>
      <c r="J900" t="str">
        <f>HYPERLINK("https://www.eliteprospects.com/player/828932/zachary-gagnon")</f>
        <v>https://www.eliteprospects.com/player/828932/zachary-gagnon</v>
      </c>
      <c r="K900" t="s">
        <v>27</v>
      </c>
      <c r="L900" t="s">
        <v>804</v>
      </c>
      <c r="M900" t="s">
        <v>1296</v>
      </c>
      <c r="N900">
        <v>2</v>
      </c>
      <c r="O900" t="s">
        <v>825</v>
      </c>
      <c r="P900">
        <v>0.01</v>
      </c>
      <c r="Q900" t="s">
        <v>245</v>
      </c>
      <c r="R900">
        <v>28.6</v>
      </c>
      <c r="S900">
        <v>31.4</v>
      </c>
      <c r="T900">
        <v>28.6</v>
      </c>
      <c r="U900">
        <v>4.3</v>
      </c>
      <c r="V900">
        <v>7.1</v>
      </c>
    </row>
    <row r="901" spans="1:22" x14ac:dyDescent="0.25">
      <c r="A901" t="s">
        <v>2210</v>
      </c>
      <c r="B901" t="s">
        <v>507</v>
      </c>
      <c r="C901">
        <v>16</v>
      </c>
      <c r="D901" t="s">
        <v>260</v>
      </c>
      <c r="E901" t="s">
        <v>260</v>
      </c>
      <c r="F901" t="s">
        <v>79</v>
      </c>
      <c r="G901">
        <v>0.13</v>
      </c>
      <c r="H901" t="s">
        <v>26</v>
      </c>
      <c r="I901">
        <v>-2</v>
      </c>
      <c r="J901" t="str">
        <f>HYPERLINK("https://www.eliteprospects.com/player/772964/nathan-wright")</f>
        <v>https://www.eliteprospects.com/player/772964/nathan-wright</v>
      </c>
      <c r="K901" t="s">
        <v>27</v>
      </c>
      <c r="L901" t="s">
        <v>804</v>
      </c>
      <c r="M901" t="s">
        <v>1296</v>
      </c>
      <c r="N901">
        <v>3</v>
      </c>
      <c r="O901" t="s">
        <v>805</v>
      </c>
      <c r="P901">
        <v>0.01</v>
      </c>
      <c r="Q901" t="s">
        <v>245</v>
      </c>
      <c r="R901">
        <v>28.6</v>
      </c>
      <c r="S901">
        <v>31.4</v>
      </c>
      <c r="T901">
        <v>28.6</v>
      </c>
      <c r="U901">
        <v>4.3</v>
      </c>
      <c r="V901">
        <v>7.1</v>
      </c>
    </row>
    <row r="902" spans="1:22" x14ac:dyDescent="0.25">
      <c r="A902" t="s">
        <v>2211</v>
      </c>
      <c r="B902" t="s">
        <v>848</v>
      </c>
      <c r="C902">
        <v>18</v>
      </c>
      <c r="D902" t="s">
        <v>260</v>
      </c>
      <c r="E902" t="s">
        <v>260</v>
      </c>
      <c r="F902" t="s">
        <v>79</v>
      </c>
      <c r="G902">
        <v>0.11</v>
      </c>
      <c r="H902" t="s">
        <v>66</v>
      </c>
      <c r="I902">
        <v>-4</v>
      </c>
      <c r="J902" t="str">
        <f>HYPERLINK("https://www.eliteprospects.com/player/886989/wassim-rabbath")</f>
        <v>https://www.eliteprospects.com/player/886989/wassim-rabbath</v>
      </c>
      <c r="K902" t="s">
        <v>27</v>
      </c>
      <c r="L902" t="s">
        <v>804</v>
      </c>
      <c r="M902" t="s">
        <v>1296</v>
      </c>
      <c r="N902">
        <v>2</v>
      </c>
      <c r="O902" t="s">
        <v>825</v>
      </c>
      <c r="P902">
        <v>0.01</v>
      </c>
      <c r="Q902" t="s">
        <v>245</v>
      </c>
      <c r="R902">
        <v>28.6</v>
      </c>
      <c r="S902">
        <v>31.4</v>
      </c>
      <c r="T902">
        <v>28.6</v>
      </c>
      <c r="U902">
        <v>4.3</v>
      </c>
      <c r="V902">
        <v>7.1</v>
      </c>
    </row>
    <row r="903" spans="1:22" x14ac:dyDescent="0.25">
      <c r="A903" t="s">
        <v>2212</v>
      </c>
      <c r="B903" t="s">
        <v>507</v>
      </c>
      <c r="C903">
        <v>28</v>
      </c>
      <c r="D903" t="s">
        <v>260</v>
      </c>
      <c r="E903" t="s">
        <v>260</v>
      </c>
      <c r="F903" t="s">
        <v>79</v>
      </c>
      <c r="G903">
        <v>7.0000000000000007E-2</v>
      </c>
      <c r="H903" t="s">
        <v>53</v>
      </c>
      <c r="I903">
        <v>7</v>
      </c>
      <c r="J903" t="str">
        <f>HYPERLINK("https://www.eliteprospects.com/player/716371/nathan-nadeau")</f>
        <v>https://www.eliteprospects.com/player/716371/nathan-nadeau</v>
      </c>
      <c r="K903" t="s">
        <v>27</v>
      </c>
      <c r="L903" t="s">
        <v>804</v>
      </c>
      <c r="M903" t="s">
        <v>1296</v>
      </c>
      <c r="N903">
        <v>1</v>
      </c>
      <c r="O903" t="s">
        <v>816</v>
      </c>
      <c r="P903">
        <v>0.01</v>
      </c>
      <c r="Q903" t="s">
        <v>245</v>
      </c>
      <c r="R903">
        <v>28.6</v>
      </c>
      <c r="S903">
        <v>31.4</v>
      </c>
      <c r="T903">
        <v>28.6</v>
      </c>
      <c r="U903">
        <v>4.3</v>
      </c>
      <c r="V903">
        <v>7.1</v>
      </c>
    </row>
    <row r="904" spans="1:22" x14ac:dyDescent="0.25">
      <c r="A904" t="s">
        <v>2213</v>
      </c>
      <c r="B904" t="s">
        <v>815</v>
      </c>
      <c r="C904">
        <v>33</v>
      </c>
      <c r="D904" t="s">
        <v>260</v>
      </c>
      <c r="E904" t="s">
        <v>260</v>
      </c>
      <c r="F904" t="s">
        <v>79</v>
      </c>
      <c r="G904">
        <v>0.06</v>
      </c>
      <c r="H904" t="s">
        <v>53</v>
      </c>
      <c r="I904">
        <v>-11</v>
      </c>
      <c r="J904" t="str">
        <f>HYPERLINK("https://www.eliteprospects.com/player/885499/cohen-paquet")</f>
        <v>https://www.eliteprospects.com/player/885499/cohen-paquet</v>
      </c>
      <c r="K904" t="s">
        <v>27</v>
      </c>
      <c r="L904" t="s">
        <v>804</v>
      </c>
      <c r="M904" t="s">
        <v>1296</v>
      </c>
      <c r="N904">
        <v>2</v>
      </c>
      <c r="O904" t="s">
        <v>825</v>
      </c>
      <c r="P904">
        <v>0.01</v>
      </c>
      <c r="Q904" t="s">
        <v>245</v>
      </c>
      <c r="R904">
        <v>28.6</v>
      </c>
      <c r="S904">
        <v>31.4</v>
      </c>
      <c r="T904">
        <v>28.6</v>
      </c>
      <c r="U904">
        <v>4.3</v>
      </c>
      <c r="V904">
        <v>7.1</v>
      </c>
    </row>
    <row r="905" spans="1:22" x14ac:dyDescent="0.25">
      <c r="A905" t="s">
        <v>2214</v>
      </c>
      <c r="B905" t="s">
        <v>815</v>
      </c>
      <c r="C905">
        <v>37</v>
      </c>
      <c r="D905" t="s">
        <v>260</v>
      </c>
      <c r="E905" t="s">
        <v>260</v>
      </c>
      <c r="F905" t="s">
        <v>79</v>
      </c>
      <c r="G905">
        <v>0.05</v>
      </c>
      <c r="H905" t="s">
        <v>38</v>
      </c>
      <c r="I905">
        <v>-12</v>
      </c>
      <c r="J905" t="str">
        <f>HYPERLINK("https://www.eliteprospects.com/player/714904/maxime-dodier")</f>
        <v>https://www.eliteprospects.com/player/714904/maxime-dodier</v>
      </c>
      <c r="K905" t="s">
        <v>27</v>
      </c>
      <c r="L905" t="s">
        <v>804</v>
      </c>
      <c r="M905" t="s">
        <v>1296</v>
      </c>
      <c r="N905">
        <v>1</v>
      </c>
      <c r="O905" t="s">
        <v>816</v>
      </c>
      <c r="P905">
        <v>0.01</v>
      </c>
      <c r="Q905" t="s">
        <v>245</v>
      </c>
      <c r="R905">
        <v>28.6</v>
      </c>
      <c r="S905">
        <v>31.4</v>
      </c>
      <c r="T905">
        <v>28.6</v>
      </c>
      <c r="U905">
        <v>4.3</v>
      </c>
      <c r="V905">
        <v>7.1</v>
      </c>
    </row>
    <row r="906" spans="1:22" x14ac:dyDescent="0.25">
      <c r="A906" t="s">
        <v>2215</v>
      </c>
      <c r="B906" t="s">
        <v>856</v>
      </c>
      <c r="C906">
        <v>15</v>
      </c>
      <c r="D906" t="s">
        <v>132</v>
      </c>
      <c r="E906" t="s">
        <v>79</v>
      </c>
      <c r="F906" t="s">
        <v>79</v>
      </c>
      <c r="G906">
        <v>0.13</v>
      </c>
      <c r="H906" t="s">
        <v>57</v>
      </c>
      <c r="I906">
        <v>-7</v>
      </c>
      <c r="J906" t="str">
        <f>HYPERLINK("https://www.eliteprospects.com/player/903355/luka-romaniak")</f>
        <v>https://www.eliteprospects.com/player/903355/luka-romaniak</v>
      </c>
      <c r="K906" t="s">
        <v>27</v>
      </c>
      <c r="L906" t="s">
        <v>804</v>
      </c>
      <c r="M906" t="s">
        <v>1296</v>
      </c>
      <c r="N906">
        <v>1</v>
      </c>
      <c r="O906" t="s">
        <v>816</v>
      </c>
      <c r="P906">
        <v>0.01</v>
      </c>
      <c r="Q906" t="s">
        <v>245</v>
      </c>
      <c r="R906">
        <v>28.6</v>
      </c>
      <c r="S906">
        <v>31.4</v>
      </c>
      <c r="T906">
        <v>28.6</v>
      </c>
      <c r="U906">
        <v>4.3</v>
      </c>
      <c r="V906">
        <v>7.1</v>
      </c>
    </row>
    <row r="907" spans="1:22" x14ac:dyDescent="0.25">
      <c r="A907" t="s">
        <v>2216</v>
      </c>
      <c r="B907" t="s">
        <v>821</v>
      </c>
      <c r="C907">
        <v>15</v>
      </c>
      <c r="D907" t="s">
        <v>132</v>
      </c>
      <c r="E907" t="s">
        <v>79</v>
      </c>
      <c r="F907" t="s">
        <v>79</v>
      </c>
      <c r="G907">
        <v>0.13</v>
      </c>
      <c r="H907" t="s">
        <v>65</v>
      </c>
      <c r="I907">
        <v>-4</v>
      </c>
      <c r="J907" t="str">
        <f>HYPERLINK("https://www.eliteprospects.com/player/692289/maxwell-jardine")</f>
        <v>https://www.eliteprospects.com/player/692289/maxwell-jardine</v>
      </c>
      <c r="K907" t="s">
        <v>27</v>
      </c>
      <c r="L907" t="s">
        <v>804</v>
      </c>
      <c r="M907" t="s">
        <v>1296</v>
      </c>
      <c r="N907">
        <v>3</v>
      </c>
      <c r="O907" t="s">
        <v>805</v>
      </c>
      <c r="P907">
        <v>0.01</v>
      </c>
      <c r="Q907" t="s">
        <v>245</v>
      </c>
      <c r="R907">
        <v>28.6</v>
      </c>
      <c r="S907">
        <v>31.4</v>
      </c>
      <c r="T907">
        <v>28.6</v>
      </c>
      <c r="U907">
        <v>4.3</v>
      </c>
      <c r="V907">
        <v>7.1</v>
      </c>
    </row>
    <row r="908" spans="1:22" x14ac:dyDescent="0.25">
      <c r="A908" t="s">
        <v>2217</v>
      </c>
      <c r="B908" t="s">
        <v>856</v>
      </c>
      <c r="C908">
        <v>18</v>
      </c>
      <c r="D908" t="s">
        <v>132</v>
      </c>
      <c r="E908" t="s">
        <v>79</v>
      </c>
      <c r="F908" t="s">
        <v>79</v>
      </c>
      <c r="G908">
        <v>0.11</v>
      </c>
      <c r="H908" t="s">
        <v>66</v>
      </c>
      <c r="I908">
        <v>-5</v>
      </c>
      <c r="J908" t="str">
        <f>HYPERLINK("https://www.eliteprospects.com/player/871540/guillaume-gleason")</f>
        <v>https://www.eliteprospects.com/player/871540/guillaume-gleason</v>
      </c>
      <c r="K908" t="s">
        <v>27</v>
      </c>
      <c r="L908" t="s">
        <v>804</v>
      </c>
      <c r="M908" t="s">
        <v>1296</v>
      </c>
      <c r="N908">
        <v>1</v>
      </c>
      <c r="O908" t="s">
        <v>816</v>
      </c>
      <c r="P908">
        <v>0.01</v>
      </c>
      <c r="Q908" t="s">
        <v>245</v>
      </c>
      <c r="R908">
        <v>28.6</v>
      </c>
      <c r="S908">
        <v>31.4</v>
      </c>
      <c r="T908">
        <v>28.6</v>
      </c>
      <c r="U908">
        <v>4.3</v>
      </c>
      <c r="V908">
        <v>7.1</v>
      </c>
    </row>
    <row r="909" spans="1:22" x14ac:dyDescent="0.25">
      <c r="A909" t="s">
        <v>2218</v>
      </c>
      <c r="B909" t="s">
        <v>832</v>
      </c>
      <c r="C909">
        <v>23</v>
      </c>
      <c r="D909" t="s">
        <v>132</v>
      </c>
      <c r="E909" t="s">
        <v>79</v>
      </c>
      <c r="F909" t="s">
        <v>79</v>
      </c>
      <c r="G909">
        <v>0.09</v>
      </c>
      <c r="H909" t="s">
        <v>66</v>
      </c>
      <c r="I909">
        <v>1</v>
      </c>
      <c r="J909" t="str">
        <f>HYPERLINK("https://www.eliteprospects.com/player/877004/reinis-auzins")</f>
        <v>https://www.eliteprospects.com/player/877004/reinis-auzins</v>
      </c>
      <c r="K909" t="s">
        <v>27</v>
      </c>
      <c r="L909" t="s">
        <v>804</v>
      </c>
      <c r="M909" t="s">
        <v>1296</v>
      </c>
      <c r="N909">
        <v>1</v>
      </c>
      <c r="O909" t="s">
        <v>816</v>
      </c>
      <c r="P909">
        <v>0.01</v>
      </c>
      <c r="Q909" t="s">
        <v>245</v>
      </c>
      <c r="R909">
        <v>28.6</v>
      </c>
      <c r="S909">
        <v>31.4</v>
      </c>
      <c r="T909">
        <v>28.6</v>
      </c>
      <c r="U909">
        <v>4.3</v>
      </c>
      <c r="V909">
        <v>7.1</v>
      </c>
    </row>
    <row r="910" spans="1:22" x14ac:dyDescent="0.25">
      <c r="A910" t="s">
        <v>2219</v>
      </c>
      <c r="B910" t="s">
        <v>856</v>
      </c>
      <c r="C910">
        <v>26</v>
      </c>
      <c r="D910" t="s">
        <v>132</v>
      </c>
      <c r="E910" t="s">
        <v>79</v>
      </c>
      <c r="F910" t="s">
        <v>79</v>
      </c>
      <c r="G910">
        <v>0.08</v>
      </c>
      <c r="H910" t="s">
        <v>269</v>
      </c>
      <c r="I910">
        <v>-5</v>
      </c>
      <c r="J910" t="str">
        <f>HYPERLINK("https://www.eliteprospects.com/player/811028/connor-sturgeon")</f>
        <v>https://www.eliteprospects.com/player/811028/connor-sturgeon</v>
      </c>
      <c r="K910" t="s">
        <v>27</v>
      </c>
      <c r="L910" t="s">
        <v>804</v>
      </c>
      <c r="M910" t="s">
        <v>1296</v>
      </c>
      <c r="N910">
        <v>3</v>
      </c>
      <c r="O910" t="s">
        <v>805</v>
      </c>
      <c r="P910">
        <v>0.01</v>
      </c>
      <c r="Q910" t="s">
        <v>245</v>
      </c>
      <c r="R910">
        <v>28.6</v>
      </c>
      <c r="S910">
        <v>31.4</v>
      </c>
      <c r="T910">
        <v>28.6</v>
      </c>
      <c r="U910">
        <v>4.3</v>
      </c>
      <c r="V910">
        <v>7.1</v>
      </c>
    </row>
    <row r="911" spans="1:22" x14ac:dyDescent="0.25">
      <c r="A911" t="s">
        <v>2220</v>
      </c>
      <c r="B911" t="s">
        <v>822</v>
      </c>
      <c r="C911">
        <v>35</v>
      </c>
      <c r="D911" t="s">
        <v>132</v>
      </c>
      <c r="E911" t="s">
        <v>79</v>
      </c>
      <c r="F911" t="s">
        <v>79</v>
      </c>
      <c r="G911">
        <v>0.06</v>
      </c>
      <c r="H911" t="s">
        <v>47</v>
      </c>
      <c r="I911">
        <v>-11</v>
      </c>
      <c r="J911" t="str">
        <f>HYPERLINK("https://www.eliteprospects.com/player/835407/samuel-kupec")</f>
        <v>https://www.eliteprospects.com/player/835407/samuel-kupec</v>
      </c>
      <c r="K911" t="s">
        <v>27</v>
      </c>
      <c r="L911" t="s">
        <v>804</v>
      </c>
      <c r="M911" t="s">
        <v>1296</v>
      </c>
      <c r="N911">
        <v>2</v>
      </c>
      <c r="O911" t="s">
        <v>825</v>
      </c>
      <c r="P911">
        <v>0.01</v>
      </c>
      <c r="Q911" t="s">
        <v>245</v>
      </c>
      <c r="R911">
        <v>28.6</v>
      </c>
      <c r="S911">
        <v>31.4</v>
      </c>
      <c r="T911">
        <v>28.6</v>
      </c>
      <c r="U911">
        <v>4.3</v>
      </c>
      <c r="V911">
        <v>7.1</v>
      </c>
    </row>
    <row r="912" spans="1:22" x14ac:dyDescent="0.25">
      <c r="A912" t="s">
        <v>2221</v>
      </c>
      <c r="B912" t="s">
        <v>812</v>
      </c>
      <c r="C912">
        <v>27</v>
      </c>
      <c r="D912" t="s">
        <v>260</v>
      </c>
      <c r="E912" t="s">
        <v>132</v>
      </c>
      <c r="F912" t="s">
        <v>260</v>
      </c>
      <c r="G912">
        <v>0.04</v>
      </c>
      <c r="H912" t="s">
        <v>66</v>
      </c>
      <c r="I912">
        <v>-6</v>
      </c>
      <c r="J912" t="str">
        <f>HYPERLINK("https://www.eliteprospects.com/player/710451/jacob-hamel")</f>
        <v>https://www.eliteprospects.com/player/710451/jacob-hamel</v>
      </c>
      <c r="K912" t="s">
        <v>27</v>
      </c>
      <c r="L912" t="s">
        <v>804</v>
      </c>
      <c r="M912" t="s">
        <v>1296</v>
      </c>
      <c r="N912">
        <v>2</v>
      </c>
      <c r="O912" t="s">
        <v>825</v>
      </c>
      <c r="P912">
        <v>0</v>
      </c>
      <c r="Q912" t="s">
        <v>245</v>
      </c>
      <c r="R912">
        <v>28.6</v>
      </c>
      <c r="S912">
        <v>31.4</v>
      </c>
      <c r="T912">
        <v>28.6</v>
      </c>
      <c r="U912">
        <v>4.3</v>
      </c>
      <c r="V912">
        <v>7.1</v>
      </c>
    </row>
    <row r="913" spans="1:22" x14ac:dyDescent="0.25">
      <c r="A913" t="s">
        <v>2222</v>
      </c>
      <c r="B913" t="s">
        <v>821</v>
      </c>
      <c r="C913">
        <v>10</v>
      </c>
      <c r="D913" t="s">
        <v>132</v>
      </c>
      <c r="E913" t="s">
        <v>260</v>
      </c>
      <c r="F913" t="s">
        <v>260</v>
      </c>
      <c r="G913">
        <v>0.1</v>
      </c>
      <c r="H913" t="s">
        <v>57</v>
      </c>
      <c r="I913">
        <v>-2</v>
      </c>
      <c r="J913" t="str">
        <f>HYPERLINK("https://www.eliteprospects.com/player/814141/daniel-chen")</f>
        <v>https://www.eliteprospects.com/player/814141/daniel-chen</v>
      </c>
      <c r="K913" t="s">
        <v>27</v>
      </c>
      <c r="L913" t="s">
        <v>804</v>
      </c>
      <c r="M913" t="s">
        <v>1296</v>
      </c>
      <c r="N913">
        <v>3</v>
      </c>
      <c r="O913" t="s">
        <v>894</v>
      </c>
      <c r="P913">
        <v>0.01</v>
      </c>
      <c r="Q913" t="s">
        <v>245</v>
      </c>
      <c r="R913">
        <v>28.6</v>
      </c>
      <c r="S913">
        <v>31.4</v>
      </c>
      <c r="T913">
        <v>28.6</v>
      </c>
      <c r="U913">
        <v>4.3</v>
      </c>
      <c r="V913">
        <v>7.1</v>
      </c>
    </row>
    <row r="914" spans="1:22" x14ac:dyDescent="0.25">
      <c r="A914" t="s">
        <v>2223</v>
      </c>
      <c r="B914" t="s">
        <v>815</v>
      </c>
      <c r="C914">
        <v>15</v>
      </c>
      <c r="D914" t="s">
        <v>132</v>
      </c>
      <c r="E914" t="s">
        <v>260</v>
      </c>
      <c r="F914" t="s">
        <v>260</v>
      </c>
      <c r="G914">
        <v>7.0000000000000007E-2</v>
      </c>
      <c r="H914" t="s">
        <v>78</v>
      </c>
      <c r="I914">
        <v>-4</v>
      </c>
      <c r="J914" t="str">
        <f>HYPERLINK("https://www.eliteprospects.com/player/871538/alain-bourdeau")</f>
        <v>https://www.eliteprospects.com/player/871538/alain-bourdeau</v>
      </c>
      <c r="K914" t="s">
        <v>27</v>
      </c>
      <c r="L914" t="s">
        <v>804</v>
      </c>
      <c r="M914" t="s">
        <v>1296</v>
      </c>
      <c r="N914">
        <v>1</v>
      </c>
      <c r="O914" t="s">
        <v>816</v>
      </c>
      <c r="P914">
        <v>0.01</v>
      </c>
      <c r="Q914" t="s">
        <v>245</v>
      </c>
      <c r="R914">
        <v>28.6</v>
      </c>
      <c r="S914">
        <v>31.4</v>
      </c>
      <c r="T914">
        <v>28.6</v>
      </c>
      <c r="U914">
        <v>4.3</v>
      </c>
      <c r="V914">
        <v>7.1</v>
      </c>
    </row>
    <row r="915" spans="1:22" x14ac:dyDescent="0.25">
      <c r="A915" t="s">
        <v>2224</v>
      </c>
      <c r="B915" t="s">
        <v>848</v>
      </c>
      <c r="C915">
        <v>17</v>
      </c>
      <c r="D915" t="s">
        <v>132</v>
      </c>
      <c r="E915" t="s">
        <v>260</v>
      </c>
      <c r="F915" t="s">
        <v>260</v>
      </c>
      <c r="G915">
        <v>0.06</v>
      </c>
      <c r="H915" t="s">
        <v>26</v>
      </c>
      <c r="I915">
        <v>-3</v>
      </c>
      <c r="J915" t="str">
        <f>HYPERLINK("https://www.eliteprospects.com/player/762987/justin-blais")</f>
        <v>https://www.eliteprospects.com/player/762987/justin-blais</v>
      </c>
      <c r="K915" t="s">
        <v>27</v>
      </c>
      <c r="L915" t="s">
        <v>804</v>
      </c>
      <c r="M915" t="s">
        <v>1296</v>
      </c>
      <c r="N915">
        <v>3</v>
      </c>
      <c r="O915" t="s">
        <v>805</v>
      </c>
      <c r="P915">
        <v>0.01</v>
      </c>
      <c r="Q915" t="s">
        <v>245</v>
      </c>
      <c r="R915">
        <v>28.6</v>
      </c>
      <c r="S915">
        <v>31.4</v>
      </c>
      <c r="T915">
        <v>28.6</v>
      </c>
      <c r="U915">
        <v>4.3</v>
      </c>
      <c r="V915">
        <v>7.1</v>
      </c>
    </row>
    <row r="916" spans="1:22" x14ac:dyDescent="0.25">
      <c r="A916" t="s">
        <v>2225</v>
      </c>
      <c r="B916" t="s">
        <v>812</v>
      </c>
      <c r="C916">
        <v>17</v>
      </c>
      <c r="D916" t="s">
        <v>132</v>
      </c>
      <c r="E916" t="s">
        <v>260</v>
      </c>
      <c r="F916" t="s">
        <v>260</v>
      </c>
      <c r="G916">
        <v>0.06</v>
      </c>
      <c r="H916" t="s">
        <v>47</v>
      </c>
      <c r="I916">
        <v>4</v>
      </c>
      <c r="J916" t="str">
        <f>HYPERLINK("https://www.eliteprospects.com/player/904776/brayden-kaldenbach")</f>
        <v>https://www.eliteprospects.com/player/904776/brayden-kaldenbach</v>
      </c>
      <c r="K916" t="s">
        <v>27</v>
      </c>
      <c r="L916" t="s">
        <v>804</v>
      </c>
      <c r="M916" t="s">
        <v>1296</v>
      </c>
      <c r="N916">
        <v>1</v>
      </c>
      <c r="O916" t="s">
        <v>816</v>
      </c>
      <c r="P916">
        <v>0.01</v>
      </c>
      <c r="Q916" t="s">
        <v>245</v>
      </c>
      <c r="R916">
        <v>28.6</v>
      </c>
      <c r="S916">
        <v>31.4</v>
      </c>
      <c r="T916">
        <v>28.6</v>
      </c>
      <c r="U916">
        <v>4.3</v>
      </c>
      <c r="V916">
        <v>7.1</v>
      </c>
    </row>
    <row r="917" spans="1:22" x14ac:dyDescent="0.25">
      <c r="A917" t="s">
        <v>2226</v>
      </c>
      <c r="B917" t="s">
        <v>865</v>
      </c>
      <c r="C917">
        <v>18</v>
      </c>
      <c r="D917" t="s">
        <v>132</v>
      </c>
      <c r="E917" t="s">
        <v>260</v>
      </c>
      <c r="F917" t="s">
        <v>260</v>
      </c>
      <c r="G917">
        <v>0.06</v>
      </c>
      <c r="H917" t="s">
        <v>57</v>
      </c>
      <c r="I917">
        <v>-8</v>
      </c>
      <c r="J917" t="str">
        <f>HYPERLINK("https://www.eliteprospects.com/player/843363/aaron-murphy")</f>
        <v>https://www.eliteprospects.com/player/843363/aaron-murphy</v>
      </c>
      <c r="K917" t="s">
        <v>27</v>
      </c>
      <c r="L917" t="s">
        <v>804</v>
      </c>
      <c r="M917" t="s">
        <v>1296</v>
      </c>
      <c r="N917">
        <v>2</v>
      </c>
      <c r="O917" t="s">
        <v>825</v>
      </c>
      <c r="P917">
        <v>0.01</v>
      </c>
      <c r="Q917" t="s">
        <v>245</v>
      </c>
      <c r="R917">
        <v>28.6</v>
      </c>
      <c r="S917">
        <v>31.4</v>
      </c>
      <c r="T917">
        <v>28.6</v>
      </c>
      <c r="U917">
        <v>4.3</v>
      </c>
      <c r="V917">
        <v>7.1</v>
      </c>
    </row>
    <row r="918" spans="1:22" x14ac:dyDescent="0.25">
      <c r="A918" t="s">
        <v>2227</v>
      </c>
      <c r="B918" t="s">
        <v>865</v>
      </c>
      <c r="C918">
        <v>21</v>
      </c>
      <c r="D918" t="s">
        <v>132</v>
      </c>
      <c r="E918" t="s">
        <v>260</v>
      </c>
      <c r="F918" t="s">
        <v>260</v>
      </c>
      <c r="G918">
        <v>0.05</v>
      </c>
      <c r="H918" t="s">
        <v>41</v>
      </c>
      <c r="I918">
        <v>-5</v>
      </c>
      <c r="J918" t="str">
        <f>HYPERLINK("https://www.eliteprospects.com/player/882725/maxime-lapointe")</f>
        <v>https://www.eliteprospects.com/player/882725/maxime-lapointe</v>
      </c>
      <c r="K918" t="s">
        <v>27</v>
      </c>
      <c r="L918" t="s">
        <v>804</v>
      </c>
      <c r="M918" t="s">
        <v>1296</v>
      </c>
      <c r="N918">
        <v>2</v>
      </c>
      <c r="O918" t="s">
        <v>825</v>
      </c>
      <c r="P918">
        <v>0.01</v>
      </c>
      <c r="Q918" t="s">
        <v>245</v>
      </c>
      <c r="R918">
        <v>28.6</v>
      </c>
      <c r="S918">
        <v>31.4</v>
      </c>
      <c r="T918">
        <v>28.6</v>
      </c>
      <c r="U918">
        <v>4.3</v>
      </c>
      <c r="V918">
        <v>7.1</v>
      </c>
    </row>
    <row r="919" spans="1:22" x14ac:dyDescent="0.25">
      <c r="A919" t="s">
        <v>2228</v>
      </c>
      <c r="B919" t="s">
        <v>856</v>
      </c>
      <c r="C919">
        <v>10</v>
      </c>
      <c r="D919" t="s">
        <v>132</v>
      </c>
      <c r="E919" t="s">
        <v>132</v>
      </c>
      <c r="F919" t="s">
        <v>132</v>
      </c>
      <c r="G919">
        <v>0</v>
      </c>
      <c r="H919" t="s">
        <v>132</v>
      </c>
      <c r="I919">
        <v>-5</v>
      </c>
      <c r="J919" t="str">
        <f>HYPERLINK("https://www.eliteprospects.com/player/806426/nate-ostridge")</f>
        <v>https://www.eliteprospects.com/player/806426/nate-ostridge</v>
      </c>
      <c r="K919" t="s">
        <v>27</v>
      </c>
      <c r="L919" t="s">
        <v>804</v>
      </c>
      <c r="M919" t="s">
        <v>1296</v>
      </c>
      <c r="N919">
        <v>1</v>
      </c>
      <c r="O919" t="s">
        <v>816</v>
      </c>
      <c r="P919">
        <v>0</v>
      </c>
      <c r="Q919" t="s">
        <v>245</v>
      </c>
      <c r="R919">
        <v>28.6</v>
      </c>
      <c r="S919">
        <v>31.4</v>
      </c>
      <c r="T919">
        <v>28.6</v>
      </c>
      <c r="U919">
        <v>4.3</v>
      </c>
      <c r="V919">
        <v>7.1</v>
      </c>
    </row>
    <row r="920" spans="1:22" x14ac:dyDescent="0.25">
      <c r="A920" t="s">
        <v>2229</v>
      </c>
      <c r="B920" t="s">
        <v>507</v>
      </c>
      <c r="C920">
        <v>13</v>
      </c>
      <c r="D920" t="s">
        <v>132</v>
      </c>
      <c r="E920" t="s">
        <v>132</v>
      </c>
      <c r="F920" t="s">
        <v>132</v>
      </c>
      <c r="G920">
        <v>0</v>
      </c>
      <c r="H920" t="s">
        <v>66</v>
      </c>
      <c r="I920">
        <v>-4</v>
      </c>
      <c r="J920" t="str">
        <f>HYPERLINK("https://www.eliteprospects.com/player/888430/dominik-necak")</f>
        <v>https://www.eliteprospects.com/player/888430/dominik-necak</v>
      </c>
      <c r="K920" t="s">
        <v>27</v>
      </c>
      <c r="L920" t="s">
        <v>804</v>
      </c>
      <c r="M920" t="s">
        <v>1296</v>
      </c>
      <c r="N920">
        <v>1</v>
      </c>
      <c r="O920" t="s">
        <v>816</v>
      </c>
      <c r="P920">
        <v>0</v>
      </c>
      <c r="Q920" t="s">
        <v>245</v>
      </c>
      <c r="R920">
        <v>28.6</v>
      </c>
      <c r="S920">
        <v>31.4</v>
      </c>
      <c r="T920">
        <v>28.6</v>
      </c>
      <c r="U920">
        <v>4.3</v>
      </c>
      <c r="V920">
        <v>7.1</v>
      </c>
    </row>
    <row r="921" spans="1:22" x14ac:dyDescent="0.25">
      <c r="A921" t="s">
        <v>2230</v>
      </c>
      <c r="B921" t="s">
        <v>808</v>
      </c>
      <c r="C921">
        <v>16</v>
      </c>
      <c r="D921" t="s">
        <v>132</v>
      </c>
      <c r="E921" t="s">
        <v>132</v>
      </c>
      <c r="F921" t="s">
        <v>132</v>
      </c>
      <c r="G921">
        <v>0</v>
      </c>
      <c r="H921" t="s">
        <v>45</v>
      </c>
      <c r="I921">
        <v>-3</v>
      </c>
      <c r="J921" t="str">
        <f>HYPERLINK("https://www.eliteprospects.com/player/729644/colby-train")</f>
        <v>https://www.eliteprospects.com/player/729644/colby-train</v>
      </c>
      <c r="K921" t="s">
        <v>27</v>
      </c>
      <c r="L921" t="s">
        <v>804</v>
      </c>
      <c r="M921" t="s">
        <v>1296</v>
      </c>
      <c r="N921">
        <v>3</v>
      </c>
      <c r="O921" t="s">
        <v>805</v>
      </c>
      <c r="P921">
        <v>0</v>
      </c>
      <c r="Q921" t="s">
        <v>245</v>
      </c>
      <c r="R921">
        <v>28.6</v>
      </c>
      <c r="S921">
        <v>31.4</v>
      </c>
      <c r="T921">
        <v>28.6</v>
      </c>
      <c r="U921">
        <v>4.3</v>
      </c>
      <c r="V921">
        <v>7.1</v>
      </c>
    </row>
    <row r="922" spans="1:22" x14ac:dyDescent="0.25">
      <c r="A922" t="s">
        <v>2231</v>
      </c>
      <c r="B922" t="s">
        <v>821</v>
      </c>
      <c r="C922">
        <v>17</v>
      </c>
      <c r="D922" t="s">
        <v>132</v>
      </c>
      <c r="E922" t="s">
        <v>132</v>
      </c>
      <c r="F922" t="s">
        <v>132</v>
      </c>
      <c r="G922">
        <v>0</v>
      </c>
      <c r="H922" t="s">
        <v>66</v>
      </c>
      <c r="I922">
        <v>-1</v>
      </c>
      <c r="J922" t="str">
        <f>HYPERLINK("https://www.eliteprospects.com/player/576990/aiden-macisaac")</f>
        <v>https://www.eliteprospects.com/player/576990/aiden-macisaac</v>
      </c>
      <c r="K922" t="s">
        <v>27</v>
      </c>
      <c r="L922" t="s">
        <v>804</v>
      </c>
      <c r="M922" t="s">
        <v>1296</v>
      </c>
      <c r="N922">
        <v>1</v>
      </c>
      <c r="O922" t="s">
        <v>816</v>
      </c>
      <c r="P922">
        <v>0</v>
      </c>
      <c r="Q922" t="s">
        <v>245</v>
      </c>
      <c r="R922">
        <v>28.6</v>
      </c>
      <c r="S922">
        <v>31.4</v>
      </c>
      <c r="T922">
        <v>28.6</v>
      </c>
      <c r="U922">
        <v>4.3</v>
      </c>
      <c r="V922">
        <v>7.1</v>
      </c>
    </row>
    <row r="923" spans="1:22" x14ac:dyDescent="0.25">
      <c r="A923" t="s">
        <v>2232</v>
      </c>
      <c r="B923" t="s">
        <v>824</v>
      </c>
      <c r="C923">
        <v>23</v>
      </c>
      <c r="D923" t="s">
        <v>132</v>
      </c>
      <c r="E923" t="s">
        <v>132</v>
      </c>
      <c r="F923" t="s">
        <v>132</v>
      </c>
      <c r="G923">
        <v>0</v>
      </c>
      <c r="H923" t="s">
        <v>66</v>
      </c>
      <c r="I923">
        <v>-12</v>
      </c>
      <c r="J923" t="str">
        <f>HYPERLINK("https://www.eliteprospects.com/player/923272/justin-chiras")</f>
        <v>https://www.eliteprospects.com/player/923272/justin-chiras</v>
      </c>
      <c r="K923" t="s">
        <v>27</v>
      </c>
      <c r="L923" t="s">
        <v>804</v>
      </c>
      <c r="M923" t="s">
        <v>1296</v>
      </c>
      <c r="N923">
        <v>2</v>
      </c>
      <c r="O923" t="s">
        <v>825</v>
      </c>
      <c r="P923">
        <v>0</v>
      </c>
      <c r="Q923" t="s">
        <v>245</v>
      </c>
      <c r="R923">
        <v>28.6</v>
      </c>
      <c r="S923">
        <v>31.4</v>
      </c>
      <c r="T923">
        <v>28.6</v>
      </c>
      <c r="U923">
        <v>4.3</v>
      </c>
      <c r="V923">
        <v>7.1</v>
      </c>
    </row>
    <row r="924" spans="1:22" x14ac:dyDescent="0.25">
      <c r="A924" t="s">
        <v>2233</v>
      </c>
      <c r="B924" t="s">
        <v>926</v>
      </c>
      <c r="C924">
        <v>20</v>
      </c>
      <c r="D924" t="s">
        <v>45</v>
      </c>
      <c r="E924" t="s">
        <v>65</v>
      </c>
      <c r="F924" t="s">
        <v>47</v>
      </c>
      <c r="G924">
        <v>1.1000000000000001</v>
      </c>
      <c r="H924" t="s">
        <v>55</v>
      </c>
      <c r="I924">
        <v>27</v>
      </c>
      <c r="J924" t="str">
        <f>HYPERLINK("https://www.eliteprospects.com/player/325973/jake-lee")</f>
        <v>https://www.eliteprospects.com/player/325973/jake-lee</v>
      </c>
      <c r="K924" t="s">
        <v>27</v>
      </c>
      <c r="L924" t="s">
        <v>918</v>
      </c>
      <c r="M924" t="s">
        <v>1296</v>
      </c>
      <c r="N924">
        <v>6</v>
      </c>
      <c r="O924" t="s">
        <v>927</v>
      </c>
      <c r="P924">
        <v>0.14000000000000001</v>
      </c>
      <c r="Q924" t="s">
        <v>1300</v>
      </c>
      <c r="R924">
        <v>30.8</v>
      </c>
      <c r="S924">
        <v>20.5</v>
      </c>
      <c r="T924">
        <v>10.3</v>
      </c>
      <c r="U924">
        <v>10.3</v>
      </c>
      <c r="V924">
        <v>28.2</v>
      </c>
    </row>
    <row r="925" spans="1:22" x14ac:dyDescent="0.25">
      <c r="A925" t="s">
        <v>2234</v>
      </c>
      <c r="B925" t="s">
        <v>1015</v>
      </c>
      <c r="C925">
        <v>18</v>
      </c>
      <c r="D925" t="s">
        <v>79</v>
      </c>
      <c r="E925" t="s">
        <v>24</v>
      </c>
      <c r="F925" t="s">
        <v>47</v>
      </c>
      <c r="G925">
        <v>1.22</v>
      </c>
      <c r="H925" t="s">
        <v>39</v>
      </c>
      <c r="I925">
        <v>-11</v>
      </c>
      <c r="J925" t="str">
        <f>HYPERLINK("https://www.eliteprospects.com/player/200735/dawson-davidson")</f>
        <v>https://www.eliteprospects.com/player/200735/dawson-davidson</v>
      </c>
      <c r="K925" t="s">
        <v>27</v>
      </c>
      <c r="L925" t="s">
        <v>918</v>
      </c>
      <c r="M925" t="s">
        <v>1296</v>
      </c>
      <c r="N925">
        <v>4</v>
      </c>
      <c r="O925" t="s">
        <v>940</v>
      </c>
      <c r="P925">
        <v>0.15</v>
      </c>
      <c r="Q925" t="s">
        <v>1300</v>
      </c>
      <c r="R925">
        <v>30.8</v>
      </c>
      <c r="S925">
        <v>20.5</v>
      </c>
      <c r="T925">
        <v>10.3</v>
      </c>
      <c r="U925">
        <v>10.3</v>
      </c>
      <c r="V925">
        <v>28.2</v>
      </c>
    </row>
    <row r="926" spans="1:22" x14ac:dyDescent="0.25">
      <c r="A926" t="s">
        <v>2235</v>
      </c>
      <c r="B926" t="s">
        <v>939</v>
      </c>
      <c r="C926">
        <v>18</v>
      </c>
      <c r="D926" t="s">
        <v>140</v>
      </c>
      <c r="E926" t="s">
        <v>60</v>
      </c>
      <c r="F926" t="s">
        <v>24</v>
      </c>
      <c r="G926">
        <v>1.1100000000000001</v>
      </c>
      <c r="H926" t="s">
        <v>39</v>
      </c>
      <c r="I926">
        <v>11</v>
      </c>
      <c r="J926" t="str">
        <f>HYPERLINK("https://www.eliteprospects.com/player/403796/landon-kosior")</f>
        <v>https://www.eliteprospects.com/player/403796/landon-kosior</v>
      </c>
      <c r="K926" t="s">
        <v>27</v>
      </c>
      <c r="L926" t="s">
        <v>918</v>
      </c>
      <c r="M926" t="s">
        <v>1296</v>
      </c>
      <c r="N926">
        <v>6</v>
      </c>
      <c r="O926" t="s">
        <v>924</v>
      </c>
      <c r="P926">
        <v>0.14000000000000001</v>
      </c>
      <c r="Q926" t="s">
        <v>1300</v>
      </c>
      <c r="R926">
        <v>30.8</v>
      </c>
      <c r="S926">
        <v>20.5</v>
      </c>
      <c r="T926">
        <v>10.3</v>
      </c>
      <c r="U926">
        <v>10.3</v>
      </c>
      <c r="V926">
        <v>28.2</v>
      </c>
    </row>
    <row r="927" spans="1:22" x14ac:dyDescent="0.25">
      <c r="A927" t="s">
        <v>2236</v>
      </c>
      <c r="B927" t="s">
        <v>1038</v>
      </c>
      <c r="C927">
        <v>18</v>
      </c>
      <c r="D927" t="s">
        <v>140</v>
      </c>
      <c r="E927" t="s">
        <v>60</v>
      </c>
      <c r="F927" t="s">
        <v>24</v>
      </c>
      <c r="G927">
        <v>1.1100000000000001</v>
      </c>
      <c r="H927" t="s">
        <v>38</v>
      </c>
      <c r="I927">
        <v>0</v>
      </c>
      <c r="J927" t="str">
        <f>HYPERLINK("https://www.eliteprospects.com/player/418374/mark-cooper")</f>
        <v>https://www.eliteprospects.com/player/418374/mark-cooper</v>
      </c>
      <c r="K927" t="s">
        <v>27</v>
      </c>
      <c r="L927" t="s">
        <v>918</v>
      </c>
      <c r="M927" t="s">
        <v>1296</v>
      </c>
      <c r="N927">
        <v>3</v>
      </c>
      <c r="O927" t="s">
        <v>1039</v>
      </c>
      <c r="P927">
        <v>0.14000000000000001</v>
      </c>
      <c r="Q927" t="s">
        <v>1300</v>
      </c>
      <c r="R927">
        <v>30.8</v>
      </c>
      <c r="S927">
        <v>20.5</v>
      </c>
      <c r="T927">
        <v>10.3</v>
      </c>
      <c r="U927">
        <v>10.3</v>
      </c>
      <c r="V927">
        <v>28.2</v>
      </c>
    </row>
    <row r="928" spans="1:22" x14ac:dyDescent="0.25">
      <c r="A928" t="s">
        <v>2237</v>
      </c>
      <c r="B928" t="s">
        <v>1011</v>
      </c>
      <c r="C928">
        <v>20</v>
      </c>
      <c r="D928" t="s">
        <v>57</v>
      </c>
      <c r="E928" t="s">
        <v>65</v>
      </c>
      <c r="F928" t="s">
        <v>51</v>
      </c>
      <c r="G928">
        <v>0.95</v>
      </c>
      <c r="H928" t="s">
        <v>81</v>
      </c>
      <c r="I928">
        <v>1</v>
      </c>
      <c r="J928" t="str">
        <f>HYPERLINK("https://www.eliteprospects.com/player/504241/charlie-callaghan")</f>
        <v>https://www.eliteprospects.com/player/504241/charlie-callaghan</v>
      </c>
      <c r="K928" t="s">
        <v>27</v>
      </c>
      <c r="L928" t="s">
        <v>918</v>
      </c>
      <c r="M928" t="s">
        <v>1296</v>
      </c>
      <c r="N928">
        <v>7</v>
      </c>
      <c r="O928" t="s">
        <v>919</v>
      </c>
      <c r="P928">
        <v>0.12</v>
      </c>
      <c r="Q928" t="s">
        <v>1300</v>
      </c>
      <c r="R928">
        <v>30.8</v>
      </c>
      <c r="S928">
        <v>20.5</v>
      </c>
      <c r="T928">
        <v>10.3</v>
      </c>
      <c r="U928">
        <v>10.3</v>
      </c>
      <c r="V928">
        <v>28.2</v>
      </c>
    </row>
    <row r="929" spans="1:22" x14ac:dyDescent="0.25">
      <c r="A929" t="s">
        <v>2238</v>
      </c>
      <c r="B929" t="s">
        <v>923</v>
      </c>
      <c r="C929">
        <v>20</v>
      </c>
      <c r="D929" t="s">
        <v>66</v>
      </c>
      <c r="E929" t="s">
        <v>41</v>
      </c>
      <c r="F929" t="s">
        <v>51</v>
      </c>
      <c r="G929">
        <v>0.95</v>
      </c>
      <c r="H929" t="s">
        <v>57</v>
      </c>
      <c r="I929">
        <v>18</v>
      </c>
      <c r="J929" t="str">
        <f>HYPERLINK("https://www.eliteprospects.com/player/350248/sean-strange")</f>
        <v>https://www.eliteprospects.com/player/350248/sean-strange</v>
      </c>
      <c r="K929" t="s">
        <v>27</v>
      </c>
      <c r="L929" t="s">
        <v>918</v>
      </c>
      <c r="M929" t="s">
        <v>1296</v>
      </c>
      <c r="N929">
        <v>6</v>
      </c>
      <c r="O929" t="s">
        <v>932</v>
      </c>
      <c r="P929">
        <v>0.12</v>
      </c>
      <c r="Q929" t="s">
        <v>1300</v>
      </c>
      <c r="R929">
        <v>30.8</v>
      </c>
      <c r="S929">
        <v>20.5</v>
      </c>
      <c r="T929">
        <v>10.3</v>
      </c>
      <c r="U929">
        <v>10.3</v>
      </c>
      <c r="V929">
        <v>28.2</v>
      </c>
    </row>
    <row r="930" spans="1:22" x14ac:dyDescent="0.25">
      <c r="A930" t="s">
        <v>2239</v>
      </c>
      <c r="B930" t="s">
        <v>926</v>
      </c>
      <c r="C930">
        <v>20</v>
      </c>
      <c r="D930" t="s">
        <v>79</v>
      </c>
      <c r="E930" t="s">
        <v>60</v>
      </c>
      <c r="F930" t="s">
        <v>51</v>
      </c>
      <c r="G930">
        <v>0.95</v>
      </c>
      <c r="H930" t="s">
        <v>57</v>
      </c>
      <c r="I930">
        <v>15</v>
      </c>
      <c r="J930" t="str">
        <f>HYPERLINK("https://www.eliteprospects.com/player/691857/jace-weir")</f>
        <v>https://www.eliteprospects.com/player/691857/jace-weir</v>
      </c>
      <c r="K930" t="s">
        <v>27</v>
      </c>
      <c r="L930" t="s">
        <v>918</v>
      </c>
      <c r="M930" t="s">
        <v>1296</v>
      </c>
      <c r="N930">
        <v>6</v>
      </c>
      <c r="O930" t="s">
        <v>950</v>
      </c>
      <c r="P930">
        <v>0.12</v>
      </c>
      <c r="Q930" t="s">
        <v>1300</v>
      </c>
      <c r="R930">
        <v>30.8</v>
      </c>
      <c r="S930">
        <v>20.5</v>
      </c>
      <c r="T930">
        <v>10.3</v>
      </c>
      <c r="U930">
        <v>10.3</v>
      </c>
      <c r="V930">
        <v>28.2</v>
      </c>
    </row>
    <row r="931" spans="1:22" x14ac:dyDescent="0.25">
      <c r="A931" t="s">
        <v>2240</v>
      </c>
      <c r="B931" t="s">
        <v>947</v>
      </c>
      <c r="C931">
        <v>18</v>
      </c>
      <c r="D931" t="s">
        <v>78</v>
      </c>
      <c r="E931" t="s">
        <v>69</v>
      </c>
      <c r="F931" t="s">
        <v>55</v>
      </c>
      <c r="G931">
        <v>1</v>
      </c>
      <c r="H931" t="s">
        <v>26</v>
      </c>
      <c r="I931">
        <v>0</v>
      </c>
      <c r="J931" t="str">
        <f>HYPERLINK("https://www.eliteprospects.com/player/415731/nathan-allensen")</f>
        <v>https://www.eliteprospects.com/player/415731/nathan-allensen</v>
      </c>
      <c r="K931" t="s">
        <v>27</v>
      </c>
      <c r="L931" t="s">
        <v>918</v>
      </c>
      <c r="M931" t="s">
        <v>1296</v>
      </c>
      <c r="N931">
        <v>5</v>
      </c>
      <c r="O931" t="s">
        <v>935</v>
      </c>
      <c r="P931">
        <v>0.12</v>
      </c>
      <c r="Q931" t="s">
        <v>1300</v>
      </c>
      <c r="R931">
        <v>30.8</v>
      </c>
      <c r="S931">
        <v>20.5</v>
      </c>
      <c r="T931">
        <v>10.3</v>
      </c>
      <c r="U931">
        <v>10.3</v>
      </c>
      <c r="V931">
        <v>28.2</v>
      </c>
    </row>
    <row r="932" spans="1:22" x14ac:dyDescent="0.25">
      <c r="A932" t="s">
        <v>2241</v>
      </c>
      <c r="B932" t="s">
        <v>961</v>
      </c>
      <c r="C932">
        <v>17</v>
      </c>
      <c r="D932" t="s">
        <v>96</v>
      </c>
      <c r="E932" t="s">
        <v>65</v>
      </c>
      <c r="F932" t="s">
        <v>55</v>
      </c>
      <c r="G932">
        <v>1.06</v>
      </c>
      <c r="H932" t="s">
        <v>512</v>
      </c>
      <c r="I932">
        <v>0</v>
      </c>
      <c r="J932" t="str">
        <f>HYPERLINK("https://www.eliteprospects.com/player/351170/eric-van-impe")</f>
        <v>https://www.eliteprospects.com/player/351170/eric-van-impe</v>
      </c>
      <c r="K932" t="s">
        <v>27</v>
      </c>
      <c r="L932" t="s">
        <v>918</v>
      </c>
      <c r="M932" t="s">
        <v>1296</v>
      </c>
      <c r="N932">
        <v>6</v>
      </c>
      <c r="O932" t="s">
        <v>927</v>
      </c>
      <c r="P932">
        <v>0.13</v>
      </c>
      <c r="Q932" t="s">
        <v>1300</v>
      </c>
      <c r="R932">
        <v>30.8</v>
      </c>
      <c r="S932">
        <v>20.5</v>
      </c>
      <c r="T932">
        <v>10.3</v>
      </c>
      <c r="U932">
        <v>10.3</v>
      </c>
      <c r="V932">
        <v>28.2</v>
      </c>
    </row>
    <row r="933" spans="1:22" x14ac:dyDescent="0.25">
      <c r="A933" t="s">
        <v>2242</v>
      </c>
      <c r="B933" t="s">
        <v>942</v>
      </c>
      <c r="C933">
        <v>17</v>
      </c>
      <c r="D933" t="s">
        <v>96</v>
      </c>
      <c r="E933" t="s">
        <v>23</v>
      </c>
      <c r="F933" t="s">
        <v>60</v>
      </c>
      <c r="G933">
        <v>1</v>
      </c>
      <c r="H933" t="s">
        <v>66</v>
      </c>
      <c r="I933">
        <v>0</v>
      </c>
      <c r="J933" t="str">
        <f>HYPERLINK("https://www.eliteprospects.com/player/689712/giuseppe-ianniello")</f>
        <v>https://www.eliteprospects.com/player/689712/giuseppe-ianniello</v>
      </c>
      <c r="K933" t="s">
        <v>27</v>
      </c>
      <c r="L933" t="s">
        <v>918</v>
      </c>
      <c r="M933" t="s">
        <v>1296</v>
      </c>
      <c r="N933">
        <v>3</v>
      </c>
      <c r="O933" t="s">
        <v>1002</v>
      </c>
      <c r="P933">
        <v>0.12</v>
      </c>
      <c r="Q933" t="s">
        <v>1300</v>
      </c>
      <c r="R933">
        <v>30.8</v>
      </c>
      <c r="S933">
        <v>20.5</v>
      </c>
      <c r="T933">
        <v>10.3</v>
      </c>
      <c r="U933">
        <v>10.3</v>
      </c>
      <c r="V933">
        <v>28.2</v>
      </c>
    </row>
    <row r="934" spans="1:22" x14ac:dyDescent="0.25">
      <c r="A934" t="s">
        <v>2243</v>
      </c>
      <c r="B934" t="s">
        <v>954</v>
      </c>
      <c r="C934">
        <v>18</v>
      </c>
      <c r="D934" t="s">
        <v>66</v>
      </c>
      <c r="E934" t="s">
        <v>65</v>
      </c>
      <c r="F934" t="s">
        <v>60</v>
      </c>
      <c r="G934">
        <v>0.94</v>
      </c>
      <c r="H934" t="s">
        <v>280</v>
      </c>
      <c r="I934">
        <v>0</v>
      </c>
      <c r="J934" t="str">
        <f>HYPERLINK("https://www.eliteprospects.com/player/649085/alexis-daviault")</f>
        <v>https://www.eliteprospects.com/player/649085/alexis-daviault</v>
      </c>
      <c r="K934" t="s">
        <v>27</v>
      </c>
      <c r="L934" t="s">
        <v>918</v>
      </c>
      <c r="M934" t="s">
        <v>1296</v>
      </c>
      <c r="N934">
        <v>5</v>
      </c>
      <c r="O934" t="s">
        <v>1008</v>
      </c>
      <c r="P934">
        <v>0.12</v>
      </c>
      <c r="Q934" t="s">
        <v>1300</v>
      </c>
      <c r="R934">
        <v>30.8</v>
      </c>
      <c r="S934">
        <v>20.5</v>
      </c>
      <c r="T934">
        <v>10.3</v>
      </c>
      <c r="U934">
        <v>10.3</v>
      </c>
      <c r="V934">
        <v>28.2</v>
      </c>
    </row>
    <row r="935" spans="1:22" x14ac:dyDescent="0.25">
      <c r="A935" t="s">
        <v>2244</v>
      </c>
      <c r="B935" t="s">
        <v>966</v>
      </c>
      <c r="C935">
        <v>18</v>
      </c>
      <c r="D935" t="s">
        <v>140</v>
      </c>
      <c r="E935" t="s">
        <v>39</v>
      </c>
      <c r="F935" t="s">
        <v>60</v>
      </c>
      <c r="G935">
        <v>0.94</v>
      </c>
      <c r="H935" t="s">
        <v>24</v>
      </c>
      <c r="I935">
        <v>12</v>
      </c>
      <c r="J935" t="str">
        <f>HYPERLINK("https://www.eliteprospects.com/player/503166/tyler-deline")</f>
        <v>https://www.eliteprospects.com/player/503166/tyler-deline</v>
      </c>
      <c r="K935" t="s">
        <v>27</v>
      </c>
      <c r="L935" t="s">
        <v>918</v>
      </c>
      <c r="M935" t="s">
        <v>1296</v>
      </c>
      <c r="N935">
        <v>6</v>
      </c>
      <c r="O935" t="s">
        <v>995</v>
      </c>
      <c r="P935">
        <v>0.12</v>
      </c>
      <c r="Q935" t="s">
        <v>1300</v>
      </c>
      <c r="R935">
        <v>30.8</v>
      </c>
      <c r="S935">
        <v>20.5</v>
      </c>
      <c r="T935">
        <v>10.3</v>
      </c>
      <c r="U935">
        <v>10.3</v>
      </c>
      <c r="V935">
        <v>28.2</v>
      </c>
    </row>
    <row r="936" spans="1:22" x14ac:dyDescent="0.25">
      <c r="A936" t="s">
        <v>2245</v>
      </c>
      <c r="B936" t="s">
        <v>939</v>
      </c>
      <c r="C936">
        <v>17</v>
      </c>
      <c r="D936" t="s">
        <v>140</v>
      </c>
      <c r="E936" t="s">
        <v>65</v>
      </c>
      <c r="F936" t="s">
        <v>38</v>
      </c>
      <c r="G936">
        <v>0.94</v>
      </c>
      <c r="H936" t="s">
        <v>26</v>
      </c>
      <c r="I936">
        <v>6</v>
      </c>
      <c r="J936" t="str">
        <f>HYPERLINK("https://www.eliteprospects.com/player/326546/rhett-rhinehart")</f>
        <v>https://www.eliteprospects.com/player/326546/rhett-rhinehart</v>
      </c>
      <c r="K936" t="s">
        <v>27</v>
      </c>
      <c r="L936" t="s">
        <v>918</v>
      </c>
      <c r="M936" t="s">
        <v>1417</v>
      </c>
      <c r="N936">
        <v>6</v>
      </c>
      <c r="O936" t="s">
        <v>927</v>
      </c>
      <c r="P936">
        <v>0.12</v>
      </c>
      <c r="Q936" t="s">
        <v>1300</v>
      </c>
      <c r="R936">
        <v>30.8</v>
      </c>
      <c r="S936">
        <v>20.5</v>
      </c>
      <c r="T936">
        <v>10.3</v>
      </c>
      <c r="U936">
        <v>10.3</v>
      </c>
      <c r="V936">
        <v>28.2</v>
      </c>
    </row>
    <row r="937" spans="1:22" x14ac:dyDescent="0.25">
      <c r="A937" t="s">
        <v>2246</v>
      </c>
      <c r="B937" t="s">
        <v>934</v>
      </c>
      <c r="C937">
        <v>19</v>
      </c>
      <c r="D937" t="s">
        <v>79</v>
      </c>
      <c r="E937" t="s">
        <v>39</v>
      </c>
      <c r="F937" t="s">
        <v>38</v>
      </c>
      <c r="G937">
        <v>0.84</v>
      </c>
      <c r="H937" t="s">
        <v>55</v>
      </c>
      <c r="I937">
        <v>17</v>
      </c>
      <c r="J937" t="str">
        <f>HYPERLINK("https://www.eliteprospects.com/player/710467/luca-d-amato")</f>
        <v>https://www.eliteprospects.com/player/710467/luca-d-amato</v>
      </c>
      <c r="K937" t="s">
        <v>27</v>
      </c>
      <c r="L937" t="s">
        <v>918</v>
      </c>
      <c r="M937" t="s">
        <v>1296</v>
      </c>
      <c r="N937">
        <v>5</v>
      </c>
      <c r="O937" t="s">
        <v>1008</v>
      </c>
      <c r="P937">
        <v>0.1</v>
      </c>
      <c r="Q937" t="s">
        <v>1325</v>
      </c>
      <c r="R937">
        <v>27.3</v>
      </c>
      <c r="S937">
        <v>22.7</v>
      </c>
      <c r="T937">
        <v>27.3</v>
      </c>
      <c r="U937">
        <v>4.5</v>
      </c>
      <c r="V937">
        <v>18.2</v>
      </c>
    </row>
    <row r="938" spans="1:22" x14ac:dyDescent="0.25">
      <c r="A938" t="s">
        <v>2247</v>
      </c>
      <c r="B938" t="s">
        <v>977</v>
      </c>
      <c r="C938">
        <v>17</v>
      </c>
      <c r="D938" t="s">
        <v>26</v>
      </c>
      <c r="E938" t="s">
        <v>78</v>
      </c>
      <c r="F938" t="s">
        <v>41</v>
      </c>
      <c r="G938">
        <v>0.88</v>
      </c>
      <c r="H938" t="s">
        <v>55</v>
      </c>
      <c r="I938">
        <v>0</v>
      </c>
      <c r="J938" t="str">
        <f>HYPERLINK("https://www.eliteprospects.com/player/418495/dylan-schives")</f>
        <v>https://www.eliteprospects.com/player/418495/dylan-schives</v>
      </c>
      <c r="K938" t="s">
        <v>27</v>
      </c>
      <c r="L938" t="s">
        <v>918</v>
      </c>
      <c r="M938" t="s">
        <v>1296</v>
      </c>
      <c r="N938">
        <v>4</v>
      </c>
      <c r="O938" t="s">
        <v>1192</v>
      </c>
      <c r="P938">
        <v>0.11</v>
      </c>
      <c r="Q938" t="s">
        <v>1325</v>
      </c>
      <c r="R938">
        <v>27.3</v>
      </c>
      <c r="S938">
        <v>22.7</v>
      </c>
      <c r="T938">
        <v>27.3</v>
      </c>
      <c r="U938">
        <v>4.5</v>
      </c>
      <c r="V938">
        <v>18.2</v>
      </c>
    </row>
    <row r="939" spans="1:22" x14ac:dyDescent="0.25">
      <c r="A939" t="s">
        <v>2248</v>
      </c>
      <c r="B939" t="s">
        <v>966</v>
      </c>
      <c r="C939">
        <v>20</v>
      </c>
      <c r="D939" t="s">
        <v>57</v>
      </c>
      <c r="E939" t="s">
        <v>45</v>
      </c>
      <c r="F939" t="s">
        <v>41</v>
      </c>
      <c r="G939">
        <v>0.75</v>
      </c>
      <c r="H939" t="s">
        <v>32</v>
      </c>
      <c r="I939">
        <v>0</v>
      </c>
      <c r="J939" t="str">
        <f>HYPERLINK("https://www.eliteprospects.com/player/563050/brayden-schmitt")</f>
        <v>https://www.eliteprospects.com/player/563050/brayden-schmitt</v>
      </c>
      <c r="K939" t="s">
        <v>27</v>
      </c>
      <c r="L939" t="s">
        <v>918</v>
      </c>
      <c r="M939" t="s">
        <v>1296</v>
      </c>
      <c r="N939">
        <v>6</v>
      </c>
      <c r="O939" t="s">
        <v>968</v>
      </c>
      <c r="P939">
        <v>0.09</v>
      </c>
      <c r="Q939" t="s">
        <v>1325</v>
      </c>
      <c r="R939">
        <v>27.3</v>
      </c>
      <c r="S939">
        <v>22.7</v>
      </c>
      <c r="T939">
        <v>27.3</v>
      </c>
      <c r="U939">
        <v>4.5</v>
      </c>
      <c r="V939">
        <v>18.2</v>
      </c>
    </row>
    <row r="940" spans="1:22" x14ac:dyDescent="0.25">
      <c r="A940" t="s">
        <v>2249</v>
      </c>
      <c r="B940" t="s">
        <v>997</v>
      </c>
      <c r="C940">
        <v>15</v>
      </c>
      <c r="D940" t="s">
        <v>96</v>
      </c>
      <c r="E940" t="s">
        <v>45</v>
      </c>
      <c r="F940" t="s">
        <v>39</v>
      </c>
      <c r="G940">
        <v>0.93</v>
      </c>
      <c r="H940" t="s">
        <v>32</v>
      </c>
      <c r="I940">
        <v>0</v>
      </c>
      <c r="J940" t="str">
        <f>HYPERLINK("https://www.eliteprospects.com/player/290166/simon-lavigne")</f>
        <v>https://www.eliteprospects.com/player/290166/simon-lavigne</v>
      </c>
      <c r="K940" t="s">
        <v>27</v>
      </c>
      <c r="L940" t="s">
        <v>918</v>
      </c>
      <c r="M940" t="s">
        <v>1296</v>
      </c>
      <c r="N940">
        <v>6</v>
      </c>
      <c r="O940" t="s">
        <v>937</v>
      </c>
      <c r="P940">
        <v>0.12</v>
      </c>
      <c r="Q940" t="s">
        <v>1300</v>
      </c>
      <c r="R940">
        <v>30.8</v>
      </c>
      <c r="S940">
        <v>20.5</v>
      </c>
      <c r="T940">
        <v>10.3</v>
      </c>
      <c r="U940">
        <v>10.3</v>
      </c>
      <c r="V940">
        <v>28.2</v>
      </c>
    </row>
    <row r="941" spans="1:22" x14ac:dyDescent="0.25">
      <c r="A941" t="s">
        <v>2250</v>
      </c>
      <c r="B941" t="s">
        <v>931</v>
      </c>
      <c r="C941">
        <v>20</v>
      </c>
      <c r="D941" t="s">
        <v>96</v>
      </c>
      <c r="E941" t="s">
        <v>45</v>
      </c>
      <c r="F941" t="s">
        <v>39</v>
      </c>
      <c r="G941">
        <v>0.7</v>
      </c>
      <c r="H941" t="s">
        <v>66</v>
      </c>
      <c r="I941">
        <v>10</v>
      </c>
      <c r="J941" t="str">
        <f>HYPERLINK("https://www.eliteprospects.com/player/476551/remy-aquilon")</f>
        <v>https://www.eliteprospects.com/player/476551/remy-aquilon</v>
      </c>
      <c r="K941" t="s">
        <v>27</v>
      </c>
      <c r="L941" t="s">
        <v>918</v>
      </c>
      <c r="M941" t="s">
        <v>1296</v>
      </c>
      <c r="N941">
        <v>6</v>
      </c>
      <c r="O941" t="s">
        <v>927</v>
      </c>
      <c r="P941">
        <v>0.09</v>
      </c>
      <c r="Q941" t="s">
        <v>1325</v>
      </c>
      <c r="R941">
        <v>27.3</v>
      </c>
      <c r="S941">
        <v>22.7</v>
      </c>
      <c r="T941">
        <v>27.3</v>
      </c>
      <c r="U941">
        <v>4.5</v>
      </c>
      <c r="V941">
        <v>18.2</v>
      </c>
    </row>
    <row r="942" spans="1:22" x14ac:dyDescent="0.25">
      <c r="A942" t="s">
        <v>2251</v>
      </c>
      <c r="B942" t="s">
        <v>997</v>
      </c>
      <c r="C942">
        <v>18</v>
      </c>
      <c r="D942" t="s">
        <v>66</v>
      </c>
      <c r="E942" t="s">
        <v>32</v>
      </c>
      <c r="F942" t="s">
        <v>39</v>
      </c>
      <c r="G942">
        <v>0.78</v>
      </c>
      <c r="H942" t="s">
        <v>55</v>
      </c>
      <c r="I942">
        <v>0</v>
      </c>
      <c r="J942" t="str">
        <f>HYPERLINK("https://www.eliteprospects.com/player/295659/sean-larochelle")</f>
        <v>https://www.eliteprospects.com/player/295659/sean-larochelle</v>
      </c>
      <c r="K942" t="s">
        <v>27</v>
      </c>
      <c r="L942" t="s">
        <v>918</v>
      </c>
      <c r="M942" t="s">
        <v>1296</v>
      </c>
      <c r="N942">
        <v>6</v>
      </c>
      <c r="O942" t="s">
        <v>937</v>
      </c>
      <c r="P942">
        <v>0.1</v>
      </c>
      <c r="Q942" t="s">
        <v>1325</v>
      </c>
      <c r="R942">
        <v>27.3</v>
      </c>
      <c r="S942">
        <v>22.7</v>
      </c>
      <c r="T942">
        <v>27.3</v>
      </c>
      <c r="U942">
        <v>4.5</v>
      </c>
      <c r="V942">
        <v>18.2</v>
      </c>
    </row>
    <row r="943" spans="1:22" x14ac:dyDescent="0.25">
      <c r="A943" t="s">
        <v>2252</v>
      </c>
      <c r="B943" t="s">
        <v>959</v>
      </c>
      <c r="C943">
        <v>18</v>
      </c>
      <c r="D943" t="s">
        <v>66</v>
      </c>
      <c r="E943" t="s">
        <v>45</v>
      </c>
      <c r="F943" t="s">
        <v>65</v>
      </c>
      <c r="G943">
        <v>0.72</v>
      </c>
      <c r="H943" t="s">
        <v>32</v>
      </c>
      <c r="I943">
        <v>0</v>
      </c>
      <c r="J943" t="str">
        <f>HYPERLINK("https://www.eliteprospects.com/player/425651/thomas-belzile")</f>
        <v>https://www.eliteprospects.com/player/425651/thomas-belzile</v>
      </c>
      <c r="K943" t="s">
        <v>27</v>
      </c>
      <c r="L943" t="s">
        <v>918</v>
      </c>
      <c r="M943" t="s">
        <v>1296</v>
      </c>
      <c r="N943">
        <v>6</v>
      </c>
      <c r="O943" t="s">
        <v>921</v>
      </c>
      <c r="P943">
        <v>0.09</v>
      </c>
      <c r="Q943" t="s">
        <v>1325</v>
      </c>
      <c r="R943">
        <v>27.3</v>
      </c>
      <c r="S943">
        <v>22.7</v>
      </c>
      <c r="T943">
        <v>27.3</v>
      </c>
      <c r="U943">
        <v>4.5</v>
      </c>
      <c r="V943">
        <v>18.2</v>
      </c>
    </row>
    <row r="944" spans="1:22" x14ac:dyDescent="0.25">
      <c r="A944" t="s">
        <v>2253</v>
      </c>
      <c r="B944" t="s">
        <v>957</v>
      </c>
      <c r="C944">
        <v>19</v>
      </c>
      <c r="D944" t="s">
        <v>66</v>
      </c>
      <c r="E944" t="s">
        <v>45</v>
      </c>
      <c r="F944" t="s">
        <v>65</v>
      </c>
      <c r="G944">
        <v>0.68</v>
      </c>
      <c r="H944" t="s">
        <v>499</v>
      </c>
      <c r="I944">
        <v>-1</v>
      </c>
      <c r="J944" t="str">
        <f>HYPERLINK("https://www.eliteprospects.com/player/413102/logan-dowhaniuk")</f>
        <v>https://www.eliteprospects.com/player/413102/logan-dowhaniuk</v>
      </c>
      <c r="K944" t="s">
        <v>27</v>
      </c>
      <c r="L944" t="s">
        <v>918</v>
      </c>
      <c r="M944" t="s">
        <v>1296</v>
      </c>
      <c r="N944">
        <v>6</v>
      </c>
      <c r="O944" t="s">
        <v>924</v>
      </c>
      <c r="P944">
        <v>0.08</v>
      </c>
      <c r="Q944" t="s">
        <v>1325</v>
      </c>
      <c r="R944">
        <v>30</v>
      </c>
      <c r="S944">
        <v>25</v>
      </c>
      <c r="T944">
        <v>32.5</v>
      </c>
      <c r="U944">
        <v>5</v>
      </c>
      <c r="V944">
        <v>7.5</v>
      </c>
    </row>
    <row r="945" spans="1:22" x14ac:dyDescent="0.25">
      <c r="A945" t="s">
        <v>2254</v>
      </c>
      <c r="B945" t="s">
        <v>917</v>
      </c>
      <c r="C945">
        <v>20</v>
      </c>
      <c r="D945" t="s">
        <v>140</v>
      </c>
      <c r="E945" t="s">
        <v>32</v>
      </c>
      <c r="F945" t="s">
        <v>65</v>
      </c>
      <c r="G945">
        <v>0.65</v>
      </c>
      <c r="H945" t="s">
        <v>53</v>
      </c>
      <c r="I945">
        <v>-15</v>
      </c>
      <c r="J945" t="str">
        <f>HYPERLINK("https://www.eliteprospects.com/player/503983/ethan-ritchie")</f>
        <v>https://www.eliteprospects.com/player/503983/ethan-ritchie</v>
      </c>
      <c r="K945" t="s">
        <v>27</v>
      </c>
      <c r="L945" t="s">
        <v>918</v>
      </c>
      <c r="M945" t="s">
        <v>1296</v>
      </c>
      <c r="N945">
        <v>6</v>
      </c>
      <c r="O945" t="s">
        <v>970</v>
      </c>
      <c r="P945">
        <v>0.08</v>
      </c>
      <c r="Q945" t="s">
        <v>1325</v>
      </c>
      <c r="R945">
        <v>30</v>
      </c>
      <c r="S945">
        <v>25</v>
      </c>
      <c r="T945">
        <v>32.5</v>
      </c>
      <c r="U945">
        <v>5</v>
      </c>
      <c r="V945">
        <v>7.5</v>
      </c>
    </row>
    <row r="946" spans="1:22" x14ac:dyDescent="0.25">
      <c r="A946" t="s">
        <v>2255</v>
      </c>
      <c r="B946" t="s">
        <v>1118</v>
      </c>
      <c r="C946">
        <v>18</v>
      </c>
      <c r="D946" t="s">
        <v>260</v>
      </c>
      <c r="E946" t="s">
        <v>23</v>
      </c>
      <c r="F946" t="s">
        <v>65</v>
      </c>
      <c r="G946">
        <v>0.72</v>
      </c>
      <c r="H946" t="s">
        <v>55</v>
      </c>
      <c r="I946">
        <v>-13</v>
      </c>
      <c r="J946" t="str">
        <f>HYPERLINK("https://www.eliteprospects.com/player/201836/blake-heward")</f>
        <v>https://www.eliteprospects.com/player/201836/blake-heward</v>
      </c>
      <c r="K946" t="s">
        <v>27</v>
      </c>
      <c r="L946" t="s">
        <v>918</v>
      </c>
      <c r="M946" t="s">
        <v>1296</v>
      </c>
      <c r="N946">
        <v>4</v>
      </c>
      <c r="O946" t="s">
        <v>978</v>
      </c>
      <c r="P946">
        <v>0.09</v>
      </c>
      <c r="Q946" t="s">
        <v>1325</v>
      </c>
      <c r="R946">
        <v>27.3</v>
      </c>
      <c r="S946">
        <v>22.7</v>
      </c>
      <c r="T946">
        <v>27.3</v>
      </c>
      <c r="U946">
        <v>4.5</v>
      </c>
      <c r="V946">
        <v>18.2</v>
      </c>
    </row>
    <row r="947" spans="1:22" x14ac:dyDescent="0.25">
      <c r="A947" t="s">
        <v>2256</v>
      </c>
      <c r="B947" t="s">
        <v>934</v>
      </c>
      <c r="C947">
        <v>20</v>
      </c>
      <c r="D947" t="s">
        <v>260</v>
      </c>
      <c r="E947" t="s">
        <v>23</v>
      </c>
      <c r="F947" t="s">
        <v>65</v>
      </c>
      <c r="G947">
        <v>0.65</v>
      </c>
      <c r="H947" t="s">
        <v>66</v>
      </c>
      <c r="I947">
        <v>12</v>
      </c>
      <c r="J947" t="str">
        <f>HYPERLINK("https://www.eliteprospects.com/player/530053/justin-nolet")</f>
        <v>https://www.eliteprospects.com/player/530053/justin-nolet</v>
      </c>
      <c r="K947" t="s">
        <v>27</v>
      </c>
      <c r="L947" t="s">
        <v>918</v>
      </c>
      <c r="M947" t="s">
        <v>1296</v>
      </c>
      <c r="N947">
        <v>7</v>
      </c>
      <c r="O947" t="s">
        <v>2257</v>
      </c>
      <c r="P947">
        <v>0.08</v>
      </c>
      <c r="Q947" t="s">
        <v>1325</v>
      </c>
      <c r="R947">
        <v>30</v>
      </c>
      <c r="S947">
        <v>25</v>
      </c>
      <c r="T947">
        <v>32.5</v>
      </c>
      <c r="U947">
        <v>5</v>
      </c>
      <c r="V947">
        <v>7.5</v>
      </c>
    </row>
    <row r="948" spans="1:22" x14ac:dyDescent="0.25">
      <c r="A948" t="s">
        <v>2258</v>
      </c>
      <c r="B948" t="s">
        <v>942</v>
      </c>
      <c r="C948">
        <v>18</v>
      </c>
      <c r="D948" t="s">
        <v>132</v>
      </c>
      <c r="E948" t="s">
        <v>65</v>
      </c>
      <c r="F948" t="s">
        <v>65</v>
      </c>
      <c r="G948">
        <v>0.72</v>
      </c>
      <c r="H948" t="s">
        <v>79</v>
      </c>
      <c r="I948">
        <v>0</v>
      </c>
      <c r="J948" t="str">
        <f>HYPERLINK("https://www.eliteprospects.com/player/351631/hunter-donohoe")</f>
        <v>https://www.eliteprospects.com/player/351631/hunter-donohoe</v>
      </c>
      <c r="K948" t="s">
        <v>27</v>
      </c>
      <c r="L948" t="s">
        <v>918</v>
      </c>
      <c r="M948" t="s">
        <v>1296</v>
      </c>
      <c r="N948">
        <v>5</v>
      </c>
      <c r="O948" t="s">
        <v>988</v>
      </c>
      <c r="P948">
        <v>0.09</v>
      </c>
      <c r="Q948" t="s">
        <v>1325</v>
      </c>
      <c r="R948">
        <v>27.3</v>
      </c>
      <c r="S948">
        <v>22.7</v>
      </c>
      <c r="T948">
        <v>27.3</v>
      </c>
      <c r="U948">
        <v>4.5</v>
      </c>
      <c r="V948">
        <v>18.2</v>
      </c>
    </row>
    <row r="949" spans="1:22" x14ac:dyDescent="0.25">
      <c r="A949" t="s">
        <v>2259</v>
      </c>
      <c r="B949" t="s">
        <v>923</v>
      </c>
      <c r="C949">
        <v>14</v>
      </c>
      <c r="D949" t="s">
        <v>57</v>
      </c>
      <c r="E949" t="s">
        <v>57</v>
      </c>
      <c r="F949" t="s">
        <v>23</v>
      </c>
      <c r="G949">
        <v>0.86</v>
      </c>
      <c r="H949" t="s">
        <v>57</v>
      </c>
      <c r="I949">
        <v>12</v>
      </c>
      <c r="J949" t="str">
        <f>HYPERLINK("https://www.eliteprospects.com/player/407565/connor-horning")</f>
        <v>https://www.eliteprospects.com/player/407565/connor-horning</v>
      </c>
      <c r="K949" t="s">
        <v>27</v>
      </c>
      <c r="L949" t="s">
        <v>918</v>
      </c>
      <c r="M949" t="s">
        <v>1296</v>
      </c>
      <c r="N949">
        <v>6</v>
      </c>
      <c r="O949" t="s">
        <v>927</v>
      </c>
      <c r="P949">
        <v>0.11</v>
      </c>
      <c r="Q949" t="s">
        <v>1325</v>
      </c>
      <c r="R949">
        <v>27.3</v>
      </c>
      <c r="S949">
        <v>22.7</v>
      </c>
      <c r="T949">
        <v>27.3</v>
      </c>
      <c r="U949">
        <v>4.5</v>
      </c>
      <c r="V949">
        <v>18.2</v>
      </c>
    </row>
    <row r="950" spans="1:22" x14ac:dyDescent="0.25">
      <c r="A950" t="s">
        <v>2260</v>
      </c>
      <c r="B950" t="s">
        <v>998</v>
      </c>
      <c r="C950">
        <v>18</v>
      </c>
      <c r="D950" t="s">
        <v>96</v>
      </c>
      <c r="E950" t="s">
        <v>78</v>
      </c>
      <c r="F950" t="s">
        <v>23</v>
      </c>
      <c r="G950">
        <v>0.67</v>
      </c>
      <c r="H950" t="s">
        <v>66</v>
      </c>
      <c r="I950">
        <v>0</v>
      </c>
      <c r="J950" t="str">
        <f>HYPERLINK("https://www.eliteprospects.com/player/504236/michael-renwick")</f>
        <v>https://www.eliteprospects.com/player/504236/michael-renwick</v>
      </c>
      <c r="K950" t="s">
        <v>27</v>
      </c>
      <c r="L950" t="s">
        <v>918</v>
      </c>
      <c r="M950" t="s">
        <v>1296</v>
      </c>
      <c r="N950">
        <v>7</v>
      </c>
      <c r="O950" t="s">
        <v>919</v>
      </c>
      <c r="P950">
        <v>0.08</v>
      </c>
      <c r="Q950" t="s">
        <v>1325</v>
      </c>
      <c r="R950">
        <v>30</v>
      </c>
      <c r="S950">
        <v>25</v>
      </c>
      <c r="T950">
        <v>32.5</v>
      </c>
      <c r="U950">
        <v>5</v>
      </c>
      <c r="V950">
        <v>7.5</v>
      </c>
    </row>
    <row r="951" spans="1:22" x14ac:dyDescent="0.25">
      <c r="A951" t="s">
        <v>2261</v>
      </c>
      <c r="B951" t="s">
        <v>977</v>
      </c>
      <c r="C951">
        <v>17</v>
      </c>
      <c r="D951" t="s">
        <v>140</v>
      </c>
      <c r="E951" t="s">
        <v>45</v>
      </c>
      <c r="F951" t="s">
        <v>23</v>
      </c>
      <c r="G951">
        <v>0.71</v>
      </c>
      <c r="H951" t="s">
        <v>79</v>
      </c>
      <c r="I951">
        <v>0</v>
      </c>
      <c r="J951" t="str">
        <f>HYPERLINK("https://www.eliteprospects.com/player/334047/matt-mcnamara")</f>
        <v>https://www.eliteprospects.com/player/334047/matt-mcnamara</v>
      </c>
      <c r="K951" t="s">
        <v>27</v>
      </c>
      <c r="L951" t="s">
        <v>918</v>
      </c>
      <c r="M951" t="s">
        <v>1296</v>
      </c>
      <c r="N951">
        <v>5</v>
      </c>
      <c r="O951" t="s">
        <v>955</v>
      </c>
      <c r="P951">
        <v>0.09</v>
      </c>
      <c r="Q951" t="s">
        <v>1325</v>
      </c>
      <c r="R951">
        <v>27.3</v>
      </c>
      <c r="S951">
        <v>22.7</v>
      </c>
      <c r="T951">
        <v>27.3</v>
      </c>
      <c r="U951">
        <v>4.5</v>
      </c>
      <c r="V951">
        <v>18.2</v>
      </c>
    </row>
    <row r="952" spans="1:22" x14ac:dyDescent="0.25">
      <c r="A952" t="s">
        <v>2262</v>
      </c>
      <c r="B952" t="s">
        <v>1049</v>
      </c>
      <c r="C952">
        <v>18</v>
      </c>
      <c r="D952" t="s">
        <v>140</v>
      </c>
      <c r="E952" t="s">
        <v>45</v>
      </c>
      <c r="F952" t="s">
        <v>23</v>
      </c>
      <c r="G952">
        <v>0.67</v>
      </c>
      <c r="H952" t="s">
        <v>23</v>
      </c>
      <c r="I952">
        <v>-7</v>
      </c>
      <c r="J952" t="str">
        <f>HYPERLINK("https://www.eliteprospects.com/player/483394/lucas-brenton")</f>
        <v>https://www.eliteprospects.com/player/483394/lucas-brenton</v>
      </c>
      <c r="K952" t="s">
        <v>27</v>
      </c>
      <c r="L952" t="s">
        <v>918</v>
      </c>
      <c r="M952" t="s">
        <v>1296</v>
      </c>
      <c r="N952">
        <v>7</v>
      </c>
      <c r="O952" t="s">
        <v>2263</v>
      </c>
      <c r="P952">
        <v>0.08</v>
      </c>
      <c r="Q952" t="s">
        <v>1325</v>
      </c>
      <c r="R952">
        <v>30</v>
      </c>
      <c r="S952">
        <v>25</v>
      </c>
      <c r="T952">
        <v>32.5</v>
      </c>
      <c r="U952">
        <v>5</v>
      </c>
      <c r="V952">
        <v>7.5</v>
      </c>
    </row>
    <row r="953" spans="1:22" x14ac:dyDescent="0.25">
      <c r="A953" t="s">
        <v>2264</v>
      </c>
      <c r="B953" t="s">
        <v>926</v>
      </c>
      <c r="C953">
        <v>19</v>
      </c>
      <c r="D953" t="s">
        <v>140</v>
      </c>
      <c r="E953" t="s">
        <v>45</v>
      </c>
      <c r="F953" t="s">
        <v>23</v>
      </c>
      <c r="G953">
        <v>0.63</v>
      </c>
      <c r="H953" t="s">
        <v>26</v>
      </c>
      <c r="I953">
        <v>14</v>
      </c>
      <c r="J953" t="str">
        <f>HYPERLINK("https://www.eliteprospects.com/player/560054/kayden-sadhra-kang")</f>
        <v>https://www.eliteprospects.com/player/560054/kayden-sadhra-kang</v>
      </c>
      <c r="K953" t="s">
        <v>27</v>
      </c>
      <c r="L953" t="s">
        <v>918</v>
      </c>
      <c r="M953" t="s">
        <v>1296</v>
      </c>
      <c r="N953">
        <v>5</v>
      </c>
      <c r="O953" t="s">
        <v>979</v>
      </c>
      <c r="P953">
        <v>0.08</v>
      </c>
      <c r="Q953" t="s">
        <v>1325</v>
      </c>
      <c r="R953">
        <v>30</v>
      </c>
      <c r="S953">
        <v>25</v>
      </c>
      <c r="T953">
        <v>32.5</v>
      </c>
      <c r="U953">
        <v>5</v>
      </c>
      <c r="V953">
        <v>7.5</v>
      </c>
    </row>
    <row r="954" spans="1:22" x14ac:dyDescent="0.25">
      <c r="A954" t="s">
        <v>2265</v>
      </c>
      <c r="B954" t="s">
        <v>917</v>
      </c>
      <c r="C954">
        <v>18</v>
      </c>
      <c r="D954" t="s">
        <v>79</v>
      </c>
      <c r="E954" t="s">
        <v>32</v>
      </c>
      <c r="F954" t="s">
        <v>23</v>
      </c>
      <c r="G954">
        <v>0.67</v>
      </c>
      <c r="H954" t="s">
        <v>79</v>
      </c>
      <c r="I954">
        <v>8</v>
      </c>
      <c r="J954" t="str">
        <f>HYPERLINK("https://www.eliteprospects.com/player/485870/connor-olson")</f>
        <v>https://www.eliteprospects.com/player/485870/connor-olson</v>
      </c>
      <c r="K954" t="s">
        <v>27</v>
      </c>
      <c r="L954" t="s">
        <v>918</v>
      </c>
      <c r="M954" t="s">
        <v>1296</v>
      </c>
      <c r="N954">
        <v>5</v>
      </c>
      <c r="O954" t="s">
        <v>973</v>
      </c>
      <c r="P954">
        <v>0.08</v>
      </c>
      <c r="Q954" t="s">
        <v>1325</v>
      </c>
      <c r="R954">
        <v>30</v>
      </c>
      <c r="S954">
        <v>25</v>
      </c>
      <c r="T954">
        <v>32.5</v>
      </c>
      <c r="U954">
        <v>5</v>
      </c>
      <c r="V954">
        <v>7.5</v>
      </c>
    </row>
    <row r="955" spans="1:22" x14ac:dyDescent="0.25">
      <c r="A955" t="s">
        <v>2266</v>
      </c>
      <c r="B955" t="s">
        <v>917</v>
      </c>
      <c r="C955">
        <v>20</v>
      </c>
      <c r="D955" t="s">
        <v>79</v>
      </c>
      <c r="E955" t="s">
        <v>32</v>
      </c>
      <c r="F955" t="s">
        <v>23</v>
      </c>
      <c r="G955">
        <v>0.6</v>
      </c>
      <c r="H955" t="s">
        <v>26</v>
      </c>
      <c r="I955">
        <v>3</v>
      </c>
      <c r="J955" t="str">
        <f>HYPERLINK("https://www.eliteprospects.com/player/618658/jacob-holmes")</f>
        <v>https://www.eliteprospects.com/player/618658/jacob-holmes</v>
      </c>
      <c r="K955" t="s">
        <v>27</v>
      </c>
      <c r="L955" t="s">
        <v>918</v>
      </c>
      <c r="M955" t="s">
        <v>1296</v>
      </c>
      <c r="N955">
        <v>7</v>
      </c>
      <c r="O955" t="s">
        <v>948</v>
      </c>
      <c r="P955">
        <v>0.08</v>
      </c>
      <c r="Q955" t="s">
        <v>1325</v>
      </c>
      <c r="R955">
        <v>30</v>
      </c>
      <c r="S955">
        <v>25</v>
      </c>
      <c r="T955">
        <v>32.5</v>
      </c>
      <c r="U955">
        <v>5</v>
      </c>
      <c r="V955">
        <v>7.5</v>
      </c>
    </row>
    <row r="956" spans="1:22" x14ac:dyDescent="0.25">
      <c r="A956" t="s">
        <v>2267</v>
      </c>
      <c r="B956" t="s">
        <v>957</v>
      </c>
      <c r="C956">
        <v>20</v>
      </c>
      <c r="D956" t="s">
        <v>79</v>
      </c>
      <c r="E956" t="s">
        <v>32</v>
      </c>
      <c r="F956" t="s">
        <v>23</v>
      </c>
      <c r="G956">
        <v>0.6</v>
      </c>
      <c r="H956" t="s">
        <v>25</v>
      </c>
      <c r="I956">
        <v>8</v>
      </c>
      <c r="J956" t="str">
        <f>HYPERLINK("https://www.eliteprospects.com/player/559019/keaton-dowhaniuk")</f>
        <v>https://www.eliteprospects.com/player/559019/keaton-dowhaniuk</v>
      </c>
      <c r="K956" t="s">
        <v>27</v>
      </c>
      <c r="L956" t="s">
        <v>918</v>
      </c>
      <c r="M956" t="s">
        <v>1296</v>
      </c>
      <c r="N956">
        <v>7</v>
      </c>
      <c r="O956" t="s">
        <v>2263</v>
      </c>
      <c r="P956">
        <v>0.08</v>
      </c>
      <c r="Q956" t="s">
        <v>1325</v>
      </c>
      <c r="R956">
        <v>30</v>
      </c>
      <c r="S956">
        <v>25</v>
      </c>
      <c r="T956">
        <v>32.5</v>
      </c>
      <c r="U956">
        <v>5</v>
      </c>
      <c r="V956">
        <v>7.5</v>
      </c>
    </row>
    <row r="957" spans="1:22" x14ac:dyDescent="0.25">
      <c r="A957" t="s">
        <v>2268</v>
      </c>
      <c r="B957" t="s">
        <v>1020</v>
      </c>
      <c r="C957">
        <v>20</v>
      </c>
      <c r="D957" t="s">
        <v>96</v>
      </c>
      <c r="E957" t="s">
        <v>57</v>
      </c>
      <c r="F957" t="s">
        <v>69</v>
      </c>
      <c r="G957">
        <v>0.55000000000000004</v>
      </c>
      <c r="H957" t="s">
        <v>39</v>
      </c>
      <c r="I957">
        <v>-18</v>
      </c>
      <c r="J957" t="str">
        <f>HYPERLINK("https://www.eliteprospects.com/player/476574/jonathan-krahn")</f>
        <v>https://www.eliteprospects.com/player/476574/jonathan-krahn</v>
      </c>
      <c r="K957" t="s">
        <v>27</v>
      </c>
      <c r="L957" t="s">
        <v>918</v>
      </c>
      <c r="M957" t="s">
        <v>1546</v>
      </c>
      <c r="N957">
        <v>3</v>
      </c>
      <c r="O957" t="s">
        <v>962</v>
      </c>
      <c r="P957">
        <v>7.0000000000000007E-2</v>
      </c>
      <c r="Q957" t="s">
        <v>1325</v>
      </c>
      <c r="R957">
        <v>30</v>
      </c>
      <c r="S957">
        <v>25</v>
      </c>
      <c r="T957">
        <v>32.5</v>
      </c>
      <c r="U957">
        <v>5</v>
      </c>
      <c r="V957">
        <v>7.5</v>
      </c>
    </row>
    <row r="958" spans="1:22" x14ac:dyDescent="0.25">
      <c r="A958" t="s">
        <v>2269</v>
      </c>
      <c r="B958" t="s">
        <v>1001</v>
      </c>
      <c r="C958">
        <v>14</v>
      </c>
      <c r="D958" t="s">
        <v>140</v>
      </c>
      <c r="E958" t="s">
        <v>26</v>
      </c>
      <c r="F958" t="s">
        <v>69</v>
      </c>
      <c r="G958">
        <v>0.79</v>
      </c>
      <c r="H958" t="s">
        <v>66</v>
      </c>
      <c r="I958">
        <v>-13</v>
      </c>
      <c r="J958" t="str">
        <f>HYPERLINK("https://www.eliteprospects.com/player/504038/jack-harper")</f>
        <v>https://www.eliteprospects.com/player/504038/jack-harper</v>
      </c>
      <c r="K958" t="s">
        <v>27</v>
      </c>
      <c r="L958" t="s">
        <v>918</v>
      </c>
      <c r="M958" t="s">
        <v>1296</v>
      </c>
      <c r="N958">
        <v>7</v>
      </c>
      <c r="O958" t="s">
        <v>919</v>
      </c>
      <c r="P958">
        <v>0.1</v>
      </c>
      <c r="Q958" t="s">
        <v>1325</v>
      </c>
      <c r="R958">
        <v>27.3</v>
      </c>
      <c r="S958">
        <v>22.7</v>
      </c>
      <c r="T958">
        <v>27.3</v>
      </c>
      <c r="U958">
        <v>4.5</v>
      </c>
      <c r="V958">
        <v>18.2</v>
      </c>
    </row>
    <row r="959" spans="1:22" x14ac:dyDescent="0.25">
      <c r="A959" t="s">
        <v>2270</v>
      </c>
      <c r="B959" t="s">
        <v>1036</v>
      </c>
      <c r="C959">
        <v>19</v>
      </c>
      <c r="D959" t="s">
        <v>140</v>
      </c>
      <c r="E959" t="s">
        <v>26</v>
      </c>
      <c r="F959" t="s">
        <v>69</v>
      </c>
      <c r="G959">
        <v>0.57999999999999996</v>
      </c>
      <c r="H959" t="s">
        <v>32</v>
      </c>
      <c r="I959">
        <v>0</v>
      </c>
      <c r="J959" t="str">
        <f>HYPERLINK("https://www.eliteprospects.com/player/273728/stephen-calisti")</f>
        <v>https://www.eliteprospects.com/player/273728/stephen-calisti</v>
      </c>
      <c r="K959" t="s">
        <v>27</v>
      </c>
      <c r="L959" t="s">
        <v>918</v>
      </c>
      <c r="M959" t="s">
        <v>1296</v>
      </c>
      <c r="N959">
        <v>5</v>
      </c>
      <c r="O959" t="s">
        <v>1237</v>
      </c>
      <c r="P959">
        <v>7.0000000000000007E-2</v>
      </c>
      <c r="Q959" t="s">
        <v>1325</v>
      </c>
      <c r="R959">
        <v>30</v>
      </c>
      <c r="S959">
        <v>25</v>
      </c>
      <c r="T959">
        <v>32.5</v>
      </c>
      <c r="U959">
        <v>5</v>
      </c>
      <c r="V959">
        <v>7.5</v>
      </c>
    </row>
    <row r="960" spans="1:22" x14ac:dyDescent="0.25">
      <c r="A960" t="s">
        <v>2271</v>
      </c>
      <c r="B960" t="s">
        <v>931</v>
      </c>
      <c r="C960">
        <v>10</v>
      </c>
      <c r="D960" t="s">
        <v>79</v>
      </c>
      <c r="E960" t="s">
        <v>45</v>
      </c>
      <c r="F960" t="s">
        <v>69</v>
      </c>
      <c r="G960">
        <v>1.1000000000000001</v>
      </c>
      <c r="H960" t="s">
        <v>66</v>
      </c>
      <c r="I960">
        <v>5</v>
      </c>
      <c r="J960" t="str">
        <f>HYPERLINK("https://www.eliteprospects.com/player/476695/clay-hanus")</f>
        <v>https://www.eliteprospects.com/player/476695/clay-hanus</v>
      </c>
      <c r="K960" t="s">
        <v>27</v>
      </c>
      <c r="L960" t="s">
        <v>918</v>
      </c>
      <c r="M960" t="s">
        <v>1296</v>
      </c>
      <c r="N960">
        <v>6</v>
      </c>
      <c r="O960" t="s">
        <v>927</v>
      </c>
      <c r="P960">
        <v>0.14000000000000001</v>
      </c>
      <c r="Q960" t="s">
        <v>1300</v>
      </c>
      <c r="R960">
        <v>30.8</v>
      </c>
      <c r="S960">
        <v>20.5</v>
      </c>
      <c r="T960">
        <v>10.3</v>
      </c>
      <c r="U960">
        <v>10.3</v>
      </c>
      <c r="V960">
        <v>28.2</v>
      </c>
    </row>
    <row r="961" spans="1:22" x14ac:dyDescent="0.25">
      <c r="A961" t="s">
        <v>2272</v>
      </c>
      <c r="B961" t="s">
        <v>954</v>
      </c>
      <c r="C961">
        <v>17</v>
      </c>
      <c r="D961" t="s">
        <v>260</v>
      </c>
      <c r="E961" t="s">
        <v>32</v>
      </c>
      <c r="F961" t="s">
        <v>69</v>
      </c>
      <c r="G961">
        <v>0.65</v>
      </c>
      <c r="H961" t="s">
        <v>132</v>
      </c>
      <c r="I961">
        <v>0</v>
      </c>
      <c r="J961" t="str">
        <f>HYPERLINK("https://www.eliteprospects.com/player/648080/nicolas-bilodeau")</f>
        <v>https://www.eliteprospects.com/player/648080/nicolas-bilodeau</v>
      </c>
      <c r="K961" t="s">
        <v>27</v>
      </c>
      <c r="L961" t="s">
        <v>918</v>
      </c>
      <c r="M961" t="s">
        <v>1296</v>
      </c>
      <c r="N961">
        <v>4</v>
      </c>
      <c r="O961" t="s">
        <v>1051</v>
      </c>
      <c r="P961">
        <v>0.08</v>
      </c>
      <c r="Q961" t="s">
        <v>1325</v>
      </c>
      <c r="R961">
        <v>30</v>
      </c>
      <c r="S961">
        <v>25</v>
      </c>
      <c r="T961">
        <v>32.5</v>
      </c>
      <c r="U961">
        <v>5</v>
      </c>
      <c r="V961">
        <v>7.5</v>
      </c>
    </row>
    <row r="962" spans="1:22" x14ac:dyDescent="0.25">
      <c r="A962" t="s">
        <v>2273</v>
      </c>
      <c r="B962" t="s">
        <v>931</v>
      </c>
      <c r="C962">
        <v>20</v>
      </c>
      <c r="D962" t="s">
        <v>260</v>
      </c>
      <c r="E962" t="s">
        <v>32</v>
      </c>
      <c r="F962" t="s">
        <v>69</v>
      </c>
      <c r="G962">
        <v>0.55000000000000004</v>
      </c>
      <c r="H962" t="s">
        <v>24</v>
      </c>
      <c r="I962">
        <v>20</v>
      </c>
      <c r="J962" t="str">
        <f>HYPERLINK("https://www.eliteprospects.com/player/281933/kyle-walker")</f>
        <v>https://www.eliteprospects.com/player/281933/kyle-walker</v>
      </c>
      <c r="K962" t="s">
        <v>27</v>
      </c>
      <c r="L962" t="s">
        <v>918</v>
      </c>
      <c r="M962" t="s">
        <v>1296</v>
      </c>
      <c r="N962">
        <v>6</v>
      </c>
      <c r="O962" t="s">
        <v>932</v>
      </c>
      <c r="P962">
        <v>7.0000000000000007E-2</v>
      </c>
      <c r="Q962" t="s">
        <v>1325</v>
      </c>
      <c r="R962">
        <v>30</v>
      </c>
      <c r="S962">
        <v>25</v>
      </c>
      <c r="T962">
        <v>32.5</v>
      </c>
      <c r="U962">
        <v>5</v>
      </c>
      <c r="V962">
        <v>7.5</v>
      </c>
    </row>
    <row r="963" spans="1:22" x14ac:dyDescent="0.25">
      <c r="A963" t="s">
        <v>2274</v>
      </c>
      <c r="B963" t="s">
        <v>1003</v>
      </c>
      <c r="C963">
        <v>14</v>
      </c>
      <c r="D963" t="s">
        <v>132</v>
      </c>
      <c r="E963" t="s">
        <v>69</v>
      </c>
      <c r="F963" t="s">
        <v>69</v>
      </c>
      <c r="G963">
        <v>0.79</v>
      </c>
      <c r="H963" t="s">
        <v>23</v>
      </c>
      <c r="I963">
        <v>0</v>
      </c>
      <c r="J963" t="str">
        <f>HYPERLINK("https://www.eliteprospects.com/player/295303/antoine-desrochers")</f>
        <v>https://www.eliteprospects.com/player/295303/antoine-desrochers</v>
      </c>
      <c r="K963" t="s">
        <v>27</v>
      </c>
      <c r="L963" t="s">
        <v>918</v>
      </c>
      <c r="M963" t="s">
        <v>1296</v>
      </c>
      <c r="N963">
        <v>6</v>
      </c>
      <c r="O963" t="s">
        <v>921</v>
      </c>
      <c r="P963">
        <v>0.1</v>
      </c>
      <c r="Q963" t="s">
        <v>1325</v>
      </c>
      <c r="R963">
        <v>27.3</v>
      </c>
      <c r="S963">
        <v>22.7</v>
      </c>
      <c r="T963">
        <v>27.3</v>
      </c>
      <c r="U963">
        <v>4.5</v>
      </c>
      <c r="V963">
        <v>18.2</v>
      </c>
    </row>
    <row r="964" spans="1:22" x14ac:dyDescent="0.25">
      <c r="A964" t="s">
        <v>2275</v>
      </c>
      <c r="B964" t="s">
        <v>944</v>
      </c>
      <c r="C964">
        <v>20</v>
      </c>
      <c r="D964" t="s">
        <v>140</v>
      </c>
      <c r="E964" t="s">
        <v>78</v>
      </c>
      <c r="F964" t="s">
        <v>32</v>
      </c>
      <c r="G964">
        <v>0.5</v>
      </c>
      <c r="H964" t="s">
        <v>81</v>
      </c>
      <c r="I964">
        <v>6</v>
      </c>
      <c r="J964" t="str">
        <f>HYPERLINK("https://www.eliteprospects.com/player/272854/denis-toner")</f>
        <v>https://www.eliteprospects.com/player/272854/denis-toner</v>
      </c>
      <c r="K964" t="s">
        <v>27</v>
      </c>
      <c r="L964" t="s">
        <v>918</v>
      </c>
      <c r="M964" t="s">
        <v>1296</v>
      </c>
      <c r="N964">
        <v>5</v>
      </c>
      <c r="O964" t="s">
        <v>945</v>
      </c>
      <c r="P964">
        <v>0.06</v>
      </c>
      <c r="Q964" t="s">
        <v>1325</v>
      </c>
      <c r="R964">
        <v>26.3</v>
      </c>
      <c r="S964">
        <v>23.7</v>
      </c>
      <c r="T964">
        <v>28.9</v>
      </c>
      <c r="U964">
        <v>5.3</v>
      </c>
      <c r="V964">
        <v>15.8</v>
      </c>
    </row>
    <row r="965" spans="1:22" x14ac:dyDescent="0.25">
      <c r="A965" t="s">
        <v>2276</v>
      </c>
      <c r="B965" t="s">
        <v>1053</v>
      </c>
      <c r="C965">
        <v>17</v>
      </c>
      <c r="D965" t="s">
        <v>79</v>
      </c>
      <c r="E965" t="s">
        <v>26</v>
      </c>
      <c r="F965" t="s">
        <v>32</v>
      </c>
      <c r="G965">
        <v>0.59</v>
      </c>
      <c r="H965" t="s">
        <v>23</v>
      </c>
      <c r="I965">
        <v>0</v>
      </c>
      <c r="J965" t="str">
        <f>HYPERLINK("https://www.eliteprospects.com/player/416979/brandon-mccartney")</f>
        <v>https://www.eliteprospects.com/player/416979/brandon-mccartney</v>
      </c>
      <c r="K965" t="s">
        <v>27</v>
      </c>
      <c r="L965" t="s">
        <v>918</v>
      </c>
      <c r="M965" t="s">
        <v>1296</v>
      </c>
      <c r="N965">
        <v>2</v>
      </c>
      <c r="O965" t="s">
        <v>1021</v>
      </c>
      <c r="P965">
        <v>7.0000000000000007E-2</v>
      </c>
      <c r="Q965" t="s">
        <v>1325</v>
      </c>
      <c r="R965">
        <v>30</v>
      </c>
      <c r="S965">
        <v>25</v>
      </c>
      <c r="T965">
        <v>32.5</v>
      </c>
      <c r="U965">
        <v>5</v>
      </c>
      <c r="V965">
        <v>7.5</v>
      </c>
    </row>
    <row r="966" spans="1:22" x14ac:dyDescent="0.25">
      <c r="A966" t="s">
        <v>2277</v>
      </c>
      <c r="B966" t="s">
        <v>1001</v>
      </c>
      <c r="C966">
        <v>19</v>
      </c>
      <c r="D966" t="s">
        <v>79</v>
      </c>
      <c r="E966" t="s">
        <v>26</v>
      </c>
      <c r="F966" t="s">
        <v>32</v>
      </c>
      <c r="G966">
        <v>0.53</v>
      </c>
      <c r="H966" t="s">
        <v>518</v>
      </c>
      <c r="I966">
        <v>-27</v>
      </c>
      <c r="J966" t="str">
        <f>HYPERLINK("https://www.eliteprospects.com/player/337757/ethan-martini")</f>
        <v>https://www.eliteprospects.com/player/337757/ethan-martini</v>
      </c>
      <c r="K966" t="s">
        <v>27</v>
      </c>
      <c r="L966" t="s">
        <v>918</v>
      </c>
      <c r="M966" t="s">
        <v>1296</v>
      </c>
      <c r="N966">
        <v>4</v>
      </c>
      <c r="O966" t="s">
        <v>2278</v>
      </c>
      <c r="P966">
        <v>7.0000000000000007E-2</v>
      </c>
      <c r="Q966" t="s">
        <v>1325</v>
      </c>
      <c r="R966">
        <v>30</v>
      </c>
      <c r="S966">
        <v>25</v>
      </c>
      <c r="T966">
        <v>32.5</v>
      </c>
      <c r="U966">
        <v>5</v>
      </c>
      <c r="V966">
        <v>7.5</v>
      </c>
    </row>
    <row r="967" spans="1:22" x14ac:dyDescent="0.25">
      <c r="A967" t="s">
        <v>2279</v>
      </c>
      <c r="B967" t="s">
        <v>1032</v>
      </c>
      <c r="C967">
        <v>12</v>
      </c>
      <c r="D967" t="s">
        <v>132</v>
      </c>
      <c r="E967" t="s">
        <v>32</v>
      </c>
      <c r="F967" t="s">
        <v>32</v>
      </c>
      <c r="G967">
        <v>0.83</v>
      </c>
      <c r="H967" t="s">
        <v>39</v>
      </c>
      <c r="I967">
        <v>0</v>
      </c>
      <c r="J967" t="str">
        <f>HYPERLINK("https://www.eliteprospects.com/player/417813/sam-mckinney")</f>
        <v>https://www.eliteprospects.com/player/417813/sam-mckinney</v>
      </c>
      <c r="K967" t="s">
        <v>27</v>
      </c>
      <c r="L967" t="s">
        <v>918</v>
      </c>
      <c r="M967" t="s">
        <v>1296</v>
      </c>
      <c r="N967">
        <v>5</v>
      </c>
      <c r="O967" t="s">
        <v>1094</v>
      </c>
      <c r="P967">
        <v>0.1</v>
      </c>
      <c r="Q967" t="s">
        <v>1325</v>
      </c>
      <c r="R967">
        <v>27.3</v>
      </c>
      <c r="S967">
        <v>22.7</v>
      </c>
      <c r="T967">
        <v>27.3</v>
      </c>
      <c r="U967">
        <v>4.5</v>
      </c>
      <c r="V967">
        <v>18.2</v>
      </c>
    </row>
    <row r="968" spans="1:22" x14ac:dyDescent="0.25">
      <c r="A968" t="s">
        <v>2280</v>
      </c>
      <c r="B968" t="s">
        <v>997</v>
      </c>
      <c r="C968">
        <v>18</v>
      </c>
      <c r="D968" t="s">
        <v>66</v>
      </c>
      <c r="E968" t="s">
        <v>96</v>
      </c>
      <c r="F968" t="s">
        <v>45</v>
      </c>
      <c r="G968">
        <v>0.5</v>
      </c>
      <c r="H968" t="s">
        <v>66</v>
      </c>
      <c r="I968">
        <v>0</v>
      </c>
      <c r="J968" t="str">
        <f>HYPERLINK("https://www.eliteprospects.com/player/499905/xavier-laurent")</f>
        <v>https://www.eliteprospects.com/player/499905/xavier-laurent</v>
      </c>
      <c r="K968" t="s">
        <v>27</v>
      </c>
      <c r="L968" t="s">
        <v>918</v>
      </c>
      <c r="M968" t="s">
        <v>1296</v>
      </c>
      <c r="N968">
        <v>1</v>
      </c>
      <c r="O968" t="s">
        <v>984</v>
      </c>
      <c r="P968">
        <v>0.06</v>
      </c>
      <c r="Q968" t="s">
        <v>1325</v>
      </c>
      <c r="R968">
        <v>26.3</v>
      </c>
      <c r="S968">
        <v>23.7</v>
      </c>
      <c r="T968">
        <v>28.9</v>
      </c>
      <c r="U968">
        <v>5.3</v>
      </c>
      <c r="V968">
        <v>15.8</v>
      </c>
    </row>
    <row r="969" spans="1:22" x14ac:dyDescent="0.25">
      <c r="A969" t="s">
        <v>2281</v>
      </c>
      <c r="B969" t="s">
        <v>917</v>
      </c>
      <c r="C969">
        <v>14</v>
      </c>
      <c r="D969" t="s">
        <v>140</v>
      </c>
      <c r="E969" t="s">
        <v>57</v>
      </c>
      <c r="F969" t="s">
        <v>45</v>
      </c>
      <c r="G969">
        <v>0.64</v>
      </c>
      <c r="H969" t="s">
        <v>66</v>
      </c>
      <c r="I969">
        <v>5</v>
      </c>
      <c r="J969" t="str">
        <f>HYPERLINK("https://www.eliteprospects.com/player/563418/ryan-hopkins")</f>
        <v>https://www.eliteprospects.com/player/563418/ryan-hopkins</v>
      </c>
      <c r="K969" t="s">
        <v>27</v>
      </c>
      <c r="L969" t="s">
        <v>918</v>
      </c>
      <c r="M969" t="s">
        <v>1296</v>
      </c>
      <c r="N969">
        <v>2</v>
      </c>
      <c r="O969" t="s">
        <v>1076</v>
      </c>
      <c r="P969">
        <v>0.08</v>
      </c>
      <c r="Q969" t="s">
        <v>1325</v>
      </c>
      <c r="R969">
        <v>30</v>
      </c>
      <c r="S969">
        <v>25</v>
      </c>
      <c r="T969">
        <v>32.5</v>
      </c>
      <c r="U969">
        <v>5</v>
      </c>
      <c r="V969">
        <v>7.5</v>
      </c>
    </row>
    <row r="970" spans="1:22" x14ac:dyDescent="0.25">
      <c r="A970" t="s">
        <v>2282</v>
      </c>
      <c r="B970" t="s">
        <v>1015</v>
      </c>
      <c r="C970">
        <v>14</v>
      </c>
      <c r="D970" t="s">
        <v>140</v>
      </c>
      <c r="E970" t="s">
        <v>57</v>
      </c>
      <c r="F970" t="s">
        <v>45</v>
      </c>
      <c r="G970">
        <v>0.64</v>
      </c>
      <c r="H970" t="s">
        <v>24</v>
      </c>
      <c r="I970">
        <v>5</v>
      </c>
      <c r="J970" t="str">
        <f>HYPERLINK("https://www.eliteprospects.com/player/422105/mason-ward")</f>
        <v>https://www.eliteprospects.com/player/422105/mason-ward</v>
      </c>
      <c r="K970" t="s">
        <v>27</v>
      </c>
      <c r="L970" t="s">
        <v>918</v>
      </c>
      <c r="M970" t="s">
        <v>1296</v>
      </c>
      <c r="N970">
        <v>6</v>
      </c>
      <c r="O970" t="s">
        <v>924</v>
      </c>
      <c r="P970">
        <v>0.08</v>
      </c>
      <c r="Q970" t="s">
        <v>1325</v>
      </c>
      <c r="R970">
        <v>30</v>
      </c>
      <c r="S970">
        <v>25</v>
      </c>
      <c r="T970">
        <v>32.5</v>
      </c>
      <c r="U970">
        <v>5</v>
      </c>
      <c r="V970">
        <v>7.5</v>
      </c>
    </row>
    <row r="971" spans="1:22" x14ac:dyDescent="0.25">
      <c r="A971" t="s">
        <v>2283</v>
      </c>
      <c r="B971" t="s">
        <v>944</v>
      </c>
      <c r="C971">
        <v>20</v>
      </c>
      <c r="D971" t="s">
        <v>140</v>
      </c>
      <c r="E971" t="s">
        <v>57</v>
      </c>
      <c r="F971" t="s">
        <v>45</v>
      </c>
      <c r="G971">
        <v>0.45</v>
      </c>
      <c r="H971" t="s">
        <v>32</v>
      </c>
      <c r="I971">
        <v>10</v>
      </c>
      <c r="J971" t="str">
        <f>HYPERLINK("https://www.eliteprospects.com/player/410533/thomas-pelletier")</f>
        <v>https://www.eliteprospects.com/player/410533/thomas-pelletier</v>
      </c>
      <c r="K971" t="s">
        <v>27</v>
      </c>
      <c r="L971" t="s">
        <v>918</v>
      </c>
      <c r="M971" t="s">
        <v>1296</v>
      </c>
      <c r="N971">
        <v>6</v>
      </c>
      <c r="O971" t="s">
        <v>937</v>
      </c>
      <c r="P971">
        <v>0.06</v>
      </c>
      <c r="Q971" t="s">
        <v>1325</v>
      </c>
      <c r="R971">
        <v>26.3</v>
      </c>
      <c r="S971">
        <v>23.7</v>
      </c>
      <c r="T971">
        <v>28.9</v>
      </c>
      <c r="U971">
        <v>5.3</v>
      </c>
      <c r="V971">
        <v>15.8</v>
      </c>
    </row>
    <row r="972" spans="1:22" x14ac:dyDescent="0.25">
      <c r="A972" t="s">
        <v>2284</v>
      </c>
      <c r="B972" t="s">
        <v>972</v>
      </c>
      <c r="C972">
        <v>18</v>
      </c>
      <c r="D972" t="s">
        <v>79</v>
      </c>
      <c r="E972" t="s">
        <v>78</v>
      </c>
      <c r="F972" t="s">
        <v>45</v>
      </c>
      <c r="G972">
        <v>0.5</v>
      </c>
      <c r="H972" t="s">
        <v>178</v>
      </c>
      <c r="I972">
        <v>0</v>
      </c>
      <c r="J972" t="str">
        <f>HYPERLINK("https://www.eliteprospects.com/player/723099/naaman-hofer")</f>
        <v>https://www.eliteprospects.com/player/723099/naaman-hofer</v>
      </c>
      <c r="K972" t="s">
        <v>27</v>
      </c>
      <c r="L972" t="s">
        <v>918</v>
      </c>
      <c r="M972" t="s">
        <v>1296</v>
      </c>
      <c r="N972">
        <v>1</v>
      </c>
      <c r="O972" t="s">
        <v>984</v>
      </c>
      <c r="P972">
        <v>0.06</v>
      </c>
      <c r="Q972" t="s">
        <v>1325</v>
      </c>
      <c r="R972">
        <v>26.3</v>
      </c>
      <c r="S972">
        <v>23.7</v>
      </c>
      <c r="T972">
        <v>28.9</v>
      </c>
      <c r="U972">
        <v>5.3</v>
      </c>
      <c r="V972">
        <v>15.8</v>
      </c>
    </row>
    <row r="973" spans="1:22" x14ac:dyDescent="0.25">
      <c r="A973" t="s">
        <v>2285</v>
      </c>
      <c r="B973" t="s">
        <v>1011</v>
      </c>
      <c r="C973">
        <v>20</v>
      </c>
      <c r="D973" t="s">
        <v>79</v>
      </c>
      <c r="E973" t="s">
        <v>78</v>
      </c>
      <c r="F973" t="s">
        <v>45</v>
      </c>
      <c r="G973">
        <v>0.45</v>
      </c>
      <c r="H973" t="s">
        <v>23</v>
      </c>
      <c r="I973">
        <v>-6</v>
      </c>
      <c r="J973" t="str">
        <f>HYPERLINK("https://www.eliteprospects.com/player/413065/raegan-wiles")</f>
        <v>https://www.eliteprospects.com/player/413065/raegan-wiles</v>
      </c>
      <c r="K973" t="s">
        <v>27</v>
      </c>
      <c r="L973" t="s">
        <v>918</v>
      </c>
      <c r="M973" t="s">
        <v>1296</v>
      </c>
      <c r="N973">
        <v>6</v>
      </c>
      <c r="O973" t="s">
        <v>924</v>
      </c>
      <c r="P973">
        <v>0.06</v>
      </c>
      <c r="Q973" t="s">
        <v>1325</v>
      </c>
      <c r="R973">
        <v>26.3</v>
      </c>
      <c r="S973">
        <v>23.7</v>
      </c>
      <c r="T973">
        <v>28.9</v>
      </c>
      <c r="U973">
        <v>5.3</v>
      </c>
      <c r="V973">
        <v>15.8</v>
      </c>
    </row>
    <row r="974" spans="1:22" x14ac:dyDescent="0.25">
      <c r="A974" t="s">
        <v>2286</v>
      </c>
      <c r="B974" t="s">
        <v>926</v>
      </c>
      <c r="C974">
        <v>20</v>
      </c>
      <c r="D974" t="s">
        <v>79</v>
      </c>
      <c r="E974" t="s">
        <v>78</v>
      </c>
      <c r="F974" t="s">
        <v>45</v>
      </c>
      <c r="G974">
        <v>0.45</v>
      </c>
      <c r="H974" t="s">
        <v>39</v>
      </c>
      <c r="I974">
        <v>6</v>
      </c>
      <c r="J974" t="str">
        <f>HYPERLINK("https://www.eliteprospects.com/player/477388/alex-serraglio")</f>
        <v>https://www.eliteprospects.com/player/477388/alex-serraglio</v>
      </c>
      <c r="K974" t="s">
        <v>27</v>
      </c>
      <c r="L974" t="s">
        <v>918</v>
      </c>
      <c r="M974" t="s">
        <v>1296</v>
      </c>
      <c r="N974">
        <v>5</v>
      </c>
      <c r="O974" t="s">
        <v>979</v>
      </c>
      <c r="P974">
        <v>0.06</v>
      </c>
      <c r="Q974" t="s">
        <v>1325</v>
      </c>
      <c r="R974">
        <v>26.3</v>
      </c>
      <c r="S974">
        <v>23.7</v>
      </c>
      <c r="T974">
        <v>28.9</v>
      </c>
      <c r="U974">
        <v>5.3</v>
      </c>
      <c r="V974">
        <v>15.8</v>
      </c>
    </row>
    <row r="975" spans="1:22" x14ac:dyDescent="0.25">
      <c r="A975" t="s">
        <v>2287</v>
      </c>
      <c r="B975" t="s">
        <v>991</v>
      </c>
      <c r="C975">
        <v>18</v>
      </c>
      <c r="D975" t="s">
        <v>260</v>
      </c>
      <c r="E975" t="s">
        <v>26</v>
      </c>
      <c r="F975" t="s">
        <v>45</v>
      </c>
      <c r="G975">
        <v>0.5</v>
      </c>
      <c r="H975" t="s">
        <v>26</v>
      </c>
      <c r="I975">
        <v>0</v>
      </c>
      <c r="J975" t="str">
        <f>HYPERLINK("https://www.eliteprospects.com/player/657570/alexis-beaulac")</f>
        <v>https://www.eliteprospects.com/player/657570/alexis-beaulac</v>
      </c>
      <c r="K975" t="s">
        <v>27</v>
      </c>
      <c r="L975" t="s">
        <v>918</v>
      </c>
      <c r="M975" t="s">
        <v>1296</v>
      </c>
      <c r="N975">
        <v>3</v>
      </c>
      <c r="O975" t="s">
        <v>1002</v>
      </c>
      <c r="P975">
        <v>0.06</v>
      </c>
      <c r="Q975" t="s">
        <v>1325</v>
      </c>
      <c r="R975">
        <v>26.3</v>
      </c>
      <c r="S975">
        <v>23.7</v>
      </c>
      <c r="T975">
        <v>28.9</v>
      </c>
      <c r="U975">
        <v>5.3</v>
      </c>
      <c r="V975">
        <v>15.8</v>
      </c>
    </row>
    <row r="976" spans="1:22" x14ac:dyDescent="0.25">
      <c r="A976" t="s">
        <v>2288</v>
      </c>
      <c r="B976" t="s">
        <v>966</v>
      </c>
      <c r="C976">
        <v>18</v>
      </c>
      <c r="D976" t="s">
        <v>132</v>
      </c>
      <c r="E976" t="s">
        <v>45</v>
      </c>
      <c r="F976" t="s">
        <v>45</v>
      </c>
      <c r="G976">
        <v>0.5</v>
      </c>
      <c r="H976" t="s">
        <v>47</v>
      </c>
      <c r="I976">
        <v>8</v>
      </c>
      <c r="J976" t="str">
        <f>HYPERLINK("https://www.eliteprospects.com/player/390207/cameron-whynot")</f>
        <v>https://www.eliteprospects.com/player/390207/cameron-whynot</v>
      </c>
      <c r="K976" t="s">
        <v>27</v>
      </c>
      <c r="L976" t="s">
        <v>918</v>
      </c>
      <c r="M976" t="s">
        <v>1296</v>
      </c>
      <c r="N976">
        <v>6</v>
      </c>
      <c r="O976" t="s">
        <v>921</v>
      </c>
      <c r="P976">
        <v>0.06</v>
      </c>
      <c r="Q976" t="s">
        <v>1325</v>
      </c>
      <c r="R976">
        <v>26.3</v>
      </c>
      <c r="S976">
        <v>23.7</v>
      </c>
      <c r="T976">
        <v>28.9</v>
      </c>
      <c r="U976">
        <v>5.3</v>
      </c>
      <c r="V976">
        <v>15.8</v>
      </c>
    </row>
    <row r="977" spans="1:22" x14ac:dyDescent="0.25">
      <c r="A977" t="s">
        <v>2289</v>
      </c>
      <c r="B977" t="s">
        <v>966</v>
      </c>
      <c r="C977">
        <v>18</v>
      </c>
      <c r="D977" t="s">
        <v>140</v>
      </c>
      <c r="E977" t="s">
        <v>96</v>
      </c>
      <c r="F977" t="s">
        <v>26</v>
      </c>
      <c r="G977">
        <v>0.44</v>
      </c>
      <c r="H977" t="s">
        <v>111</v>
      </c>
      <c r="I977">
        <v>-1</v>
      </c>
      <c r="J977" t="str">
        <f>HYPERLINK("https://www.eliteprospects.com/player/424303/brendan-tomilson")</f>
        <v>https://www.eliteprospects.com/player/424303/brendan-tomilson</v>
      </c>
      <c r="K977" t="s">
        <v>27</v>
      </c>
      <c r="L977" t="s">
        <v>918</v>
      </c>
      <c r="M977" t="s">
        <v>1296</v>
      </c>
      <c r="N977">
        <v>5</v>
      </c>
      <c r="O977" t="s">
        <v>973</v>
      </c>
      <c r="P977">
        <v>0.06</v>
      </c>
      <c r="Q977" t="s">
        <v>1325</v>
      </c>
      <c r="R977">
        <v>26.3</v>
      </c>
      <c r="S977">
        <v>23.7</v>
      </c>
      <c r="T977">
        <v>28.9</v>
      </c>
      <c r="U977">
        <v>5.3</v>
      </c>
      <c r="V977">
        <v>15.8</v>
      </c>
    </row>
    <row r="978" spans="1:22" x14ac:dyDescent="0.25">
      <c r="A978" t="s">
        <v>2290</v>
      </c>
      <c r="B978" t="s">
        <v>1015</v>
      </c>
      <c r="C978">
        <v>18</v>
      </c>
      <c r="D978" t="s">
        <v>79</v>
      </c>
      <c r="E978" t="s">
        <v>57</v>
      </c>
      <c r="F978" t="s">
        <v>26</v>
      </c>
      <c r="G978">
        <v>0.44</v>
      </c>
      <c r="H978" t="s">
        <v>79</v>
      </c>
      <c r="I978">
        <v>2</v>
      </c>
      <c r="J978" t="str">
        <f>HYPERLINK("https://www.eliteprospects.com/player/475614/blake-gustafson")</f>
        <v>https://www.eliteprospects.com/player/475614/blake-gustafson</v>
      </c>
      <c r="K978" t="s">
        <v>27</v>
      </c>
      <c r="L978" t="s">
        <v>918</v>
      </c>
      <c r="M978" t="s">
        <v>1296</v>
      </c>
      <c r="N978">
        <v>6</v>
      </c>
      <c r="O978" t="s">
        <v>924</v>
      </c>
      <c r="P978">
        <v>0.06</v>
      </c>
      <c r="Q978" t="s">
        <v>1325</v>
      </c>
      <c r="R978">
        <v>26.3</v>
      </c>
      <c r="S978">
        <v>23.7</v>
      </c>
      <c r="T978">
        <v>28.9</v>
      </c>
      <c r="U978">
        <v>5.3</v>
      </c>
      <c r="V978">
        <v>15.8</v>
      </c>
    </row>
    <row r="979" spans="1:22" x14ac:dyDescent="0.25">
      <c r="A979" t="s">
        <v>2291</v>
      </c>
      <c r="B979" t="s">
        <v>1038</v>
      </c>
      <c r="C979">
        <v>18</v>
      </c>
      <c r="D979" t="s">
        <v>79</v>
      </c>
      <c r="E979" t="s">
        <v>57</v>
      </c>
      <c r="F979" t="s">
        <v>26</v>
      </c>
      <c r="G979">
        <v>0.44</v>
      </c>
      <c r="H979" t="s">
        <v>40</v>
      </c>
      <c r="I979">
        <v>0</v>
      </c>
      <c r="J979" t="str">
        <f>HYPERLINK("https://www.eliteprospects.com/player/408223/aiden-reeves")</f>
        <v>https://www.eliteprospects.com/player/408223/aiden-reeves</v>
      </c>
      <c r="K979" t="s">
        <v>27</v>
      </c>
      <c r="L979" t="s">
        <v>918</v>
      </c>
      <c r="M979" t="s">
        <v>1296</v>
      </c>
      <c r="N979">
        <v>5</v>
      </c>
      <c r="O979" t="s">
        <v>2292</v>
      </c>
      <c r="P979">
        <v>0.06</v>
      </c>
      <c r="Q979" t="s">
        <v>1325</v>
      </c>
      <c r="R979">
        <v>26.3</v>
      </c>
      <c r="S979">
        <v>23.7</v>
      </c>
      <c r="T979">
        <v>28.9</v>
      </c>
      <c r="U979">
        <v>5.3</v>
      </c>
      <c r="V979">
        <v>15.8</v>
      </c>
    </row>
    <row r="980" spans="1:22" x14ac:dyDescent="0.25">
      <c r="A980" t="s">
        <v>2293</v>
      </c>
      <c r="B980" t="s">
        <v>934</v>
      </c>
      <c r="C980">
        <v>18</v>
      </c>
      <c r="D980" t="s">
        <v>79</v>
      </c>
      <c r="E980" t="s">
        <v>57</v>
      </c>
      <c r="F980" t="s">
        <v>26</v>
      </c>
      <c r="G980">
        <v>0.44</v>
      </c>
      <c r="H980" t="s">
        <v>277</v>
      </c>
      <c r="I980">
        <v>1</v>
      </c>
      <c r="J980" t="str">
        <f>HYPERLINK("https://www.eliteprospects.com/player/416856/colton-kamerrer")</f>
        <v>https://www.eliteprospects.com/player/416856/colton-kamerrer</v>
      </c>
      <c r="K980" t="s">
        <v>27</v>
      </c>
      <c r="L980" t="s">
        <v>918</v>
      </c>
      <c r="M980" t="s">
        <v>1296</v>
      </c>
      <c r="N980">
        <v>5</v>
      </c>
      <c r="O980" t="s">
        <v>935</v>
      </c>
      <c r="P980">
        <v>0.06</v>
      </c>
      <c r="Q980" t="s">
        <v>1325</v>
      </c>
      <c r="R980">
        <v>26.3</v>
      </c>
      <c r="S980">
        <v>23.7</v>
      </c>
      <c r="T980">
        <v>28.9</v>
      </c>
      <c r="U980">
        <v>5.3</v>
      </c>
      <c r="V980">
        <v>15.8</v>
      </c>
    </row>
    <row r="981" spans="1:22" x14ac:dyDescent="0.25">
      <c r="A981" t="s">
        <v>2294</v>
      </c>
      <c r="B981" t="s">
        <v>986</v>
      </c>
      <c r="C981">
        <v>18</v>
      </c>
      <c r="D981" t="s">
        <v>132</v>
      </c>
      <c r="E981" t="s">
        <v>26</v>
      </c>
      <c r="F981" t="s">
        <v>26</v>
      </c>
      <c r="G981">
        <v>0.44</v>
      </c>
      <c r="H981" t="s">
        <v>32</v>
      </c>
      <c r="I981">
        <v>0</v>
      </c>
      <c r="J981" t="str">
        <f>HYPERLINK("https://www.eliteprospects.com/player/648960/kai-stothers")</f>
        <v>https://www.eliteprospects.com/player/648960/kai-stothers</v>
      </c>
      <c r="K981" t="s">
        <v>27</v>
      </c>
      <c r="L981" t="s">
        <v>918</v>
      </c>
      <c r="M981" t="s">
        <v>1296</v>
      </c>
      <c r="N981">
        <v>1</v>
      </c>
      <c r="O981" t="s">
        <v>984</v>
      </c>
      <c r="P981">
        <v>0.06</v>
      </c>
      <c r="Q981" t="s">
        <v>1325</v>
      </c>
      <c r="R981">
        <v>26.3</v>
      </c>
      <c r="S981">
        <v>23.7</v>
      </c>
      <c r="T981">
        <v>28.9</v>
      </c>
      <c r="U981">
        <v>5.3</v>
      </c>
      <c r="V981">
        <v>15.8</v>
      </c>
    </row>
    <row r="982" spans="1:22" x14ac:dyDescent="0.25">
      <c r="A982" t="s">
        <v>2295</v>
      </c>
      <c r="B982" t="s">
        <v>923</v>
      </c>
      <c r="C982">
        <v>18</v>
      </c>
      <c r="D982" t="s">
        <v>132</v>
      </c>
      <c r="E982" t="s">
        <v>26</v>
      </c>
      <c r="F982" t="s">
        <v>26</v>
      </c>
      <c r="G982">
        <v>0.44</v>
      </c>
      <c r="H982" t="s">
        <v>55</v>
      </c>
      <c r="I982">
        <v>13</v>
      </c>
      <c r="J982" t="str">
        <f>HYPERLINK("https://www.eliteprospects.com/player/477347/dylan-anderson")</f>
        <v>https://www.eliteprospects.com/player/477347/dylan-anderson</v>
      </c>
      <c r="K982" t="s">
        <v>27</v>
      </c>
      <c r="L982" t="s">
        <v>918</v>
      </c>
      <c r="M982" t="s">
        <v>1296</v>
      </c>
      <c r="N982">
        <v>6</v>
      </c>
      <c r="O982" t="s">
        <v>924</v>
      </c>
      <c r="P982">
        <v>0.06</v>
      </c>
      <c r="Q982" t="s">
        <v>1325</v>
      </c>
      <c r="R982">
        <v>26.3</v>
      </c>
      <c r="S982">
        <v>23.7</v>
      </c>
      <c r="T982">
        <v>28.9</v>
      </c>
      <c r="U982">
        <v>5.3</v>
      </c>
      <c r="V982">
        <v>15.8</v>
      </c>
    </row>
    <row r="983" spans="1:22" x14ac:dyDescent="0.25">
      <c r="A983" t="s">
        <v>2296</v>
      </c>
      <c r="B983" t="s">
        <v>959</v>
      </c>
      <c r="C983">
        <v>18</v>
      </c>
      <c r="D983" t="s">
        <v>140</v>
      </c>
      <c r="E983" t="s">
        <v>66</v>
      </c>
      <c r="F983" t="s">
        <v>78</v>
      </c>
      <c r="G983">
        <v>0.39</v>
      </c>
      <c r="H983" t="s">
        <v>57</v>
      </c>
      <c r="I983">
        <v>0</v>
      </c>
      <c r="J983" t="str">
        <f>HYPERLINK("https://www.eliteprospects.com/player/503997/alex-blanchard")</f>
        <v>https://www.eliteprospects.com/player/503997/alex-blanchard</v>
      </c>
      <c r="K983" t="s">
        <v>27</v>
      </c>
      <c r="L983" t="s">
        <v>918</v>
      </c>
      <c r="M983" t="s">
        <v>1296</v>
      </c>
      <c r="N983">
        <v>5</v>
      </c>
      <c r="O983" t="s">
        <v>973</v>
      </c>
      <c r="P983">
        <v>0.05</v>
      </c>
      <c r="Q983" t="s">
        <v>1325</v>
      </c>
      <c r="R983">
        <v>26.3</v>
      </c>
      <c r="S983">
        <v>23.7</v>
      </c>
      <c r="T983">
        <v>28.9</v>
      </c>
      <c r="U983">
        <v>5.3</v>
      </c>
      <c r="V983">
        <v>15.8</v>
      </c>
    </row>
    <row r="984" spans="1:22" x14ac:dyDescent="0.25">
      <c r="A984" t="s">
        <v>2297</v>
      </c>
      <c r="B984" t="s">
        <v>957</v>
      </c>
      <c r="C984">
        <v>11</v>
      </c>
      <c r="D984" t="s">
        <v>79</v>
      </c>
      <c r="E984" t="s">
        <v>96</v>
      </c>
      <c r="F984" t="s">
        <v>78</v>
      </c>
      <c r="G984">
        <v>0.64</v>
      </c>
      <c r="H984" t="s">
        <v>57</v>
      </c>
      <c r="I984">
        <v>8</v>
      </c>
      <c r="J984" t="str">
        <f>HYPERLINK("https://www.eliteprospects.com/player/505704/brody-tallman")</f>
        <v>https://www.eliteprospects.com/player/505704/brody-tallman</v>
      </c>
      <c r="K984" t="s">
        <v>27</v>
      </c>
      <c r="L984" t="s">
        <v>918</v>
      </c>
      <c r="M984" t="s">
        <v>1296</v>
      </c>
      <c r="N984">
        <v>3</v>
      </c>
      <c r="O984" t="s">
        <v>2298</v>
      </c>
      <c r="P984">
        <v>0.08</v>
      </c>
      <c r="Q984" t="s">
        <v>1325</v>
      </c>
      <c r="R984">
        <v>30</v>
      </c>
      <c r="S984">
        <v>25</v>
      </c>
      <c r="T984">
        <v>32.5</v>
      </c>
      <c r="U984">
        <v>5</v>
      </c>
      <c r="V984">
        <v>7.5</v>
      </c>
    </row>
    <row r="985" spans="1:22" x14ac:dyDescent="0.25">
      <c r="A985" t="s">
        <v>2299</v>
      </c>
      <c r="B985" t="s">
        <v>1036</v>
      </c>
      <c r="C985">
        <v>13</v>
      </c>
      <c r="D985" t="s">
        <v>79</v>
      </c>
      <c r="E985" t="s">
        <v>96</v>
      </c>
      <c r="F985" t="s">
        <v>78</v>
      </c>
      <c r="G985">
        <v>0.54</v>
      </c>
      <c r="H985" t="s">
        <v>23</v>
      </c>
      <c r="I985">
        <v>0</v>
      </c>
      <c r="J985" t="str">
        <f>HYPERLINK("https://www.eliteprospects.com/player/351181/rylan-thiessen")</f>
        <v>https://www.eliteprospects.com/player/351181/rylan-thiessen</v>
      </c>
      <c r="K985" t="s">
        <v>27</v>
      </c>
      <c r="L985" t="s">
        <v>918</v>
      </c>
      <c r="M985" t="s">
        <v>1296</v>
      </c>
      <c r="N985">
        <v>6</v>
      </c>
      <c r="O985" t="s">
        <v>927</v>
      </c>
      <c r="P985">
        <v>7.0000000000000007E-2</v>
      </c>
      <c r="Q985" t="s">
        <v>1325</v>
      </c>
      <c r="R985">
        <v>30</v>
      </c>
      <c r="S985">
        <v>25</v>
      </c>
      <c r="T985">
        <v>32.5</v>
      </c>
      <c r="U985">
        <v>5</v>
      </c>
      <c r="V985">
        <v>7.5</v>
      </c>
    </row>
    <row r="986" spans="1:22" x14ac:dyDescent="0.25">
      <c r="A986" t="s">
        <v>2300</v>
      </c>
      <c r="B986" t="s">
        <v>929</v>
      </c>
      <c r="C986">
        <v>14</v>
      </c>
      <c r="D986" t="s">
        <v>79</v>
      </c>
      <c r="E986" t="s">
        <v>96</v>
      </c>
      <c r="F986" t="s">
        <v>78</v>
      </c>
      <c r="G986">
        <v>0.5</v>
      </c>
      <c r="H986" t="s">
        <v>60</v>
      </c>
      <c r="I986">
        <v>14</v>
      </c>
      <c r="J986" t="str">
        <f>HYPERLINK("https://www.eliteprospects.com/player/505195/derek-pys")</f>
        <v>https://www.eliteprospects.com/player/505195/derek-pys</v>
      </c>
      <c r="K986" t="s">
        <v>27</v>
      </c>
      <c r="L986" t="s">
        <v>918</v>
      </c>
      <c r="M986" t="s">
        <v>1296</v>
      </c>
      <c r="N986">
        <v>2</v>
      </c>
      <c r="O986" t="s">
        <v>1076</v>
      </c>
      <c r="P986">
        <v>0.06</v>
      </c>
      <c r="Q986" t="s">
        <v>1325</v>
      </c>
      <c r="R986">
        <v>26.3</v>
      </c>
      <c r="S986">
        <v>23.7</v>
      </c>
      <c r="T986">
        <v>28.9</v>
      </c>
      <c r="U986">
        <v>5.3</v>
      </c>
      <c r="V986">
        <v>15.8</v>
      </c>
    </row>
    <row r="987" spans="1:22" x14ac:dyDescent="0.25">
      <c r="A987" t="s">
        <v>2301</v>
      </c>
      <c r="B987" t="s">
        <v>972</v>
      </c>
      <c r="C987">
        <v>16</v>
      </c>
      <c r="D987" t="s">
        <v>79</v>
      </c>
      <c r="E987" t="s">
        <v>96</v>
      </c>
      <c r="F987" t="s">
        <v>78</v>
      </c>
      <c r="G987">
        <v>0.44</v>
      </c>
      <c r="H987" t="s">
        <v>66</v>
      </c>
      <c r="I987">
        <v>0</v>
      </c>
      <c r="J987" t="str">
        <f>HYPERLINK("https://www.eliteprospects.com/player/564866/jack-cook")</f>
        <v>https://www.eliteprospects.com/player/564866/jack-cook</v>
      </c>
      <c r="K987" t="s">
        <v>27</v>
      </c>
      <c r="L987" t="s">
        <v>918</v>
      </c>
      <c r="M987" t="s">
        <v>1296</v>
      </c>
      <c r="N987">
        <v>1</v>
      </c>
      <c r="O987" t="s">
        <v>984</v>
      </c>
      <c r="P987">
        <v>0.06</v>
      </c>
      <c r="Q987" t="s">
        <v>1325</v>
      </c>
      <c r="R987">
        <v>26.3</v>
      </c>
      <c r="S987">
        <v>23.7</v>
      </c>
      <c r="T987">
        <v>28.9</v>
      </c>
      <c r="U987">
        <v>5.3</v>
      </c>
      <c r="V987">
        <v>15.8</v>
      </c>
    </row>
    <row r="988" spans="1:22" x14ac:dyDescent="0.25">
      <c r="A988" t="s">
        <v>2302</v>
      </c>
      <c r="B988" t="s">
        <v>1038</v>
      </c>
      <c r="C988">
        <v>17</v>
      </c>
      <c r="D988" t="s">
        <v>79</v>
      </c>
      <c r="E988" t="s">
        <v>96</v>
      </c>
      <c r="F988" t="s">
        <v>78</v>
      </c>
      <c r="G988">
        <v>0.41</v>
      </c>
      <c r="H988" t="s">
        <v>26</v>
      </c>
      <c r="I988">
        <v>0</v>
      </c>
      <c r="J988" t="str">
        <f>HYPERLINK("https://www.eliteprospects.com/player/505279/thomas-gangl")</f>
        <v>https://www.eliteprospects.com/player/505279/thomas-gangl</v>
      </c>
      <c r="K988" t="s">
        <v>27</v>
      </c>
      <c r="L988" t="s">
        <v>918</v>
      </c>
      <c r="M988" t="s">
        <v>1296</v>
      </c>
      <c r="N988">
        <v>3</v>
      </c>
      <c r="O988" t="s">
        <v>1039</v>
      </c>
      <c r="P988">
        <v>0.05</v>
      </c>
      <c r="Q988" t="s">
        <v>1325</v>
      </c>
      <c r="R988">
        <v>26.3</v>
      </c>
      <c r="S988">
        <v>23.7</v>
      </c>
      <c r="T988">
        <v>28.9</v>
      </c>
      <c r="U988">
        <v>5.3</v>
      </c>
      <c r="V988">
        <v>15.8</v>
      </c>
    </row>
    <row r="989" spans="1:22" x14ac:dyDescent="0.25">
      <c r="A989" t="s">
        <v>2303</v>
      </c>
      <c r="B989" t="s">
        <v>972</v>
      </c>
      <c r="C989">
        <v>18</v>
      </c>
      <c r="D989" t="s">
        <v>79</v>
      </c>
      <c r="E989" t="s">
        <v>96</v>
      </c>
      <c r="F989" t="s">
        <v>78</v>
      </c>
      <c r="G989">
        <v>0.39</v>
      </c>
      <c r="H989" t="s">
        <v>132</v>
      </c>
      <c r="I989">
        <v>0</v>
      </c>
      <c r="J989" t="str">
        <f>HYPERLINK("https://www.eliteprospects.com/player/582483/wil-murphy")</f>
        <v>https://www.eliteprospects.com/player/582483/wil-murphy</v>
      </c>
      <c r="K989" t="s">
        <v>27</v>
      </c>
      <c r="L989" t="s">
        <v>918</v>
      </c>
      <c r="M989" t="s">
        <v>1296</v>
      </c>
      <c r="N989">
        <v>1</v>
      </c>
      <c r="O989" t="s">
        <v>984</v>
      </c>
      <c r="P989">
        <v>0.05</v>
      </c>
      <c r="Q989" t="s">
        <v>1325</v>
      </c>
      <c r="R989">
        <v>26.3</v>
      </c>
      <c r="S989">
        <v>23.7</v>
      </c>
      <c r="T989">
        <v>28.9</v>
      </c>
      <c r="U989">
        <v>5.3</v>
      </c>
      <c r="V989">
        <v>15.8</v>
      </c>
    </row>
    <row r="990" spans="1:22" x14ac:dyDescent="0.25">
      <c r="A990" t="s">
        <v>2304</v>
      </c>
      <c r="B990" t="s">
        <v>929</v>
      </c>
      <c r="C990">
        <v>20</v>
      </c>
      <c r="D990" t="s">
        <v>79</v>
      </c>
      <c r="E990" t="s">
        <v>96</v>
      </c>
      <c r="F990" t="s">
        <v>78</v>
      </c>
      <c r="G990">
        <v>0.35</v>
      </c>
      <c r="H990" t="s">
        <v>26</v>
      </c>
      <c r="I990">
        <v>9</v>
      </c>
      <c r="J990" t="str">
        <f>HYPERLINK("https://www.eliteprospects.com/player/405927/cole-larkin")</f>
        <v>https://www.eliteprospects.com/player/405927/cole-larkin</v>
      </c>
      <c r="K990" t="s">
        <v>27</v>
      </c>
      <c r="L990" t="s">
        <v>918</v>
      </c>
      <c r="M990" t="s">
        <v>1296</v>
      </c>
      <c r="N990">
        <v>6</v>
      </c>
      <c r="O990" t="s">
        <v>921</v>
      </c>
      <c r="P990">
        <v>0.04</v>
      </c>
      <c r="Q990" t="s">
        <v>245</v>
      </c>
      <c r="R990">
        <v>28.6</v>
      </c>
      <c r="S990">
        <v>31.4</v>
      </c>
      <c r="T990">
        <v>28.6</v>
      </c>
      <c r="U990">
        <v>4.3</v>
      </c>
      <c r="V990">
        <v>7.1</v>
      </c>
    </row>
    <row r="991" spans="1:22" x14ac:dyDescent="0.25">
      <c r="A991" t="s">
        <v>2305</v>
      </c>
      <c r="B991" t="s">
        <v>957</v>
      </c>
      <c r="C991">
        <v>20</v>
      </c>
      <c r="D991" t="s">
        <v>79</v>
      </c>
      <c r="E991" t="s">
        <v>96</v>
      </c>
      <c r="F991" t="s">
        <v>78</v>
      </c>
      <c r="G991">
        <v>0.35</v>
      </c>
      <c r="H991" t="s">
        <v>23</v>
      </c>
      <c r="I991">
        <v>-7</v>
      </c>
      <c r="J991" t="str">
        <f>HYPERLINK("https://www.eliteprospects.com/player/413478/brett-bamber")</f>
        <v>https://www.eliteprospects.com/player/413478/brett-bamber</v>
      </c>
      <c r="K991" t="s">
        <v>27</v>
      </c>
      <c r="L991" t="s">
        <v>918</v>
      </c>
      <c r="M991" t="s">
        <v>1296</v>
      </c>
      <c r="N991">
        <v>4</v>
      </c>
      <c r="O991" t="s">
        <v>1150</v>
      </c>
      <c r="P991">
        <v>0.04</v>
      </c>
      <c r="Q991" t="s">
        <v>245</v>
      </c>
      <c r="R991">
        <v>28.6</v>
      </c>
      <c r="S991">
        <v>31.4</v>
      </c>
      <c r="T991">
        <v>28.6</v>
      </c>
      <c r="U991">
        <v>4.3</v>
      </c>
      <c r="V991">
        <v>7.1</v>
      </c>
    </row>
    <row r="992" spans="1:22" x14ac:dyDescent="0.25">
      <c r="A992" t="s">
        <v>2306</v>
      </c>
      <c r="B992" t="s">
        <v>966</v>
      </c>
      <c r="C992">
        <v>20</v>
      </c>
      <c r="D992" t="s">
        <v>79</v>
      </c>
      <c r="E992" t="s">
        <v>96</v>
      </c>
      <c r="F992" t="s">
        <v>78</v>
      </c>
      <c r="G992">
        <v>0.35</v>
      </c>
      <c r="H992" t="s">
        <v>24</v>
      </c>
      <c r="I992">
        <v>-3</v>
      </c>
      <c r="J992" t="str">
        <f>HYPERLINK("https://www.eliteprospects.com/player/492236/conor-shortall")</f>
        <v>https://www.eliteprospects.com/player/492236/conor-shortall</v>
      </c>
      <c r="K992" t="s">
        <v>27</v>
      </c>
      <c r="L992" t="s">
        <v>918</v>
      </c>
      <c r="M992" t="s">
        <v>1296</v>
      </c>
      <c r="N992">
        <v>5</v>
      </c>
      <c r="O992" t="s">
        <v>930</v>
      </c>
      <c r="P992">
        <v>0.04</v>
      </c>
      <c r="Q992" t="s">
        <v>245</v>
      </c>
      <c r="R992">
        <v>28.6</v>
      </c>
      <c r="S992">
        <v>31.4</v>
      </c>
      <c r="T992">
        <v>28.6</v>
      </c>
      <c r="U992">
        <v>4.3</v>
      </c>
      <c r="V992">
        <v>7.1</v>
      </c>
    </row>
    <row r="993" spans="1:22" x14ac:dyDescent="0.25">
      <c r="A993" t="s">
        <v>2307</v>
      </c>
      <c r="B993" t="s">
        <v>961</v>
      </c>
      <c r="C993">
        <v>12</v>
      </c>
      <c r="D993" t="s">
        <v>260</v>
      </c>
      <c r="E993" t="s">
        <v>57</v>
      </c>
      <c r="F993" t="s">
        <v>78</v>
      </c>
      <c r="G993">
        <v>0.57999999999999996</v>
      </c>
      <c r="H993" t="s">
        <v>125</v>
      </c>
      <c r="I993">
        <v>0</v>
      </c>
      <c r="J993" t="str">
        <f>HYPERLINK("https://www.eliteprospects.com/player/620344/shawn-ramsey")</f>
        <v>https://www.eliteprospects.com/player/620344/shawn-ramsey</v>
      </c>
      <c r="K993" t="s">
        <v>27</v>
      </c>
      <c r="L993" t="s">
        <v>918</v>
      </c>
      <c r="M993" t="s">
        <v>1296</v>
      </c>
      <c r="N993">
        <v>2</v>
      </c>
      <c r="O993" t="s">
        <v>1076</v>
      </c>
      <c r="P993">
        <v>7.0000000000000007E-2</v>
      </c>
      <c r="Q993" t="s">
        <v>1325</v>
      </c>
      <c r="R993">
        <v>30</v>
      </c>
      <c r="S993">
        <v>25</v>
      </c>
      <c r="T993">
        <v>32.5</v>
      </c>
      <c r="U993">
        <v>5</v>
      </c>
      <c r="V993">
        <v>7.5</v>
      </c>
    </row>
    <row r="994" spans="1:22" x14ac:dyDescent="0.25">
      <c r="A994" t="s">
        <v>2308</v>
      </c>
      <c r="B994" t="s">
        <v>954</v>
      </c>
      <c r="C994">
        <v>13</v>
      </c>
      <c r="D994" t="s">
        <v>260</v>
      </c>
      <c r="E994" t="s">
        <v>57</v>
      </c>
      <c r="F994" t="s">
        <v>78</v>
      </c>
      <c r="G994">
        <v>0.54</v>
      </c>
      <c r="H994" t="s">
        <v>23</v>
      </c>
      <c r="I994">
        <v>0</v>
      </c>
      <c r="J994" t="str">
        <f>HYPERLINK("https://www.eliteprospects.com/player/355487/peter-stratis")</f>
        <v>https://www.eliteprospects.com/player/355487/peter-stratis</v>
      </c>
      <c r="K994" t="s">
        <v>27</v>
      </c>
      <c r="L994" t="s">
        <v>918</v>
      </c>
      <c r="M994" t="s">
        <v>1296</v>
      </c>
      <c r="N994">
        <v>5</v>
      </c>
      <c r="O994" t="s">
        <v>955</v>
      </c>
      <c r="P994">
        <v>7.0000000000000007E-2</v>
      </c>
      <c r="Q994" t="s">
        <v>1325</v>
      </c>
      <c r="R994">
        <v>30</v>
      </c>
      <c r="S994">
        <v>25</v>
      </c>
      <c r="T994">
        <v>32.5</v>
      </c>
      <c r="U994">
        <v>5</v>
      </c>
      <c r="V994">
        <v>7.5</v>
      </c>
    </row>
    <row r="995" spans="1:22" x14ac:dyDescent="0.25">
      <c r="A995" t="s">
        <v>2309</v>
      </c>
      <c r="B995" t="s">
        <v>1032</v>
      </c>
      <c r="C995">
        <v>15</v>
      </c>
      <c r="D995" t="s">
        <v>260</v>
      </c>
      <c r="E995" t="s">
        <v>57</v>
      </c>
      <c r="F995" t="s">
        <v>78</v>
      </c>
      <c r="G995">
        <v>0.47</v>
      </c>
      <c r="H995" t="s">
        <v>57</v>
      </c>
      <c r="I995">
        <v>0</v>
      </c>
      <c r="J995" t="str">
        <f>HYPERLINK("https://www.eliteprospects.com/player/342195/brendan-bays")</f>
        <v>https://www.eliteprospects.com/player/342195/brendan-bays</v>
      </c>
      <c r="K995" t="s">
        <v>27</v>
      </c>
      <c r="L995" t="s">
        <v>918</v>
      </c>
      <c r="M995" t="s">
        <v>1296</v>
      </c>
      <c r="N995">
        <v>4</v>
      </c>
      <c r="O995" t="s">
        <v>1192</v>
      </c>
      <c r="P995">
        <v>0.06</v>
      </c>
      <c r="Q995" t="s">
        <v>1325</v>
      </c>
      <c r="R995">
        <v>26.3</v>
      </c>
      <c r="S995">
        <v>23.7</v>
      </c>
      <c r="T995">
        <v>28.9</v>
      </c>
      <c r="U995">
        <v>5.3</v>
      </c>
      <c r="V995">
        <v>15.8</v>
      </c>
    </row>
    <row r="996" spans="1:22" x14ac:dyDescent="0.25">
      <c r="A996" t="s">
        <v>2310</v>
      </c>
      <c r="B996" t="s">
        <v>939</v>
      </c>
      <c r="C996">
        <v>16</v>
      </c>
      <c r="D996" t="s">
        <v>260</v>
      </c>
      <c r="E996" t="s">
        <v>57</v>
      </c>
      <c r="F996" t="s">
        <v>78</v>
      </c>
      <c r="G996">
        <v>0.44</v>
      </c>
      <c r="H996" t="s">
        <v>79</v>
      </c>
      <c r="I996">
        <v>12</v>
      </c>
      <c r="J996" t="str">
        <f>HYPERLINK("https://www.eliteprospects.com/player/486494/logan-bairos")</f>
        <v>https://www.eliteprospects.com/player/486494/logan-bairos</v>
      </c>
      <c r="K996" t="s">
        <v>27</v>
      </c>
      <c r="L996" t="s">
        <v>918</v>
      </c>
      <c r="M996" t="s">
        <v>1296</v>
      </c>
      <c r="N996">
        <v>6</v>
      </c>
      <c r="O996" t="s">
        <v>950</v>
      </c>
      <c r="P996">
        <v>0.06</v>
      </c>
      <c r="Q996" t="s">
        <v>1325</v>
      </c>
      <c r="R996">
        <v>26.3</v>
      </c>
      <c r="S996">
        <v>23.7</v>
      </c>
      <c r="T996">
        <v>28.9</v>
      </c>
      <c r="U996">
        <v>5.3</v>
      </c>
      <c r="V996">
        <v>15.8</v>
      </c>
    </row>
    <row r="997" spans="1:22" x14ac:dyDescent="0.25">
      <c r="A997" t="s">
        <v>2311</v>
      </c>
      <c r="B997" t="s">
        <v>944</v>
      </c>
      <c r="C997">
        <v>18</v>
      </c>
      <c r="D997" t="s">
        <v>260</v>
      </c>
      <c r="E997" t="s">
        <v>57</v>
      </c>
      <c r="F997" t="s">
        <v>78</v>
      </c>
      <c r="G997">
        <v>0.39</v>
      </c>
      <c r="H997" t="s">
        <v>55</v>
      </c>
      <c r="I997">
        <v>4</v>
      </c>
      <c r="J997" t="str">
        <f>HYPERLINK("https://www.eliteprospects.com/player/559042/simon-maltais")</f>
        <v>https://www.eliteprospects.com/player/559042/simon-maltais</v>
      </c>
      <c r="K997" t="s">
        <v>27</v>
      </c>
      <c r="L997" t="s">
        <v>918</v>
      </c>
      <c r="M997" t="s">
        <v>1296</v>
      </c>
      <c r="N997">
        <v>5</v>
      </c>
      <c r="O997" t="s">
        <v>930</v>
      </c>
      <c r="P997">
        <v>0.05</v>
      </c>
      <c r="Q997" t="s">
        <v>1325</v>
      </c>
      <c r="R997">
        <v>26.3</v>
      </c>
      <c r="S997">
        <v>23.7</v>
      </c>
      <c r="T997">
        <v>28.9</v>
      </c>
      <c r="U997">
        <v>5.3</v>
      </c>
      <c r="V997">
        <v>15.8</v>
      </c>
    </row>
    <row r="998" spans="1:22" x14ac:dyDescent="0.25">
      <c r="A998" t="s">
        <v>2312</v>
      </c>
      <c r="B998" t="s">
        <v>1003</v>
      </c>
      <c r="C998">
        <v>18</v>
      </c>
      <c r="D998" t="s">
        <v>260</v>
      </c>
      <c r="E998" t="s">
        <v>57</v>
      </c>
      <c r="F998" t="s">
        <v>78</v>
      </c>
      <c r="G998">
        <v>0.39</v>
      </c>
      <c r="H998" t="s">
        <v>178</v>
      </c>
      <c r="I998">
        <v>0</v>
      </c>
      <c r="J998" t="str">
        <f>HYPERLINK("https://www.eliteprospects.com/player/295309/jeremy-michaud")</f>
        <v>https://www.eliteprospects.com/player/295309/jeremy-michaud</v>
      </c>
      <c r="K998" t="s">
        <v>27</v>
      </c>
      <c r="L998" t="s">
        <v>918</v>
      </c>
      <c r="M998" t="s">
        <v>1296</v>
      </c>
      <c r="N998">
        <v>6</v>
      </c>
      <c r="O998" t="s">
        <v>937</v>
      </c>
      <c r="P998">
        <v>0.05</v>
      </c>
      <c r="Q998" t="s">
        <v>1325</v>
      </c>
      <c r="R998">
        <v>26.3</v>
      </c>
      <c r="S998">
        <v>23.7</v>
      </c>
      <c r="T998">
        <v>28.9</v>
      </c>
      <c r="U998">
        <v>5.3</v>
      </c>
      <c r="V998">
        <v>15.8</v>
      </c>
    </row>
    <row r="999" spans="1:22" x14ac:dyDescent="0.25">
      <c r="A999" t="s">
        <v>2313</v>
      </c>
      <c r="B999" t="s">
        <v>990</v>
      </c>
      <c r="C999">
        <v>19</v>
      </c>
      <c r="D999" t="s">
        <v>260</v>
      </c>
      <c r="E999" t="s">
        <v>57</v>
      </c>
      <c r="F999" t="s">
        <v>78</v>
      </c>
      <c r="G999">
        <v>0.37</v>
      </c>
      <c r="H999" t="s">
        <v>125</v>
      </c>
      <c r="I999">
        <v>0</v>
      </c>
      <c r="J999" t="str">
        <f>HYPERLINK("https://www.eliteprospects.com/player/413014/loris-rafanomezantsoa")</f>
        <v>https://www.eliteprospects.com/player/413014/loris-rafanomezantsoa</v>
      </c>
      <c r="K999" t="s">
        <v>27</v>
      </c>
      <c r="L999" t="s">
        <v>918</v>
      </c>
      <c r="M999" t="s">
        <v>1296</v>
      </c>
      <c r="N999">
        <v>6</v>
      </c>
      <c r="O999" t="s">
        <v>921</v>
      </c>
      <c r="P999">
        <v>0.05</v>
      </c>
      <c r="Q999" t="s">
        <v>1325</v>
      </c>
      <c r="R999">
        <v>26.3</v>
      </c>
      <c r="S999">
        <v>23.7</v>
      </c>
      <c r="T999">
        <v>28.9</v>
      </c>
      <c r="U999">
        <v>5.3</v>
      </c>
      <c r="V999">
        <v>15.8</v>
      </c>
    </row>
    <row r="1000" spans="1:22" x14ac:dyDescent="0.25">
      <c r="A1000" t="s">
        <v>2314</v>
      </c>
      <c r="B1000" t="s">
        <v>1020</v>
      </c>
      <c r="C1000">
        <v>20</v>
      </c>
      <c r="D1000" t="s">
        <v>260</v>
      </c>
      <c r="E1000" t="s">
        <v>57</v>
      </c>
      <c r="F1000" t="s">
        <v>78</v>
      </c>
      <c r="G1000">
        <v>0.35</v>
      </c>
      <c r="H1000" t="s">
        <v>32</v>
      </c>
      <c r="I1000">
        <v>-21</v>
      </c>
      <c r="J1000" t="str">
        <f>HYPERLINK("https://www.eliteprospects.com/player/580567/zack-whittaker")</f>
        <v>https://www.eliteprospects.com/player/580567/zack-whittaker</v>
      </c>
      <c r="K1000" t="s">
        <v>27</v>
      </c>
      <c r="L1000" t="s">
        <v>918</v>
      </c>
      <c r="M1000" t="s">
        <v>1296</v>
      </c>
      <c r="N1000">
        <v>1</v>
      </c>
      <c r="O1000" t="s">
        <v>984</v>
      </c>
      <c r="P1000">
        <v>0.04</v>
      </c>
      <c r="Q1000" t="s">
        <v>245</v>
      </c>
      <c r="R1000">
        <v>28.6</v>
      </c>
      <c r="S1000">
        <v>31.4</v>
      </c>
      <c r="T1000">
        <v>28.6</v>
      </c>
      <c r="U1000">
        <v>4.3</v>
      </c>
      <c r="V1000">
        <v>7.1</v>
      </c>
    </row>
    <row r="1001" spans="1:22" x14ac:dyDescent="0.25">
      <c r="A1001" t="s">
        <v>2315</v>
      </c>
      <c r="B1001" t="s">
        <v>939</v>
      </c>
      <c r="C1001">
        <v>12</v>
      </c>
      <c r="D1001" t="s">
        <v>132</v>
      </c>
      <c r="E1001" t="s">
        <v>78</v>
      </c>
      <c r="F1001" t="s">
        <v>78</v>
      </c>
      <c r="G1001">
        <v>0.57999999999999996</v>
      </c>
      <c r="H1001" t="s">
        <v>23</v>
      </c>
      <c r="I1001">
        <v>16</v>
      </c>
      <c r="J1001" t="str">
        <f>HYPERLINK("https://www.eliteprospects.com/player/571045/ben-saunderson")</f>
        <v>https://www.eliteprospects.com/player/571045/ben-saunderson</v>
      </c>
      <c r="K1001" t="s">
        <v>27</v>
      </c>
      <c r="L1001" t="s">
        <v>918</v>
      </c>
      <c r="M1001" t="s">
        <v>1296</v>
      </c>
      <c r="N1001">
        <v>6</v>
      </c>
      <c r="O1001" t="s">
        <v>950</v>
      </c>
      <c r="P1001">
        <v>7.0000000000000007E-2</v>
      </c>
      <c r="Q1001" t="s">
        <v>1325</v>
      </c>
      <c r="R1001">
        <v>30</v>
      </c>
      <c r="S1001">
        <v>25</v>
      </c>
      <c r="T1001">
        <v>32.5</v>
      </c>
      <c r="U1001">
        <v>5</v>
      </c>
      <c r="V1001">
        <v>7.5</v>
      </c>
    </row>
    <row r="1002" spans="1:22" x14ac:dyDescent="0.25">
      <c r="A1002" t="s">
        <v>2316</v>
      </c>
      <c r="B1002" t="s">
        <v>947</v>
      </c>
      <c r="C1002">
        <v>16</v>
      </c>
      <c r="D1002" t="s">
        <v>132</v>
      </c>
      <c r="E1002" t="s">
        <v>78</v>
      </c>
      <c r="F1002" t="s">
        <v>78</v>
      </c>
      <c r="G1002">
        <v>0.44</v>
      </c>
      <c r="H1002" t="s">
        <v>38</v>
      </c>
      <c r="I1002">
        <v>0</v>
      </c>
      <c r="J1002" t="str">
        <f>HYPERLINK("https://www.eliteprospects.com/player/418525/duncan-penman")</f>
        <v>https://www.eliteprospects.com/player/418525/duncan-penman</v>
      </c>
      <c r="K1002" t="s">
        <v>27</v>
      </c>
      <c r="L1002" t="s">
        <v>918</v>
      </c>
      <c r="M1002" t="s">
        <v>1296</v>
      </c>
      <c r="N1002">
        <v>5</v>
      </c>
      <c r="O1002" t="s">
        <v>955</v>
      </c>
      <c r="P1002">
        <v>0.06</v>
      </c>
      <c r="Q1002" t="s">
        <v>1325</v>
      </c>
      <c r="R1002">
        <v>26.3</v>
      </c>
      <c r="S1002">
        <v>23.7</v>
      </c>
      <c r="T1002">
        <v>28.9</v>
      </c>
      <c r="U1002">
        <v>5.3</v>
      </c>
      <c r="V1002">
        <v>15.8</v>
      </c>
    </row>
    <row r="1003" spans="1:22" x14ac:dyDescent="0.25">
      <c r="A1003" t="s">
        <v>2317</v>
      </c>
      <c r="B1003" t="s">
        <v>986</v>
      </c>
      <c r="C1003">
        <v>18</v>
      </c>
      <c r="D1003" t="s">
        <v>132</v>
      </c>
      <c r="E1003" t="s">
        <v>78</v>
      </c>
      <c r="F1003" t="s">
        <v>78</v>
      </c>
      <c r="G1003">
        <v>0.39</v>
      </c>
      <c r="H1003" t="s">
        <v>79</v>
      </c>
      <c r="I1003">
        <v>0</v>
      </c>
      <c r="J1003" t="str">
        <f>HYPERLINK("https://www.eliteprospects.com/player/475244/josh-kavanagh")</f>
        <v>https://www.eliteprospects.com/player/475244/josh-kavanagh</v>
      </c>
      <c r="K1003" t="s">
        <v>27</v>
      </c>
      <c r="L1003" t="s">
        <v>918</v>
      </c>
      <c r="M1003" t="s">
        <v>1296</v>
      </c>
      <c r="N1003">
        <v>5</v>
      </c>
      <c r="O1003" t="s">
        <v>1008</v>
      </c>
      <c r="P1003">
        <v>0.05</v>
      </c>
      <c r="Q1003" t="s">
        <v>1325</v>
      </c>
      <c r="R1003">
        <v>26.3</v>
      </c>
      <c r="S1003">
        <v>23.7</v>
      </c>
      <c r="T1003">
        <v>28.9</v>
      </c>
      <c r="U1003">
        <v>5.3</v>
      </c>
      <c r="V1003">
        <v>15.8</v>
      </c>
    </row>
    <row r="1004" spans="1:22" x14ac:dyDescent="0.25">
      <c r="A1004" t="s">
        <v>2318</v>
      </c>
      <c r="B1004" t="s">
        <v>1084</v>
      </c>
      <c r="C1004">
        <v>19</v>
      </c>
      <c r="D1004" t="s">
        <v>132</v>
      </c>
      <c r="E1004" t="s">
        <v>78</v>
      </c>
      <c r="F1004" t="s">
        <v>78</v>
      </c>
      <c r="G1004">
        <v>0.37</v>
      </c>
      <c r="H1004" t="s">
        <v>66</v>
      </c>
      <c r="I1004">
        <v>0</v>
      </c>
      <c r="J1004" t="str">
        <f>HYPERLINK("https://www.eliteprospects.com/player/201793/dell-welton")</f>
        <v>https://www.eliteprospects.com/player/201793/dell-welton</v>
      </c>
      <c r="K1004" t="s">
        <v>27</v>
      </c>
      <c r="L1004" t="s">
        <v>918</v>
      </c>
      <c r="M1004" t="s">
        <v>1296</v>
      </c>
      <c r="N1004">
        <v>3</v>
      </c>
      <c r="O1004" t="s">
        <v>1160</v>
      </c>
      <c r="P1004">
        <v>0.05</v>
      </c>
      <c r="Q1004" t="s">
        <v>1325</v>
      </c>
      <c r="R1004">
        <v>26.3</v>
      </c>
      <c r="S1004">
        <v>23.7</v>
      </c>
      <c r="T1004">
        <v>28.9</v>
      </c>
      <c r="U1004">
        <v>5.3</v>
      </c>
      <c r="V1004">
        <v>15.8</v>
      </c>
    </row>
    <row r="1005" spans="1:22" x14ac:dyDescent="0.25">
      <c r="A1005" t="s">
        <v>2319</v>
      </c>
      <c r="B1005" t="s">
        <v>990</v>
      </c>
      <c r="C1005">
        <v>19</v>
      </c>
      <c r="D1005" t="s">
        <v>132</v>
      </c>
      <c r="E1005" t="s">
        <v>78</v>
      </c>
      <c r="F1005" t="s">
        <v>78</v>
      </c>
      <c r="G1005">
        <v>0.37</v>
      </c>
      <c r="H1005" t="s">
        <v>57</v>
      </c>
      <c r="I1005">
        <v>0</v>
      </c>
      <c r="J1005" t="str">
        <f>HYPERLINK("https://www.eliteprospects.com/player/677987/christophe-rondeau")</f>
        <v>https://www.eliteprospects.com/player/677987/christophe-rondeau</v>
      </c>
      <c r="K1005" t="s">
        <v>27</v>
      </c>
      <c r="L1005" t="s">
        <v>918</v>
      </c>
      <c r="M1005" t="s">
        <v>1296</v>
      </c>
      <c r="N1005">
        <v>5</v>
      </c>
      <c r="O1005" t="s">
        <v>930</v>
      </c>
      <c r="P1005">
        <v>0.05</v>
      </c>
      <c r="Q1005" t="s">
        <v>1325</v>
      </c>
      <c r="R1005">
        <v>26.3</v>
      </c>
      <c r="S1005">
        <v>23.7</v>
      </c>
      <c r="T1005">
        <v>28.9</v>
      </c>
      <c r="U1005">
        <v>5.3</v>
      </c>
      <c r="V1005">
        <v>15.8</v>
      </c>
    </row>
    <row r="1006" spans="1:22" x14ac:dyDescent="0.25">
      <c r="A1006" t="s">
        <v>2320</v>
      </c>
      <c r="B1006" t="s">
        <v>1005</v>
      </c>
      <c r="C1006">
        <v>18</v>
      </c>
      <c r="D1006" t="s">
        <v>66</v>
      </c>
      <c r="E1006" t="s">
        <v>79</v>
      </c>
      <c r="F1006" t="s">
        <v>57</v>
      </c>
      <c r="G1006">
        <v>0.33</v>
      </c>
      <c r="H1006" t="s">
        <v>40</v>
      </c>
      <c r="I1006">
        <v>0</v>
      </c>
      <c r="J1006" t="str">
        <f>HYPERLINK("https://www.eliteprospects.com/player/294744/braeden-virtue")</f>
        <v>https://www.eliteprospects.com/player/294744/braeden-virtue</v>
      </c>
      <c r="K1006" t="s">
        <v>27</v>
      </c>
      <c r="L1006" t="s">
        <v>918</v>
      </c>
      <c r="M1006" t="s">
        <v>1296</v>
      </c>
      <c r="N1006">
        <v>5</v>
      </c>
      <c r="O1006" t="s">
        <v>973</v>
      </c>
      <c r="P1006">
        <v>0.04</v>
      </c>
      <c r="Q1006" t="s">
        <v>245</v>
      </c>
      <c r="R1006">
        <v>28.6</v>
      </c>
      <c r="S1006">
        <v>31.4</v>
      </c>
      <c r="T1006">
        <v>28.6</v>
      </c>
      <c r="U1006">
        <v>4.3</v>
      </c>
      <c r="V1006">
        <v>7.1</v>
      </c>
    </row>
    <row r="1007" spans="1:22" x14ac:dyDescent="0.25">
      <c r="A1007" t="s">
        <v>2321</v>
      </c>
      <c r="B1007" t="s">
        <v>966</v>
      </c>
      <c r="C1007">
        <v>18</v>
      </c>
      <c r="D1007" t="s">
        <v>140</v>
      </c>
      <c r="E1007" t="s">
        <v>140</v>
      </c>
      <c r="F1007" t="s">
        <v>57</v>
      </c>
      <c r="G1007">
        <v>0.33</v>
      </c>
      <c r="H1007" t="s">
        <v>53</v>
      </c>
      <c r="I1007">
        <v>3</v>
      </c>
      <c r="J1007" t="str">
        <f>HYPERLINK("https://www.eliteprospects.com/player/475175/keagan-slaney")</f>
        <v>https://www.eliteprospects.com/player/475175/keagan-slaney</v>
      </c>
      <c r="K1007" t="s">
        <v>27</v>
      </c>
      <c r="L1007" t="s">
        <v>918</v>
      </c>
      <c r="M1007" t="s">
        <v>1296</v>
      </c>
      <c r="N1007">
        <v>6</v>
      </c>
      <c r="O1007" t="s">
        <v>950</v>
      </c>
      <c r="P1007">
        <v>0.04</v>
      </c>
      <c r="Q1007" t="s">
        <v>245</v>
      </c>
      <c r="R1007">
        <v>28.6</v>
      </c>
      <c r="S1007">
        <v>31.4</v>
      </c>
      <c r="T1007">
        <v>28.6</v>
      </c>
      <c r="U1007">
        <v>4.3</v>
      </c>
      <c r="V1007">
        <v>7.1</v>
      </c>
    </row>
    <row r="1008" spans="1:22" x14ac:dyDescent="0.25">
      <c r="A1008" t="s">
        <v>2322</v>
      </c>
      <c r="B1008" t="s">
        <v>931</v>
      </c>
      <c r="C1008">
        <v>14</v>
      </c>
      <c r="D1008" t="s">
        <v>79</v>
      </c>
      <c r="E1008" t="s">
        <v>66</v>
      </c>
      <c r="F1008" t="s">
        <v>57</v>
      </c>
      <c r="G1008">
        <v>0.43</v>
      </c>
      <c r="H1008" t="s">
        <v>32</v>
      </c>
      <c r="I1008">
        <v>11</v>
      </c>
      <c r="J1008" t="str">
        <f>HYPERLINK("https://www.eliteprospects.com/player/581035/layton-feist")</f>
        <v>https://www.eliteprospects.com/player/581035/layton-feist</v>
      </c>
      <c r="K1008" t="s">
        <v>27</v>
      </c>
      <c r="L1008" t="s">
        <v>918</v>
      </c>
      <c r="M1008" t="s">
        <v>1296</v>
      </c>
      <c r="N1008">
        <v>7</v>
      </c>
      <c r="O1008" t="s">
        <v>2263</v>
      </c>
      <c r="P1008">
        <v>0.05</v>
      </c>
      <c r="Q1008" t="s">
        <v>1325</v>
      </c>
      <c r="R1008">
        <v>26.3</v>
      </c>
      <c r="S1008">
        <v>23.7</v>
      </c>
      <c r="T1008">
        <v>28.9</v>
      </c>
      <c r="U1008">
        <v>5.3</v>
      </c>
      <c r="V1008">
        <v>15.8</v>
      </c>
    </row>
    <row r="1009" spans="1:22" x14ac:dyDescent="0.25">
      <c r="A1009" t="s">
        <v>2323</v>
      </c>
      <c r="B1009" t="s">
        <v>998</v>
      </c>
      <c r="C1009">
        <v>18</v>
      </c>
      <c r="D1009" t="s">
        <v>79</v>
      </c>
      <c r="E1009" t="s">
        <v>66</v>
      </c>
      <c r="F1009" t="s">
        <v>57</v>
      </c>
      <c r="G1009">
        <v>0.33</v>
      </c>
      <c r="H1009" t="s">
        <v>23</v>
      </c>
      <c r="I1009">
        <v>0</v>
      </c>
      <c r="J1009" t="str">
        <f>HYPERLINK("https://www.eliteprospects.com/player/418686/lucas-peric")</f>
        <v>https://www.eliteprospects.com/player/418686/lucas-peric</v>
      </c>
      <c r="K1009" t="s">
        <v>27</v>
      </c>
      <c r="L1009" t="s">
        <v>918</v>
      </c>
      <c r="M1009" t="s">
        <v>1296</v>
      </c>
      <c r="N1009">
        <v>5</v>
      </c>
      <c r="O1009" t="s">
        <v>935</v>
      </c>
      <c r="P1009">
        <v>0.04</v>
      </c>
      <c r="Q1009" t="s">
        <v>245</v>
      </c>
      <c r="R1009">
        <v>28.6</v>
      </c>
      <c r="S1009">
        <v>31.4</v>
      </c>
      <c r="T1009">
        <v>28.6</v>
      </c>
      <c r="U1009">
        <v>4.3</v>
      </c>
      <c r="V1009">
        <v>7.1</v>
      </c>
    </row>
    <row r="1010" spans="1:22" x14ac:dyDescent="0.25">
      <c r="A1010" t="s">
        <v>2324</v>
      </c>
      <c r="B1010" t="s">
        <v>977</v>
      </c>
      <c r="C1010">
        <v>17</v>
      </c>
      <c r="D1010" t="s">
        <v>260</v>
      </c>
      <c r="E1010" t="s">
        <v>96</v>
      </c>
      <c r="F1010" t="s">
        <v>57</v>
      </c>
      <c r="G1010">
        <v>0.35</v>
      </c>
      <c r="H1010" t="s">
        <v>39</v>
      </c>
      <c r="I1010">
        <v>0</v>
      </c>
      <c r="J1010" t="str">
        <f>HYPERLINK("https://www.eliteprospects.com/player/702140/noah-szabo")</f>
        <v>https://www.eliteprospects.com/player/702140/noah-szabo</v>
      </c>
      <c r="K1010" t="s">
        <v>27</v>
      </c>
      <c r="L1010" t="s">
        <v>918</v>
      </c>
      <c r="M1010" t="s">
        <v>1296</v>
      </c>
      <c r="N1010">
        <v>1</v>
      </c>
      <c r="O1010" t="s">
        <v>984</v>
      </c>
      <c r="P1010">
        <v>0.04</v>
      </c>
      <c r="Q1010" t="s">
        <v>245</v>
      </c>
      <c r="R1010">
        <v>28.6</v>
      </c>
      <c r="S1010">
        <v>31.4</v>
      </c>
      <c r="T1010">
        <v>28.6</v>
      </c>
      <c r="U1010">
        <v>4.3</v>
      </c>
      <c r="V1010">
        <v>7.1</v>
      </c>
    </row>
    <row r="1011" spans="1:22" x14ac:dyDescent="0.25">
      <c r="A1011" t="s">
        <v>2325</v>
      </c>
      <c r="B1011" t="s">
        <v>1003</v>
      </c>
      <c r="C1011">
        <v>18</v>
      </c>
      <c r="D1011" t="s">
        <v>260</v>
      </c>
      <c r="E1011" t="s">
        <v>96</v>
      </c>
      <c r="F1011" t="s">
        <v>57</v>
      </c>
      <c r="G1011">
        <v>0.33</v>
      </c>
      <c r="H1011" t="s">
        <v>79</v>
      </c>
      <c r="I1011">
        <v>0</v>
      </c>
      <c r="J1011" t="str">
        <f>HYPERLINK("https://www.eliteprospects.com/player/201790/ben-roode")</f>
        <v>https://www.eliteprospects.com/player/201790/ben-roode</v>
      </c>
      <c r="K1011" t="s">
        <v>27</v>
      </c>
      <c r="L1011" t="s">
        <v>918</v>
      </c>
      <c r="M1011" t="s">
        <v>1296</v>
      </c>
      <c r="N1011">
        <v>4</v>
      </c>
      <c r="O1011" t="s">
        <v>1192</v>
      </c>
      <c r="P1011">
        <v>0.04</v>
      </c>
      <c r="Q1011" t="s">
        <v>245</v>
      </c>
      <c r="R1011">
        <v>28.6</v>
      </c>
      <c r="S1011">
        <v>31.4</v>
      </c>
      <c r="T1011">
        <v>28.6</v>
      </c>
      <c r="U1011">
        <v>4.3</v>
      </c>
      <c r="V1011">
        <v>7.1</v>
      </c>
    </row>
    <row r="1012" spans="1:22" x14ac:dyDescent="0.25">
      <c r="A1012" t="s">
        <v>2326</v>
      </c>
      <c r="B1012" t="s">
        <v>931</v>
      </c>
      <c r="C1012">
        <v>18</v>
      </c>
      <c r="D1012" t="s">
        <v>260</v>
      </c>
      <c r="E1012" t="s">
        <v>96</v>
      </c>
      <c r="F1012" t="s">
        <v>57</v>
      </c>
      <c r="G1012">
        <v>0.33</v>
      </c>
      <c r="H1012" t="s">
        <v>66</v>
      </c>
      <c r="I1012">
        <v>11</v>
      </c>
      <c r="J1012" t="str">
        <f>HYPERLINK("https://www.eliteprospects.com/player/561395/tanner-komzak")</f>
        <v>https://www.eliteprospects.com/player/561395/tanner-komzak</v>
      </c>
      <c r="K1012" t="s">
        <v>27</v>
      </c>
      <c r="L1012" t="s">
        <v>918</v>
      </c>
      <c r="M1012" t="s">
        <v>1296</v>
      </c>
      <c r="N1012">
        <v>3</v>
      </c>
      <c r="O1012" t="s">
        <v>1039</v>
      </c>
      <c r="P1012">
        <v>0.04</v>
      </c>
      <c r="Q1012" t="s">
        <v>245</v>
      </c>
      <c r="R1012">
        <v>28.6</v>
      </c>
      <c r="S1012">
        <v>31.4</v>
      </c>
      <c r="T1012">
        <v>28.6</v>
      </c>
      <c r="U1012">
        <v>4.3</v>
      </c>
      <c r="V1012">
        <v>7.1</v>
      </c>
    </row>
    <row r="1013" spans="1:22" x14ac:dyDescent="0.25">
      <c r="A1013" t="s">
        <v>2327</v>
      </c>
      <c r="B1013" t="s">
        <v>954</v>
      </c>
      <c r="C1013">
        <v>15</v>
      </c>
      <c r="D1013" t="s">
        <v>132</v>
      </c>
      <c r="E1013" t="s">
        <v>57</v>
      </c>
      <c r="F1013" t="s">
        <v>57</v>
      </c>
      <c r="G1013">
        <v>0.4</v>
      </c>
      <c r="H1013" t="s">
        <v>39</v>
      </c>
      <c r="I1013">
        <v>0</v>
      </c>
      <c r="J1013" t="str">
        <f>HYPERLINK("https://www.eliteprospects.com/player/485318/vincent-maisonneuve")</f>
        <v>https://www.eliteprospects.com/player/485318/vincent-maisonneuve</v>
      </c>
      <c r="K1013" t="s">
        <v>27</v>
      </c>
      <c r="L1013" t="s">
        <v>918</v>
      </c>
      <c r="M1013" t="s">
        <v>1296</v>
      </c>
      <c r="N1013">
        <v>5</v>
      </c>
      <c r="O1013" t="s">
        <v>1094</v>
      </c>
      <c r="P1013">
        <v>0.05</v>
      </c>
      <c r="Q1013" t="s">
        <v>1325</v>
      </c>
      <c r="R1013">
        <v>26.3</v>
      </c>
      <c r="S1013">
        <v>23.7</v>
      </c>
      <c r="T1013">
        <v>28.9</v>
      </c>
      <c r="U1013">
        <v>5.3</v>
      </c>
      <c r="V1013">
        <v>15.8</v>
      </c>
    </row>
    <row r="1014" spans="1:22" x14ac:dyDescent="0.25">
      <c r="A1014" t="s">
        <v>2328</v>
      </c>
      <c r="B1014" t="s">
        <v>998</v>
      </c>
      <c r="C1014">
        <v>16</v>
      </c>
      <c r="D1014" t="s">
        <v>132</v>
      </c>
      <c r="E1014" t="s">
        <v>57</v>
      </c>
      <c r="F1014" t="s">
        <v>57</v>
      </c>
      <c r="G1014">
        <v>0.38</v>
      </c>
      <c r="H1014" t="s">
        <v>132</v>
      </c>
      <c r="I1014">
        <v>0</v>
      </c>
      <c r="J1014" t="str">
        <f>HYPERLINK("https://www.eliteprospects.com/player/503291/ian-lemieux")</f>
        <v>https://www.eliteprospects.com/player/503291/ian-lemieux</v>
      </c>
      <c r="K1014" t="s">
        <v>27</v>
      </c>
      <c r="L1014" t="s">
        <v>918</v>
      </c>
      <c r="M1014" t="s">
        <v>1296</v>
      </c>
      <c r="N1014">
        <v>6</v>
      </c>
      <c r="O1014" t="s">
        <v>995</v>
      </c>
      <c r="P1014">
        <v>0.05</v>
      </c>
      <c r="Q1014" t="s">
        <v>1325</v>
      </c>
      <c r="R1014">
        <v>26.3</v>
      </c>
      <c r="S1014">
        <v>23.7</v>
      </c>
      <c r="T1014">
        <v>28.9</v>
      </c>
      <c r="U1014">
        <v>5.3</v>
      </c>
      <c r="V1014">
        <v>15.8</v>
      </c>
    </row>
    <row r="1015" spans="1:22" x14ac:dyDescent="0.25">
      <c r="A1015" t="s">
        <v>2329</v>
      </c>
      <c r="B1015" t="s">
        <v>1036</v>
      </c>
      <c r="C1015">
        <v>16</v>
      </c>
      <c r="D1015" t="s">
        <v>132</v>
      </c>
      <c r="E1015" t="s">
        <v>57</v>
      </c>
      <c r="F1015" t="s">
        <v>57</v>
      </c>
      <c r="G1015">
        <v>0.38</v>
      </c>
      <c r="H1015" t="s">
        <v>57</v>
      </c>
      <c r="I1015">
        <v>0</v>
      </c>
      <c r="J1015" t="str">
        <f>HYPERLINK("https://www.eliteprospects.com/player/573654/nathan-drapeau")</f>
        <v>https://www.eliteprospects.com/player/573654/nathan-drapeau</v>
      </c>
      <c r="K1015" t="s">
        <v>27</v>
      </c>
      <c r="L1015" t="s">
        <v>918</v>
      </c>
      <c r="M1015" t="s">
        <v>1296</v>
      </c>
      <c r="N1015">
        <v>6</v>
      </c>
      <c r="O1015" t="s">
        <v>968</v>
      </c>
      <c r="P1015">
        <v>0.05</v>
      </c>
      <c r="Q1015" t="s">
        <v>1325</v>
      </c>
      <c r="R1015">
        <v>26.3</v>
      </c>
      <c r="S1015">
        <v>23.7</v>
      </c>
      <c r="T1015">
        <v>28.9</v>
      </c>
      <c r="U1015">
        <v>5.3</v>
      </c>
      <c r="V1015">
        <v>15.8</v>
      </c>
    </row>
    <row r="1016" spans="1:22" x14ac:dyDescent="0.25">
      <c r="A1016" t="s">
        <v>2330</v>
      </c>
      <c r="B1016" t="s">
        <v>986</v>
      </c>
      <c r="C1016">
        <v>18</v>
      </c>
      <c r="D1016" t="s">
        <v>132</v>
      </c>
      <c r="E1016" t="s">
        <v>57</v>
      </c>
      <c r="F1016" t="s">
        <v>57</v>
      </c>
      <c r="G1016">
        <v>0.33</v>
      </c>
      <c r="H1016" t="s">
        <v>32</v>
      </c>
      <c r="I1016">
        <v>0</v>
      </c>
      <c r="J1016" t="str">
        <f>HYPERLINK("https://www.eliteprospects.com/player/651851/callum-chisholm")</f>
        <v>https://www.eliteprospects.com/player/651851/callum-chisholm</v>
      </c>
      <c r="K1016" t="s">
        <v>27</v>
      </c>
      <c r="L1016" t="s">
        <v>918</v>
      </c>
      <c r="M1016" t="s">
        <v>1417</v>
      </c>
      <c r="N1016">
        <v>4</v>
      </c>
      <c r="O1016" t="s">
        <v>1257</v>
      </c>
      <c r="P1016">
        <v>0.04</v>
      </c>
      <c r="Q1016" t="s">
        <v>245</v>
      </c>
      <c r="R1016">
        <v>28.6</v>
      </c>
      <c r="S1016">
        <v>31.4</v>
      </c>
      <c r="T1016">
        <v>28.6</v>
      </c>
      <c r="U1016">
        <v>4.3</v>
      </c>
      <c r="V1016">
        <v>7.1</v>
      </c>
    </row>
    <row r="1017" spans="1:22" x14ac:dyDescent="0.25">
      <c r="A1017" t="s">
        <v>2331</v>
      </c>
      <c r="B1017" t="s">
        <v>1032</v>
      </c>
      <c r="C1017">
        <v>18</v>
      </c>
      <c r="D1017" t="s">
        <v>132</v>
      </c>
      <c r="E1017" t="s">
        <v>57</v>
      </c>
      <c r="F1017" t="s">
        <v>57</v>
      </c>
      <c r="G1017">
        <v>0.33</v>
      </c>
      <c r="H1017" t="s">
        <v>53</v>
      </c>
      <c r="I1017">
        <v>0</v>
      </c>
      <c r="J1017" t="str">
        <f>HYPERLINK("https://www.eliteprospects.com/player/614365/owen-wilson")</f>
        <v>https://www.eliteprospects.com/player/614365/owen-wilson</v>
      </c>
      <c r="K1017" t="s">
        <v>27</v>
      </c>
      <c r="L1017" t="s">
        <v>918</v>
      </c>
      <c r="M1017" t="s">
        <v>1296</v>
      </c>
      <c r="N1017">
        <v>1</v>
      </c>
      <c r="O1017" t="s">
        <v>984</v>
      </c>
      <c r="P1017">
        <v>0.04</v>
      </c>
      <c r="Q1017" t="s">
        <v>245</v>
      </c>
      <c r="R1017">
        <v>28.6</v>
      </c>
      <c r="S1017">
        <v>31.4</v>
      </c>
      <c r="T1017">
        <v>28.6</v>
      </c>
      <c r="U1017">
        <v>4.3</v>
      </c>
      <c r="V1017">
        <v>7.1</v>
      </c>
    </row>
    <row r="1018" spans="1:22" x14ac:dyDescent="0.25">
      <c r="A1018" t="s">
        <v>2332</v>
      </c>
      <c r="B1018" t="s">
        <v>990</v>
      </c>
      <c r="C1018">
        <v>19</v>
      </c>
      <c r="D1018" t="s">
        <v>132</v>
      </c>
      <c r="E1018" t="s">
        <v>57</v>
      </c>
      <c r="F1018" t="s">
        <v>57</v>
      </c>
      <c r="G1018">
        <v>0.32</v>
      </c>
      <c r="H1018" t="s">
        <v>38</v>
      </c>
      <c r="I1018">
        <v>0</v>
      </c>
      <c r="J1018" t="str">
        <f>HYPERLINK("https://www.eliteprospects.com/player/625751/kaylen-gauthier")</f>
        <v>https://www.eliteprospects.com/player/625751/kaylen-gauthier</v>
      </c>
      <c r="K1018" t="s">
        <v>27</v>
      </c>
      <c r="L1018" t="s">
        <v>918</v>
      </c>
      <c r="M1018" t="s">
        <v>1296</v>
      </c>
      <c r="N1018">
        <v>6</v>
      </c>
      <c r="O1018" t="s">
        <v>921</v>
      </c>
      <c r="P1018">
        <v>0.04</v>
      </c>
      <c r="Q1018" t="s">
        <v>245</v>
      </c>
      <c r="R1018">
        <v>28.6</v>
      </c>
      <c r="S1018">
        <v>31.4</v>
      </c>
      <c r="T1018">
        <v>28.6</v>
      </c>
      <c r="U1018">
        <v>4.3</v>
      </c>
      <c r="V1018">
        <v>7.1</v>
      </c>
    </row>
    <row r="1019" spans="1:22" x14ac:dyDescent="0.25">
      <c r="A1019" t="s">
        <v>2333</v>
      </c>
      <c r="B1019" t="s">
        <v>1036</v>
      </c>
      <c r="C1019">
        <v>19</v>
      </c>
      <c r="D1019" t="s">
        <v>132</v>
      </c>
      <c r="E1019" t="s">
        <v>57</v>
      </c>
      <c r="F1019" t="s">
        <v>57</v>
      </c>
      <c r="G1019">
        <v>0.32</v>
      </c>
      <c r="H1019" t="s">
        <v>125</v>
      </c>
      <c r="I1019">
        <v>0</v>
      </c>
      <c r="J1019" t="str">
        <f>HYPERLINK("https://www.eliteprospects.com/player/503507/a.j.-cook")</f>
        <v>https://www.eliteprospects.com/player/503507/a.j.-cook</v>
      </c>
      <c r="K1019" t="s">
        <v>27</v>
      </c>
      <c r="L1019" t="s">
        <v>918</v>
      </c>
      <c r="M1019" t="s">
        <v>1296</v>
      </c>
      <c r="N1019">
        <v>7</v>
      </c>
      <c r="O1019" t="s">
        <v>2257</v>
      </c>
      <c r="P1019">
        <v>0.04</v>
      </c>
      <c r="Q1019" t="s">
        <v>245</v>
      </c>
      <c r="R1019">
        <v>28.6</v>
      </c>
      <c r="S1019">
        <v>31.4</v>
      </c>
      <c r="T1019">
        <v>28.6</v>
      </c>
      <c r="U1019">
        <v>4.3</v>
      </c>
      <c r="V1019">
        <v>7.1</v>
      </c>
    </row>
    <row r="1020" spans="1:22" x14ac:dyDescent="0.25">
      <c r="A1020" t="s">
        <v>2334</v>
      </c>
      <c r="B1020" t="s">
        <v>934</v>
      </c>
      <c r="C1020">
        <v>20</v>
      </c>
      <c r="D1020" t="s">
        <v>132</v>
      </c>
      <c r="E1020" t="s">
        <v>57</v>
      </c>
      <c r="F1020" t="s">
        <v>57</v>
      </c>
      <c r="G1020">
        <v>0.3</v>
      </c>
      <c r="H1020" t="s">
        <v>125</v>
      </c>
      <c r="I1020">
        <v>13</v>
      </c>
      <c r="J1020" t="str">
        <f>HYPERLINK("https://www.eliteprospects.com/player/417751/nicolas-savoie")</f>
        <v>https://www.eliteprospects.com/player/417751/nicolas-savoie</v>
      </c>
      <c r="K1020" t="s">
        <v>27</v>
      </c>
      <c r="L1020" t="s">
        <v>918</v>
      </c>
      <c r="M1020" t="s">
        <v>1296</v>
      </c>
      <c r="N1020">
        <v>6</v>
      </c>
      <c r="O1020" t="s">
        <v>921</v>
      </c>
      <c r="P1020">
        <v>0.04</v>
      </c>
      <c r="Q1020" t="s">
        <v>245</v>
      </c>
      <c r="R1020">
        <v>28.6</v>
      </c>
      <c r="S1020">
        <v>31.4</v>
      </c>
      <c r="T1020">
        <v>28.6</v>
      </c>
      <c r="U1020">
        <v>4.3</v>
      </c>
      <c r="V1020">
        <v>7.1</v>
      </c>
    </row>
    <row r="1021" spans="1:22" x14ac:dyDescent="0.25">
      <c r="A1021" t="s">
        <v>2335</v>
      </c>
      <c r="B1021" t="s">
        <v>942</v>
      </c>
      <c r="C1021">
        <v>18</v>
      </c>
      <c r="D1021" t="s">
        <v>140</v>
      </c>
      <c r="E1021" t="s">
        <v>79</v>
      </c>
      <c r="F1021" t="s">
        <v>96</v>
      </c>
      <c r="G1021">
        <v>0.28000000000000003</v>
      </c>
      <c r="H1021" t="s">
        <v>125</v>
      </c>
      <c r="I1021">
        <v>0</v>
      </c>
      <c r="J1021" t="str">
        <f>HYPERLINK("https://www.eliteprospects.com/player/512192/spencer-shugrue")</f>
        <v>https://www.eliteprospects.com/player/512192/spencer-shugrue</v>
      </c>
      <c r="K1021" t="s">
        <v>27</v>
      </c>
      <c r="L1021" t="s">
        <v>918</v>
      </c>
      <c r="M1021" t="s">
        <v>1296</v>
      </c>
      <c r="N1021">
        <v>6</v>
      </c>
      <c r="O1021" t="s">
        <v>950</v>
      </c>
      <c r="P1021">
        <v>0.04</v>
      </c>
      <c r="Q1021" t="s">
        <v>245</v>
      </c>
      <c r="R1021">
        <v>28.6</v>
      </c>
      <c r="S1021">
        <v>31.4</v>
      </c>
      <c r="T1021">
        <v>28.6</v>
      </c>
      <c r="U1021">
        <v>4.3</v>
      </c>
      <c r="V1021">
        <v>7.1</v>
      </c>
    </row>
    <row r="1022" spans="1:22" x14ac:dyDescent="0.25">
      <c r="A1022" t="s">
        <v>2336</v>
      </c>
      <c r="B1022" t="s">
        <v>961</v>
      </c>
      <c r="C1022">
        <v>14</v>
      </c>
      <c r="D1022" t="s">
        <v>79</v>
      </c>
      <c r="E1022" t="s">
        <v>140</v>
      </c>
      <c r="F1022" t="s">
        <v>96</v>
      </c>
      <c r="G1022">
        <v>0.36</v>
      </c>
      <c r="H1022" t="s">
        <v>66</v>
      </c>
      <c r="I1022">
        <v>0</v>
      </c>
      <c r="J1022" t="str">
        <f>HYPERLINK("https://www.eliteprospects.com/player/580209/jacob-dietz")</f>
        <v>https://www.eliteprospects.com/player/580209/jacob-dietz</v>
      </c>
      <c r="K1022" t="s">
        <v>27</v>
      </c>
      <c r="L1022" t="s">
        <v>918</v>
      </c>
      <c r="M1022" t="s">
        <v>1296</v>
      </c>
      <c r="N1022">
        <v>2</v>
      </c>
      <c r="O1022" t="s">
        <v>1021</v>
      </c>
      <c r="P1022">
        <v>0.04</v>
      </c>
      <c r="Q1022" t="s">
        <v>245</v>
      </c>
      <c r="R1022">
        <v>28.6</v>
      </c>
      <c r="S1022">
        <v>31.4</v>
      </c>
      <c r="T1022">
        <v>28.6</v>
      </c>
      <c r="U1022">
        <v>4.3</v>
      </c>
      <c r="V1022">
        <v>7.1</v>
      </c>
    </row>
    <row r="1023" spans="1:22" x14ac:dyDescent="0.25">
      <c r="A1023" t="s">
        <v>2337</v>
      </c>
      <c r="B1023" t="s">
        <v>947</v>
      </c>
      <c r="C1023">
        <v>16</v>
      </c>
      <c r="D1023" t="s">
        <v>79</v>
      </c>
      <c r="E1023" t="s">
        <v>140</v>
      </c>
      <c r="F1023" t="s">
        <v>96</v>
      </c>
      <c r="G1023">
        <v>0.31</v>
      </c>
      <c r="H1023" t="s">
        <v>79</v>
      </c>
      <c r="I1023">
        <v>0</v>
      </c>
      <c r="J1023" t="str">
        <f>HYPERLINK("https://www.eliteprospects.com/player/695071/dillon-stiles")</f>
        <v>https://www.eliteprospects.com/player/695071/dillon-stiles</v>
      </c>
      <c r="K1023" t="s">
        <v>27</v>
      </c>
      <c r="L1023" t="s">
        <v>918</v>
      </c>
      <c r="M1023" t="s">
        <v>1296</v>
      </c>
      <c r="N1023">
        <v>1</v>
      </c>
      <c r="O1023" t="s">
        <v>984</v>
      </c>
      <c r="P1023">
        <v>0.04</v>
      </c>
      <c r="Q1023" t="s">
        <v>245</v>
      </c>
      <c r="R1023">
        <v>28.6</v>
      </c>
      <c r="S1023">
        <v>31.4</v>
      </c>
      <c r="T1023">
        <v>28.6</v>
      </c>
      <c r="U1023">
        <v>4.3</v>
      </c>
      <c r="V1023">
        <v>7.1</v>
      </c>
    </row>
    <row r="1024" spans="1:22" x14ac:dyDescent="0.25">
      <c r="A1024" t="s">
        <v>2338</v>
      </c>
      <c r="B1024" t="s">
        <v>972</v>
      </c>
      <c r="C1024">
        <v>16</v>
      </c>
      <c r="D1024" t="s">
        <v>79</v>
      </c>
      <c r="E1024" t="s">
        <v>140</v>
      </c>
      <c r="F1024" t="s">
        <v>96</v>
      </c>
      <c r="G1024">
        <v>0.31</v>
      </c>
      <c r="H1024" t="s">
        <v>24</v>
      </c>
      <c r="I1024">
        <v>0</v>
      </c>
      <c r="J1024" t="str">
        <f>HYPERLINK("https://www.eliteprospects.com/player/503018/liam-whittaker")</f>
        <v>https://www.eliteprospects.com/player/503018/liam-whittaker</v>
      </c>
      <c r="K1024" t="s">
        <v>27</v>
      </c>
      <c r="L1024" t="s">
        <v>918</v>
      </c>
      <c r="M1024" t="s">
        <v>1296</v>
      </c>
      <c r="N1024">
        <v>5</v>
      </c>
      <c r="O1024" t="s">
        <v>935</v>
      </c>
      <c r="P1024">
        <v>0.04</v>
      </c>
      <c r="Q1024" t="s">
        <v>245</v>
      </c>
      <c r="R1024">
        <v>28.6</v>
      </c>
      <c r="S1024">
        <v>31.4</v>
      </c>
      <c r="T1024">
        <v>28.6</v>
      </c>
      <c r="U1024">
        <v>4.3</v>
      </c>
      <c r="V1024">
        <v>7.1</v>
      </c>
    </row>
    <row r="1025" spans="1:22" x14ac:dyDescent="0.25">
      <c r="A1025" t="s">
        <v>2339</v>
      </c>
      <c r="B1025" t="s">
        <v>1011</v>
      </c>
      <c r="C1025">
        <v>18</v>
      </c>
      <c r="D1025" t="s">
        <v>79</v>
      </c>
      <c r="E1025" t="s">
        <v>140</v>
      </c>
      <c r="F1025" t="s">
        <v>96</v>
      </c>
      <c r="G1025">
        <v>0.28000000000000003</v>
      </c>
      <c r="H1025" t="s">
        <v>66</v>
      </c>
      <c r="I1025">
        <v>-2</v>
      </c>
      <c r="J1025" t="str">
        <f>HYPERLINK("https://www.eliteprospects.com/player/620342/aaron-brown")</f>
        <v>https://www.eliteprospects.com/player/620342/aaron-brown</v>
      </c>
      <c r="K1025" t="s">
        <v>27</v>
      </c>
      <c r="L1025" t="s">
        <v>918</v>
      </c>
      <c r="M1025" t="s">
        <v>1296</v>
      </c>
      <c r="N1025">
        <v>1</v>
      </c>
      <c r="O1025" t="s">
        <v>984</v>
      </c>
      <c r="P1025">
        <v>0.04</v>
      </c>
      <c r="Q1025" t="s">
        <v>245</v>
      </c>
      <c r="R1025">
        <v>28.6</v>
      </c>
      <c r="S1025">
        <v>31.4</v>
      </c>
      <c r="T1025">
        <v>28.6</v>
      </c>
      <c r="U1025">
        <v>4.3</v>
      </c>
      <c r="V1025">
        <v>7.1</v>
      </c>
    </row>
    <row r="1026" spans="1:22" x14ac:dyDescent="0.25">
      <c r="A1026" t="s">
        <v>2340</v>
      </c>
      <c r="B1026" t="s">
        <v>990</v>
      </c>
      <c r="C1026">
        <v>18</v>
      </c>
      <c r="D1026" t="s">
        <v>79</v>
      </c>
      <c r="E1026" t="s">
        <v>140</v>
      </c>
      <c r="F1026" t="s">
        <v>96</v>
      </c>
      <c r="G1026">
        <v>0.28000000000000003</v>
      </c>
      <c r="H1026" t="s">
        <v>57</v>
      </c>
      <c r="I1026">
        <v>0</v>
      </c>
      <c r="J1026" t="str">
        <f>HYPERLINK("https://www.eliteprospects.com/player/341625/olivier-boutin")</f>
        <v>https://www.eliteprospects.com/player/341625/olivier-boutin</v>
      </c>
      <c r="K1026" t="s">
        <v>27</v>
      </c>
      <c r="L1026" t="s">
        <v>918</v>
      </c>
      <c r="M1026" t="s">
        <v>1296</v>
      </c>
      <c r="N1026">
        <v>6</v>
      </c>
      <c r="O1026" t="s">
        <v>968</v>
      </c>
      <c r="P1026">
        <v>0.04</v>
      </c>
      <c r="Q1026" t="s">
        <v>245</v>
      </c>
      <c r="R1026">
        <v>28.6</v>
      </c>
      <c r="S1026">
        <v>31.4</v>
      </c>
      <c r="T1026">
        <v>28.6</v>
      </c>
      <c r="U1026">
        <v>4.3</v>
      </c>
      <c r="V1026">
        <v>7.1</v>
      </c>
    </row>
    <row r="1027" spans="1:22" x14ac:dyDescent="0.25">
      <c r="A1027" t="s">
        <v>2341</v>
      </c>
      <c r="B1027" t="s">
        <v>923</v>
      </c>
      <c r="C1027">
        <v>20</v>
      </c>
      <c r="D1027" t="s">
        <v>79</v>
      </c>
      <c r="E1027" t="s">
        <v>140</v>
      </c>
      <c r="F1027" t="s">
        <v>96</v>
      </c>
      <c r="G1027">
        <v>0.25</v>
      </c>
      <c r="H1027" t="s">
        <v>55</v>
      </c>
      <c r="I1027">
        <v>4</v>
      </c>
      <c r="J1027" t="str">
        <f>HYPERLINK("https://www.eliteprospects.com/player/481984/logen-hammett")</f>
        <v>https://www.eliteprospects.com/player/481984/logen-hammett</v>
      </c>
      <c r="K1027" t="s">
        <v>27</v>
      </c>
      <c r="L1027" t="s">
        <v>918</v>
      </c>
      <c r="M1027" t="s">
        <v>1296</v>
      </c>
      <c r="N1027">
        <v>4</v>
      </c>
      <c r="O1027" t="s">
        <v>978</v>
      </c>
      <c r="P1027">
        <v>0.03</v>
      </c>
      <c r="Q1027" t="s">
        <v>245</v>
      </c>
      <c r="R1027">
        <v>28.6</v>
      </c>
      <c r="S1027">
        <v>31.4</v>
      </c>
      <c r="T1027">
        <v>28.6</v>
      </c>
      <c r="U1027">
        <v>4.3</v>
      </c>
      <c r="V1027">
        <v>7.1</v>
      </c>
    </row>
    <row r="1028" spans="1:22" x14ac:dyDescent="0.25">
      <c r="A1028" t="s">
        <v>2342</v>
      </c>
      <c r="B1028" t="s">
        <v>944</v>
      </c>
      <c r="C1028">
        <v>20</v>
      </c>
      <c r="D1028" t="s">
        <v>79</v>
      </c>
      <c r="E1028" t="s">
        <v>140</v>
      </c>
      <c r="F1028" t="s">
        <v>96</v>
      </c>
      <c r="G1028">
        <v>0.25</v>
      </c>
      <c r="H1028" t="s">
        <v>491</v>
      </c>
      <c r="I1028">
        <v>1</v>
      </c>
      <c r="J1028" t="str">
        <f>HYPERLINK("https://www.eliteprospects.com/player/573857/jonathan-desrosiers")</f>
        <v>https://www.eliteprospects.com/player/573857/jonathan-desrosiers</v>
      </c>
      <c r="K1028" t="s">
        <v>27</v>
      </c>
      <c r="L1028" t="s">
        <v>918</v>
      </c>
      <c r="M1028" t="s">
        <v>1296</v>
      </c>
      <c r="N1028">
        <v>5</v>
      </c>
      <c r="O1028" t="s">
        <v>930</v>
      </c>
      <c r="P1028">
        <v>0.03</v>
      </c>
      <c r="Q1028" t="s">
        <v>245</v>
      </c>
      <c r="R1028">
        <v>28.6</v>
      </c>
      <c r="S1028">
        <v>31.4</v>
      </c>
      <c r="T1028">
        <v>28.6</v>
      </c>
      <c r="U1028">
        <v>4.3</v>
      </c>
      <c r="V1028">
        <v>7.1</v>
      </c>
    </row>
    <row r="1029" spans="1:22" x14ac:dyDescent="0.25">
      <c r="A1029" t="s">
        <v>2343</v>
      </c>
      <c r="B1029" t="s">
        <v>931</v>
      </c>
      <c r="C1029">
        <v>11</v>
      </c>
      <c r="D1029" t="s">
        <v>260</v>
      </c>
      <c r="E1029" t="s">
        <v>66</v>
      </c>
      <c r="F1029" t="s">
        <v>96</v>
      </c>
      <c r="G1029">
        <v>0.45</v>
      </c>
      <c r="H1029" t="s">
        <v>79</v>
      </c>
      <c r="I1029">
        <v>7</v>
      </c>
      <c r="J1029" t="str">
        <f>HYPERLINK("https://www.eliteprospects.com/player/505630/alex-izyk")</f>
        <v>https://www.eliteprospects.com/player/505630/alex-izyk</v>
      </c>
      <c r="K1029" t="s">
        <v>27</v>
      </c>
      <c r="L1029" t="s">
        <v>918</v>
      </c>
      <c r="M1029" t="s">
        <v>1296</v>
      </c>
      <c r="N1029">
        <v>1</v>
      </c>
      <c r="O1029" t="s">
        <v>984</v>
      </c>
      <c r="P1029">
        <v>0.06</v>
      </c>
      <c r="Q1029" t="s">
        <v>1325</v>
      </c>
      <c r="R1029">
        <v>26.3</v>
      </c>
      <c r="S1029">
        <v>23.7</v>
      </c>
      <c r="T1029">
        <v>28.9</v>
      </c>
      <c r="U1029">
        <v>5.3</v>
      </c>
      <c r="V1029">
        <v>15.8</v>
      </c>
    </row>
    <row r="1030" spans="1:22" x14ac:dyDescent="0.25">
      <c r="A1030" t="s">
        <v>2344</v>
      </c>
      <c r="B1030" t="s">
        <v>961</v>
      </c>
      <c r="C1030">
        <v>15</v>
      </c>
      <c r="D1030" t="s">
        <v>260</v>
      </c>
      <c r="E1030" t="s">
        <v>66</v>
      </c>
      <c r="F1030" t="s">
        <v>96</v>
      </c>
      <c r="G1030">
        <v>0.33</v>
      </c>
      <c r="H1030" t="s">
        <v>66</v>
      </c>
      <c r="I1030">
        <v>0</v>
      </c>
      <c r="J1030" t="str">
        <f>HYPERLINK("https://www.eliteprospects.com/player/441330/drew-wawrow")</f>
        <v>https://www.eliteprospects.com/player/441330/drew-wawrow</v>
      </c>
      <c r="K1030" t="s">
        <v>27</v>
      </c>
      <c r="L1030" t="s">
        <v>918</v>
      </c>
      <c r="M1030" t="s">
        <v>1296</v>
      </c>
      <c r="N1030">
        <v>5</v>
      </c>
      <c r="O1030" t="s">
        <v>955</v>
      </c>
      <c r="P1030">
        <v>0.04</v>
      </c>
      <c r="Q1030" t="s">
        <v>245</v>
      </c>
      <c r="R1030">
        <v>28.6</v>
      </c>
      <c r="S1030">
        <v>31.4</v>
      </c>
      <c r="T1030">
        <v>28.6</v>
      </c>
      <c r="U1030">
        <v>4.3</v>
      </c>
      <c r="V1030">
        <v>7.1</v>
      </c>
    </row>
    <row r="1031" spans="1:22" x14ac:dyDescent="0.25">
      <c r="A1031" t="s">
        <v>2345</v>
      </c>
      <c r="B1031" t="s">
        <v>959</v>
      </c>
      <c r="C1031">
        <v>16</v>
      </c>
      <c r="D1031" t="s">
        <v>260</v>
      </c>
      <c r="E1031" t="s">
        <v>66</v>
      </c>
      <c r="F1031" t="s">
        <v>96</v>
      </c>
      <c r="G1031">
        <v>0.31</v>
      </c>
      <c r="H1031" t="s">
        <v>23</v>
      </c>
      <c r="I1031">
        <v>0</v>
      </c>
      <c r="J1031" t="str">
        <f>HYPERLINK("https://www.eliteprospects.com/player/620242/alexandre-pellerin")</f>
        <v>https://www.eliteprospects.com/player/620242/alexandre-pellerin</v>
      </c>
      <c r="K1031" t="s">
        <v>27</v>
      </c>
      <c r="L1031" t="s">
        <v>918</v>
      </c>
      <c r="M1031" t="s">
        <v>1296</v>
      </c>
      <c r="N1031">
        <v>1</v>
      </c>
      <c r="O1031" t="s">
        <v>984</v>
      </c>
      <c r="P1031">
        <v>0.04</v>
      </c>
      <c r="Q1031" t="s">
        <v>245</v>
      </c>
      <c r="R1031">
        <v>28.6</v>
      </c>
      <c r="S1031">
        <v>31.4</v>
      </c>
      <c r="T1031">
        <v>28.6</v>
      </c>
      <c r="U1031">
        <v>4.3</v>
      </c>
      <c r="V1031">
        <v>7.1</v>
      </c>
    </row>
    <row r="1032" spans="1:22" x14ac:dyDescent="0.25">
      <c r="A1032" t="s">
        <v>2346</v>
      </c>
      <c r="B1032" t="s">
        <v>1049</v>
      </c>
      <c r="C1032">
        <v>17</v>
      </c>
      <c r="D1032" t="s">
        <v>260</v>
      </c>
      <c r="E1032" t="s">
        <v>66</v>
      </c>
      <c r="F1032" t="s">
        <v>96</v>
      </c>
      <c r="G1032">
        <v>0.28999999999999998</v>
      </c>
      <c r="H1032" t="s">
        <v>125</v>
      </c>
      <c r="I1032">
        <v>-15</v>
      </c>
      <c r="J1032" t="str">
        <f>HYPERLINK("https://www.eliteprospects.com/player/573362/ben-bonni")</f>
        <v>https://www.eliteprospects.com/player/573362/ben-bonni</v>
      </c>
      <c r="K1032" t="s">
        <v>27</v>
      </c>
      <c r="L1032" t="s">
        <v>918</v>
      </c>
      <c r="M1032" t="s">
        <v>1417</v>
      </c>
      <c r="N1032">
        <v>4</v>
      </c>
      <c r="O1032" t="s">
        <v>978</v>
      </c>
      <c r="P1032">
        <v>0.04</v>
      </c>
      <c r="Q1032" t="s">
        <v>245</v>
      </c>
      <c r="R1032">
        <v>28.6</v>
      </c>
      <c r="S1032">
        <v>31.4</v>
      </c>
      <c r="T1032">
        <v>28.6</v>
      </c>
      <c r="U1032">
        <v>4.3</v>
      </c>
      <c r="V1032">
        <v>7.1</v>
      </c>
    </row>
    <row r="1033" spans="1:22" x14ac:dyDescent="0.25">
      <c r="A1033" t="s">
        <v>2347</v>
      </c>
      <c r="B1033" t="s">
        <v>1011</v>
      </c>
      <c r="C1033">
        <v>18</v>
      </c>
      <c r="D1033" t="s">
        <v>260</v>
      </c>
      <c r="E1033" t="s">
        <v>66</v>
      </c>
      <c r="F1033" t="s">
        <v>96</v>
      </c>
      <c r="G1033">
        <v>0.28000000000000003</v>
      </c>
      <c r="H1033" t="s">
        <v>39</v>
      </c>
      <c r="I1033">
        <v>-1</v>
      </c>
      <c r="J1033" t="str">
        <f>HYPERLINK("https://www.eliteprospects.com/player/563444/drew-maddigan")</f>
        <v>https://www.eliteprospects.com/player/563444/drew-maddigan</v>
      </c>
      <c r="K1033" t="s">
        <v>27</v>
      </c>
      <c r="L1033" t="s">
        <v>918</v>
      </c>
      <c r="M1033" t="s">
        <v>1296</v>
      </c>
      <c r="N1033">
        <v>5</v>
      </c>
      <c r="O1033" t="s">
        <v>930</v>
      </c>
      <c r="P1033">
        <v>0.04</v>
      </c>
      <c r="Q1033" t="s">
        <v>245</v>
      </c>
      <c r="R1033">
        <v>28.6</v>
      </c>
      <c r="S1033">
        <v>31.4</v>
      </c>
      <c r="T1033">
        <v>28.6</v>
      </c>
      <c r="U1033">
        <v>4.3</v>
      </c>
      <c r="V1033">
        <v>7.1</v>
      </c>
    </row>
    <row r="1034" spans="1:22" x14ac:dyDescent="0.25">
      <c r="A1034" t="s">
        <v>2348</v>
      </c>
      <c r="B1034" t="s">
        <v>959</v>
      </c>
      <c r="C1034">
        <v>18</v>
      </c>
      <c r="D1034" t="s">
        <v>260</v>
      </c>
      <c r="E1034" t="s">
        <v>66</v>
      </c>
      <c r="F1034" t="s">
        <v>96</v>
      </c>
      <c r="G1034">
        <v>0.28000000000000003</v>
      </c>
      <c r="H1034" t="s">
        <v>178</v>
      </c>
      <c r="I1034">
        <v>0</v>
      </c>
      <c r="J1034" t="str">
        <f>HYPERLINK("https://www.eliteprospects.com/player/418937/igor-mburanumwe")</f>
        <v>https://www.eliteprospects.com/player/418937/igor-mburanumwe</v>
      </c>
      <c r="K1034" t="s">
        <v>27</v>
      </c>
      <c r="L1034" t="s">
        <v>918</v>
      </c>
      <c r="M1034" t="s">
        <v>1296</v>
      </c>
      <c r="N1034">
        <v>5</v>
      </c>
      <c r="O1034" t="s">
        <v>930</v>
      </c>
      <c r="P1034">
        <v>0.04</v>
      </c>
      <c r="Q1034" t="s">
        <v>245</v>
      </c>
      <c r="R1034">
        <v>28.6</v>
      </c>
      <c r="S1034">
        <v>31.4</v>
      </c>
      <c r="T1034">
        <v>28.6</v>
      </c>
      <c r="U1034">
        <v>4.3</v>
      </c>
      <c r="V1034">
        <v>7.1</v>
      </c>
    </row>
    <row r="1035" spans="1:22" x14ac:dyDescent="0.25">
      <c r="A1035" t="s">
        <v>2349</v>
      </c>
      <c r="B1035" t="s">
        <v>977</v>
      </c>
      <c r="C1035">
        <v>15</v>
      </c>
      <c r="D1035" t="s">
        <v>132</v>
      </c>
      <c r="E1035" t="s">
        <v>96</v>
      </c>
      <c r="F1035" t="s">
        <v>96</v>
      </c>
      <c r="G1035">
        <v>0.33</v>
      </c>
      <c r="H1035" t="s">
        <v>51</v>
      </c>
      <c r="I1035">
        <v>0</v>
      </c>
      <c r="J1035" t="str">
        <f>HYPERLINK("https://www.eliteprospects.com/player/418396/stefan-dobrich")</f>
        <v>https://www.eliteprospects.com/player/418396/stefan-dobrich</v>
      </c>
      <c r="K1035" t="s">
        <v>27</v>
      </c>
      <c r="L1035" t="s">
        <v>918</v>
      </c>
      <c r="M1035" t="s">
        <v>1296</v>
      </c>
      <c r="N1035">
        <v>3</v>
      </c>
      <c r="O1035" t="s">
        <v>962</v>
      </c>
      <c r="P1035">
        <v>0.04</v>
      </c>
      <c r="Q1035" t="s">
        <v>245</v>
      </c>
      <c r="R1035">
        <v>28.6</v>
      </c>
      <c r="S1035">
        <v>31.4</v>
      </c>
      <c r="T1035">
        <v>28.6</v>
      </c>
      <c r="U1035">
        <v>4.3</v>
      </c>
      <c r="V1035">
        <v>7.1</v>
      </c>
    </row>
    <row r="1036" spans="1:22" x14ac:dyDescent="0.25">
      <c r="A1036" t="s">
        <v>2350</v>
      </c>
      <c r="B1036" t="s">
        <v>1038</v>
      </c>
      <c r="C1036">
        <v>16</v>
      </c>
      <c r="D1036" t="s">
        <v>132</v>
      </c>
      <c r="E1036" t="s">
        <v>96</v>
      </c>
      <c r="F1036" t="s">
        <v>96</v>
      </c>
      <c r="G1036">
        <v>0.31</v>
      </c>
      <c r="H1036" t="s">
        <v>66</v>
      </c>
      <c r="I1036">
        <v>0</v>
      </c>
      <c r="J1036" t="str">
        <f>HYPERLINK("https://www.eliteprospects.com/player/503979/owen-luik")</f>
        <v>https://www.eliteprospects.com/player/503979/owen-luik</v>
      </c>
      <c r="K1036" t="s">
        <v>27</v>
      </c>
      <c r="L1036" t="s">
        <v>918</v>
      </c>
      <c r="M1036" t="s">
        <v>1296</v>
      </c>
      <c r="N1036">
        <v>2</v>
      </c>
      <c r="O1036" t="s">
        <v>1021</v>
      </c>
      <c r="P1036">
        <v>0.04</v>
      </c>
      <c r="Q1036" t="s">
        <v>245</v>
      </c>
      <c r="R1036">
        <v>28.6</v>
      </c>
      <c r="S1036">
        <v>31.4</v>
      </c>
      <c r="T1036">
        <v>28.6</v>
      </c>
      <c r="U1036">
        <v>4.3</v>
      </c>
      <c r="V1036">
        <v>7.1</v>
      </c>
    </row>
    <row r="1037" spans="1:22" x14ac:dyDescent="0.25">
      <c r="A1037" t="s">
        <v>2351</v>
      </c>
      <c r="B1037" t="s">
        <v>947</v>
      </c>
      <c r="C1037">
        <v>17</v>
      </c>
      <c r="D1037" t="s">
        <v>132</v>
      </c>
      <c r="E1037" t="s">
        <v>96</v>
      </c>
      <c r="F1037" t="s">
        <v>96</v>
      </c>
      <c r="G1037">
        <v>0.28999999999999998</v>
      </c>
      <c r="H1037" t="s">
        <v>39</v>
      </c>
      <c r="I1037">
        <v>0</v>
      </c>
      <c r="J1037" t="str">
        <f>HYPERLINK("https://www.eliteprospects.com/player/712050/ryan-o-dell")</f>
        <v>https://www.eliteprospects.com/player/712050/ryan-o-dell</v>
      </c>
      <c r="K1037" t="s">
        <v>27</v>
      </c>
      <c r="L1037" t="s">
        <v>918</v>
      </c>
      <c r="M1037" t="s">
        <v>1296</v>
      </c>
      <c r="N1037">
        <v>4</v>
      </c>
      <c r="O1037" t="s">
        <v>1025</v>
      </c>
      <c r="P1037">
        <v>0.04</v>
      </c>
      <c r="Q1037" t="s">
        <v>245</v>
      </c>
      <c r="R1037">
        <v>28.6</v>
      </c>
      <c r="S1037">
        <v>31.4</v>
      </c>
      <c r="T1037">
        <v>28.6</v>
      </c>
      <c r="U1037">
        <v>4.3</v>
      </c>
      <c r="V1037">
        <v>7.1</v>
      </c>
    </row>
    <row r="1038" spans="1:22" x14ac:dyDescent="0.25">
      <c r="A1038" t="s">
        <v>2352</v>
      </c>
      <c r="B1038" t="s">
        <v>934</v>
      </c>
      <c r="C1038">
        <v>18</v>
      </c>
      <c r="D1038" t="s">
        <v>132</v>
      </c>
      <c r="E1038" t="s">
        <v>96</v>
      </c>
      <c r="F1038" t="s">
        <v>96</v>
      </c>
      <c r="G1038">
        <v>0.28000000000000003</v>
      </c>
      <c r="H1038" t="s">
        <v>24</v>
      </c>
      <c r="I1038">
        <v>6</v>
      </c>
      <c r="J1038" t="str">
        <f>HYPERLINK("https://www.eliteprospects.com/player/492134/eli-barnett")</f>
        <v>https://www.eliteprospects.com/player/492134/eli-barnett</v>
      </c>
      <c r="K1038" t="s">
        <v>27</v>
      </c>
      <c r="L1038" t="s">
        <v>918</v>
      </c>
      <c r="M1038" t="s">
        <v>1296</v>
      </c>
      <c r="N1038">
        <v>3</v>
      </c>
      <c r="O1038" t="s">
        <v>1039</v>
      </c>
      <c r="P1038">
        <v>0.04</v>
      </c>
      <c r="Q1038" t="s">
        <v>245</v>
      </c>
      <c r="R1038">
        <v>28.6</v>
      </c>
      <c r="S1038">
        <v>31.4</v>
      </c>
      <c r="T1038">
        <v>28.6</v>
      </c>
      <c r="U1038">
        <v>4.3</v>
      </c>
      <c r="V1038">
        <v>7.1</v>
      </c>
    </row>
    <row r="1039" spans="1:22" x14ac:dyDescent="0.25">
      <c r="A1039" t="s">
        <v>2353</v>
      </c>
      <c r="B1039" t="s">
        <v>990</v>
      </c>
      <c r="C1039">
        <v>19</v>
      </c>
      <c r="D1039" t="s">
        <v>132</v>
      </c>
      <c r="E1039" t="s">
        <v>96</v>
      </c>
      <c r="F1039" t="s">
        <v>96</v>
      </c>
      <c r="G1039">
        <v>0.26</v>
      </c>
      <c r="H1039" t="s">
        <v>269</v>
      </c>
      <c r="I1039">
        <v>0</v>
      </c>
      <c r="J1039" t="str">
        <f>HYPERLINK("https://www.eliteprospects.com/player/625756/edouard-cournoyer")</f>
        <v>https://www.eliteprospects.com/player/625756/edouard-cournoyer</v>
      </c>
      <c r="K1039" t="s">
        <v>27</v>
      </c>
      <c r="L1039" t="s">
        <v>918</v>
      </c>
      <c r="M1039" t="s">
        <v>1296</v>
      </c>
      <c r="N1039">
        <v>6</v>
      </c>
      <c r="O1039" t="s">
        <v>921</v>
      </c>
      <c r="P1039">
        <v>0.03</v>
      </c>
      <c r="Q1039" t="s">
        <v>245</v>
      </c>
      <c r="R1039">
        <v>28.6</v>
      </c>
      <c r="S1039">
        <v>31.4</v>
      </c>
      <c r="T1039">
        <v>28.6</v>
      </c>
      <c r="U1039">
        <v>4.3</v>
      </c>
      <c r="V1039">
        <v>7.1</v>
      </c>
    </row>
    <row r="1040" spans="1:22" x14ac:dyDescent="0.25">
      <c r="A1040" t="s">
        <v>2354</v>
      </c>
      <c r="B1040" t="s">
        <v>929</v>
      </c>
      <c r="C1040">
        <v>20</v>
      </c>
      <c r="D1040" t="s">
        <v>132</v>
      </c>
      <c r="E1040" t="s">
        <v>96</v>
      </c>
      <c r="F1040" t="s">
        <v>96</v>
      </c>
      <c r="G1040">
        <v>0.25</v>
      </c>
      <c r="H1040" t="s">
        <v>57</v>
      </c>
      <c r="I1040">
        <v>-7</v>
      </c>
      <c r="J1040" t="str">
        <f>HYPERLINK("https://www.eliteprospects.com/player/575916/isaac-vos")</f>
        <v>https://www.eliteprospects.com/player/575916/isaac-vos</v>
      </c>
      <c r="K1040" t="s">
        <v>27</v>
      </c>
      <c r="L1040" t="s">
        <v>918</v>
      </c>
      <c r="M1040" t="s">
        <v>1296</v>
      </c>
      <c r="N1040">
        <v>3</v>
      </c>
      <c r="O1040" t="s">
        <v>1002</v>
      </c>
      <c r="P1040">
        <v>0.03</v>
      </c>
      <c r="Q1040" t="s">
        <v>245</v>
      </c>
      <c r="R1040">
        <v>28.6</v>
      </c>
      <c r="S1040">
        <v>31.4</v>
      </c>
      <c r="T1040">
        <v>28.6</v>
      </c>
      <c r="U1040">
        <v>4.3</v>
      </c>
      <c r="V1040">
        <v>7.1</v>
      </c>
    </row>
    <row r="1041" spans="1:22" x14ac:dyDescent="0.25">
      <c r="A1041" t="s">
        <v>2355</v>
      </c>
      <c r="B1041" t="s">
        <v>917</v>
      </c>
      <c r="C1041">
        <v>12</v>
      </c>
      <c r="D1041" t="s">
        <v>79</v>
      </c>
      <c r="E1041" t="s">
        <v>79</v>
      </c>
      <c r="F1041" t="s">
        <v>66</v>
      </c>
      <c r="G1041">
        <v>0.33</v>
      </c>
      <c r="H1041" t="s">
        <v>26</v>
      </c>
      <c r="I1041">
        <v>-7</v>
      </c>
      <c r="J1041" t="str">
        <f>HYPERLINK("https://www.eliteprospects.com/player/617883/landon-cato")</f>
        <v>https://www.eliteprospects.com/player/617883/landon-cato</v>
      </c>
      <c r="K1041" t="s">
        <v>27</v>
      </c>
      <c r="L1041" t="s">
        <v>918</v>
      </c>
      <c r="M1041" t="s">
        <v>1296</v>
      </c>
      <c r="N1041">
        <v>6</v>
      </c>
      <c r="O1041" t="s">
        <v>970</v>
      </c>
      <c r="P1041">
        <v>0.04</v>
      </c>
      <c r="Q1041" t="s">
        <v>245</v>
      </c>
      <c r="R1041">
        <v>28.6</v>
      </c>
      <c r="S1041">
        <v>31.4</v>
      </c>
      <c r="T1041">
        <v>28.6</v>
      </c>
      <c r="U1041">
        <v>4.3</v>
      </c>
      <c r="V1041">
        <v>7.1</v>
      </c>
    </row>
    <row r="1042" spans="1:22" x14ac:dyDescent="0.25">
      <c r="A1042" t="s">
        <v>2356</v>
      </c>
      <c r="B1042" t="s">
        <v>1049</v>
      </c>
      <c r="C1042">
        <v>14</v>
      </c>
      <c r="D1042" t="s">
        <v>79</v>
      </c>
      <c r="E1042" t="s">
        <v>79</v>
      </c>
      <c r="F1042" t="s">
        <v>66</v>
      </c>
      <c r="G1042">
        <v>0.28999999999999998</v>
      </c>
      <c r="H1042" t="s">
        <v>84</v>
      </c>
      <c r="I1042">
        <v>-2</v>
      </c>
      <c r="J1042" t="str">
        <f>HYPERLINK("https://www.eliteprospects.com/player/645887/kaycee-coyle")</f>
        <v>https://www.eliteprospects.com/player/645887/kaycee-coyle</v>
      </c>
      <c r="K1042" t="s">
        <v>27</v>
      </c>
      <c r="L1042" t="s">
        <v>918</v>
      </c>
      <c r="M1042" t="s">
        <v>1296</v>
      </c>
      <c r="N1042">
        <v>1</v>
      </c>
      <c r="O1042" t="s">
        <v>984</v>
      </c>
      <c r="P1042">
        <v>0.04</v>
      </c>
      <c r="Q1042" t="s">
        <v>245</v>
      </c>
      <c r="R1042">
        <v>28.6</v>
      </c>
      <c r="S1042">
        <v>31.4</v>
      </c>
      <c r="T1042">
        <v>28.6</v>
      </c>
      <c r="U1042">
        <v>4.3</v>
      </c>
      <c r="V1042">
        <v>7.1</v>
      </c>
    </row>
    <row r="1043" spans="1:22" x14ac:dyDescent="0.25">
      <c r="A1043" t="s">
        <v>2357</v>
      </c>
      <c r="B1043" t="s">
        <v>1118</v>
      </c>
      <c r="C1043">
        <v>17</v>
      </c>
      <c r="D1043" t="s">
        <v>79</v>
      </c>
      <c r="E1043" t="s">
        <v>79</v>
      </c>
      <c r="F1043" t="s">
        <v>66</v>
      </c>
      <c r="G1043">
        <v>0.24</v>
      </c>
      <c r="H1043" t="s">
        <v>38</v>
      </c>
      <c r="I1043">
        <v>-14</v>
      </c>
      <c r="J1043" t="str">
        <f>HYPERLINK("https://www.eliteprospects.com/player/403768/ayden-third")</f>
        <v>https://www.eliteprospects.com/player/403768/ayden-third</v>
      </c>
      <c r="K1043" t="s">
        <v>27</v>
      </c>
      <c r="L1043" t="s">
        <v>918</v>
      </c>
      <c r="M1043" t="s">
        <v>1296</v>
      </c>
      <c r="N1043">
        <v>2</v>
      </c>
      <c r="O1043" t="s">
        <v>1021</v>
      </c>
      <c r="P1043">
        <v>0.03</v>
      </c>
      <c r="Q1043" t="s">
        <v>245</v>
      </c>
      <c r="R1043">
        <v>28.6</v>
      </c>
      <c r="S1043">
        <v>31.4</v>
      </c>
      <c r="T1043">
        <v>28.6</v>
      </c>
      <c r="U1043">
        <v>4.3</v>
      </c>
      <c r="V1043">
        <v>7.1</v>
      </c>
    </row>
    <row r="1044" spans="1:22" x14ac:dyDescent="0.25">
      <c r="A1044" t="s">
        <v>2358</v>
      </c>
      <c r="B1044" t="s">
        <v>986</v>
      </c>
      <c r="C1044">
        <v>18</v>
      </c>
      <c r="D1044" t="s">
        <v>79</v>
      </c>
      <c r="E1044" t="s">
        <v>79</v>
      </c>
      <c r="F1044" t="s">
        <v>66</v>
      </c>
      <c r="G1044">
        <v>0.22</v>
      </c>
      <c r="H1044" t="s">
        <v>32</v>
      </c>
      <c r="I1044">
        <v>0</v>
      </c>
      <c r="J1044" t="str">
        <f>HYPERLINK("https://www.eliteprospects.com/player/566499/alec-mcdonald")</f>
        <v>https://www.eliteprospects.com/player/566499/alec-mcdonald</v>
      </c>
      <c r="K1044" t="s">
        <v>27</v>
      </c>
      <c r="L1044" t="s">
        <v>918</v>
      </c>
      <c r="M1044" t="s">
        <v>1296</v>
      </c>
      <c r="N1044">
        <v>1</v>
      </c>
      <c r="O1044" t="s">
        <v>984</v>
      </c>
      <c r="P1044">
        <v>0.03</v>
      </c>
      <c r="Q1044" t="s">
        <v>245</v>
      </c>
      <c r="R1044">
        <v>28.6</v>
      </c>
      <c r="S1044">
        <v>31.4</v>
      </c>
      <c r="T1044">
        <v>28.6</v>
      </c>
      <c r="U1044">
        <v>4.3</v>
      </c>
      <c r="V1044">
        <v>7.1</v>
      </c>
    </row>
    <row r="1045" spans="1:22" x14ac:dyDescent="0.25">
      <c r="A1045" t="s">
        <v>2359</v>
      </c>
      <c r="B1045" t="s">
        <v>944</v>
      </c>
      <c r="C1045">
        <v>20</v>
      </c>
      <c r="D1045" t="s">
        <v>79</v>
      </c>
      <c r="E1045" t="s">
        <v>79</v>
      </c>
      <c r="F1045" t="s">
        <v>66</v>
      </c>
      <c r="G1045">
        <v>0.2</v>
      </c>
      <c r="H1045" t="s">
        <v>39</v>
      </c>
      <c r="I1045">
        <v>12</v>
      </c>
      <c r="J1045" t="str">
        <f>HYPERLINK("https://www.eliteprospects.com/player/384420/yann-felix-lapointe")</f>
        <v>https://www.eliteprospects.com/player/384420/yann-felix-lapointe</v>
      </c>
      <c r="K1045" t="s">
        <v>27</v>
      </c>
      <c r="L1045" t="s">
        <v>918</v>
      </c>
      <c r="M1045" t="s">
        <v>1296</v>
      </c>
      <c r="N1045">
        <v>5</v>
      </c>
      <c r="O1045" t="s">
        <v>945</v>
      </c>
      <c r="P1045">
        <v>0.02</v>
      </c>
      <c r="Q1045" t="s">
        <v>245</v>
      </c>
      <c r="R1045">
        <v>28.6</v>
      </c>
      <c r="S1045">
        <v>31.4</v>
      </c>
      <c r="T1045">
        <v>28.6</v>
      </c>
      <c r="U1045">
        <v>4.3</v>
      </c>
      <c r="V1045">
        <v>7.1</v>
      </c>
    </row>
    <row r="1046" spans="1:22" x14ac:dyDescent="0.25">
      <c r="A1046" t="s">
        <v>2360</v>
      </c>
      <c r="B1046" t="s">
        <v>923</v>
      </c>
      <c r="C1046">
        <v>11</v>
      </c>
      <c r="D1046" t="s">
        <v>260</v>
      </c>
      <c r="E1046" t="s">
        <v>140</v>
      </c>
      <c r="F1046" t="s">
        <v>66</v>
      </c>
      <c r="G1046">
        <v>0.36</v>
      </c>
      <c r="H1046" t="s">
        <v>26</v>
      </c>
      <c r="I1046">
        <v>-3</v>
      </c>
      <c r="J1046" t="str">
        <f>HYPERLINK("https://www.eliteprospects.com/player/571919/pavel-bocharov")</f>
        <v>https://www.eliteprospects.com/player/571919/pavel-bocharov</v>
      </c>
      <c r="K1046" t="s">
        <v>27</v>
      </c>
      <c r="L1046" t="s">
        <v>918</v>
      </c>
      <c r="M1046" t="s">
        <v>1296</v>
      </c>
      <c r="N1046">
        <v>5</v>
      </c>
      <c r="O1046" t="s">
        <v>979</v>
      </c>
      <c r="P1046">
        <v>0.04</v>
      </c>
      <c r="Q1046" t="s">
        <v>245</v>
      </c>
      <c r="R1046">
        <v>28.6</v>
      </c>
      <c r="S1046">
        <v>31.4</v>
      </c>
      <c r="T1046">
        <v>28.6</v>
      </c>
      <c r="U1046">
        <v>4.3</v>
      </c>
      <c r="V1046">
        <v>7.1</v>
      </c>
    </row>
    <row r="1047" spans="1:22" x14ac:dyDescent="0.25">
      <c r="A1047" t="s">
        <v>2361</v>
      </c>
      <c r="B1047" t="s">
        <v>929</v>
      </c>
      <c r="C1047">
        <v>12</v>
      </c>
      <c r="D1047" t="s">
        <v>260</v>
      </c>
      <c r="E1047" t="s">
        <v>140</v>
      </c>
      <c r="F1047" t="s">
        <v>66</v>
      </c>
      <c r="G1047">
        <v>0.33</v>
      </c>
      <c r="H1047" t="s">
        <v>26</v>
      </c>
      <c r="I1047">
        <v>-8</v>
      </c>
      <c r="J1047" t="str">
        <f>HYPERLINK("https://www.eliteprospects.com/player/491928/zach-biggar")</f>
        <v>https://www.eliteprospects.com/player/491928/zach-biggar</v>
      </c>
      <c r="K1047" t="s">
        <v>27</v>
      </c>
      <c r="L1047" t="s">
        <v>918</v>
      </c>
      <c r="M1047" t="s">
        <v>1296</v>
      </c>
      <c r="N1047">
        <v>6</v>
      </c>
      <c r="O1047" t="s">
        <v>968</v>
      </c>
      <c r="P1047">
        <v>0.04</v>
      </c>
      <c r="Q1047" t="s">
        <v>245</v>
      </c>
      <c r="R1047">
        <v>28.6</v>
      </c>
      <c r="S1047">
        <v>31.4</v>
      </c>
      <c r="T1047">
        <v>28.6</v>
      </c>
      <c r="U1047">
        <v>4.3</v>
      </c>
      <c r="V1047">
        <v>7.1</v>
      </c>
    </row>
    <row r="1048" spans="1:22" x14ac:dyDescent="0.25">
      <c r="A1048" t="s">
        <v>2362</v>
      </c>
      <c r="B1048" t="s">
        <v>934</v>
      </c>
      <c r="C1048">
        <v>15</v>
      </c>
      <c r="D1048" t="s">
        <v>260</v>
      </c>
      <c r="E1048" t="s">
        <v>140</v>
      </c>
      <c r="F1048" t="s">
        <v>66</v>
      </c>
      <c r="G1048">
        <v>0.27</v>
      </c>
      <c r="H1048" t="s">
        <v>40</v>
      </c>
      <c r="I1048">
        <v>2</v>
      </c>
      <c r="J1048" t="str">
        <f>HYPERLINK("https://www.eliteprospects.com/player/599320/marc-olivier-beaudry")</f>
        <v>https://www.eliteprospects.com/player/599320/marc-olivier-beaudry</v>
      </c>
      <c r="K1048" t="s">
        <v>27</v>
      </c>
      <c r="L1048" t="s">
        <v>918</v>
      </c>
      <c r="M1048" t="s">
        <v>1296</v>
      </c>
      <c r="N1048">
        <v>6</v>
      </c>
      <c r="O1048" t="s">
        <v>968</v>
      </c>
      <c r="P1048">
        <v>0.03</v>
      </c>
      <c r="Q1048" t="s">
        <v>245</v>
      </c>
      <c r="R1048">
        <v>28.6</v>
      </c>
      <c r="S1048">
        <v>31.4</v>
      </c>
      <c r="T1048">
        <v>28.6</v>
      </c>
      <c r="U1048">
        <v>4.3</v>
      </c>
      <c r="V1048">
        <v>7.1</v>
      </c>
    </row>
    <row r="1049" spans="1:22" x14ac:dyDescent="0.25">
      <c r="A1049" t="s">
        <v>2363</v>
      </c>
      <c r="B1049" t="s">
        <v>966</v>
      </c>
      <c r="C1049">
        <v>18</v>
      </c>
      <c r="D1049" t="s">
        <v>260</v>
      </c>
      <c r="E1049" t="s">
        <v>140</v>
      </c>
      <c r="F1049" t="s">
        <v>66</v>
      </c>
      <c r="G1049">
        <v>0.22</v>
      </c>
      <c r="H1049" t="s">
        <v>79</v>
      </c>
      <c r="I1049">
        <v>13</v>
      </c>
      <c r="J1049" t="str">
        <f>HYPERLINK("https://www.eliteprospects.com/player/201783/charlie-desroches")</f>
        <v>https://www.eliteprospects.com/player/201783/charlie-desroches</v>
      </c>
      <c r="K1049" t="s">
        <v>27</v>
      </c>
      <c r="L1049" t="s">
        <v>918</v>
      </c>
      <c r="M1049" t="s">
        <v>1296</v>
      </c>
      <c r="N1049">
        <v>6</v>
      </c>
      <c r="O1049" t="s">
        <v>921</v>
      </c>
      <c r="P1049">
        <v>0.03</v>
      </c>
      <c r="Q1049" t="s">
        <v>245</v>
      </c>
      <c r="R1049">
        <v>28.6</v>
      </c>
      <c r="S1049">
        <v>31.4</v>
      </c>
      <c r="T1049">
        <v>28.6</v>
      </c>
      <c r="U1049">
        <v>4.3</v>
      </c>
      <c r="V1049">
        <v>7.1</v>
      </c>
    </row>
    <row r="1050" spans="1:22" x14ac:dyDescent="0.25">
      <c r="A1050" t="s">
        <v>2364</v>
      </c>
      <c r="B1050" t="s">
        <v>997</v>
      </c>
      <c r="C1050">
        <v>18</v>
      </c>
      <c r="D1050" t="s">
        <v>260</v>
      </c>
      <c r="E1050" t="s">
        <v>140</v>
      </c>
      <c r="F1050" t="s">
        <v>66</v>
      </c>
      <c r="G1050">
        <v>0.22</v>
      </c>
      <c r="H1050" t="s">
        <v>57</v>
      </c>
      <c r="I1050">
        <v>0</v>
      </c>
      <c r="J1050" t="str">
        <f>HYPERLINK("https://www.eliteprospects.com/player/625757/vincent-fredette")</f>
        <v>https://www.eliteprospects.com/player/625757/vincent-fredette</v>
      </c>
      <c r="K1050" t="s">
        <v>27</v>
      </c>
      <c r="L1050" t="s">
        <v>918</v>
      </c>
      <c r="M1050" t="s">
        <v>1296</v>
      </c>
      <c r="N1050">
        <v>5</v>
      </c>
      <c r="O1050" t="s">
        <v>1094</v>
      </c>
      <c r="P1050">
        <v>0.03</v>
      </c>
      <c r="Q1050" t="s">
        <v>245</v>
      </c>
      <c r="R1050">
        <v>28.6</v>
      </c>
      <c r="S1050">
        <v>31.4</v>
      </c>
      <c r="T1050">
        <v>28.6</v>
      </c>
      <c r="U1050">
        <v>4.3</v>
      </c>
      <c r="V1050">
        <v>7.1</v>
      </c>
    </row>
    <row r="1051" spans="1:22" x14ac:dyDescent="0.25">
      <c r="A1051" t="s">
        <v>2365</v>
      </c>
      <c r="B1051" t="s">
        <v>1049</v>
      </c>
      <c r="C1051">
        <v>18</v>
      </c>
      <c r="D1051" t="s">
        <v>260</v>
      </c>
      <c r="E1051" t="s">
        <v>140</v>
      </c>
      <c r="F1051" t="s">
        <v>66</v>
      </c>
      <c r="G1051">
        <v>0.22</v>
      </c>
      <c r="H1051" t="s">
        <v>55</v>
      </c>
      <c r="I1051">
        <v>-8</v>
      </c>
      <c r="J1051" t="str">
        <f>HYPERLINK("https://www.eliteprospects.com/player/647235/samuel-borschowa")</f>
        <v>https://www.eliteprospects.com/player/647235/samuel-borschowa</v>
      </c>
      <c r="K1051" t="s">
        <v>27</v>
      </c>
      <c r="L1051" t="s">
        <v>918</v>
      </c>
      <c r="M1051" t="s">
        <v>1296</v>
      </c>
      <c r="N1051">
        <v>4</v>
      </c>
      <c r="O1051" t="s">
        <v>978</v>
      </c>
      <c r="P1051">
        <v>0.03</v>
      </c>
      <c r="Q1051" t="s">
        <v>245</v>
      </c>
      <c r="R1051">
        <v>28.6</v>
      </c>
      <c r="S1051">
        <v>31.4</v>
      </c>
      <c r="T1051">
        <v>28.6</v>
      </c>
      <c r="U1051">
        <v>4.3</v>
      </c>
      <c r="V1051">
        <v>7.1</v>
      </c>
    </row>
    <row r="1052" spans="1:22" x14ac:dyDescent="0.25">
      <c r="A1052" t="s">
        <v>2366</v>
      </c>
      <c r="B1052" t="s">
        <v>991</v>
      </c>
      <c r="C1052">
        <v>18</v>
      </c>
      <c r="D1052" t="s">
        <v>260</v>
      </c>
      <c r="E1052" t="s">
        <v>140</v>
      </c>
      <c r="F1052" t="s">
        <v>66</v>
      </c>
      <c r="G1052">
        <v>0.22</v>
      </c>
      <c r="H1052" t="s">
        <v>24</v>
      </c>
      <c r="I1052">
        <v>0</v>
      </c>
      <c r="J1052" t="str">
        <f>HYPERLINK("https://www.eliteprospects.com/player/403779/chase-lacombe")</f>
        <v>https://www.eliteprospects.com/player/403779/chase-lacombe</v>
      </c>
      <c r="K1052" t="s">
        <v>27</v>
      </c>
      <c r="L1052" t="s">
        <v>918</v>
      </c>
      <c r="M1052" t="s">
        <v>1296</v>
      </c>
      <c r="N1052">
        <v>5</v>
      </c>
      <c r="O1052" t="s">
        <v>2292</v>
      </c>
      <c r="P1052">
        <v>0.03</v>
      </c>
      <c r="Q1052" t="s">
        <v>245</v>
      </c>
      <c r="R1052">
        <v>28.6</v>
      </c>
      <c r="S1052">
        <v>31.4</v>
      </c>
      <c r="T1052">
        <v>28.6</v>
      </c>
      <c r="U1052">
        <v>4.3</v>
      </c>
      <c r="V1052">
        <v>7.1</v>
      </c>
    </row>
    <row r="1053" spans="1:22" x14ac:dyDescent="0.25">
      <c r="A1053" t="s">
        <v>2367</v>
      </c>
      <c r="B1053" t="s">
        <v>944</v>
      </c>
      <c r="C1053">
        <v>19</v>
      </c>
      <c r="D1053" t="s">
        <v>260</v>
      </c>
      <c r="E1053" t="s">
        <v>140</v>
      </c>
      <c r="F1053" t="s">
        <v>66</v>
      </c>
      <c r="G1053">
        <v>0.21</v>
      </c>
      <c r="H1053" t="s">
        <v>589</v>
      </c>
      <c r="I1053">
        <v>5</v>
      </c>
      <c r="J1053" t="str">
        <f>HYPERLINK("https://www.eliteprospects.com/player/382864/alexis-arsenault")</f>
        <v>https://www.eliteprospects.com/player/382864/alexis-arsenault</v>
      </c>
      <c r="K1053" t="s">
        <v>27</v>
      </c>
      <c r="L1053" t="s">
        <v>918</v>
      </c>
      <c r="M1053" t="s">
        <v>1296</v>
      </c>
      <c r="N1053">
        <v>6</v>
      </c>
      <c r="O1053" t="s">
        <v>1057</v>
      </c>
      <c r="P1053">
        <v>0.03</v>
      </c>
      <c r="Q1053" t="s">
        <v>245</v>
      </c>
      <c r="R1053">
        <v>28.6</v>
      </c>
      <c r="S1053">
        <v>31.4</v>
      </c>
      <c r="T1053">
        <v>28.6</v>
      </c>
      <c r="U1053">
        <v>4.3</v>
      </c>
      <c r="V1053">
        <v>7.1</v>
      </c>
    </row>
    <row r="1054" spans="1:22" x14ac:dyDescent="0.25">
      <c r="A1054" t="s">
        <v>2368</v>
      </c>
      <c r="B1054" t="s">
        <v>931</v>
      </c>
      <c r="C1054">
        <v>11</v>
      </c>
      <c r="D1054" t="s">
        <v>132</v>
      </c>
      <c r="E1054" t="s">
        <v>66</v>
      </c>
      <c r="F1054" t="s">
        <v>66</v>
      </c>
      <c r="G1054">
        <v>0.36</v>
      </c>
      <c r="H1054" t="s">
        <v>57</v>
      </c>
      <c r="I1054">
        <v>-3</v>
      </c>
      <c r="J1054" t="str">
        <f>HYPERLINK("https://www.eliteprospects.com/player/523482/leith-olafson")</f>
        <v>https://www.eliteprospects.com/player/523482/leith-olafson</v>
      </c>
      <c r="K1054" t="s">
        <v>27</v>
      </c>
      <c r="L1054" t="s">
        <v>918</v>
      </c>
      <c r="M1054" t="s">
        <v>1296</v>
      </c>
      <c r="N1054">
        <v>1</v>
      </c>
      <c r="O1054" t="s">
        <v>984</v>
      </c>
      <c r="P1054">
        <v>0.04</v>
      </c>
      <c r="Q1054" t="s">
        <v>245</v>
      </c>
      <c r="R1054">
        <v>28.6</v>
      </c>
      <c r="S1054">
        <v>31.4</v>
      </c>
      <c r="T1054">
        <v>28.6</v>
      </c>
      <c r="U1054">
        <v>4.3</v>
      </c>
      <c r="V1054">
        <v>7.1</v>
      </c>
    </row>
    <row r="1055" spans="1:22" x14ac:dyDescent="0.25">
      <c r="A1055" t="s">
        <v>2369</v>
      </c>
      <c r="B1055" t="s">
        <v>939</v>
      </c>
      <c r="C1055">
        <v>12</v>
      </c>
      <c r="D1055" t="s">
        <v>132</v>
      </c>
      <c r="E1055" t="s">
        <v>66</v>
      </c>
      <c r="F1055" t="s">
        <v>66</v>
      </c>
      <c r="G1055">
        <v>0.33</v>
      </c>
      <c r="H1055" t="s">
        <v>26</v>
      </c>
      <c r="I1055">
        <v>0</v>
      </c>
      <c r="J1055" t="str">
        <f>HYPERLINK("https://www.eliteprospects.com/player/279032/ty-prefontaine")</f>
        <v>https://www.eliteprospects.com/player/279032/ty-prefontaine</v>
      </c>
      <c r="K1055" t="s">
        <v>27</v>
      </c>
      <c r="L1055" t="s">
        <v>918</v>
      </c>
      <c r="M1055" t="s">
        <v>1296</v>
      </c>
      <c r="N1055">
        <v>6</v>
      </c>
      <c r="O1055" t="s">
        <v>975</v>
      </c>
      <c r="P1055">
        <v>0.04</v>
      </c>
      <c r="Q1055" t="s">
        <v>245</v>
      </c>
      <c r="R1055">
        <v>28.6</v>
      </c>
      <c r="S1055">
        <v>31.4</v>
      </c>
      <c r="T1055">
        <v>28.6</v>
      </c>
      <c r="U1055">
        <v>4.3</v>
      </c>
      <c r="V1055">
        <v>7.1</v>
      </c>
    </row>
    <row r="1056" spans="1:22" x14ac:dyDescent="0.25">
      <c r="A1056" t="s">
        <v>2370</v>
      </c>
      <c r="B1056" t="s">
        <v>966</v>
      </c>
      <c r="C1056">
        <v>12</v>
      </c>
      <c r="D1056" t="s">
        <v>132</v>
      </c>
      <c r="E1056" t="s">
        <v>66</v>
      </c>
      <c r="F1056" t="s">
        <v>66</v>
      </c>
      <c r="G1056">
        <v>0.33</v>
      </c>
      <c r="H1056" t="s">
        <v>269</v>
      </c>
      <c r="I1056">
        <v>6</v>
      </c>
      <c r="J1056" t="str">
        <f>HYPERLINK("https://www.eliteprospects.com/player/337731/luke-zazula")</f>
        <v>https://www.eliteprospects.com/player/337731/luke-zazula</v>
      </c>
      <c r="K1056" t="s">
        <v>27</v>
      </c>
      <c r="L1056" t="s">
        <v>918</v>
      </c>
      <c r="M1056" t="s">
        <v>1296</v>
      </c>
      <c r="N1056">
        <v>6</v>
      </c>
      <c r="O1056" t="s">
        <v>932</v>
      </c>
      <c r="P1056">
        <v>0.04</v>
      </c>
      <c r="Q1056" t="s">
        <v>245</v>
      </c>
      <c r="R1056">
        <v>28.6</v>
      </c>
      <c r="S1056">
        <v>31.4</v>
      </c>
      <c r="T1056">
        <v>28.6</v>
      </c>
      <c r="U1056">
        <v>4.3</v>
      </c>
      <c r="V1056">
        <v>7.1</v>
      </c>
    </row>
    <row r="1057" spans="1:22" x14ac:dyDescent="0.25">
      <c r="A1057" t="s">
        <v>2371</v>
      </c>
      <c r="B1057" t="s">
        <v>942</v>
      </c>
      <c r="C1057">
        <v>14</v>
      </c>
      <c r="D1057" t="s">
        <v>132</v>
      </c>
      <c r="E1057" t="s">
        <v>66</v>
      </c>
      <c r="F1057" t="s">
        <v>66</v>
      </c>
      <c r="G1057">
        <v>0.28999999999999998</v>
      </c>
      <c r="H1057" t="s">
        <v>81</v>
      </c>
      <c r="I1057">
        <v>0</v>
      </c>
      <c r="J1057" t="str">
        <f>HYPERLINK("https://www.eliteprospects.com/player/582757/jaden-raad")</f>
        <v>https://www.eliteprospects.com/player/582757/jaden-raad</v>
      </c>
      <c r="K1057" t="s">
        <v>27</v>
      </c>
      <c r="L1057" t="s">
        <v>918</v>
      </c>
      <c r="M1057" t="s">
        <v>1296</v>
      </c>
      <c r="N1057">
        <v>2</v>
      </c>
      <c r="O1057" t="s">
        <v>1021</v>
      </c>
      <c r="P1057">
        <v>0.04</v>
      </c>
      <c r="Q1057" t="s">
        <v>245</v>
      </c>
      <c r="R1057">
        <v>28.6</v>
      </c>
      <c r="S1057">
        <v>31.4</v>
      </c>
      <c r="T1057">
        <v>28.6</v>
      </c>
      <c r="U1057">
        <v>4.3</v>
      </c>
      <c r="V1057">
        <v>7.1</v>
      </c>
    </row>
    <row r="1058" spans="1:22" x14ac:dyDescent="0.25">
      <c r="A1058" t="s">
        <v>2372</v>
      </c>
      <c r="B1058" t="s">
        <v>1005</v>
      </c>
      <c r="C1058">
        <v>15</v>
      </c>
      <c r="D1058" t="s">
        <v>132</v>
      </c>
      <c r="E1058" t="s">
        <v>66</v>
      </c>
      <c r="F1058" t="s">
        <v>66</v>
      </c>
      <c r="G1058">
        <v>0.27</v>
      </c>
      <c r="H1058" t="s">
        <v>132</v>
      </c>
      <c r="I1058">
        <v>0</v>
      </c>
      <c r="J1058" t="str">
        <f>HYPERLINK("https://www.eliteprospects.com/player/413829/james-mayotte")</f>
        <v>https://www.eliteprospects.com/player/413829/james-mayotte</v>
      </c>
      <c r="K1058" t="s">
        <v>27</v>
      </c>
      <c r="L1058" t="s">
        <v>918</v>
      </c>
      <c r="M1058" t="s">
        <v>1296</v>
      </c>
      <c r="N1058">
        <v>5</v>
      </c>
      <c r="O1058" t="s">
        <v>935</v>
      </c>
      <c r="P1058">
        <v>0.03</v>
      </c>
      <c r="Q1058" t="s">
        <v>245</v>
      </c>
      <c r="R1058">
        <v>28.6</v>
      </c>
      <c r="S1058">
        <v>31.4</v>
      </c>
      <c r="T1058">
        <v>28.6</v>
      </c>
      <c r="U1058">
        <v>4.3</v>
      </c>
      <c r="V1058">
        <v>7.1</v>
      </c>
    </row>
    <row r="1059" spans="1:22" x14ac:dyDescent="0.25">
      <c r="A1059" t="s">
        <v>2373</v>
      </c>
      <c r="B1059" t="s">
        <v>1001</v>
      </c>
      <c r="C1059">
        <v>15</v>
      </c>
      <c r="D1059" t="s">
        <v>132</v>
      </c>
      <c r="E1059" t="s">
        <v>66</v>
      </c>
      <c r="F1059" t="s">
        <v>66</v>
      </c>
      <c r="G1059">
        <v>0.27</v>
      </c>
      <c r="H1059" t="s">
        <v>32</v>
      </c>
      <c r="I1059">
        <v>-11</v>
      </c>
      <c r="J1059" t="str">
        <f>HYPERLINK("https://www.eliteprospects.com/player/524809/jared-cosman")</f>
        <v>https://www.eliteprospects.com/player/524809/jared-cosman</v>
      </c>
      <c r="K1059" t="s">
        <v>27</v>
      </c>
      <c r="L1059" t="s">
        <v>918</v>
      </c>
      <c r="M1059" t="s">
        <v>1296</v>
      </c>
      <c r="N1059">
        <v>5</v>
      </c>
      <c r="O1059" t="s">
        <v>930</v>
      </c>
      <c r="P1059">
        <v>0.03</v>
      </c>
      <c r="Q1059" t="s">
        <v>245</v>
      </c>
      <c r="R1059">
        <v>28.6</v>
      </c>
      <c r="S1059">
        <v>31.4</v>
      </c>
      <c r="T1059">
        <v>28.6</v>
      </c>
      <c r="U1059">
        <v>4.3</v>
      </c>
      <c r="V1059">
        <v>7.1</v>
      </c>
    </row>
    <row r="1060" spans="1:22" x14ac:dyDescent="0.25">
      <c r="A1060" t="s">
        <v>2374</v>
      </c>
      <c r="B1060" t="s">
        <v>1015</v>
      </c>
      <c r="C1060">
        <v>16</v>
      </c>
      <c r="D1060" t="s">
        <v>132</v>
      </c>
      <c r="E1060" t="s">
        <v>66</v>
      </c>
      <c r="F1060" t="s">
        <v>66</v>
      </c>
      <c r="G1060">
        <v>0.25</v>
      </c>
      <c r="H1060" t="s">
        <v>79</v>
      </c>
      <c r="I1060">
        <v>-13</v>
      </c>
      <c r="J1060" t="str">
        <f>HYPERLINK("https://www.eliteprospects.com/player/282381/aiden-yakimchuk")</f>
        <v>https://www.eliteprospects.com/player/282381/aiden-yakimchuk</v>
      </c>
      <c r="K1060" t="s">
        <v>27</v>
      </c>
      <c r="L1060" t="s">
        <v>918</v>
      </c>
      <c r="M1060" t="s">
        <v>1296</v>
      </c>
      <c r="N1060">
        <v>4</v>
      </c>
      <c r="O1060" t="s">
        <v>1150</v>
      </c>
      <c r="P1060">
        <v>0.03</v>
      </c>
      <c r="Q1060" t="s">
        <v>245</v>
      </c>
      <c r="R1060">
        <v>28.6</v>
      </c>
      <c r="S1060">
        <v>31.4</v>
      </c>
      <c r="T1060">
        <v>28.6</v>
      </c>
      <c r="U1060">
        <v>4.3</v>
      </c>
      <c r="V1060">
        <v>7.1</v>
      </c>
    </row>
    <row r="1061" spans="1:22" x14ac:dyDescent="0.25">
      <c r="A1061" t="s">
        <v>2375</v>
      </c>
      <c r="B1061" t="s">
        <v>1003</v>
      </c>
      <c r="C1061">
        <v>16</v>
      </c>
      <c r="D1061" t="s">
        <v>132</v>
      </c>
      <c r="E1061" t="s">
        <v>66</v>
      </c>
      <c r="F1061" t="s">
        <v>66</v>
      </c>
      <c r="G1061">
        <v>0.25</v>
      </c>
      <c r="H1061" t="s">
        <v>26</v>
      </c>
      <c r="I1061">
        <v>0</v>
      </c>
      <c r="J1061" t="str">
        <f>HYPERLINK("https://www.eliteprospects.com/player/482067/nolan-ford")</f>
        <v>https://www.eliteprospects.com/player/482067/nolan-ford</v>
      </c>
      <c r="K1061" t="s">
        <v>27</v>
      </c>
      <c r="L1061" t="s">
        <v>918</v>
      </c>
      <c r="M1061" t="s">
        <v>1296</v>
      </c>
      <c r="N1061">
        <v>4</v>
      </c>
      <c r="O1061" t="s">
        <v>940</v>
      </c>
      <c r="P1061">
        <v>0.03</v>
      </c>
      <c r="Q1061" t="s">
        <v>245</v>
      </c>
      <c r="R1061">
        <v>28.6</v>
      </c>
      <c r="S1061">
        <v>31.4</v>
      </c>
      <c r="T1061">
        <v>28.6</v>
      </c>
      <c r="U1061">
        <v>4.3</v>
      </c>
      <c r="V1061">
        <v>7.1</v>
      </c>
    </row>
    <row r="1062" spans="1:22" x14ac:dyDescent="0.25">
      <c r="A1062" t="s">
        <v>2376</v>
      </c>
      <c r="B1062" t="s">
        <v>1032</v>
      </c>
      <c r="C1062">
        <v>17</v>
      </c>
      <c r="D1062" t="s">
        <v>132</v>
      </c>
      <c r="E1062" t="s">
        <v>66</v>
      </c>
      <c r="F1062" t="s">
        <v>66</v>
      </c>
      <c r="G1062">
        <v>0.24</v>
      </c>
      <c r="H1062" t="s">
        <v>512</v>
      </c>
      <c r="I1062">
        <v>0</v>
      </c>
      <c r="J1062" t="str">
        <f>HYPERLINK("https://www.eliteprospects.com/player/711670/blair-scott")</f>
        <v>https://www.eliteprospects.com/player/711670/blair-scott</v>
      </c>
      <c r="K1062" t="s">
        <v>27</v>
      </c>
      <c r="L1062" t="s">
        <v>918</v>
      </c>
      <c r="M1062" t="s">
        <v>1296</v>
      </c>
      <c r="N1062">
        <v>4</v>
      </c>
      <c r="O1062" t="s">
        <v>1025</v>
      </c>
      <c r="P1062">
        <v>0.03</v>
      </c>
      <c r="Q1062" t="s">
        <v>245</v>
      </c>
      <c r="R1062">
        <v>28.6</v>
      </c>
      <c r="S1062">
        <v>31.4</v>
      </c>
      <c r="T1062">
        <v>28.6</v>
      </c>
      <c r="U1062">
        <v>4.3</v>
      </c>
      <c r="V1062">
        <v>7.1</v>
      </c>
    </row>
    <row r="1063" spans="1:22" x14ac:dyDescent="0.25">
      <c r="A1063" t="s">
        <v>2377</v>
      </c>
      <c r="B1063" t="s">
        <v>972</v>
      </c>
      <c r="C1063">
        <v>18</v>
      </c>
      <c r="D1063" t="s">
        <v>132</v>
      </c>
      <c r="E1063" t="s">
        <v>66</v>
      </c>
      <c r="F1063" t="s">
        <v>66</v>
      </c>
      <c r="G1063">
        <v>0.22</v>
      </c>
      <c r="H1063" t="s">
        <v>32</v>
      </c>
      <c r="I1063">
        <v>0</v>
      </c>
      <c r="J1063" t="str">
        <f>HYPERLINK("https://www.eliteprospects.com/player/526230/marko-stojkov")</f>
        <v>https://www.eliteprospects.com/player/526230/marko-stojkov</v>
      </c>
      <c r="K1063" t="s">
        <v>27</v>
      </c>
      <c r="L1063" t="s">
        <v>918</v>
      </c>
      <c r="M1063" t="s">
        <v>1296</v>
      </c>
      <c r="N1063">
        <v>3</v>
      </c>
      <c r="O1063" t="s">
        <v>1211</v>
      </c>
      <c r="P1063">
        <v>0.03</v>
      </c>
      <c r="Q1063" t="s">
        <v>245</v>
      </c>
      <c r="R1063">
        <v>28.6</v>
      </c>
      <c r="S1063">
        <v>31.4</v>
      </c>
      <c r="T1063">
        <v>28.6</v>
      </c>
      <c r="U1063">
        <v>4.3</v>
      </c>
      <c r="V1063">
        <v>7.1</v>
      </c>
    </row>
    <row r="1064" spans="1:22" x14ac:dyDescent="0.25">
      <c r="A1064" t="s">
        <v>2378</v>
      </c>
      <c r="B1064" t="s">
        <v>1032</v>
      </c>
      <c r="C1064">
        <v>18</v>
      </c>
      <c r="D1064" t="s">
        <v>132</v>
      </c>
      <c r="E1064" t="s">
        <v>66</v>
      </c>
      <c r="F1064" t="s">
        <v>66</v>
      </c>
      <c r="G1064">
        <v>0.22</v>
      </c>
      <c r="H1064" t="s">
        <v>23</v>
      </c>
      <c r="I1064">
        <v>0</v>
      </c>
      <c r="J1064" t="str">
        <f>HYPERLINK("https://www.eliteprospects.com/player/521752/jordan-hendry")</f>
        <v>https://www.eliteprospects.com/player/521752/jordan-hendry</v>
      </c>
      <c r="K1064" t="s">
        <v>27</v>
      </c>
      <c r="L1064" t="s">
        <v>918</v>
      </c>
      <c r="M1064" t="s">
        <v>1296</v>
      </c>
      <c r="N1064">
        <v>2</v>
      </c>
      <c r="O1064" t="s">
        <v>1021</v>
      </c>
      <c r="P1064">
        <v>0.03</v>
      </c>
      <c r="Q1064" t="s">
        <v>245</v>
      </c>
      <c r="R1064">
        <v>28.6</v>
      </c>
      <c r="S1064">
        <v>31.4</v>
      </c>
      <c r="T1064">
        <v>28.6</v>
      </c>
      <c r="U1064">
        <v>4.3</v>
      </c>
      <c r="V1064">
        <v>7.1</v>
      </c>
    </row>
    <row r="1065" spans="1:22" x14ac:dyDescent="0.25">
      <c r="A1065" t="s">
        <v>2379</v>
      </c>
      <c r="B1065" t="s">
        <v>929</v>
      </c>
      <c r="C1065">
        <v>18</v>
      </c>
      <c r="D1065" t="s">
        <v>132</v>
      </c>
      <c r="E1065" t="s">
        <v>66</v>
      </c>
      <c r="F1065" t="s">
        <v>66</v>
      </c>
      <c r="G1065">
        <v>0.22</v>
      </c>
      <c r="H1065" t="s">
        <v>55</v>
      </c>
      <c r="I1065">
        <v>7</v>
      </c>
      <c r="J1065" t="str">
        <f>HYPERLINK("https://www.eliteprospects.com/player/449203/alexandre-de-gagne")</f>
        <v>https://www.eliteprospects.com/player/449203/alexandre-de-gagne</v>
      </c>
      <c r="K1065" t="s">
        <v>27</v>
      </c>
      <c r="L1065" t="s">
        <v>918</v>
      </c>
      <c r="M1065" t="s">
        <v>1296</v>
      </c>
      <c r="N1065">
        <v>6</v>
      </c>
      <c r="O1065" t="s">
        <v>1057</v>
      </c>
      <c r="P1065">
        <v>0.03</v>
      </c>
      <c r="Q1065" t="s">
        <v>245</v>
      </c>
      <c r="R1065">
        <v>28.6</v>
      </c>
      <c r="S1065">
        <v>31.4</v>
      </c>
      <c r="T1065">
        <v>28.6</v>
      </c>
      <c r="U1065">
        <v>4.3</v>
      </c>
      <c r="V1065">
        <v>7.1</v>
      </c>
    </row>
    <row r="1066" spans="1:22" x14ac:dyDescent="0.25">
      <c r="A1066" t="s">
        <v>2380</v>
      </c>
      <c r="B1066" t="s">
        <v>1084</v>
      </c>
      <c r="C1066">
        <v>18</v>
      </c>
      <c r="D1066" t="s">
        <v>132</v>
      </c>
      <c r="E1066" t="s">
        <v>66</v>
      </c>
      <c r="F1066" t="s">
        <v>66</v>
      </c>
      <c r="G1066">
        <v>0.22</v>
      </c>
      <c r="H1066" t="s">
        <v>40</v>
      </c>
      <c r="I1066">
        <v>0</v>
      </c>
      <c r="J1066" t="str">
        <f>HYPERLINK("https://www.eliteprospects.com/player/749299/james-mcdowall")</f>
        <v>https://www.eliteprospects.com/player/749299/james-mcdowall</v>
      </c>
      <c r="K1066" t="s">
        <v>27</v>
      </c>
      <c r="L1066" t="s">
        <v>918</v>
      </c>
      <c r="M1066" t="s">
        <v>1296</v>
      </c>
      <c r="N1066">
        <v>1</v>
      </c>
      <c r="O1066" t="s">
        <v>984</v>
      </c>
      <c r="P1066">
        <v>0.03</v>
      </c>
      <c r="Q1066" t="s">
        <v>245</v>
      </c>
      <c r="R1066">
        <v>28.6</v>
      </c>
      <c r="S1066">
        <v>31.4</v>
      </c>
      <c r="T1066">
        <v>28.6</v>
      </c>
      <c r="U1066">
        <v>4.3</v>
      </c>
      <c r="V1066">
        <v>7.1</v>
      </c>
    </row>
    <row r="1067" spans="1:22" x14ac:dyDescent="0.25">
      <c r="A1067" t="s">
        <v>2381</v>
      </c>
      <c r="B1067" t="s">
        <v>1053</v>
      </c>
      <c r="C1067">
        <v>18</v>
      </c>
      <c r="D1067" t="s">
        <v>132</v>
      </c>
      <c r="E1067" t="s">
        <v>66</v>
      </c>
      <c r="F1067" t="s">
        <v>66</v>
      </c>
      <c r="G1067">
        <v>0.22</v>
      </c>
      <c r="H1067" t="s">
        <v>280</v>
      </c>
      <c r="I1067">
        <v>0</v>
      </c>
      <c r="J1067" t="str">
        <f>HYPERLINK("https://www.eliteprospects.com/player/479568/david-mabey")</f>
        <v>https://www.eliteprospects.com/player/479568/david-mabey</v>
      </c>
      <c r="K1067" t="s">
        <v>27</v>
      </c>
      <c r="L1067" t="s">
        <v>918</v>
      </c>
      <c r="M1067" t="s">
        <v>1296</v>
      </c>
      <c r="N1067">
        <v>3</v>
      </c>
      <c r="O1067" t="s">
        <v>962</v>
      </c>
      <c r="P1067">
        <v>0.03</v>
      </c>
      <c r="Q1067" t="s">
        <v>245</v>
      </c>
      <c r="R1067">
        <v>28.6</v>
      </c>
      <c r="S1067">
        <v>31.4</v>
      </c>
      <c r="T1067">
        <v>28.6</v>
      </c>
      <c r="U1067">
        <v>4.3</v>
      </c>
      <c r="V1067">
        <v>7.1</v>
      </c>
    </row>
    <row r="1068" spans="1:22" x14ac:dyDescent="0.25">
      <c r="A1068" t="s">
        <v>2382</v>
      </c>
      <c r="B1068" t="s">
        <v>923</v>
      </c>
      <c r="C1068">
        <v>12</v>
      </c>
      <c r="D1068" t="s">
        <v>79</v>
      </c>
      <c r="E1068" t="s">
        <v>260</v>
      </c>
      <c r="F1068" t="s">
        <v>140</v>
      </c>
      <c r="G1068">
        <v>0.25</v>
      </c>
      <c r="H1068" t="s">
        <v>26</v>
      </c>
      <c r="I1068">
        <v>2</v>
      </c>
      <c r="J1068" t="str">
        <f>HYPERLINK("https://www.eliteprospects.com/player/575014/kaiden-bugera")</f>
        <v>https://www.eliteprospects.com/player/575014/kaiden-bugera</v>
      </c>
      <c r="K1068" t="s">
        <v>27</v>
      </c>
      <c r="L1068" t="s">
        <v>918</v>
      </c>
      <c r="M1068" t="s">
        <v>1296</v>
      </c>
      <c r="N1068">
        <v>1</v>
      </c>
      <c r="O1068" t="s">
        <v>984</v>
      </c>
      <c r="P1068">
        <v>0.03</v>
      </c>
      <c r="Q1068" t="s">
        <v>245</v>
      </c>
      <c r="R1068">
        <v>28.6</v>
      </c>
      <c r="S1068">
        <v>31.4</v>
      </c>
      <c r="T1068">
        <v>28.6</v>
      </c>
      <c r="U1068">
        <v>4.3</v>
      </c>
      <c r="V1068">
        <v>7.1</v>
      </c>
    </row>
    <row r="1069" spans="1:22" x14ac:dyDescent="0.25">
      <c r="A1069" t="s">
        <v>2383</v>
      </c>
      <c r="B1069" t="s">
        <v>923</v>
      </c>
      <c r="C1069">
        <v>13</v>
      </c>
      <c r="D1069" t="s">
        <v>79</v>
      </c>
      <c r="E1069" t="s">
        <v>260</v>
      </c>
      <c r="F1069" t="s">
        <v>140</v>
      </c>
      <c r="G1069">
        <v>0.23</v>
      </c>
      <c r="H1069" t="s">
        <v>66</v>
      </c>
      <c r="I1069">
        <v>3</v>
      </c>
      <c r="J1069" t="str">
        <f>HYPERLINK("https://www.eliteprospects.com/player/569263/tre-fouquette")</f>
        <v>https://www.eliteprospects.com/player/569263/tre-fouquette</v>
      </c>
      <c r="K1069" t="s">
        <v>27</v>
      </c>
      <c r="L1069" t="s">
        <v>918</v>
      </c>
      <c r="M1069" t="s">
        <v>1296</v>
      </c>
      <c r="N1069">
        <v>5</v>
      </c>
      <c r="O1069" t="s">
        <v>979</v>
      </c>
      <c r="P1069">
        <v>0.03</v>
      </c>
      <c r="Q1069" t="s">
        <v>245</v>
      </c>
      <c r="R1069">
        <v>28.6</v>
      </c>
      <c r="S1069">
        <v>31.4</v>
      </c>
      <c r="T1069">
        <v>28.6</v>
      </c>
      <c r="U1069">
        <v>4.3</v>
      </c>
      <c r="V1069">
        <v>7.1</v>
      </c>
    </row>
    <row r="1070" spans="1:22" x14ac:dyDescent="0.25">
      <c r="A1070" t="s">
        <v>2384</v>
      </c>
      <c r="B1070" t="s">
        <v>1005</v>
      </c>
      <c r="C1070">
        <v>19</v>
      </c>
      <c r="D1070" t="s">
        <v>79</v>
      </c>
      <c r="E1070" t="s">
        <v>260</v>
      </c>
      <c r="F1070" t="s">
        <v>140</v>
      </c>
      <c r="G1070">
        <v>0.16</v>
      </c>
      <c r="H1070" t="s">
        <v>52</v>
      </c>
      <c r="I1070">
        <v>0</v>
      </c>
      <c r="J1070" t="str">
        <f>HYPERLINK("https://www.eliteprospects.com/player/412431/majid-kaddoura")</f>
        <v>https://www.eliteprospects.com/player/412431/majid-kaddoura</v>
      </c>
      <c r="K1070" t="s">
        <v>27</v>
      </c>
      <c r="L1070" t="s">
        <v>918</v>
      </c>
      <c r="M1070" t="s">
        <v>1296</v>
      </c>
      <c r="N1070">
        <v>6</v>
      </c>
      <c r="O1070" t="s">
        <v>927</v>
      </c>
      <c r="P1070">
        <v>0.02</v>
      </c>
      <c r="Q1070" t="s">
        <v>245</v>
      </c>
      <c r="R1070">
        <v>28.6</v>
      </c>
      <c r="S1070">
        <v>31.4</v>
      </c>
      <c r="T1070">
        <v>28.6</v>
      </c>
      <c r="U1070">
        <v>4.3</v>
      </c>
      <c r="V1070">
        <v>7.1</v>
      </c>
    </row>
    <row r="1071" spans="1:22" x14ac:dyDescent="0.25">
      <c r="A1071" t="s">
        <v>2385</v>
      </c>
      <c r="B1071" t="s">
        <v>926</v>
      </c>
      <c r="C1071">
        <v>13</v>
      </c>
      <c r="D1071" t="s">
        <v>260</v>
      </c>
      <c r="E1071" t="s">
        <v>79</v>
      </c>
      <c r="F1071" t="s">
        <v>140</v>
      </c>
      <c r="G1071">
        <v>0.23</v>
      </c>
      <c r="H1071" t="s">
        <v>132</v>
      </c>
      <c r="I1071">
        <v>2</v>
      </c>
      <c r="J1071" t="str">
        <f>HYPERLINK("https://www.eliteprospects.com/player/291453/matthew-smith")</f>
        <v>https://www.eliteprospects.com/player/291453/matthew-smith</v>
      </c>
      <c r="K1071" t="s">
        <v>27</v>
      </c>
      <c r="L1071" t="s">
        <v>918</v>
      </c>
      <c r="M1071" t="s">
        <v>1296</v>
      </c>
      <c r="N1071">
        <v>6</v>
      </c>
      <c r="O1071" t="s">
        <v>932</v>
      </c>
      <c r="P1071">
        <v>0.03</v>
      </c>
      <c r="Q1071" t="s">
        <v>245</v>
      </c>
      <c r="R1071">
        <v>28.6</v>
      </c>
      <c r="S1071">
        <v>31.4</v>
      </c>
      <c r="T1071">
        <v>28.6</v>
      </c>
      <c r="U1071">
        <v>4.3</v>
      </c>
      <c r="V1071">
        <v>7.1</v>
      </c>
    </row>
    <row r="1072" spans="1:22" x14ac:dyDescent="0.25">
      <c r="A1072" t="s">
        <v>2386</v>
      </c>
      <c r="B1072" t="s">
        <v>939</v>
      </c>
      <c r="C1072">
        <v>14</v>
      </c>
      <c r="D1072" t="s">
        <v>260</v>
      </c>
      <c r="E1072" t="s">
        <v>79</v>
      </c>
      <c r="F1072" t="s">
        <v>140</v>
      </c>
      <c r="G1072">
        <v>0.21</v>
      </c>
      <c r="H1072" t="s">
        <v>24</v>
      </c>
      <c r="I1072">
        <v>-1</v>
      </c>
      <c r="J1072" t="str">
        <f>HYPERLINK("https://www.eliteprospects.com/player/201953/cole-jordan")</f>
        <v>https://www.eliteprospects.com/player/201953/cole-jordan</v>
      </c>
      <c r="K1072" t="s">
        <v>27</v>
      </c>
      <c r="L1072" t="s">
        <v>918</v>
      </c>
      <c r="M1072" t="s">
        <v>1296</v>
      </c>
      <c r="N1072">
        <v>6</v>
      </c>
      <c r="O1072" t="s">
        <v>924</v>
      </c>
      <c r="P1072">
        <v>0.03</v>
      </c>
      <c r="Q1072" t="s">
        <v>245</v>
      </c>
      <c r="R1072">
        <v>28.6</v>
      </c>
      <c r="S1072">
        <v>31.4</v>
      </c>
      <c r="T1072">
        <v>28.6</v>
      </c>
      <c r="U1072">
        <v>4.3</v>
      </c>
      <c r="V1072">
        <v>7.1</v>
      </c>
    </row>
    <row r="1073" spans="1:22" x14ac:dyDescent="0.25">
      <c r="A1073" t="s">
        <v>2387</v>
      </c>
      <c r="B1073" t="s">
        <v>947</v>
      </c>
      <c r="C1073">
        <v>15</v>
      </c>
      <c r="D1073" t="s">
        <v>260</v>
      </c>
      <c r="E1073" t="s">
        <v>79</v>
      </c>
      <c r="F1073" t="s">
        <v>140</v>
      </c>
      <c r="G1073">
        <v>0.2</v>
      </c>
      <c r="H1073" t="s">
        <v>53</v>
      </c>
      <c r="I1073">
        <v>0</v>
      </c>
      <c r="J1073" t="str">
        <f>HYPERLINK("https://www.eliteprospects.com/player/481408/ian-ferguson")</f>
        <v>https://www.eliteprospects.com/player/481408/ian-ferguson</v>
      </c>
      <c r="K1073" t="s">
        <v>27</v>
      </c>
      <c r="L1073" t="s">
        <v>918</v>
      </c>
      <c r="M1073" t="s">
        <v>1296</v>
      </c>
      <c r="N1073">
        <v>6</v>
      </c>
      <c r="O1073" t="s">
        <v>924</v>
      </c>
      <c r="P1073">
        <v>0.02</v>
      </c>
      <c r="Q1073" t="s">
        <v>245</v>
      </c>
      <c r="R1073">
        <v>28.6</v>
      </c>
      <c r="S1073">
        <v>31.4</v>
      </c>
      <c r="T1073">
        <v>28.6</v>
      </c>
      <c r="U1073">
        <v>4.3</v>
      </c>
      <c r="V1073">
        <v>7.1</v>
      </c>
    </row>
    <row r="1074" spans="1:22" x14ac:dyDescent="0.25">
      <c r="A1074" t="s">
        <v>2388</v>
      </c>
      <c r="B1074" t="s">
        <v>944</v>
      </c>
      <c r="C1074">
        <v>17</v>
      </c>
      <c r="D1074" t="s">
        <v>260</v>
      </c>
      <c r="E1074" t="s">
        <v>79</v>
      </c>
      <c r="F1074" t="s">
        <v>140</v>
      </c>
      <c r="G1074">
        <v>0.18</v>
      </c>
      <c r="H1074" t="s">
        <v>529</v>
      </c>
      <c r="I1074">
        <v>3</v>
      </c>
      <c r="J1074" t="str">
        <f>HYPERLINK("https://www.eliteprospects.com/player/571212/charles-cote")</f>
        <v>https://www.eliteprospects.com/player/571212/charles-cote</v>
      </c>
      <c r="K1074" t="s">
        <v>27</v>
      </c>
      <c r="L1074" t="s">
        <v>918</v>
      </c>
      <c r="M1074" t="s">
        <v>1296</v>
      </c>
      <c r="N1074">
        <v>5</v>
      </c>
      <c r="O1074" t="s">
        <v>930</v>
      </c>
      <c r="P1074">
        <v>0.02</v>
      </c>
      <c r="Q1074" t="s">
        <v>245</v>
      </c>
      <c r="R1074">
        <v>28.6</v>
      </c>
      <c r="S1074">
        <v>31.4</v>
      </c>
      <c r="T1074">
        <v>28.6</v>
      </c>
      <c r="U1074">
        <v>4.3</v>
      </c>
      <c r="V1074">
        <v>7.1</v>
      </c>
    </row>
    <row r="1075" spans="1:22" x14ac:dyDescent="0.25">
      <c r="A1075" t="s">
        <v>2389</v>
      </c>
      <c r="B1075" t="s">
        <v>991</v>
      </c>
      <c r="C1075">
        <v>18</v>
      </c>
      <c r="D1075" t="s">
        <v>260</v>
      </c>
      <c r="E1075" t="s">
        <v>79</v>
      </c>
      <c r="F1075" t="s">
        <v>140</v>
      </c>
      <c r="G1075">
        <v>0.17</v>
      </c>
      <c r="H1075" t="s">
        <v>125</v>
      </c>
      <c r="I1075">
        <v>0</v>
      </c>
      <c r="J1075" t="str">
        <f>HYPERLINK("https://www.eliteprospects.com/player/300779/willem-larsen")</f>
        <v>https://www.eliteprospects.com/player/300779/willem-larsen</v>
      </c>
      <c r="K1075" t="s">
        <v>27</v>
      </c>
      <c r="L1075" t="s">
        <v>918</v>
      </c>
      <c r="M1075" t="s">
        <v>1296</v>
      </c>
      <c r="N1075">
        <v>4</v>
      </c>
      <c r="O1075" t="s">
        <v>940</v>
      </c>
      <c r="P1075">
        <v>0.02</v>
      </c>
      <c r="Q1075" t="s">
        <v>245</v>
      </c>
      <c r="R1075">
        <v>28.6</v>
      </c>
      <c r="S1075">
        <v>31.4</v>
      </c>
      <c r="T1075">
        <v>28.6</v>
      </c>
      <c r="U1075">
        <v>4.3</v>
      </c>
      <c r="V1075">
        <v>7.1</v>
      </c>
    </row>
    <row r="1076" spans="1:22" x14ac:dyDescent="0.25">
      <c r="A1076" t="s">
        <v>2390</v>
      </c>
      <c r="B1076" t="s">
        <v>929</v>
      </c>
      <c r="C1076">
        <v>18</v>
      </c>
      <c r="D1076" t="s">
        <v>260</v>
      </c>
      <c r="E1076" t="s">
        <v>79</v>
      </c>
      <c r="F1076" t="s">
        <v>140</v>
      </c>
      <c r="G1076">
        <v>0.17</v>
      </c>
      <c r="H1076" t="s">
        <v>638</v>
      </c>
      <c r="I1076">
        <v>-1</v>
      </c>
      <c r="J1076" t="str">
        <f>HYPERLINK("https://www.eliteprospects.com/player/598379/antoine-michaud")</f>
        <v>https://www.eliteprospects.com/player/598379/antoine-michaud</v>
      </c>
      <c r="K1076" t="s">
        <v>27</v>
      </c>
      <c r="L1076" t="s">
        <v>918</v>
      </c>
      <c r="M1076" t="s">
        <v>1296</v>
      </c>
      <c r="N1076">
        <v>5</v>
      </c>
      <c r="O1076" t="s">
        <v>930</v>
      </c>
      <c r="P1076">
        <v>0.02</v>
      </c>
      <c r="Q1076" t="s">
        <v>245</v>
      </c>
      <c r="R1076">
        <v>28.6</v>
      </c>
      <c r="S1076">
        <v>31.4</v>
      </c>
      <c r="T1076">
        <v>28.6</v>
      </c>
      <c r="U1076">
        <v>4.3</v>
      </c>
      <c r="V1076">
        <v>7.1</v>
      </c>
    </row>
    <row r="1077" spans="1:22" x14ac:dyDescent="0.25">
      <c r="A1077" t="s">
        <v>2391</v>
      </c>
      <c r="B1077" t="s">
        <v>1011</v>
      </c>
      <c r="C1077">
        <v>18</v>
      </c>
      <c r="D1077" t="s">
        <v>260</v>
      </c>
      <c r="E1077" t="s">
        <v>79</v>
      </c>
      <c r="F1077" t="s">
        <v>140</v>
      </c>
      <c r="G1077">
        <v>0.17</v>
      </c>
      <c r="H1077" t="s">
        <v>716</v>
      </c>
      <c r="I1077">
        <v>0</v>
      </c>
      <c r="J1077" t="str">
        <f>HYPERLINK("https://www.eliteprospects.com/player/418415/mark-woolley")</f>
        <v>https://www.eliteprospects.com/player/418415/mark-woolley</v>
      </c>
      <c r="K1077" t="s">
        <v>27</v>
      </c>
      <c r="L1077" t="s">
        <v>918</v>
      </c>
      <c r="M1077" t="s">
        <v>1296</v>
      </c>
      <c r="N1077">
        <v>5</v>
      </c>
      <c r="O1077" t="s">
        <v>935</v>
      </c>
      <c r="P1077">
        <v>0.02</v>
      </c>
      <c r="Q1077" t="s">
        <v>245</v>
      </c>
      <c r="R1077">
        <v>28.6</v>
      </c>
      <c r="S1077">
        <v>31.4</v>
      </c>
      <c r="T1077">
        <v>28.6</v>
      </c>
      <c r="U1077">
        <v>4.3</v>
      </c>
      <c r="V1077">
        <v>7.1</v>
      </c>
    </row>
    <row r="1078" spans="1:22" x14ac:dyDescent="0.25">
      <c r="A1078" t="s">
        <v>2392</v>
      </c>
      <c r="B1078" t="s">
        <v>931</v>
      </c>
      <c r="C1078">
        <v>20</v>
      </c>
      <c r="D1078" t="s">
        <v>260</v>
      </c>
      <c r="E1078" t="s">
        <v>79</v>
      </c>
      <c r="F1078" t="s">
        <v>140</v>
      </c>
      <c r="G1078">
        <v>0.15</v>
      </c>
      <c r="H1078" t="s">
        <v>132</v>
      </c>
      <c r="I1078">
        <v>-1</v>
      </c>
      <c r="J1078" t="str">
        <f>HYPERLINK("https://www.eliteprospects.com/player/351084/mike-ladyman")</f>
        <v>https://www.eliteprospects.com/player/351084/mike-ladyman</v>
      </c>
      <c r="K1078" t="s">
        <v>27</v>
      </c>
      <c r="L1078" t="s">
        <v>918</v>
      </c>
      <c r="M1078" t="s">
        <v>1296</v>
      </c>
      <c r="N1078">
        <v>5</v>
      </c>
      <c r="O1078" t="s">
        <v>1107</v>
      </c>
      <c r="P1078">
        <v>0.02</v>
      </c>
      <c r="Q1078" t="s">
        <v>245</v>
      </c>
      <c r="R1078">
        <v>28.6</v>
      </c>
      <c r="S1078">
        <v>31.4</v>
      </c>
      <c r="T1078">
        <v>28.6</v>
      </c>
      <c r="U1078">
        <v>4.3</v>
      </c>
      <c r="V1078">
        <v>7.1</v>
      </c>
    </row>
    <row r="1079" spans="1:22" x14ac:dyDescent="0.25">
      <c r="A1079" t="s">
        <v>2393</v>
      </c>
      <c r="B1079" t="s">
        <v>947</v>
      </c>
      <c r="C1079">
        <v>14</v>
      </c>
      <c r="D1079" t="s">
        <v>132</v>
      </c>
      <c r="E1079" t="s">
        <v>140</v>
      </c>
      <c r="F1079" t="s">
        <v>140</v>
      </c>
      <c r="G1079">
        <v>0.21</v>
      </c>
      <c r="H1079" t="s">
        <v>53</v>
      </c>
      <c r="I1079">
        <v>0</v>
      </c>
      <c r="J1079" t="str">
        <f>HYPERLINK("https://www.eliteprospects.com/player/592642/nolan-roberts")</f>
        <v>https://www.eliteprospects.com/player/592642/nolan-roberts</v>
      </c>
      <c r="K1079" t="s">
        <v>27</v>
      </c>
      <c r="L1079" t="s">
        <v>918</v>
      </c>
      <c r="M1079" t="s">
        <v>1296</v>
      </c>
      <c r="N1079">
        <v>1</v>
      </c>
      <c r="O1079" t="s">
        <v>984</v>
      </c>
      <c r="P1079">
        <v>0.03</v>
      </c>
      <c r="Q1079" t="s">
        <v>245</v>
      </c>
      <c r="R1079">
        <v>28.6</v>
      </c>
      <c r="S1079">
        <v>31.4</v>
      </c>
      <c r="T1079">
        <v>28.6</v>
      </c>
      <c r="U1079">
        <v>4.3</v>
      </c>
      <c r="V1079">
        <v>7.1</v>
      </c>
    </row>
    <row r="1080" spans="1:22" x14ac:dyDescent="0.25">
      <c r="A1080" t="s">
        <v>2394</v>
      </c>
      <c r="B1080" t="s">
        <v>1049</v>
      </c>
      <c r="C1080">
        <v>16</v>
      </c>
      <c r="D1080" t="s">
        <v>132</v>
      </c>
      <c r="E1080" t="s">
        <v>140</v>
      </c>
      <c r="F1080" t="s">
        <v>140</v>
      </c>
      <c r="G1080">
        <v>0.19</v>
      </c>
      <c r="H1080" t="s">
        <v>57</v>
      </c>
      <c r="I1080">
        <v>4</v>
      </c>
      <c r="J1080" t="str">
        <f>HYPERLINK("https://www.eliteprospects.com/player/416997/evan-toth")</f>
        <v>https://www.eliteprospects.com/player/416997/evan-toth</v>
      </c>
      <c r="K1080" t="s">
        <v>27</v>
      </c>
      <c r="L1080" t="s">
        <v>918</v>
      </c>
      <c r="M1080" t="s">
        <v>1296</v>
      </c>
      <c r="N1080">
        <v>6</v>
      </c>
      <c r="O1080" t="s">
        <v>927</v>
      </c>
      <c r="P1080">
        <v>0.02</v>
      </c>
      <c r="Q1080" t="s">
        <v>245</v>
      </c>
      <c r="R1080">
        <v>28.6</v>
      </c>
      <c r="S1080">
        <v>31.4</v>
      </c>
      <c r="T1080">
        <v>28.6</v>
      </c>
      <c r="U1080">
        <v>4.3</v>
      </c>
      <c r="V1080">
        <v>7.1</v>
      </c>
    </row>
    <row r="1081" spans="1:22" x14ac:dyDescent="0.25">
      <c r="A1081" t="s">
        <v>2395</v>
      </c>
      <c r="B1081" t="s">
        <v>986</v>
      </c>
      <c r="C1081">
        <v>16</v>
      </c>
      <c r="D1081" t="s">
        <v>132</v>
      </c>
      <c r="E1081" t="s">
        <v>140</v>
      </c>
      <c r="F1081" t="s">
        <v>140</v>
      </c>
      <c r="G1081">
        <v>0.19</v>
      </c>
      <c r="H1081" t="s">
        <v>39</v>
      </c>
      <c r="I1081">
        <v>0</v>
      </c>
      <c r="J1081" t="str">
        <f>HYPERLINK("https://www.eliteprospects.com/player/483411/nolan-bettens")</f>
        <v>https://www.eliteprospects.com/player/483411/nolan-bettens</v>
      </c>
      <c r="K1081" t="s">
        <v>27</v>
      </c>
      <c r="L1081" t="s">
        <v>918</v>
      </c>
      <c r="M1081" t="s">
        <v>1296</v>
      </c>
      <c r="N1081">
        <v>1</v>
      </c>
      <c r="O1081" t="s">
        <v>984</v>
      </c>
      <c r="P1081">
        <v>0.02</v>
      </c>
      <c r="Q1081" t="s">
        <v>245</v>
      </c>
      <c r="R1081">
        <v>28.6</v>
      </c>
      <c r="S1081">
        <v>31.4</v>
      </c>
      <c r="T1081">
        <v>28.6</v>
      </c>
      <c r="U1081">
        <v>4.3</v>
      </c>
      <c r="V1081">
        <v>7.1</v>
      </c>
    </row>
    <row r="1082" spans="1:22" x14ac:dyDescent="0.25">
      <c r="A1082" t="s">
        <v>2396</v>
      </c>
      <c r="B1082" t="s">
        <v>1015</v>
      </c>
      <c r="C1082">
        <v>17</v>
      </c>
      <c r="D1082" t="s">
        <v>132</v>
      </c>
      <c r="E1082" t="s">
        <v>140</v>
      </c>
      <c r="F1082" t="s">
        <v>140</v>
      </c>
      <c r="G1082">
        <v>0.18</v>
      </c>
      <c r="H1082" t="s">
        <v>23</v>
      </c>
      <c r="I1082">
        <v>-1</v>
      </c>
      <c r="J1082" t="str">
        <f>HYPERLINK("https://www.eliteprospects.com/player/413413/joel-sexsmith")</f>
        <v>https://www.eliteprospects.com/player/413413/joel-sexsmith</v>
      </c>
      <c r="K1082" t="s">
        <v>27</v>
      </c>
      <c r="L1082" t="s">
        <v>918</v>
      </c>
      <c r="M1082" t="s">
        <v>1296</v>
      </c>
      <c r="N1082">
        <v>6</v>
      </c>
      <c r="O1082" t="s">
        <v>927</v>
      </c>
      <c r="P1082">
        <v>0.02</v>
      </c>
      <c r="Q1082" t="s">
        <v>245</v>
      </c>
      <c r="R1082">
        <v>28.6</v>
      </c>
      <c r="S1082">
        <v>31.4</v>
      </c>
      <c r="T1082">
        <v>28.6</v>
      </c>
      <c r="U1082">
        <v>4.3</v>
      </c>
      <c r="V1082">
        <v>7.1</v>
      </c>
    </row>
    <row r="1083" spans="1:22" x14ac:dyDescent="0.25">
      <c r="A1083" t="s">
        <v>2397</v>
      </c>
      <c r="B1083" t="s">
        <v>1118</v>
      </c>
      <c r="C1083">
        <v>17</v>
      </c>
      <c r="D1083" t="s">
        <v>132</v>
      </c>
      <c r="E1083" t="s">
        <v>140</v>
      </c>
      <c r="F1083" t="s">
        <v>140</v>
      </c>
      <c r="G1083">
        <v>0.18</v>
      </c>
      <c r="H1083" t="s">
        <v>25</v>
      </c>
      <c r="I1083">
        <v>-19</v>
      </c>
      <c r="J1083" t="str">
        <f>HYPERLINK("https://www.eliteprospects.com/player/569178/rylan-silzer")</f>
        <v>https://www.eliteprospects.com/player/569178/rylan-silzer</v>
      </c>
      <c r="K1083" t="s">
        <v>27</v>
      </c>
      <c r="L1083" t="s">
        <v>918</v>
      </c>
      <c r="M1083" t="s">
        <v>1296</v>
      </c>
      <c r="N1083">
        <v>1</v>
      </c>
      <c r="O1083" t="s">
        <v>984</v>
      </c>
      <c r="P1083">
        <v>0.02</v>
      </c>
      <c r="Q1083" t="s">
        <v>245</v>
      </c>
      <c r="R1083">
        <v>28.6</v>
      </c>
      <c r="S1083">
        <v>31.4</v>
      </c>
      <c r="T1083">
        <v>28.6</v>
      </c>
      <c r="U1083">
        <v>4.3</v>
      </c>
      <c r="V1083">
        <v>7.1</v>
      </c>
    </row>
    <row r="1084" spans="1:22" x14ac:dyDescent="0.25">
      <c r="A1084" t="s">
        <v>2398</v>
      </c>
      <c r="B1084" t="s">
        <v>942</v>
      </c>
      <c r="C1084">
        <v>18</v>
      </c>
      <c r="D1084" t="s">
        <v>132</v>
      </c>
      <c r="E1084" t="s">
        <v>140</v>
      </c>
      <c r="F1084" t="s">
        <v>140</v>
      </c>
      <c r="G1084">
        <v>0.17</v>
      </c>
      <c r="H1084" t="s">
        <v>32</v>
      </c>
      <c r="I1084">
        <v>0</v>
      </c>
      <c r="J1084" t="str">
        <f>HYPERLINK("https://www.eliteprospects.com/player/418523/evan-brand")</f>
        <v>https://www.eliteprospects.com/player/418523/evan-brand</v>
      </c>
      <c r="K1084" t="s">
        <v>27</v>
      </c>
      <c r="L1084" t="s">
        <v>918</v>
      </c>
      <c r="M1084" t="s">
        <v>1296</v>
      </c>
      <c r="N1084">
        <v>5</v>
      </c>
      <c r="O1084" t="s">
        <v>935</v>
      </c>
      <c r="P1084">
        <v>0.02</v>
      </c>
      <c r="Q1084" t="s">
        <v>245</v>
      </c>
      <c r="R1084">
        <v>28.6</v>
      </c>
      <c r="S1084">
        <v>31.4</v>
      </c>
      <c r="T1084">
        <v>28.6</v>
      </c>
      <c r="U1084">
        <v>4.3</v>
      </c>
      <c r="V1084">
        <v>7.1</v>
      </c>
    </row>
    <row r="1085" spans="1:22" x14ac:dyDescent="0.25">
      <c r="A1085" t="s">
        <v>2399</v>
      </c>
      <c r="B1085" t="s">
        <v>1053</v>
      </c>
      <c r="C1085">
        <v>18</v>
      </c>
      <c r="D1085" t="s">
        <v>132</v>
      </c>
      <c r="E1085" t="s">
        <v>140</v>
      </c>
      <c r="F1085" t="s">
        <v>140</v>
      </c>
      <c r="G1085">
        <v>0.17</v>
      </c>
      <c r="H1085" t="s">
        <v>24</v>
      </c>
      <c r="I1085">
        <v>0</v>
      </c>
      <c r="J1085" t="str">
        <f>HYPERLINK("https://www.eliteprospects.com/player/413420/bryan-mcandrews")</f>
        <v>https://www.eliteprospects.com/player/413420/bryan-mcandrews</v>
      </c>
      <c r="K1085" t="s">
        <v>27</v>
      </c>
      <c r="L1085" t="s">
        <v>918</v>
      </c>
      <c r="M1085" t="s">
        <v>1296</v>
      </c>
      <c r="N1085">
        <v>5</v>
      </c>
      <c r="O1085" t="s">
        <v>1107</v>
      </c>
      <c r="P1085">
        <v>0.02</v>
      </c>
      <c r="Q1085" t="s">
        <v>245</v>
      </c>
      <c r="R1085">
        <v>28.6</v>
      </c>
      <c r="S1085">
        <v>31.4</v>
      </c>
      <c r="T1085">
        <v>28.6</v>
      </c>
      <c r="U1085">
        <v>4.3</v>
      </c>
      <c r="V1085">
        <v>7.1</v>
      </c>
    </row>
    <row r="1086" spans="1:22" x14ac:dyDescent="0.25">
      <c r="A1086" t="s">
        <v>2400</v>
      </c>
      <c r="B1086" t="s">
        <v>998</v>
      </c>
      <c r="C1086">
        <v>18</v>
      </c>
      <c r="D1086" t="s">
        <v>132</v>
      </c>
      <c r="E1086" t="s">
        <v>140</v>
      </c>
      <c r="F1086" t="s">
        <v>140</v>
      </c>
      <c r="G1086">
        <v>0.17</v>
      </c>
      <c r="H1086" t="s">
        <v>47</v>
      </c>
      <c r="I1086">
        <v>0</v>
      </c>
      <c r="J1086" t="str">
        <f>HYPERLINK("https://www.eliteprospects.com/player/399348/jack-duff")</f>
        <v>https://www.eliteprospects.com/player/399348/jack-duff</v>
      </c>
      <c r="K1086" t="s">
        <v>27</v>
      </c>
      <c r="L1086" t="s">
        <v>918</v>
      </c>
      <c r="M1086" t="s">
        <v>1296</v>
      </c>
      <c r="N1086">
        <v>5</v>
      </c>
      <c r="O1086" t="s">
        <v>955</v>
      </c>
      <c r="P1086">
        <v>0.02</v>
      </c>
      <c r="Q1086" t="s">
        <v>245</v>
      </c>
      <c r="R1086">
        <v>28.6</v>
      </c>
      <c r="S1086">
        <v>31.4</v>
      </c>
      <c r="T1086">
        <v>28.6</v>
      </c>
      <c r="U1086">
        <v>4.3</v>
      </c>
      <c r="V1086">
        <v>7.1</v>
      </c>
    </row>
    <row r="1087" spans="1:22" x14ac:dyDescent="0.25">
      <c r="A1087" t="s">
        <v>2401</v>
      </c>
      <c r="B1087" t="s">
        <v>923</v>
      </c>
      <c r="C1087">
        <v>18</v>
      </c>
      <c r="D1087" t="s">
        <v>132</v>
      </c>
      <c r="E1087" t="s">
        <v>140</v>
      </c>
      <c r="F1087" t="s">
        <v>140</v>
      </c>
      <c r="G1087">
        <v>0.17</v>
      </c>
      <c r="H1087" t="s">
        <v>34</v>
      </c>
      <c r="I1087">
        <v>12</v>
      </c>
      <c r="J1087" t="str">
        <f>HYPERLINK("https://www.eliteprospects.com/player/483632/wyatt-wilson")</f>
        <v>https://www.eliteprospects.com/player/483632/wyatt-wilson</v>
      </c>
      <c r="K1087" t="s">
        <v>27</v>
      </c>
      <c r="L1087" t="s">
        <v>918</v>
      </c>
      <c r="M1087" t="s">
        <v>1296</v>
      </c>
      <c r="N1087">
        <v>4</v>
      </c>
      <c r="O1087" t="s">
        <v>978</v>
      </c>
      <c r="P1087">
        <v>0.02</v>
      </c>
      <c r="Q1087" t="s">
        <v>245</v>
      </c>
      <c r="R1087">
        <v>28.6</v>
      </c>
      <c r="S1087">
        <v>31.4</v>
      </c>
      <c r="T1087">
        <v>28.6</v>
      </c>
      <c r="U1087">
        <v>4.3</v>
      </c>
      <c r="V1087">
        <v>7.1</v>
      </c>
    </row>
    <row r="1088" spans="1:22" x14ac:dyDescent="0.25">
      <c r="A1088" t="s">
        <v>2402</v>
      </c>
      <c r="B1088" t="s">
        <v>957</v>
      </c>
      <c r="C1088">
        <v>20</v>
      </c>
      <c r="D1088" t="s">
        <v>132</v>
      </c>
      <c r="E1088" t="s">
        <v>140</v>
      </c>
      <c r="F1088" t="s">
        <v>140</v>
      </c>
      <c r="G1088">
        <v>0.15</v>
      </c>
      <c r="H1088" t="s">
        <v>39</v>
      </c>
      <c r="I1088">
        <v>-3</v>
      </c>
      <c r="J1088" t="str">
        <f>HYPERLINK("https://www.eliteprospects.com/player/413504/tyson-kowaluk")</f>
        <v>https://www.eliteprospects.com/player/413504/tyson-kowaluk</v>
      </c>
      <c r="K1088" t="s">
        <v>27</v>
      </c>
      <c r="L1088" t="s">
        <v>918</v>
      </c>
      <c r="M1088" t="s">
        <v>1296</v>
      </c>
      <c r="N1088">
        <v>2</v>
      </c>
      <c r="O1088" t="s">
        <v>1021</v>
      </c>
      <c r="P1088">
        <v>0.02</v>
      </c>
      <c r="Q1088" t="s">
        <v>245</v>
      </c>
      <c r="R1088">
        <v>28.6</v>
      </c>
      <c r="S1088">
        <v>31.4</v>
      </c>
      <c r="T1088">
        <v>28.6</v>
      </c>
      <c r="U1088">
        <v>4.3</v>
      </c>
      <c r="V1088">
        <v>7.1</v>
      </c>
    </row>
    <row r="1089" spans="1:22" x14ac:dyDescent="0.25">
      <c r="A1089" t="s">
        <v>2403</v>
      </c>
      <c r="B1089" t="s">
        <v>1020</v>
      </c>
      <c r="C1089">
        <v>20</v>
      </c>
      <c r="D1089" t="s">
        <v>132</v>
      </c>
      <c r="E1089" t="s">
        <v>140</v>
      </c>
      <c r="F1089" t="s">
        <v>140</v>
      </c>
      <c r="G1089">
        <v>0.15</v>
      </c>
      <c r="H1089" t="s">
        <v>24</v>
      </c>
      <c r="I1089">
        <v>-16</v>
      </c>
      <c r="J1089" t="str">
        <f>HYPERLINK("https://www.eliteprospects.com/player/562486/eduard-wruck")</f>
        <v>https://www.eliteprospects.com/player/562486/eduard-wruck</v>
      </c>
      <c r="K1089" t="s">
        <v>27</v>
      </c>
      <c r="L1089" t="s">
        <v>918</v>
      </c>
      <c r="M1089" t="s">
        <v>1296</v>
      </c>
      <c r="N1089">
        <v>2</v>
      </c>
      <c r="O1089" t="s">
        <v>1021</v>
      </c>
      <c r="P1089">
        <v>0.02</v>
      </c>
      <c r="Q1089" t="s">
        <v>245</v>
      </c>
      <c r="R1089">
        <v>28.6</v>
      </c>
      <c r="S1089">
        <v>31.4</v>
      </c>
      <c r="T1089">
        <v>28.6</v>
      </c>
      <c r="U1089">
        <v>4.3</v>
      </c>
      <c r="V1089">
        <v>7.1</v>
      </c>
    </row>
    <row r="1090" spans="1:22" x14ac:dyDescent="0.25">
      <c r="A1090" t="s">
        <v>2404</v>
      </c>
      <c r="B1090" t="s">
        <v>947</v>
      </c>
      <c r="C1090">
        <v>16</v>
      </c>
      <c r="D1090" t="s">
        <v>79</v>
      </c>
      <c r="E1090" t="s">
        <v>132</v>
      </c>
      <c r="F1090" t="s">
        <v>79</v>
      </c>
      <c r="G1090">
        <v>0.13</v>
      </c>
      <c r="H1090" t="s">
        <v>265</v>
      </c>
      <c r="I1090">
        <v>0</v>
      </c>
      <c r="J1090" t="str">
        <f>HYPERLINK("https://www.eliteprospects.com/player/424340/ethan-doyle")</f>
        <v>https://www.eliteprospects.com/player/424340/ethan-doyle</v>
      </c>
      <c r="K1090" t="s">
        <v>27</v>
      </c>
      <c r="L1090" t="s">
        <v>918</v>
      </c>
      <c r="M1090" t="s">
        <v>2405</v>
      </c>
      <c r="N1090">
        <v>3</v>
      </c>
      <c r="O1090" t="s">
        <v>962</v>
      </c>
      <c r="P1090">
        <v>0.02</v>
      </c>
      <c r="Q1090" t="s">
        <v>245</v>
      </c>
      <c r="R1090">
        <v>28.6</v>
      </c>
      <c r="S1090">
        <v>31.4</v>
      </c>
      <c r="T1090">
        <v>28.6</v>
      </c>
      <c r="U1090">
        <v>4.3</v>
      </c>
      <c r="V1090">
        <v>7.1</v>
      </c>
    </row>
    <row r="1091" spans="1:22" x14ac:dyDescent="0.25">
      <c r="A1091" t="s">
        <v>2406</v>
      </c>
      <c r="B1091" t="s">
        <v>977</v>
      </c>
      <c r="C1091">
        <v>10</v>
      </c>
      <c r="D1091" t="s">
        <v>260</v>
      </c>
      <c r="E1091" t="s">
        <v>260</v>
      </c>
      <c r="F1091" t="s">
        <v>79</v>
      </c>
      <c r="G1091">
        <v>0.2</v>
      </c>
      <c r="H1091" t="s">
        <v>57</v>
      </c>
      <c r="I1091">
        <v>0</v>
      </c>
      <c r="J1091" t="str">
        <f>HYPERLINK("https://www.eliteprospects.com/player/418252/frank-jenkins")</f>
        <v>https://www.eliteprospects.com/player/418252/frank-jenkins</v>
      </c>
      <c r="K1091" t="s">
        <v>27</v>
      </c>
      <c r="L1091" t="s">
        <v>918</v>
      </c>
      <c r="M1091" t="s">
        <v>1296</v>
      </c>
      <c r="N1091">
        <v>4</v>
      </c>
      <c r="O1091" t="s">
        <v>1070</v>
      </c>
      <c r="P1091">
        <v>0.02</v>
      </c>
      <c r="Q1091" t="s">
        <v>245</v>
      </c>
      <c r="R1091">
        <v>28.6</v>
      </c>
      <c r="S1091">
        <v>31.4</v>
      </c>
      <c r="T1091">
        <v>28.6</v>
      </c>
      <c r="U1091">
        <v>4.3</v>
      </c>
      <c r="V1091">
        <v>7.1</v>
      </c>
    </row>
    <row r="1092" spans="1:22" x14ac:dyDescent="0.25">
      <c r="A1092" t="s">
        <v>2407</v>
      </c>
      <c r="B1092" t="s">
        <v>1038</v>
      </c>
      <c r="C1092">
        <v>11</v>
      </c>
      <c r="D1092" t="s">
        <v>260</v>
      </c>
      <c r="E1092" t="s">
        <v>260</v>
      </c>
      <c r="F1092" t="s">
        <v>79</v>
      </c>
      <c r="G1092">
        <v>0.18</v>
      </c>
      <c r="H1092" t="s">
        <v>79</v>
      </c>
      <c r="I1092">
        <v>0</v>
      </c>
      <c r="J1092" t="str">
        <f>HYPERLINK("https://www.eliteprospects.com/player/479776/ranvir-gill-shane")</f>
        <v>https://www.eliteprospects.com/player/479776/ranvir-gill-shane</v>
      </c>
      <c r="K1092" t="s">
        <v>27</v>
      </c>
      <c r="L1092" t="s">
        <v>918</v>
      </c>
      <c r="M1092" t="s">
        <v>1296</v>
      </c>
      <c r="N1092">
        <v>4</v>
      </c>
      <c r="O1092" t="s">
        <v>1025</v>
      </c>
      <c r="P1092">
        <v>0.02</v>
      </c>
      <c r="Q1092" t="s">
        <v>245</v>
      </c>
      <c r="R1092">
        <v>28.6</v>
      </c>
      <c r="S1092">
        <v>31.4</v>
      </c>
      <c r="T1092">
        <v>28.6</v>
      </c>
      <c r="U1092">
        <v>4.3</v>
      </c>
      <c r="V1092">
        <v>7.1</v>
      </c>
    </row>
    <row r="1093" spans="1:22" x14ac:dyDescent="0.25">
      <c r="A1093" t="s">
        <v>2408</v>
      </c>
      <c r="B1093" t="s">
        <v>1036</v>
      </c>
      <c r="C1093">
        <v>12</v>
      </c>
      <c r="D1093" t="s">
        <v>260</v>
      </c>
      <c r="E1093" t="s">
        <v>260</v>
      </c>
      <c r="F1093" t="s">
        <v>79</v>
      </c>
      <c r="G1093">
        <v>0.17</v>
      </c>
      <c r="H1093" t="s">
        <v>66</v>
      </c>
      <c r="I1093">
        <v>0</v>
      </c>
      <c r="J1093" t="str">
        <f>HYPERLINK("https://www.eliteprospects.com/player/600856/sawyer-prokopetz")</f>
        <v>https://www.eliteprospects.com/player/600856/sawyer-prokopetz</v>
      </c>
      <c r="K1093" t="s">
        <v>27</v>
      </c>
      <c r="L1093" t="s">
        <v>918</v>
      </c>
      <c r="M1093" t="s">
        <v>1296</v>
      </c>
      <c r="N1093">
        <v>1</v>
      </c>
      <c r="O1093" t="s">
        <v>984</v>
      </c>
      <c r="P1093">
        <v>0.02</v>
      </c>
      <c r="Q1093" t="s">
        <v>245</v>
      </c>
      <c r="R1093">
        <v>28.6</v>
      </c>
      <c r="S1093">
        <v>31.4</v>
      </c>
      <c r="T1093">
        <v>28.6</v>
      </c>
      <c r="U1093">
        <v>4.3</v>
      </c>
      <c r="V1093">
        <v>7.1</v>
      </c>
    </row>
    <row r="1094" spans="1:22" x14ac:dyDescent="0.25">
      <c r="A1094" t="s">
        <v>2409</v>
      </c>
      <c r="B1094" t="s">
        <v>1005</v>
      </c>
      <c r="C1094">
        <v>13</v>
      </c>
      <c r="D1094" t="s">
        <v>260</v>
      </c>
      <c r="E1094" t="s">
        <v>260</v>
      </c>
      <c r="F1094" t="s">
        <v>79</v>
      </c>
      <c r="G1094">
        <v>0.15</v>
      </c>
      <c r="H1094" t="s">
        <v>26</v>
      </c>
      <c r="I1094">
        <v>0</v>
      </c>
      <c r="J1094" t="str">
        <f>HYPERLINK("https://www.eliteprospects.com/player/562188/masen-culley")</f>
        <v>https://www.eliteprospects.com/player/562188/masen-culley</v>
      </c>
      <c r="K1094" t="s">
        <v>27</v>
      </c>
      <c r="L1094" t="s">
        <v>918</v>
      </c>
      <c r="M1094" t="s">
        <v>1296</v>
      </c>
      <c r="N1094">
        <v>1</v>
      </c>
      <c r="O1094" t="s">
        <v>984</v>
      </c>
      <c r="P1094">
        <v>0.02</v>
      </c>
      <c r="Q1094" t="s">
        <v>245</v>
      </c>
      <c r="R1094">
        <v>28.6</v>
      </c>
      <c r="S1094">
        <v>31.4</v>
      </c>
      <c r="T1094">
        <v>28.6</v>
      </c>
      <c r="U1094">
        <v>4.3</v>
      </c>
      <c r="V1094">
        <v>7.1</v>
      </c>
    </row>
    <row r="1095" spans="1:22" x14ac:dyDescent="0.25">
      <c r="A1095" t="s">
        <v>2410</v>
      </c>
      <c r="B1095" t="s">
        <v>986</v>
      </c>
      <c r="C1095">
        <v>14</v>
      </c>
      <c r="D1095" t="s">
        <v>260</v>
      </c>
      <c r="E1095" t="s">
        <v>260</v>
      </c>
      <c r="F1095" t="s">
        <v>79</v>
      </c>
      <c r="G1095">
        <v>0.14000000000000001</v>
      </c>
      <c r="H1095" t="s">
        <v>57</v>
      </c>
      <c r="I1095">
        <v>0</v>
      </c>
      <c r="J1095" t="str">
        <f>HYPERLINK("https://www.eliteprospects.com/player/418418/bryce-kilbourne")</f>
        <v>https://www.eliteprospects.com/player/418418/bryce-kilbourne</v>
      </c>
      <c r="K1095" t="s">
        <v>27</v>
      </c>
      <c r="L1095" t="s">
        <v>918</v>
      </c>
      <c r="M1095" t="s">
        <v>1296</v>
      </c>
      <c r="N1095">
        <v>3</v>
      </c>
      <c r="O1095" t="s">
        <v>962</v>
      </c>
      <c r="P1095">
        <v>0.02</v>
      </c>
      <c r="Q1095" t="s">
        <v>245</v>
      </c>
      <c r="R1095">
        <v>28.6</v>
      </c>
      <c r="S1095">
        <v>31.4</v>
      </c>
      <c r="T1095">
        <v>28.6</v>
      </c>
      <c r="U1095">
        <v>4.3</v>
      </c>
      <c r="V1095">
        <v>7.1</v>
      </c>
    </row>
    <row r="1096" spans="1:22" x14ac:dyDescent="0.25">
      <c r="A1096" t="s">
        <v>2411</v>
      </c>
      <c r="B1096" t="s">
        <v>991</v>
      </c>
      <c r="C1096">
        <v>15</v>
      </c>
      <c r="D1096" t="s">
        <v>260</v>
      </c>
      <c r="E1096" t="s">
        <v>260</v>
      </c>
      <c r="F1096" t="s">
        <v>79</v>
      </c>
      <c r="G1096">
        <v>0.13</v>
      </c>
      <c r="H1096" t="s">
        <v>79</v>
      </c>
      <c r="I1096">
        <v>0</v>
      </c>
      <c r="J1096" t="str">
        <f>HYPERLINK("https://www.eliteprospects.com/player/581948/mason-chitaroni")</f>
        <v>https://www.eliteprospects.com/player/581948/mason-chitaroni</v>
      </c>
      <c r="K1096" t="s">
        <v>27</v>
      </c>
      <c r="L1096" t="s">
        <v>918</v>
      </c>
      <c r="M1096" t="s">
        <v>1296</v>
      </c>
      <c r="N1096">
        <v>3</v>
      </c>
      <c r="O1096" t="s">
        <v>1119</v>
      </c>
      <c r="P1096">
        <v>0.02</v>
      </c>
      <c r="Q1096" t="s">
        <v>245</v>
      </c>
      <c r="R1096">
        <v>28.6</v>
      </c>
      <c r="S1096">
        <v>31.4</v>
      </c>
      <c r="T1096">
        <v>28.6</v>
      </c>
      <c r="U1096">
        <v>4.3</v>
      </c>
      <c r="V1096">
        <v>7.1</v>
      </c>
    </row>
    <row r="1097" spans="1:22" x14ac:dyDescent="0.25">
      <c r="A1097" t="s">
        <v>2412</v>
      </c>
      <c r="B1097" t="s">
        <v>1005</v>
      </c>
      <c r="C1097">
        <v>16</v>
      </c>
      <c r="D1097" t="s">
        <v>260</v>
      </c>
      <c r="E1097" t="s">
        <v>260</v>
      </c>
      <c r="F1097" t="s">
        <v>79</v>
      </c>
      <c r="G1097">
        <v>0.13</v>
      </c>
      <c r="H1097" t="s">
        <v>26</v>
      </c>
      <c r="I1097">
        <v>0</v>
      </c>
      <c r="J1097" t="str">
        <f>HYPERLINK("https://www.eliteprospects.com/player/317452/alexandre-hogue")</f>
        <v>https://www.eliteprospects.com/player/317452/alexandre-hogue</v>
      </c>
      <c r="K1097" t="s">
        <v>27</v>
      </c>
      <c r="L1097" t="s">
        <v>918</v>
      </c>
      <c r="M1097" t="s">
        <v>1296</v>
      </c>
      <c r="N1097">
        <v>4</v>
      </c>
      <c r="O1097" t="s">
        <v>1006</v>
      </c>
      <c r="P1097">
        <v>0.02</v>
      </c>
      <c r="Q1097" t="s">
        <v>245</v>
      </c>
      <c r="R1097">
        <v>28.6</v>
      </c>
      <c r="S1097">
        <v>31.4</v>
      </c>
      <c r="T1097">
        <v>28.6</v>
      </c>
      <c r="U1097">
        <v>4.3</v>
      </c>
      <c r="V1097">
        <v>7.1</v>
      </c>
    </row>
    <row r="1098" spans="1:22" x14ac:dyDescent="0.25">
      <c r="A1098" t="s">
        <v>2413</v>
      </c>
      <c r="B1098" t="s">
        <v>1118</v>
      </c>
      <c r="C1098">
        <v>18</v>
      </c>
      <c r="D1098" t="s">
        <v>260</v>
      </c>
      <c r="E1098" t="s">
        <v>260</v>
      </c>
      <c r="F1098" t="s">
        <v>79</v>
      </c>
      <c r="G1098">
        <v>0.11</v>
      </c>
      <c r="H1098" t="s">
        <v>79</v>
      </c>
      <c r="I1098">
        <v>-13</v>
      </c>
      <c r="J1098" t="str">
        <f>HYPERLINK("https://www.eliteprospects.com/player/403802/leyton-holoien")</f>
        <v>https://www.eliteprospects.com/player/403802/leyton-holoien</v>
      </c>
      <c r="K1098" t="s">
        <v>27</v>
      </c>
      <c r="L1098" t="s">
        <v>918</v>
      </c>
      <c r="M1098" t="s">
        <v>1296</v>
      </c>
      <c r="N1098">
        <v>2</v>
      </c>
      <c r="O1098" t="s">
        <v>1021</v>
      </c>
      <c r="P1098">
        <v>0.01</v>
      </c>
      <c r="Q1098" t="s">
        <v>245</v>
      </c>
      <c r="R1098">
        <v>28.6</v>
      </c>
      <c r="S1098">
        <v>31.4</v>
      </c>
      <c r="T1098">
        <v>28.6</v>
      </c>
      <c r="U1098">
        <v>4.3</v>
      </c>
      <c r="V1098">
        <v>7.1</v>
      </c>
    </row>
    <row r="1099" spans="1:22" x14ac:dyDescent="0.25">
      <c r="A1099" t="s">
        <v>2414</v>
      </c>
      <c r="B1099" t="s">
        <v>997</v>
      </c>
      <c r="C1099">
        <v>18</v>
      </c>
      <c r="D1099" t="s">
        <v>260</v>
      </c>
      <c r="E1099" t="s">
        <v>260</v>
      </c>
      <c r="F1099" t="s">
        <v>79</v>
      </c>
      <c r="G1099">
        <v>0.11</v>
      </c>
      <c r="H1099" t="s">
        <v>57</v>
      </c>
      <c r="I1099">
        <v>0</v>
      </c>
      <c r="J1099" t="str">
        <f>HYPERLINK("https://www.eliteprospects.com/player/411172/christopher-inniss")</f>
        <v>https://www.eliteprospects.com/player/411172/christopher-inniss</v>
      </c>
      <c r="K1099" t="s">
        <v>27</v>
      </c>
      <c r="L1099" t="s">
        <v>918</v>
      </c>
      <c r="M1099" t="s">
        <v>1296</v>
      </c>
      <c r="N1099">
        <v>6</v>
      </c>
      <c r="O1099" t="s">
        <v>937</v>
      </c>
      <c r="P1099">
        <v>0.01</v>
      </c>
      <c r="Q1099" t="s">
        <v>245</v>
      </c>
      <c r="R1099">
        <v>28.6</v>
      </c>
      <c r="S1099">
        <v>31.4</v>
      </c>
      <c r="T1099">
        <v>28.6</v>
      </c>
      <c r="U1099">
        <v>4.3</v>
      </c>
      <c r="V1099">
        <v>7.1</v>
      </c>
    </row>
    <row r="1100" spans="1:22" x14ac:dyDescent="0.25">
      <c r="A1100" t="s">
        <v>2415</v>
      </c>
      <c r="B1100" t="s">
        <v>942</v>
      </c>
      <c r="C1100">
        <v>18</v>
      </c>
      <c r="D1100" t="s">
        <v>260</v>
      </c>
      <c r="E1100" t="s">
        <v>260</v>
      </c>
      <c r="F1100" t="s">
        <v>79</v>
      </c>
      <c r="G1100">
        <v>0.11</v>
      </c>
      <c r="H1100" t="s">
        <v>39</v>
      </c>
      <c r="I1100">
        <v>0</v>
      </c>
      <c r="J1100" t="str">
        <f>HYPERLINK("https://www.eliteprospects.com/player/418057/liam-ross")</f>
        <v>https://www.eliteprospects.com/player/418057/liam-ross</v>
      </c>
      <c r="K1100" t="s">
        <v>27</v>
      </c>
      <c r="L1100" t="s">
        <v>918</v>
      </c>
      <c r="M1100" t="s">
        <v>1296</v>
      </c>
      <c r="N1100">
        <v>5</v>
      </c>
      <c r="O1100" t="s">
        <v>935</v>
      </c>
      <c r="P1100">
        <v>0.01</v>
      </c>
      <c r="Q1100" t="s">
        <v>245</v>
      </c>
      <c r="R1100">
        <v>28.6</v>
      </c>
      <c r="S1100">
        <v>31.4</v>
      </c>
      <c r="T1100">
        <v>28.6</v>
      </c>
      <c r="U1100">
        <v>4.3</v>
      </c>
      <c r="V1100">
        <v>7.1</v>
      </c>
    </row>
    <row r="1101" spans="1:22" x14ac:dyDescent="0.25">
      <c r="A1101" t="s">
        <v>2416</v>
      </c>
      <c r="B1101" t="s">
        <v>959</v>
      </c>
      <c r="C1101">
        <v>18</v>
      </c>
      <c r="D1101" t="s">
        <v>260</v>
      </c>
      <c r="E1101" t="s">
        <v>260</v>
      </c>
      <c r="F1101" t="s">
        <v>79</v>
      </c>
      <c r="G1101">
        <v>0.11</v>
      </c>
      <c r="H1101" t="s">
        <v>24</v>
      </c>
      <c r="I1101">
        <v>0</v>
      </c>
      <c r="J1101" t="str">
        <f>HYPERLINK("https://www.eliteprospects.com/player/484169/nicolas-pavan")</f>
        <v>https://www.eliteprospects.com/player/484169/nicolas-pavan</v>
      </c>
      <c r="K1101" t="s">
        <v>27</v>
      </c>
      <c r="L1101" t="s">
        <v>918</v>
      </c>
      <c r="M1101" t="s">
        <v>1417</v>
      </c>
      <c r="N1101">
        <v>6</v>
      </c>
      <c r="O1101" t="s">
        <v>921</v>
      </c>
      <c r="P1101">
        <v>0.01</v>
      </c>
      <c r="Q1101" t="s">
        <v>245</v>
      </c>
      <c r="R1101">
        <v>28.6</v>
      </c>
      <c r="S1101">
        <v>31.4</v>
      </c>
      <c r="T1101">
        <v>28.6</v>
      </c>
      <c r="U1101">
        <v>4.3</v>
      </c>
      <c r="V1101">
        <v>7.1</v>
      </c>
    </row>
    <row r="1102" spans="1:22" x14ac:dyDescent="0.25">
      <c r="A1102" t="s">
        <v>2417</v>
      </c>
      <c r="B1102" t="s">
        <v>1011</v>
      </c>
      <c r="C1102">
        <v>18</v>
      </c>
      <c r="D1102" t="s">
        <v>260</v>
      </c>
      <c r="E1102" t="s">
        <v>260</v>
      </c>
      <c r="F1102" t="s">
        <v>79</v>
      </c>
      <c r="G1102">
        <v>0.11</v>
      </c>
      <c r="H1102" t="s">
        <v>84</v>
      </c>
      <c r="I1102">
        <v>-3</v>
      </c>
      <c r="J1102" t="str">
        <f>HYPERLINK("https://www.eliteprospects.com/player/405897/brandon-casey")</f>
        <v>https://www.eliteprospects.com/player/405897/brandon-casey</v>
      </c>
      <c r="K1102" t="s">
        <v>27</v>
      </c>
      <c r="L1102" t="s">
        <v>918</v>
      </c>
      <c r="M1102" t="s">
        <v>1296</v>
      </c>
      <c r="N1102">
        <v>4</v>
      </c>
      <c r="O1102" t="s">
        <v>1192</v>
      </c>
      <c r="P1102">
        <v>0.01</v>
      </c>
      <c r="Q1102" t="s">
        <v>245</v>
      </c>
      <c r="R1102">
        <v>28.6</v>
      </c>
      <c r="S1102">
        <v>31.4</v>
      </c>
      <c r="T1102">
        <v>28.6</v>
      </c>
      <c r="U1102">
        <v>4.3</v>
      </c>
      <c r="V1102">
        <v>7.1</v>
      </c>
    </row>
    <row r="1103" spans="1:22" x14ac:dyDescent="0.25">
      <c r="A1103" t="s">
        <v>2418</v>
      </c>
      <c r="B1103" t="s">
        <v>917</v>
      </c>
      <c r="C1103">
        <v>19</v>
      </c>
      <c r="D1103" t="s">
        <v>260</v>
      </c>
      <c r="E1103" t="s">
        <v>260</v>
      </c>
      <c r="F1103" t="s">
        <v>79</v>
      </c>
      <c r="G1103">
        <v>0.11</v>
      </c>
      <c r="H1103" t="s">
        <v>513</v>
      </c>
      <c r="I1103">
        <v>8</v>
      </c>
      <c r="J1103" t="str">
        <f>HYPERLINK("https://www.eliteprospects.com/player/504298/nolan-dillingham")</f>
        <v>https://www.eliteprospects.com/player/504298/nolan-dillingham</v>
      </c>
      <c r="K1103" t="s">
        <v>27</v>
      </c>
      <c r="L1103" t="s">
        <v>918</v>
      </c>
      <c r="M1103" t="s">
        <v>1296</v>
      </c>
      <c r="N1103">
        <v>6</v>
      </c>
      <c r="O1103" t="s">
        <v>970</v>
      </c>
      <c r="P1103">
        <v>0.01</v>
      </c>
      <c r="Q1103" t="s">
        <v>245</v>
      </c>
      <c r="R1103">
        <v>28.6</v>
      </c>
      <c r="S1103">
        <v>31.4</v>
      </c>
      <c r="T1103">
        <v>28.6</v>
      </c>
      <c r="U1103">
        <v>4.3</v>
      </c>
      <c r="V1103">
        <v>7.1</v>
      </c>
    </row>
    <row r="1104" spans="1:22" x14ac:dyDescent="0.25">
      <c r="A1104" t="s">
        <v>2419</v>
      </c>
      <c r="B1104" t="s">
        <v>1020</v>
      </c>
      <c r="C1104">
        <v>20</v>
      </c>
      <c r="D1104" t="s">
        <v>260</v>
      </c>
      <c r="E1104" t="s">
        <v>260</v>
      </c>
      <c r="F1104" t="s">
        <v>79</v>
      </c>
      <c r="G1104">
        <v>0.1</v>
      </c>
      <c r="H1104" t="s">
        <v>40</v>
      </c>
      <c r="I1104">
        <v>-10</v>
      </c>
      <c r="J1104" t="str">
        <f>HYPERLINK("https://www.eliteprospects.com/player/489303/ricards-landmanis")</f>
        <v>https://www.eliteprospects.com/player/489303/ricards-landmanis</v>
      </c>
      <c r="K1104" t="s">
        <v>27</v>
      </c>
      <c r="L1104" t="s">
        <v>918</v>
      </c>
      <c r="M1104" t="s">
        <v>1296</v>
      </c>
      <c r="N1104">
        <v>2</v>
      </c>
      <c r="O1104" t="s">
        <v>1076</v>
      </c>
      <c r="P1104">
        <v>0.01</v>
      </c>
      <c r="Q1104" t="s">
        <v>245</v>
      </c>
      <c r="R1104">
        <v>28.6</v>
      </c>
      <c r="S1104">
        <v>31.4</v>
      </c>
      <c r="T1104">
        <v>28.6</v>
      </c>
      <c r="U1104">
        <v>4.3</v>
      </c>
      <c r="V1104">
        <v>7.1</v>
      </c>
    </row>
    <row r="1105" spans="1:22" x14ac:dyDescent="0.25">
      <c r="A1105" t="s">
        <v>2420</v>
      </c>
      <c r="B1105" t="s">
        <v>997</v>
      </c>
      <c r="C1105">
        <v>11</v>
      </c>
      <c r="D1105" t="s">
        <v>132</v>
      </c>
      <c r="E1105" t="s">
        <v>79</v>
      </c>
      <c r="F1105" t="s">
        <v>79</v>
      </c>
      <c r="G1105">
        <v>0.18</v>
      </c>
      <c r="H1105" t="s">
        <v>66</v>
      </c>
      <c r="I1105">
        <v>0</v>
      </c>
      <c r="J1105" t="str">
        <f>HYPERLINK("https://www.eliteprospects.com/player/571231/zachary-lessard")</f>
        <v>https://www.eliteprospects.com/player/571231/zachary-lessard</v>
      </c>
      <c r="K1105" t="s">
        <v>27</v>
      </c>
      <c r="L1105" t="s">
        <v>918</v>
      </c>
      <c r="M1105" t="s">
        <v>1296</v>
      </c>
      <c r="N1105">
        <v>5</v>
      </c>
      <c r="O1105" t="s">
        <v>930</v>
      </c>
      <c r="P1105">
        <v>0.02</v>
      </c>
      <c r="Q1105" t="s">
        <v>245</v>
      </c>
      <c r="R1105">
        <v>28.6</v>
      </c>
      <c r="S1105">
        <v>31.4</v>
      </c>
      <c r="T1105">
        <v>28.6</v>
      </c>
      <c r="U1105">
        <v>4.3</v>
      </c>
      <c r="V1105">
        <v>7.1</v>
      </c>
    </row>
    <row r="1106" spans="1:22" x14ac:dyDescent="0.25">
      <c r="A1106" t="s">
        <v>2421</v>
      </c>
      <c r="B1106" t="s">
        <v>929</v>
      </c>
      <c r="C1106">
        <v>13</v>
      </c>
      <c r="D1106" t="s">
        <v>132</v>
      </c>
      <c r="E1106" t="s">
        <v>79</v>
      </c>
      <c r="F1106" t="s">
        <v>79</v>
      </c>
      <c r="G1106">
        <v>0.15</v>
      </c>
      <c r="H1106" t="s">
        <v>79</v>
      </c>
      <c r="I1106">
        <v>-4</v>
      </c>
      <c r="J1106" t="str">
        <f>HYPERLINK("https://www.eliteprospects.com/player/267665/tim-gould")</f>
        <v>https://www.eliteprospects.com/player/267665/tim-gould</v>
      </c>
      <c r="K1106" t="s">
        <v>27</v>
      </c>
      <c r="L1106" t="s">
        <v>918</v>
      </c>
      <c r="M1106" t="s">
        <v>1296</v>
      </c>
      <c r="N1106">
        <v>4</v>
      </c>
      <c r="O1106" t="s">
        <v>2422</v>
      </c>
      <c r="P1106">
        <v>0.02</v>
      </c>
      <c r="Q1106" t="s">
        <v>245</v>
      </c>
      <c r="R1106">
        <v>28.6</v>
      </c>
      <c r="S1106">
        <v>31.4</v>
      </c>
      <c r="T1106">
        <v>28.6</v>
      </c>
      <c r="U1106">
        <v>4.3</v>
      </c>
      <c r="V1106">
        <v>7.1</v>
      </c>
    </row>
    <row r="1107" spans="1:22" x14ac:dyDescent="0.25">
      <c r="A1107" t="s">
        <v>2423</v>
      </c>
      <c r="B1107" t="s">
        <v>1036</v>
      </c>
      <c r="C1107">
        <v>13</v>
      </c>
      <c r="D1107" t="s">
        <v>132</v>
      </c>
      <c r="E1107" t="s">
        <v>79</v>
      </c>
      <c r="F1107" t="s">
        <v>79</v>
      </c>
      <c r="G1107">
        <v>0.15</v>
      </c>
      <c r="H1107" t="s">
        <v>79</v>
      </c>
      <c r="I1107">
        <v>0</v>
      </c>
      <c r="J1107" t="str">
        <f>HYPERLINK("https://www.eliteprospects.com/player/482006/jacob-hoffrogge")</f>
        <v>https://www.eliteprospects.com/player/482006/jacob-hoffrogge</v>
      </c>
      <c r="K1107" t="s">
        <v>27</v>
      </c>
      <c r="L1107" t="s">
        <v>918</v>
      </c>
      <c r="M1107" t="s">
        <v>1296</v>
      </c>
      <c r="N1107">
        <v>5</v>
      </c>
      <c r="O1107" t="s">
        <v>979</v>
      </c>
      <c r="P1107">
        <v>0.02</v>
      </c>
      <c r="Q1107" t="s">
        <v>245</v>
      </c>
      <c r="R1107">
        <v>28.6</v>
      </c>
      <c r="S1107">
        <v>31.4</v>
      </c>
      <c r="T1107">
        <v>28.6</v>
      </c>
      <c r="U1107">
        <v>4.3</v>
      </c>
      <c r="V1107">
        <v>7.1</v>
      </c>
    </row>
    <row r="1108" spans="1:22" x14ac:dyDescent="0.25">
      <c r="A1108" t="s">
        <v>2424</v>
      </c>
      <c r="B1108" t="s">
        <v>1053</v>
      </c>
      <c r="C1108">
        <v>13</v>
      </c>
      <c r="D1108" t="s">
        <v>132</v>
      </c>
      <c r="E1108" t="s">
        <v>79</v>
      </c>
      <c r="F1108" t="s">
        <v>79</v>
      </c>
      <c r="G1108">
        <v>0.15</v>
      </c>
      <c r="H1108" t="s">
        <v>47</v>
      </c>
      <c r="I1108">
        <v>0</v>
      </c>
      <c r="J1108" t="str">
        <f>HYPERLINK("https://www.eliteprospects.com/player/351796/cole-beamin")</f>
        <v>https://www.eliteprospects.com/player/351796/cole-beamin</v>
      </c>
      <c r="K1108" t="s">
        <v>27</v>
      </c>
      <c r="L1108" t="s">
        <v>918</v>
      </c>
      <c r="M1108" t="s">
        <v>1296</v>
      </c>
      <c r="N1108">
        <v>4</v>
      </c>
      <c r="O1108" t="s">
        <v>1004</v>
      </c>
      <c r="P1108">
        <v>0.02</v>
      </c>
      <c r="Q1108" t="s">
        <v>245</v>
      </c>
      <c r="R1108">
        <v>28.6</v>
      </c>
      <c r="S1108">
        <v>31.4</v>
      </c>
      <c r="T1108">
        <v>28.6</v>
      </c>
      <c r="U1108">
        <v>4.3</v>
      </c>
      <c r="V1108">
        <v>7.1</v>
      </c>
    </row>
    <row r="1109" spans="1:22" x14ac:dyDescent="0.25">
      <c r="A1109" t="s">
        <v>2425</v>
      </c>
      <c r="B1109" t="s">
        <v>1020</v>
      </c>
      <c r="C1109">
        <v>13</v>
      </c>
      <c r="D1109" t="s">
        <v>132</v>
      </c>
      <c r="E1109" t="s">
        <v>79</v>
      </c>
      <c r="F1109" t="s">
        <v>79</v>
      </c>
      <c r="G1109">
        <v>0.15</v>
      </c>
      <c r="H1109" t="s">
        <v>25</v>
      </c>
      <c r="I1109">
        <v>-6</v>
      </c>
      <c r="J1109" t="str">
        <f>HYPERLINK("https://www.eliteprospects.com/player/570293/tristan-serrao")</f>
        <v>https://www.eliteprospects.com/player/570293/tristan-serrao</v>
      </c>
      <c r="K1109" t="s">
        <v>27</v>
      </c>
      <c r="L1109" t="s">
        <v>918</v>
      </c>
      <c r="M1109" t="s">
        <v>1296</v>
      </c>
      <c r="N1109">
        <v>1</v>
      </c>
      <c r="O1109" t="s">
        <v>984</v>
      </c>
      <c r="P1109">
        <v>0.02</v>
      </c>
      <c r="Q1109" t="s">
        <v>245</v>
      </c>
      <c r="R1109">
        <v>28.6</v>
      </c>
      <c r="S1109">
        <v>31.4</v>
      </c>
      <c r="T1109">
        <v>28.6</v>
      </c>
      <c r="U1109">
        <v>4.3</v>
      </c>
      <c r="V1109">
        <v>7.1</v>
      </c>
    </row>
    <row r="1110" spans="1:22" x14ac:dyDescent="0.25">
      <c r="A1110" t="s">
        <v>2426</v>
      </c>
      <c r="B1110" t="s">
        <v>917</v>
      </c>
      <c r="C1110">
        <v>14</v>
      </c>
      <c r="D1110" t="s">
        <v>132</v>
      </c>
      <c r="E1110" t="s">
        <v>79</v>
      </c>
      <c r="F1110" t="s">
        <v>79</v>
      </c>
      <c r="G1110">
        <v>0.14000000000000001</v>
      </c>
      <c r="H1110" t="s">
        <v>66</v>
      </c>
      <c r="I1110">
        <v>-3</v>
      </c>
      <c r="J1110" t="str">
        <f>HYPERLINK("https://www.eliteprospects.com/player/472995/luke-vardy")</f>
        <v>https://www.eliteprospects.com/player/472995/luke-vardy</v>
      </c>
      <c r="K1110" t="s">
        <v>27</v>
      </c>
      <c r="L1110" t="s">
        <v>918</v>
      </c>
      <c r="M1110" t="s">
        <v>1296</v>
      </c>
      <c r="N1110">
        <v>1</v>
      </c>
      <c r="O1110" t="s">
        <v>984</v>
      </c>
      <c r="P1110">
        <v>0.02</v>
      </c>
      <c r="Q1110" t="s">
        <v>245</v>
      </c>
      <c r="R1110">
        <v>28.6</v>
      </c>
      <c r="S1110">
        <v>31.4</v>
      </c>
      <c r="T1110">
        <v>28.6</v>
      </c>
      <c r="U1110">
        <v>4.3</v>
      </c>
      <c r="V1110">
        <v>7.1</v>
      </c>
    </row>
    <row r="1111" spans="1:22" x14ac:dyDescent="0.25">
      <c r="A1111" t="s">
        <v>2427</v>
      </c>
      <c r="B1111" t="s">
        <v>1003</v>
      </c>
      <c r="C1111">
        <v>15</v>
      </c>
      <c r="D1111" t="s">
        <v>132</v>
      </c>
      <c r="E1111" t="s">
        <v>79</v>
      </c>
      <c r="F1111" t="s">
        <v>79</v>
      </c>
      <c r="G1111">
        <v>0.13</v>
      </c>
      <c r="H1111" t="s">
        <v>66</v>
      </c>
      <c r="I1111">
        <v>0</v>
      </c>
      <c r="J1111" t="str">
        <f>HYPERLINK("https://www.eliteprospects.com/player/726313/nolan-ling")</f>
        <v>https://www.eliteprospects.com/player/726313/nolan-ling</v>
      </c>
      <c r="K1111" t="s">
        <v>27</v>
      </c>
      <c r="L1111" t="s">
        <v>918</v>
      </c>
      <c r="M1111" t="s">
        <v>1296</v>
      </c>
      <c r="N1111">
        <v>4</v>
      </c>
      <c r="O1111" t="s">
        <v>2428</v>
      </c>
      <c r="P1111">
        <v>0.02</v>
      </c>
      <c r="Q1111" t="s">
        <v>245</v>
      </c>
      <c r="R1111">
        <v>28.6</v>
      </c>
      <c r="S1111">
        <v>31.4</v>
      </c>
      <c r="T1111">
        <v>28.6</v>
      </c>
      <c r="U1111">
        <v>4.3</v>
      </c>
      <c r="V1111">
        <v>7.1</v>
      </c>
    </row>
    <row r="1112" spans="1:22" x14ac:dyDescent="0.25">
      <c r="A1112" t="s">
        <v>2429</v>
      </c>
      <c r="B1112" t="s">
        <v>926</v>
      </c>
      <c r="C1112">
        <v>15</v>
      </c>
      <c r="D1112" t="s">
        <v>132</v>
      </c>
      <c r="E1112" t="s">
        <v>79</v>
      </c>
      <c r="F1112" t="s">
        <v>79</v>
      </c>
      <c r="G1112">
        <v>0.13</v>
      </c>
      <c r="H1112" t="s">
        <v>23</v>
      </c>
      <c r="I1112">
        <v>13</v>
      </c>
      <c r="J1112" t="str">
        <f>HYPERLINK("https://www.eliteprospects.com/player/351088/jonny-lambos")</f>
        <v>https://www.eliteprospects.com/player/351088/jonny-lambos</v>
      </c>
      <c r="K1112" t="s">
        <v>27</v>
      </c>
      <c r="L1112" t="s">
        <v>918</v>
      </c>
      <c r="M1112" t="s">
        <v>1296</v>
      </c>
      <c r="N1112">
        <v>6</v>
      </c>
      <c r="O1112" t="s">
        <v>927</v>
      </c>
      <c r="P1112">
        <v>0.02</v>
      </c>
      <c r="Q1112" t="s">
        <v>245</v>
      </c>
      <c r="R1112">
        <v>28.6</v>
      </c>
      <c r="S1112">
        <v>31.4</v>
      </c>
      <c r="T1112">
        <v>28.6</v>
      </c>
      <c r="U1112">
        <v>4.3</v>
      </c>
      <c r="V1112">
        <v>7.1</v>
      </c>
    </row>
    <row r="1113" spans="1:22" x14ac:dyDescent="0.25">
      <c r="A1113" t="s">
        <v>2430</v>
      </c>
      <c r="B1113" t="s">
        <v>1005</v>
      </c>
      <c r="C1113">
        <v>15</v>
      </c>
      <c r="D1113" t="s">
        <v>132</v>
      </c>
      <c r="E1113" t="s">
        <v>79</v>
      </c>
      <c r="F1113" t="s">
        <v>79</v>
      </c>
      <c r="G1113">
        <v>0.13</v>
      </c>
      <c r="H1113" t="s">
        <v>178</v>
      </c>
      <c r="I1113">
        <v>0</v>
      </c>
      <c r="J1113" t="str">
        <f>HYPERLINK("https://www.eliteprospects.com/player/408779/andrew-hunt")</f>
        <v>https://www.eliteprospects.com/player/408779/andrew-hunt</v>
      </c>
      <c r="K1113" t="s">
        <v>27</v>
      </c>
      <c r="L1113" t="s">
        <v>918</v>
      </c>
      <c r="M1113" t="s">
        <v>1296</v>
      </c>
      <c r="N1113">
        <v>4</v>
      </c>
      <c r="O1113" t="s">
        <v>940</v>
      </c>
      <c r="P1113">
        <v>0.02</v>
      </c>
      <c r="Q1113" t="s">
        <v>245</v>
      </c>
      <c r="R1113">
        <v>28.6</v>
      </c>
      <c r="S1113">
        <v>31.4</v>
      </c>
      <c r="T1113">
        <v>28.6</v>
      </c>
      <c r="U1113">
        <v>4.3</v>
      </c>
      <c r="V1113">
        <v>7.1</v>
      </c>
    </row>
    <row r="1114" spans="1:22" x14ac:dyDescent="0.25">
      <c r="A1114" t="s">
        <v>2431</v>
      </c>
      <c r="B1114" t="s">
        <v>977</v>
      </c>
      <c r="C1114">
        <v>16</v>
      </c>
      <c r="D1114" t="s">
        <v>132</v>
      </c>
      <c r="E1114" t="s">
        <v>79</v>
      </c>
      <c r="F1114" t="s">
        <v>79</v>
      </c>
      <c r="G1114">
        <v>0.13</v>
      </c>
      <c r="H1114" t="s">
        <v>132</v>
      </c>
      <c r="I1114">
        <v>0</v>
      </c>
      <c r="J1114" t="str">
        <f>HYPERLINK("https://www.eliteprospects.com/player/526071/sam-grabner")</f>
        <v>https://www.eliteprospects.com/player/526071/sam-grabner</v>
      </c>
      <c r="K1114" t="s">
        <v>27</v>
      </c>
      <c r="L1114" t="s">
        <v>918</v>
      </c>
      <c r="M1114" t="s">
        <v>1296</v>
      </c>
      <c r="N1114">
        <v>1</v>
      </c>
      <c r="O1114" t="s">
        <v>984</v>
      </c>
      <c r="P1114">
        <v>0.02</v>
      </c>
      <c r="Q1114" t="s">
        <v>245</v>
      </c>
      <c r="R1114">
        <v>28.6</v>
      </c>
      <c r="S1114">
        <v>31.4</v>
      </c>
      <c r="T1114">
        <v>28.6</v>
      </c>
      <c r="U1114">
        <v>4.3</v>
      </c>
      <c r="V1114">
        <v>7.1</v>
      </c>
    </row>
    <row r="1115" spans="1:22" x14ac:dyDescent="0.25">
      <c r="A1115" t="s">
        <v>2432</v>
      </c>
      <c r="B1115" t="s">
        <v>998</v>
      </c>
      <c r="C1115">
        <v>16</v>
      </c>
      <c r="D1115" t="s">
        <v>132</v>
      </c>
      <c r="E1115" t="s">
        <v>79</v>
      </c>
      <c r="F1115" t="s">
        <v>79</v>
      </c>
      <c r="G1115">
        <v>0.13</v>
      </c>
      <c r="H1115" t="s">
        <v>26</v>
      </c>
      <c r="I1115">
        <v>0</v>
      </c>
      <c r="J1115" t="str">
        <f>HYPERLINK("https://www.eliteprospects.com/player/503982/nathan-ribau")</f>
        <v>https://www.eliteprospects.com/player/503982/nathan-ribau</v>
      </c>
      <c r="K1115" t="s">
        <v>27</v>
      </c>
      <c r="L1115" t="s">
        <v>918</v>
      </c>
      <c r="M1115" t="s">
        <v>1296</v>
      </c>
      <c r="N1115">
        <v>7</v>
      </c>
      <c r="O1115" t="s">
        <v>919</v>
      </c>
      <c r="P1115">
        <v>0.02</v>
      </c>
      <c r="Q1115" t="s">
        <v>245</v>
      </c>
      <c r="R1115">
        <v>28.6</v>
      </c>
      <c r="S1115">
        <v>31.4</v>
      </c>
      <c r="T1115">
        <v>28.6</v>
      </c>
      <c r="U1115">
        <v>4.3</v>
      </c>
      <c r="V1115">
        <v>7.1</v>
      </c>
    </row>
    <row r="1116" spans="1:22" x14ac:dyDescent="0.25">
      <c r="A1116" t="s">
        <v>2433</v>
      </c>
      <c r="B1116" t="s">
        <v>959</v>
      </c>
      <c r="C1116">
        <v>16</v>
      </c>
      <c r="D1116" t="s">
        <v>132</v>
      </c>
      <c r="E1116" t="s">
        <v>79</v>
      </c>
      <c r="F1116" t="s">
        <v>79</v>
      </c>
      <c r="G1116">
        <v>0.13</v>
      </c>
      <c r="H1116" t="s">
        <v>55</v>
      </c>
      <c r="I1116">
        <v>0</v>
      </c>
      <c r="J1116" t="str">
        <f>HYPERLINK("https://www.eliteprospects.com/player/648905/samuel-kingsley")</f>
        <v>https://www.eliteprospects.com/player/648905/samuel-kingsley</v>
      </c>
      <c r="K1116" t="s">
        <v>27</v>
      </c>
      <c r="L1116" t="s">
        <v>918</v>
      </c>
      <c r="M1116" t="s">
        <v>1296</v>
      </c>
      <c r="N1116">
        <v>4</v>
      </c>
      <c r="O1116" t="s">
        <v>1051</v>
      </c>
      <c r="P1116">
        <v>0.02</v>
      </c>
      <c r="Q1116" t="s">
        <v>245</v>
      </c>
      <c r="R1116">
        <v>28.6</v>
      </c>
      <c r="S1116">
        <v>31.4</v>
      </c>
      <c r="T1116">
        <v>28.6</v>
      </c>
      <c r="U1116">
        <v>4.3</v>
      </c>
      <c r="V1116">
        <v>7.1</v>
      </c>
    </row>
    <row r="1117" spans="1:22" x14ac:dyDescent="0.25">
      <c r="A1117" t="s">
        <v>2434</v>
      </c>
      <c r="B1117" t="s">
        <v>1049</v>
      </c>
      <c r="C1117">
        <v>17</v>
      </c>
      <c r="D1117" t="s">
        <v>132</v>
      </c>
      <c r="E1117" t="s">
        <v>79</v>
      </c>
      <c r="F1117" t="s">
        <v>79</v>
      </c>
      <c r="G1117">
        <v>0.12</v>
      </c>
      <c r="H1117" t="s">
        <v>39</v>
      </c>
      <c r="I1117">
        <v>-4</v>
      </c>
      <c r="J1117" t="str">
        <f>HYPERLINK("https://www.eliteprospects.com/player/565740/tanner-willick")</f>
        <v>https://www.eliteprospects.com/player/565740/tanner-willick</v>
      </c>
      <c r="K1117" t="s">
        <v>27</v>
      </c>
      <c r="L1117" t="s">
        <v>918</v>
      </c>
      <c r="M1117" t="s">
        <v>1296</v>
      </c>
      <c r="N1117">
        <v>2</v>
      </c>
      <c r="O1117" t="s">
        <v>1076</v>
      </c>
      <c r="P1117">
        <v>0.02</v>
      </c>
      <c r="Q1117" t="s">
        <v>245</v>
      </c>
      <c r="R1117">
        <v>28.6</v>
      </c>
      <c r="S1117">
        <v>31.4</v>
      </c>
      <c r="T1117">
        <v>28.6</v>
      </c>
      <c r="U1117">
        <v>4.3</v>
      </c>
      <c r="V1117">
        <v>7.1</v>
      </c>
    </row>
    <row r="1118" spans="1:22" x14ac:dyDescent="0.25">
      <c r="A1118" t="s">
        <v>2435</v>
      </c>
      <c r="B1118" t="s">
        <v>1084</v>
      </c>
      <c r="C1118">
        <v>18</v>
      </c>
      <c r="D1118" t="s">
        <v>132</v>
      </c>
      <c r="E1118" t="s">
        <v>79</v>
      </c>
      <c r="F1118" t="s">
        <v>79</v>
      </c>
      <c r="G1118">
        <v>0.11</v>
      </c>
      <c r="H1118" t="s">
        <v>26</v>
      </c>
      <c r="I1118">
        <v>0</v>
      </c>
      <c r="J1118" t="str">
        <f>HYPERLINK("https://www.eliteprospects.com/player/336777/devin-pimm")</f>
        <v>https://www.eliteprospects.com/player/336777/devin-pimm</v>
      </c>
      <c r="K1118" t="s">
        <v>27</v>
      </c>
      <c r="L1118" t="s">
        <v>918</v>
      </c>
      <c r="M1118" t="s">
        <v>1296</v>
      </c>
      <c r="N1118">
        <v>3</v>
      </c>
      <c r="O1118" t="s">
        <v>962</v>
      </c>
      <c r="P1118">
        <v>0.01</v>
      </c>
      <c r="Q1118" t="s">
        <v>245</v>
      </c>
      <c r="R1118">
        <v>28.6</v>
      </c>
      <c r="S1118">
        <v>31.4</v>
      </c>
      <c r="T1118">
        <v>28.6</v>
      </c>
      <c r="U1118">
        <v>4.3</v>
      </c>
      <c r="V1118">
        <v>7.1</v>
      </c>
    </row>
    <row r="1119" spans="1:22" x14ac:dyDescent="0.25">
      <c r="A1119" t="s">
        <v>2436</v>
      </c>
      <c r="B1119" t="s">
        <v>944</v>
      </c>
      <c r="C1119">
        <v>18</v>
      </c>
      <c r="D1119" t="s">
        <v>132</v>
      </c>
      <c r="E1119" t="s">
        <v>79</v>
      </c>
      <c r="F1119" t="s">
        <v>79</v>
      </c>
      <c r="G1119">
        <v>0.11</v>
      </c>
      <c r="H1119" t="s">
        <v>47</v>
      </c>
      <c r="I1119">
        <v>2</v>
      </c>
      <c r="J1119" t="str">
        <f>HYPERLINK("https://www.eliteprospects.com/player/419302/marc-antoine-mercier")</f>
        <v>https://www.eliteprospects.com/player/419302/marc-antoine-mercier</v>
      </c>
      <c r="K1119" t="s">
        <v>27</v>
      </c>
      <c r="L1119" t="s">
        <v>918</v>
      </c>
      <c r="M1119" t="s">
        <v>1296</v>
      </c>
      <c r="N1119">
        <v>5</v>
      </c>
      <c r="O1119" t="s">
        <v>1094</v>
      </c>
      <c r="P1119">
        <v>0.01</v>
      </c>
      <c r="Q1119" t="s">
        <v>245</v>
      </c>
      <c r="R1119">
        <v>28.6</v>
      </c>
      <c r="S1119">
        <v>31.4</v>
      </c>
      <c r="T1119">
        <v>28.6</v>
      </c>
      <c r="U1119">
        <v>4.3</v>
      </c>
      <c r="V1119">
        <v>7.1</v>
      </c>
    </row>
    <row r="1120" spans="1:22" x14ac:dyDescent="0.25">
      <c r="A1120" t="s">
        <v>2437</v>
      </c>
      <c r="B1120" t="s">
        <v>1084</v>
      </c>
      <c r="C1120">
        <v>19</v>
      </c>
      <c r="D1120" t="s">
        <v>132</v>
      </c>
      <c r="E1120" t="s">
        <v>79</v>
      </c>
      <c r="F1120" t="s">
        <v>79</v>
      </c>
      <c r="G1120">
        <v>0.11</v>
      </c>
      <c r="H1120" t="s">
        <v>79</v>
      </c>
      <c r="I1120">
        <v>0</v>
      </c>
      <c r="J1120" t="str">
        <f>HYPERLINK("https://www.eliteprospects.com/player/317488/bruce-coltart")</f>
        <v>https://www.eliteprospects.com/player/317488/bruce-coltart</v>
      </c>
      <c r="K1120" t="s">
        <v>27</v>
      </c>
      <c r="L1120" t="s">
        <v>918</v>
      </c>
      <c r="M1120" t="s">
        <v>1296</v>
      </c>
      <c r="N1120">
        <v>3</v>
      </c>
      <c r="O1120" t="s">
        <v>962</v>
      </c>
      <c r="P1120">
        <v>0.01</v>
      </c>
      <c r="Q1120" t="s">
        <v>245</v>
      </c>
      <c r="R1120">
        <v>28.6</v>
      </c>
      <c r="S1120">
        <v>31.4</v>
      </c>
      <c r="T1120">
        <v>28.6</v>
      </c>
      <c r="U1120">
        <v>4.3</v>
      </c>
      <c r="V1120">
        <v>7.1</v>
      </c>
    </row>
    <row r="1121" spans="1:22" x14ac:dyDescent="0.25">
      <c r="A1121" t="s">
        <v>2438</v>
      </c>
      <c r="B1121" t="s">
        <v>966</v>
      </c>
      <c r="C1121">
        <v>10</v>
      </c>
      <c r="D1121" t="s">
        <v>260</v>
      </c>
      <c r="E1121" t="s">
        <v>132</v>
      </c>
      <c r="F1121" t="s">
        <v>260</v>
      </c>
      <c r="G1121">
        <v>0.1</v>
      </c>
      <c r="H1121" t="s">
        <v>79</v>
      </c>
      <c r="I1121">
        <v>3</v>
      </c>
      <c r="J1121" t="str">
        <f>HYPERLINK("https://www.eliteprospects.com/player/516637/jordan-grill")</f>
        <v>https://www.eliteprospects.com/player/516637/jordan-grill</v>
      </c>
      <c r="K1121" t="s">
        <v>27</v>
      </c>
      <c r="L1121" t="s">
        <v>918</v>
      </c>
      <c r="M1121" t="s">
        <v>1296</v>
      </c>
      <c r="N1121">
        <v>1</v>
      </c>
      <c r="O1121" t="s">
        <v>984</v>
      </c>
      <c r="P1121">
        <v>0.01</v>
      </c>
      <c r="Q1121" t="s">
        <v>245</v>
      </c>
      <c r="R1121">
        <v>28.6</v>
      </c>
      <c r="S1121">
        <v>31.4</v>
      </c>
      <c r="T1121">
        <v>28.6</v>
      </c>
      <c r="U1121">
        <v>4.3</v>
      </c>
      <c r="V1121">
        <v>7.1</v>
      </c>
    </row>
    <row r="1122" spans="1:22" x14ac:dyDescent="0.25">
      <c r="A1122" t="s">
        <v>2439</v>
      </c>
      <c r="B1122" t="s">
        <v>961</v>
      </c>
      <c r="C1122">
        <v>10</v>
      </c>
      <c r="D1122" t="s">
        <v>260</v>
      </c>
      <c r="E1122" t="s">
        <v>132</v>
      </c>
      <c r="F1122" t="s">
        <v>260</v>
      </c>
      <c r="G1122">
        <v>0.1</v>
      </c>
      <c r="H1122" t="s">
        <v>66</v>
      </c>
      <c r="I1122">
        <v>0</v>
      </c>
      <c r="J1122" t="str">
        <f>HYPERLINK("https://www.eliteprospects.com/player/418343/samuel-willits")</f>
        <v>https://www.eliteprospects.com/player/418343/samuel-willits</v>
      </c>
      <c r="K1122" t="s">
        <v>27</v>
      </c>
      <c r="L1122" t="s">
        <v>918</v>
      </c>
      <c r="M1122" t="s">
        <v>1296</v>
      </c>
      <c r="N1122">
        <v>3</v>
      </c>
      <c r="O1122" t="s">
        <v>962</v>
      </c>
      <c r="P1122">
        <v>0.01</v>
      </c>
      <c r="Q1122" t="s">
        <v>245</v>
      </c>
      <c r="R1122">
        <v>28.6</v>
      </c>
      <c r="S1122">
        <v>31.4</v>
      </c>
      <c r="T1122">
        <v>28.6</v>
      </c>
      <c r="U1122">
        <v>4.3</v>
      </c>
      <c r="V1122">
        <v>7.1</v>
      </c>
    </row>
    <row r="1123" spans="1:22" x14ac:dyDescent="0.25">
      <c r="A1123" t="s">
        <v>2440</v>
      </c>
      <c r="B1123" t="s">
        <v>1032</v>
      </c>
      <c r="C1123">
        <v>10</v>
      </c>
      <c r="D1123" t="s">
        <v>260</v>
      </c>
      <c r="E1123" t="s">
        <v>132</v>
      </c>
      <c r="F1123" t="s">
        <v>260</v>
      </c>
      <c r="G1123">
        <v>0.1</v>
      </c>
      <c r="H1123" t="s">
        <v>23</v>
      </c>
      <c r="I1123">
        <v>0</v>
      </c>
      <c r="J1123" t="str">
        <f>HYPERLINK("https://www.eliteprospects.com/player/881775/brayden-velliaris")</f>
        <v>https://www.eliteprospects.com/player/881775/brayden-velliaris</v>
      </c>
      <c r="K1123" t="s">
        <v>27</v>
      </c>
      <c r="L1123" t="s">
        <v>918</v>
      </c>
      <c r="M1123" t="s">
        <v>1296</v>
      </c>
      <c r="N1123">
        <v>3</v>
      </c>
      <c r="O1123" t="s">
        <v>1211</v>
      </c>
      <c r="P1123">
        <v>0.01</v>
      </c>
      <c r="Q1123" t="s">
        <v>245</v>
      </c>
      <c r="R1123">
        <v>28.6</v>
      </c>
      <c r="S1123">
        <v>31.4</v>
      </c>
      <c r="T1123">
        <v>28.6</v>
      </c>
      <c r="U1123">
        <v>4.3</v>
      </c>
      <c r="V1123">
        <v>7.1</v>
      </c>
    </row>
    <row r="1124" spans="1:22" x14ac:dyDescent="0.25">
      <c r="A1124" t="s">
        <v>2441</v>
      </c>
      <c r="B1124" t="s">
        <v>1118</v>
      </c>
      <c r="C1124">
        <v>16</v>
      </c>
      <c r="D1124" t="s">
        <v>260</v>
      </c>
      <c r="E1124" t="s">
        <v>132</v>
      </c>
      <c r="F1124" t="s">
        <v>260</v>
      </c>
      <c r="G1124">
        <v>0.06</v>
      </c>
      <c r="H1124" t="s">
        <v>23</v>
      </c>
      <c r="I1124">
        <v>-12</v>
      </c>
      <c r="J1124" t="str">
        <f>HYPERLINK("https://www.eliteprospects.com/player/482790/ashton-fishley")</f>
        <v>https://www.eliteprospects.com/player/482790/ashton-fishley</v>
      </c>
      <c r="K1124" t="s">
        <v>27</v>
      </c>
      <c r="L1124" t="s">
        <v>918</v>
      </c>
      <c r="M1124" t="s">
        <v>1296</v>
      </c>
      <c r="N1124">
        <v>1</v>
      </c>
      <c r="O1124" t="s">
        <v>984</v>
      </c>
      <c r="P1124">
        <v>0.01</v>
      </c>
      <c r="Q1124" t="s">
        <v>245</v>
      </c>
      <c r="R1124">
        <v>28.6</v>
      </c>
      <c r="S1124">
        <v>31.4</v>
      </c>
      <c r="T1124">
        <v>28.6</v>
      </c>
      <c r="U1124">
        <v>4.3</v>
      </c>
      <c r="V1124">
        <v>7.1</v>
      </c>
    </row>
    <row r="1125" spans="1:22" x14ac:dyDescent="0.25">
      <c r="A1125" t="s">
        <v>2442</v>
      </c>
      <c r="B1125" t="s">
        <v>998</v>
      </c>
      <c r="C1125">
        <v>10</v>
      </c>
      <c r="D1125" t="s">
        <v>132</v>
      </c>
      <c r="E1125" t="s">
        <v>260</v>
      </c>
      <c r="F1125" t="s">
        <v>260</v>
      </c>
      <c r="G1125">
        <v>0.1</v>
      </c>
      <c r="H1125" t="s">
        <v>66</v>
      </c>
      <c r="I1125">
        <v>0</v>
      </c>
      <c r="J1125" t="str">
        <f>HYPERLINK("https://www.eliteprospects.com/player/485348/ethan-peters")</f>
        <v>https://www.eliteprospects.com/player/485348/ethan-peters</v>
      </c>
      <c r="K1125" t="s">
        <v>27</v>
      </c>
      <c r="L1125" t="s">
        <v>918</v>
      </c>
      <c r="M1125" t="s">
        <v>1296</v>
      </c>
      <c r="N1125">
        <v>5</v>
      </c>
      <c r="O1125" t="s">
        <v>979</v>
      </c>
      <c r="P1125">
        <v>0.01</v>
      </c>
      <c r="Q1125" t="s">
        <v>245</v>
      </c>
      <c r="R1125">
        <v>28.6</v>
      </c>
      <c r="S1125">
        <v>31.4</v>
      </c>
      <c r="T1125">
        <v>28.6</v>
      </c>
      <c r="U1125">
        <v>4.3</v>
      </c>
      <c r="V1125">
        <v>7.1</v>
      </c>
    </row>
    <row r="1126" spans="1:22" x14ac:dyDescent="0.25">
      <c r="A1126" t="s">
        <v>2443</v>
      </c>
      <c r="B1126" t="s">
        <v>934</v>
      </c>
      <c r="C1126">
        <v>11</v>
      </c>
      <c r="D1126" t="s">
        <v>132</v>
      </c>
      <c r="E1126" t="s">
        <v>260</v>
      </c>
      <c r="F1126" t="s">
        <v>260</v>
      </c>
      <c r="G1126">
        <v>0.09</v>
      </c>
      <c r="H1126" t="s">
        <v>57</v>
      </c>
      <c r="I1126">
        <v>0</v>
      </c>
      <c r="J1126" t="str">
        <f>HYPERLINK("https://www.eliteprospects.com/player/649403/roberto-mancini")</f>
        <v>https://www.eliteprospects.com/player/649403/roberto-mancini</v>
      </c>
      <c r="K1126" t="s">
        <v>27</v>
      </c>
      <c r="L1126" t="s">
        <v>918</v>
      </c>
      <c r="M1126" t="s">
        <v>1296</v>
      </c>
      <c r="N1126">
        <v>7</v>
      </c>
      <c r="O1126" t="s">
        <v>948</v>
      </c>
      <c r="P1126">
        <v>0.01</v>
      </c>
      <c r="Q1126" t="s">
        <v>245</v>
      </c>
      <c r="R1126">
        <v>28.6</v>
      </c>
      <c r="S1126">
        <v>31.4</v>
      </c>
      <c r="T1126">
        <v>28.6</v>
      </c>
      <c r="U1126">
        <v>4.3</v>
      </c>
      <c r="V1126">
        <v>7.1</v>
      </c>
    </row>
    <row r="1127" spans="1:22" x14ac:dyDescent="0.25">
      <c r="A1127" t="s">
        <v>2444</v>
      </c>
      <c r="B1127" t="s">
        <v>939</v>
      </c>
      <c r="C1127">
        <v>12</v>
      </c>
      <c r="D1127" t="s">
        <v>132</v>
      </c>
      <c r="E1127" t="s">
        <v>260</v>
      </c>
      <c r="F1127" t="s">
        <v>260</v>
      </c>
      <c r="G1127">
        <v>0.08</v>
      </c>
      <c r="H1127" t="s">
        <v>79</v>
      </c>
      <c r="I1127">
        <v>-4</v>
      </c>
      <c r="J1127" t="str">
        <f>HYPERLINK("https://www.eliteprospects.com/player/287452/ethan-regnier")</f>
        <v>https://www.eliteprospects.com/player/287452/ethan-regnier</v>
      </c>
      <c r="K1127" t="s">
        <v>27</v>
      </c>
      <c r="L1127" t="s">
        <v>918</v>
      </c>
      <c r="M1127" t="s">
        <v>1546</v>
      </c>
      <c r="N1127">
        <v>5</v>
      </c>
      <c r="O1127" t="s">
        <v>1107</v>
      </c>
      <c r="P1127">
        <v>0.01</v>
      </c>
      <c r="Q1127" t="s">
        <v>245</v>
      </c>
      <c r="R1127">
        <v>28.6</v>
      </c>
      <c r="S1127">
        <v>31.4</v>
      </c>
      <c r="T1127">
        <v>28.6</v>
      </c>
      <c r="U1127">
        <v>4.3</v>
      </c>
      <c r="V1127">
        <v>7.1</v>
      </c>
    </row>
    <row r="1128" spans="1:22" x14ac:dyDescent="0.25">
      <c r="A1128" t="s">
        <v>2445</v>
      </c>
      <c r="B1128" t="s">
        <v>957</v>
      </c>
      <c r="C1128">
        <v>12</v>
      </c>
      <c r="D1128" t="s">
        <v>132</v>
      </c>
      <c r="E1128" t="s">
        <v>260</v>
      </c>
      <c r="F1128" t="s">
        <v>260</v>
      </c>
      <c r="G1128">
        <v>0.08</v>
      </c>
      <c r="H1128" t="s">
        <v>79</v>
      </c>
      <c r="I1128">
        <v>2</v>
      </c>
      <c r="J1128" t="str">
        <f>HYPERLINK("https://www.eliteprospects.com/player/575016/dylan-bidyk")</f>
        <v>https://www.eliteprospects.com/player/575016/dylan-bidyk</v>
      </c>
      <c r="K1128" t="s">
        <v>27</v>
      </c>
      <c r="L1128" t="s">
        <v>918</v>
      </c>
      <c r="M1128" t="s">
        <v>1296</v>
      </c>
      <c r="N1128">
        <v>1</v>
      </c>
      <c r="O1128" t="s">
        <v>984</v>
      </c>
      <c r="P1128">
        <v>0.01</v>
      </c>
      <c r="Q1128" t="s">
        <v>245</v>
      </c>
      <c r="R1128">
        <v>28.6</v>
      </c>
      <c r="S1128">
        <v>31.4</v>
      </c>
      <c r="T1128">
        <v>28.6</v>
      </c>
      <c r="U1128">
        <v>4.3</v>
      </c>
      <c r="V1128">
        <v>7.1</v>
      </c>
    </row>
    <row r="1129" spans="1:22" x14ac:dyDescent="0.25">
      <c r="A1129" t="s">
        <v>2446</v>
      </c>
      <c r="B1129" t="s">
        <v>1118</v>
      </c>
      <c r="C1129">
        <v>12</v>
      </c>
      <c r="D1129" t="s">
        <v>132</v>
      </c>
      <c r="E1129" t="s">
        <v>260</v>
      </c>
      <c r="F1129" t="s">
        <v>260</v>
      </c>
      <c r="G1129">
        <v>0.08</v>
      </c>
      <c r="H1129" t="s">
        <v>26</v>
      </c>
      <c r="I1129">
        <v>-14</v>
      </c>
      <c r="J1129" t="str">
        <f>HYPERLINK("https://www.eliteprospects.com/player/560989/jaren-brinson")</f>
        <v>https://www.eliteprospects.com/player/560989/jaren-brinson</v>
      </c>
      <c r="K1129" t="s">
        <v>27</v>
      </c>
      <c r="L1129" t="s">
        <v>918</v>
      </c>
      <c r="M1129" t="s">
        <v>1296</v>
      </c>
      <c r="N1129">
        <v>5</v>
      </c>
      <c r="O1129" t="s">
        <v>979</v>
      </c>
      <c r="P1129">
        <v>0.01</v>
      </c>
      <c r="Q1129" t="s">
        <v>245</v>
      </c>
      <c r="R1129">
        <v>28.6</v>
      </c>
      <c r="S1129">
        <v>31.4</v>
      </c>
      <c r="T1129">
        <v>28.6</v>
      </c>
      <c r="U1129">
        <v>4.3</v>
      </c>
      <c r="V1129">
        <v>7.1</v>
      </c>
    </row>
    <row r="1130" spans="1:22" x14ac:dyDescent="0.25">
      <c r="A1130" t="s">
        <v>2447</v>
      </c>
      <c r="B1130" t="s">
        <v>1001</v>
      </c>
      <c r="C1130">
        <v>12</v>
      </c>
      <c r="D1130" t="s">
        <v>132</v>
      </c>
      <c r="E1130" t="s">
        <v>260</v>
      </c>
      <c r="F1130" t="s">
        <v>260</v>
      </c>
      <c r="G1130">
        <v>0.08</v>
      </c>
      <c r="H1130" t="s">
        <v>513</v>
      </c>
      <c r="I1130">
        <v>-12</v>
      </c>
      <c r="J1130" t="str">
        <f>HYPERLINK("https://www.eliteprospects.com/player/569196/liam-rodman")</f>
        <v>https://www.eliteprospects.com/player/569196/liam-rodman</v>
      </c>
      <c r="K1130" t="s">
        <v>27</v>
      </c>
      <c r="L1130" t="s">
        <v>918</v>
      </c>
      <c r="M1130" t="s">
        <v>1296</v>
      </c>
      <c r="N1130">
        <v>1</v>
      </c>
      <c r="O1130" t="s">
        <v>984</v>
      </c>
      <c r="P1130">
        <v>0.01</v>
      </c>
      <c r="Q1130" t="s">
        <v>245</v>
      </c>
      <c r="R1130">
        <v>28.6</v>
      </c>
      <c r="S1130">
        <v>31.4</v>
      </c>
      <c r="T1130">
        <v>28.6</v>
      </c>
      <c r="U1130">
        <v>4.3</v>
      </c>
      <c r="V1130">
        <v>7.1</v>
      </c>
    </row>
    <row r="1131" spans="1:22" x14ac:dyDescent="0.25">
      <c r="A1131" t="s">
        <v>2448</v>
      </c>
      <c r="B1131" t="s">
        <v>1038</v>
      </c>
      <c r="C1131">
        <v>13</v>
      </c>
      <c r="D1131" t="s">
        <v>132</v>
      </c>
      <c r="E1131" t="s">
        <v>260</v>
      </c>
      <c r="F1131" t="s">
        <v>260</v>
      </c>
      <c r="G1131">
        <v>0.08</v>
      </c>
      <c r="H1131" t="s">
        <v>66</v>
      </c>
      <c r="I1131">
        <v>0</v>
      </c>
      <c r="J1131" t="str">
        <f>HYPERLINK("https://www.eliteprospects.com/player/651971/ethan-mcfarland")</f>
        <v>https://www.eliteprospects.com/player/651971/ethan-mcfarland</v>
      </c>
      <c r="K1131" t="s">
        <v>27</v>
      </c>
      <c r="L1131" t="s">
        <v>918</v>
      </c>
      <c r="M1131" t="s">
        <v>1296</v>
      </c>
      <c r="N1131">
        <v>1</v>
      </c>
      <c r="O1131" t="s">
        <v>984</v>
      </c>
      <c r="P1131">
        <v>0.01</v>
      </c>
      <c r="Q1131" t="s">
        <v>245</v>
      </c>
      <c r="R1131">
        <v>28.6</v>
      </c>
      <c r="S1131">
        <v>31.4</v>
      </c>
      <c r="T1131">
        <v>28.6</v>
      </c>
      <c r="U1131">
        <v>4.3</v>
      </c>
      <c r="V1131">
        <v>7.1</v>
      </c>
    </row>
    <row r="1132" spans="1:22" x14ac:dyDescent="0.25">
      <c r="A1132" t="s">
        <v>2449</v>
      </c>
      <c r="B1132" t="s">
        <v>947</v>
      </c>
      <c r="C1132">
        <v>13</v>
      </c>
      <c r="D1132" t="s">
        <v>132</v>
      </c>
      <c r="E1132" t="s">
        <v>260</v>
      </c>
      <c r="F1132" t="s">
        <v>260</v>
      </c>
      <c r="G1132">
        <v>0.08</v>
      </c>
      <c r="H1132" t="s">
        <v>38</v>
      </c>
      <c r="I1132">
        <v>0</v>
      </c>
      <c r="J1132" t="str">
        <f>HYPERLINK("https://www.eliteprospects.com/player/506437/ethan-casper")</f>
        <v>https://www.eliteprospects.com/player/506437/ethan-casper</v>
      </c>
      <c r="K1132" t="s">
        <v>27</v>
      </c>
      <c r="L1132" t="s">
        <v>918</v>
      </c>
      <c r="M1132" t="s">
        <v>1296</v>
      </c>
      <c r="N1132">
        <v>1</v>
      </c>
      <c r="O1132" t="s">
        <v>984</v>
      </c>
      <c r="P1132">
        <v>0.01</v>
      </c>
      <c r="Q1132" t="s">
        <v>245</v>
      </c>
      <c r="R1132">
        <v>28.6</v>
      </c>
      <c r="S1132">
        <v>31.4</v>
      </c>
      <c r="T1132">
        <v>28.6</v>
      </c>
      <c r="U1132">
        <v>4.3</v>
      </c>
      <c r="V1132">
        <v>7.1</v>
      </c>
    </row>
    <row r="1133" spans="1:22" x14ac:dyDescent="0.25">
      <c r="A1133" t="s">
        <v>2450</v>
      </c>
      <c r="B1133" t="s">
        <v>961</v>
      </c>
      <c r="C1133">
        <v>13</v>
      </c>
      <c r="D1133" t="s">
        <v>132</v>
      </c>
      <c r="E1133" t="s">
        <v>260</v>
      </c>
      <c r="F1133" t="s">
        <v>260</v>
      </c>
      <c r="G1133">
        <v>0.08</v>
      </c>
      <c r="H1133" t="s">
        <v>55</v>
      </c>
      <c r="I1133">
        <v>0</v>
      </c>
      <c r="J1133" t="str">
        <f>HYPERLINK("https://www.eliteprospects.com/player/542042/anthony-allepot")</f>
        <v>https://www.eliteprospects.com/player/542042/anthony-allepot</v>
      </c>
      <c r="K1133" t="s">
        <v>27</v>
      </c>
      <c r="L1133" t="s">
        <v>918</v>
      </c>
      <c r="M1133" t="s">
        <v>1296</v>
      </c>
      <c r="N1133">
        <v>5</v>
      </c>
      <c r="O1133" t="s">
        <v>973</v>
      </c>
      <c r="P1133">
        <v>0.01</v>
      </c>
      <c r="Q1133" t="s">
        <v>245</v>
      </c>
      <c r="R1133">
        <v>28.6</v>
      </c>
      <c r="S1133">
        <v>31.4</v>
      </c>
      <c r="T1133">
        <v>28.6</v>
      </c>
      <c r="U1133">
        <v>4.3</v>
      </c>
      <c r="V1133">
        <v>7.1</v>
      </c>
    </row>
    <row r="1134" spans="1:22" x14ac:dyDescent="0.25">
      <c r="A1134" t="s">
        <v>2451</v>
      </c>
      <c r="B1134" t="s">
        <v>1011</v>
      </c>
      <c r="C1134">
        <v>15</v>
      </c>
      <c r="D1134" t="s">
        <v>132</v>
      </c>
      <c r="E1134" t="s">
        <v>260</v>
      </c>
      <c r="F1134" t="s">
        <v>260</v>
      </c>
      <c r="G1134">
        <v>7.0000000000000007E-2</v>
      </c>
      <c r="H1134" t="s">
        <v>79</v>
      </c>
      <c r="I1134">
        <v>-5</v>
      </c>
      <c r="J1134" t="str">
        <f>HYPERLINK("https://www.eliteprospects.com/player/660326/logan-cunningham")</f>
        <v>https://www.eliteprospects.com/player/660326/logan-cunningham</v>
      </c>
      <c r="K1134" t="s">
        <v>27</v>
      </c>
      <c r="L1134" t="s">
        <v>918</v>
      </c>
      <c r="M1134" t="s">
        <v>1296</v>
      </c>
      <c r="N1134">
        <v>5</v>
      </c>
      <c r="O1134" t="s">
        <v>979</v>
      </c>
      <c r="P1134">
        <v>0.01</v>
      </c>
      <c r="Q1134" t="s">
        <v>245</v>
      </c>
      <c r="R1134">
        <v>28.6</v>
      </c>
      <c r="S1134">
        <v>31.4</v>
      </c>
      <c r="T1134">
        <v>28.6</v>
      </c>
      <c r="U1134">
        <v>4.3</v>
      </c>
      <c r="V1134">
        <v>7.1</v>
      </c>
    </row>
    <row r="1135" spans="1:22" x14ac:dyDescent="0.25">
      <c r="A1135" t="s">
        <v>2452</v>
      </c>
      <c r="B1135" t="s">
        <v>1020</v>
      </c>
      <c r="C1135">
        <v>16</v>
      </c>
      <c r="D1135" t="s">
        <v>132</v>
      </c>
      <c r="E1135" t="s">
        <v>260</v>
      </c>
      <c r="F1135" t="s">
        <v>260</v>
      </c>
      <c r="G1135">
        <v>0.06</v>
      </c>
      <c r="H1135" t="s">
        <v>66</v>
      </c>
      <c r="I1135">
        <v>-11</v>
      </c>
      <c r="J1135" t="str">
        <f>HYPERLINK("https://www.eliteprospects.com/player/541162/adam-leitch")</f>
        <v>https://www.eliteprospects.com/player/541162/adam-leitch</v>
      </c>
      <c r="K1135" t="s">
        <v>27</v>
      </c>
      <c r="L1135" t="s">
        <v>918</v>
      </c>
      <c r="M1135" t="s">
        <v>1296</v>
      </c>
      <c r="N1135">
        <v>1</v>
      </c>
      <c r="O1135" t="s">
        <v>984</v>
      </c>
      <c r="P1135">
        <v>0.01</v>
      </c>
      <c r="Q1135" t="s">
        <v>245</v>
      </c>
      <c r="R1135">
        <v>28.6</v>
      </c>
      <c r="S1135">
        <v>31.4</v>
      </c>
      <c r="T1135">
        <v>28.6</v>
      </c>
      <c r="U1135">
        <v>4.3</v>
      </c>
      <c r="V1135">
        <v>7.1</v>
      </c>
    </row>
    <row r="1136" spans="1:22" x14ac:dyDescent="0.25">
      <c r="A1136" t="s">
        <v>2453</v>
      </c>
      <c r="B1136" t="s">
        <v>1015</v>
      </c>
      <c r="C1136">
        <v>16</v>
      </c>
      <c r="D1136" t="s">
        <v>132</v>
      </c>
      <c r="E1136" t="s">
        <v>260</v>
      </c>
      <c r="F1136" t="s">
        <v>260</v>
      </c>
      <c r="G1136">
        <v>0.06</v>
      </c>
      <c r="H1136" t="s">
        <v>32</v>
      </c>
      <c r="I1136">
        <v>0</v>
      </c>
      <c r="J1136" t="str">
        <f>HYPERLINK("https://www.eliteprospects.com/player/282492/konrad-belcourt")</f>
        <v>https://www.eliteprospects.com/player/282492/konrad-belcourt</v>
      </c>
      <c r="K1136" t="s">
        <v>27</v>
      </c>
      <c r="L1136" t="s">
        <v>918</v>
      </c>
      <c r="M1136" t="s">
        <v>1296</v>
      </c>
      <c r="N1136">
        <v>2</v>
      </c>
      <c r="O1136" t="s">
        <v>1021</v>
      </c>
      <c r="P1136">
        <v>0.01</v>
      </c>
      <c r="Q1136" t="s">
        <v>245</v>
      </c>
      <c r="R1136">
        <v>28.6</v>
      </c>
      <c r="S1136">
        <v>31.4</v>
      </c>
      <c r="T1136">
        <v>28.6</v>
      </c>
      <c r="U1136">
        <v>4.3</v>
      </c>
      <c r="V1136">
        <v>7.1</v>
      </c>
    </row>
    <row r="1137" spans="1:22" x14ac:dyDescent="0.25">
      <c r="A1137" t="s">
        <v>2454</v>
      </c>
      <c r="B1137" t="s">
        <v>998</v>
      </c>
      <c r="C1137">
        <v>16</v>
      </c>
      <c r="D1137" t="s">
        <v>132</v>
      </c>
      <c r="E1137" t="s">
        <v>260</v>
      </c>
      <c r="F1137" t="s">
        <v>260</v>
      </c>
      <c r="G1137">
        <v>0.06</v>
      </c>
      <c r="H1137" t="s">
        <v>23</v>
      </c>
      <c r="I1137">
        <v>0</v>
      </c>
      <c r="J1137" t="str">
        <f>HYPERLINK("https://www.eliteprospects.com/player/502874/cameron-morton")</f>
        <v>https://www.eliteprospects.com/player/502874/cameron-morton</v>
      </c>
      <c r="K1137" t="s">
        <v>27</v>
      </c>
      <c r="L1137" t="s">
        <v>918</v>
      </c>
      <c r="M1137" t="s">
        <v>1296</v>
      </c>
      <c r="N1137">
        <v>6</v>
      </c>
      <c r="O1137" t="s">
        <v>995</v>
      </c>
      <c r="P1137">
        <v>0.01</v>
      </c>
      <c r="Q1137" t="s">
        <v>245</v>
      </c>
      <c r="R1137">
        <v>28.6</v>
      </c>
      <c r="S1137">
        <v>31.4</v>
      </c>
      <c r="T1137">
        <v>28.6</v>
      </c>
      <c r="U1137">
        <v>4.3</v>
      </c>
      <c r="V1137">
        <v>7.1</v>
      </c>
    </row>
    <row r="1138" spans="1:22" x14ac:dyDescent="0.25">
      <c r="A1138" t="s">
        <v>2455</v>
      </c>
      <c r="B1138" t="s">
        <v>1053</v>
      </c>
      <c r="C1138">
        <v>17</v>
      </c>
      <c r="D1138" t="s">
        <v>132</v>
      </c>
      <c r="E1138" t="s">
        <v>260</v>
      </c>
      <c r="F1138" t="s">
        <v>260</v>
      </c>
      <c r="G1138">
        <v>0.06</v>
      </c>
      <c r="H1138" t="s">
        <v>66</v>
      </c>
      <c r="I1138">
        <v>0</v>
      </c>
      <c r="J1138" t="str">
        <f>HYPERLINK("https://www.eliteprospects.com/player/421644/logan-holm")</f>
        <v>https://www.eliteprospects.com/player/421644/logan-holm</v>
      </c>
      <c r="K1138" t="s">
        <v>27</v>
      </c>
      <c r="L1138" t="s">
        <v>918</v>
      </c>
      <c r="M1138" t="s">
        <v>1296</v>
      </c>
      <c r="N1138">
        <v>2</v>
      </c>
      <c r="O1138" t="s">
        <v>1021</v>
      </c>
      <c r="P1138">
        <v>0.01</v>
      </c>
      <c r="Q1138" t="s">
        <v>245</v>
      </c>
      <c r="R1138">
        <v>28.6</v>
      </c>
      <c r="S1138">
        <v>31.4</v>
      </c>
      <c r="T1138">
        <v>28.6</v>
      </c>
      <c r="U1138">
        <v>4.3</v>
      </c>
      <c r="V1138">
        <v>7.1</v>
      </c>
    </row>
    <row r="1139" spans="1:22" x14ac:dyDescent="0.25">
      <c r="A1139" t="s">
        <v>2456</v>
      </c>
      <c r="B1139" t="s">
        <v>954</v>
      </c>
      <c r="C1139">
        <v>17</v>
      </c>
      <c r="D1139" t="s">
        <v>132</v>
      </c>
      <c r="E1139" t="s">
        <v>260</v>
      </c>
      <c r="F1139" t="s">
        <v>260</v>
      </c>
      <c r="G1139">
        <v>0.06</v>
      </c>
      <c r="H1139" t="s">
        <v>38</v>
      </c>
      <c r="I1139">
        <v>0</v>
      </c>
      <c r="J1139" t="str">
        <f>HYPERLINK("https://www.eliteprospects.com/player/582559/cam-gauvreau")</f>
        <v>https://www.eliteprospects.com/player/582559/cam-gauvreau</v>
      </c>
      <c r="K1139" t="s">
        <v>27</v>
      </c>
      <c r="L1139" t="s">
        <v>918</v>
      </c>
      <c r="M1139" t="s">
        <v>1296</v>
      </c>
      <c r="N1139">
        <v>4</v>
      </c>
      <c r="O1139" t="s">
        <v>1025</v>
      </c>
      <c r="P1139">
        <v>0.01</v>
      </c>
      <c r="Q1139" t="s">
        <v>245</v>
      </c>
      <c r="R1139">
        <v>28.6</v>
      </c>
      <c r="S1139">
        <v>31.4</v>
      </c>
      <c r="T1139">
        <v>28.6</v>
      </c>
      <c r="U1139">
        <v>4.3</v>
      </c>
      <c r="V1139">
        <v>7.1</v>
      </c>
    </row>
    <row r="1140" spans="1:22" x14ac:dyDescent="0.25">
      <c r="A1140" t="s">
        <v>2457</v>
      </c>
      <c r="B1140" t="s">
        <v>1032</v>
      </c>
      <c r="C1140">
        <v>17</v>
      </c>
      <c r="D1140" t="s">
        <v>132</v>
      </c>
      <c r="E1140" t="s">
        <v>260</v>
      </c>
      <c r="F1140" t="s">
        <v>260</v>
      </c>
      <c r="G1140">
        <v>0.06</v>
      </c>
      <c r="H1140" t="s">
        <v>125</v>
      </c>
      <c r="I1140">
        <v>0</v>
      </c>
      <c r="J1140" t="str">
        <f>HYPERLINK("https://www.eliteprospects.com/player/413066/kieran-ruscheinski")</f>
        <v>https://www.eliteprospects.com/player/413066/kieran-ruscheinski</v>
      </c>
      <c r="K1140" t="s">
        <v>27</v>
      </c>
      <c r="L1140" t="s">
        <v>918</v>
      </c>
      <c r="M1140" t="s">
        <v>1296</v>
      </c>
      <c r="N1140">
        <v>3</v>
      </c>
      <c r="O1140" t="s">
        <v>1039</v>
      </c>
      <c r="P1140">
        <v>0.01</v>
      </c>
      <c r="Q1140" t="s">
        <v>245</v>
      </c>
      <c r="R1140">
        <v>28.6</v>
      </c>
      <c r="S1140">
        <v>31.4</v>
      </c>
      <c r="T1140">
        <v>28.6</v>
      </c>
      <c r="U1140">
        <v>4.3</v>
      </c>
      <c r="V1140">
        <v>7.1</v>
      </c>
    </row>
    <row r="1141" spans="1:22" x14ac:dyDescent="0.25">
      <c r="A1141" t="s">
        <v>2458</v>
      </c>
      <c r="B1141" t="s">
        <v>972</v>
      </c>
      <c r="C1141">
        <v>18</v>
      </c>
      <c r="D1141" t="s">
        <v>132</v>
      </c>
      <c r="E1141" t="s">
        <v>260</v>
      </c>
      <c r="F1141" t="s">
        <v>260</v>
      </c>
      <c r="G1141">
        <v>0.06</v>
      </c>
      <c r="H1141" t="s">
        <v>79</v>
      </c>
      <c r="I1141">
        <v>0</v>
      </c>
      <c r="J1141" t="str">
        <f>HYPERLINK("https://www.eliteprospects.com/player/675217/timothy-porter")</f>
        <v>https://www.eliteprospects.com/player/675217/timothy-porter</v>
      </c>
      <c r="K1141" t="s">
        <v>27</v>
      </c>
      <c r="L1141" t="s">
        <v>918</v>
      </c>
      <c r="M1141" t="s">
        <v>1296</v>
      </c>
      <c r="N1141">
        <v>1</v>
      </c>
      <c r="O1141" t="s">
        <v>984</v>
      </c>
      <c r="P1141">
        <v>0.01</v>
      </c>
      <c r="Q1141" t="s">
        <v>245</v>
      </c>
      <c r="R1141">
        <v>28.6</v>
      </c>
      <c r="S1141">
        <v>31.4</v>
      </c>
      <c r="T1141">
        <v>28.6</v>
      </c>
      <c r="U1141">
        <v>4.3</v>
      </c>
      <c r="V1141">
        <v>7.1</v>
      </c>
    </row>
    <row r="1142" spans="1:22" x14ac:dyDescent="0.25">
      <c r="A1142" t="s">
        <v>2459</v>
      </c>
      <c r="B1142" t="s">
        <v>991</v>
      </c>
      <c r="C1142">
        <v>18</v>
      </c>
      <c r="D1142" t="s">
        <v>132</v>
      </c>
      <c r="E1142" t="s">
        <v>260</v>
      </c>
      <c r="F1142" t="s">
        <v>260</v>
      </c>
      <c r="G1142">
        <v>0.06</v>
      </c>
      <c r="H1142" t="s">
        <v>32</v>
      </c>
      <c r="I1142">
        <v>0</v>
      </c>
      <c r="J1142" t="str">
        <f>HYPERLINK("https://www.eliteprospects.com/player/646143/cole-jenken")</f>
        <v>https://www.eliteprospects.com/player/646143/cole-jenken</v>
      </c>
      <c r="K1142" t="s">
        <v>27</v>
      </c>
      <c r="L1142" t="s">
        <v>918</v>
      </c>
      <c r="M1142" t="s">
        <v>1296</v>
      </c>
      <c r="N1142">
        <v>1</v>
      </c>
      <c r="O1142" t="s">
        <v>984</v>
      </c>
      <c r="P1142">
        <v>0.01</v>
      </c>
      <c r="Q1142" t="s">
        <v>245</v>
      </c>
      <c r="R1142">
        <v>28.6</v>
      </c>
      <c r="S1142">
        <v>31.4</v>
      </c>
      <c r="T1142">
        <v>28.6</v>
      </c>
      <c r="U1142">
        <v>4.3</v>
      </c>
      <c r="V1142">
        <v>7.1</v>
      </c>
    </row>
    <row r="1143" spans="1:22" x14ac:dyDescent="0.25">
      <c r="A1143" t="s">
        <v>2460</v>
      </c>
      <c r="B1143" t="s">
        <v>954</v>
      </c>
      <c r="C1143">
        <v>18</v>
      </c>
      <c r="D1143" t="s">
        <v>132</v>
      </c>
      <c r="E1143" t="s">
        <v>260</v>
      </c>
      <c r="F1143" t="s">
        <v>260</v>
      </c>
      <c r="G1143">
        <v>0.06</v>
      </c>
      <c r="H1143" t="s">
        <v>23</v>
      </c>
      <c r="I1143">
        <v>0</v>
      </c>
      <c r="J1143" t="str">
        <f>HYPERLINK("https://www.eliteprospects.com/player/413333/anson-mcmaster")</f>
        <v>https://www.eliteprospects.com/player/413333/anson-mcmaster</v>
      </c>
      <c r="K1143" t="s">
        <v>27</v>
      </c>
      <c r="L1143" t="s">
        <v>918</v>
      </c>
      <c r="M1143" t="s">
        <v>1296</v>
      </c>
      <c r="N1143">
        <v>6</v>
      </c>
      <c r="O1143" t="s">
        <v>924</v>
      </c>
      <c r="P1143">
        <v>0.01</v>
      </c>
      <c r="Q1143" t="s">
        <v>245</v>
      </c>
      <c r="R1143">
        <v>28.6</v>
      </c>
      <c r="S1143">
        <v>31.4</v>
      </c>
      <c r="T1143">
        <v>28.6</v>
      </c>
      <c r="U1143">
        <v>4.3</v>
      </c>
      <c r="V1143">
        <v>7.1</v>
      </c>
    </row>
    <row r="1144" spans="1:22" x14ac:dyDescent="0.25">
      <c r="A1144" t="s">
        <v>2461</v>
      </c>
      <c r="B1144" t="s">
        <v>1053</v>
      </c>
      <c r="C1144">
        <v>18</v>
      </c>
      <c r="D1144" t="s">
        <v>132</v>
      </c>
      <c r="E1144" t="s">
        <v>260</v>
      </c>
      <c r="F1144" t="s">
        <v>260</v>
      </c>
      <c r="G1144">
        <v>0.06</v>
      </c>
      <c r="H1144" t="s">
        <v>38</v>
      </c>
      <c r="I1144">
        <v>0</v>
      </c>
      <c r="J1144" t="str">
        <f>HYPERLINK("https://www.eliteprospects.com/player/506977/lucas-eagle")</f>
        <v>https://www.eliteprospects.com/player/506977/lucas-eagle</v>
      </c>
      <c r="K1144" t="s">
        <v>27</v>
      </c>
      <c r="L1144" t="s">
        <v>918</v>
      </c>
      <c r="M1144" t="s">
        <v>1296</v>
      </c>
      <c r="N1144">
        <v>2</v>
      </c>
      <c r="O1144" t="s">
        <v>1021</v>
      </c>
      <c r="P1144">
        <v>0.01</v>
      </c>
      <c r="Q1144" t="s">
        <v>245</v>
      </c>
      <c r="R1144">
        <v>28.6</v>
      </c>
      <c r="S1144">
        <v>31.4</v>
      </c>
      <c r="T1144">
        <v>28.6</v>
      </c>
      <c r="U1144">
        <v>4.3</v>
      </c>
      <c r="V1144">
        <v>7.1</v>
      </c>
    </row>
    <row r="1145" spans="1:22" x14ac:dyDescent="0.25">
      <c r="A1145" t="s">
        <v>2462</v>
      </c>
      <c r="B1145" t="s">
        <v>1001</v>
      </c>
      <c r="C1145">
        <v>19</v>
      </c>
      <c r="D1145" t="s">
        <v>132</v>
      </c>
      <c r="E1145" t="s">
        <v>260</v>
      </c>
      <c r="F1145" t="s">
        <v>260</v>
      </c>
      <c r="G1145">
        <v>0.05</v>
      </c>
      <c r="H1145" t="s">
        <v>55</v>
      </c>
      <c r="I1145">
        <v>-13</v>
      </c>
      <c r="J1145" t="str">
        <f>HYPERLINK("https://www.eliteprospects.com/player/563392/josh-o-connor")</f>
        <v>https://www.eliteprospects.com/player/563392/josh-o-connor</v>
      </c>
      <c r="K1145" t="s">
        <v>27</v>
      </c>
      <c r="L1145" t="s">
        <v>918</v>
      </c>
      <c r="M1145" t="s">
        <v>1296</v>
      </c>
      <c r="N1145">
        <v>1</v>
      </c>
      <c r="O1145" t="s">
        <v>984</v>
      </c>
      <c r="P1145">
        <v>0.01</v>
      </c>
      <c r="Q1145" t="s">
        <v>245</v>
      </c>
      <c r="R1145">
        <v>28.6</v>
      </c>
      <c r="S1145">
        <v>31.4</v>
      </c>
      <c r="T1145">
        <v>28.6</v>
      </c>
      <c r="U1145">
        <v>4.3</v>
      </c>
      <c r="V1145">
        <v>7.1</v>
      </c>
    </row>
    <row r="1146" spans="1:22" x14ac:dyDescent="0.25">
      <c r="A1146" t="s">
        <v>2463</v>
      </c>
      <c r="B1146" t="s">
        <v>957</v>
      </c>
      <c r="C1146">
        <v>10</v>
      </c>
      <c r="D1146" t="s">
        <v>132</v>
      </c>
      <c r="E1146" t="s">
        <v>132</v>
      </c>
      <c r="F1146" t="s">
        <v>132</v>
      </c>
      <c r="G1146">
        <v>0</v>
      </c>
      <c r="H1146" t="s">
        <v>66</v>
      </c>
      <c r="I1146">
        <v>-3</v>
      </c>
      <c r="J1146" t="str">
        <f>HYPERLINK("https://www.eliteprospects.com/player/476567/jack-parker")</f>
        <v>https://www.eliteprospects.com/player/476567/jack-parker</v>
      </c>
      <c r="K1146" t="s">
        <v>27</v>
      </c>
      <c r="L1146" t="s">
        <v>918</v>
      </c>
      <c r="M1146" t="s">
        <v>1296</v>
      </c>
      <c r="N1146">
        <v>2</v>
      </c>
      <c r="O1146" t="s">
        <v>1021</v>
      </c>
      <c r="P1146">
        <v>0</v>
      </c>
      <c r="Q1146" t="s">
        <v>245</v>
      </c>
      <c r="R1146">
        <v>28.6</v>
      </c>
      <c r="S1146">
        <v>31.4</v>
      </c>
      <c r="T1146">
        <v>28.6</v>
      </c>
      <c r="U1146">
        <v>4.3</v>
      </c>
      <c r="V1146">
        <v>7.1</v>
      </c>
    </row>
    <row r="1147" spans="1:22" x14ac:dyDescent="0.25">
      <c r="A1147" t="s">
        <v>2464</v>
      </c>
      <c r="B1147" t="s">
        <v>942</v>
      </c>
      <c r="C1147">
        <v>11</v>
      </c>
      <c r="D1147" t="s">
        <v>132</v>
      </c>
      <c r="E1147" t="s">
        <v>132</v>
      </c>
      <c r="F1147" t="s">
        <v>132</v>
      </c>
      <c r="G1147">
        <v>0</v>
      </c>
      <c r="H1147" t="s">
        <v>26</v>
      </c>
      <c r="I1147">
        <v>0</v>
      </c>
      <c r="J1147" t="str">
        <f>HYPERLINK("https://www.eliteprospects.com/player/559029/easton-kovacs")</f>
        <v>https://www.eliteprospects.com/player/559029/easton-kovacs</v>
      </c>
      <c r="K1147" t="s">
        <v>27</v>
      </c>
      <c r="L1147" t="s">
        <v>918</v>
      </c>
      <c r="M1147" t="s">
        <v>1296</v>
      </c>
      <c r="N1147">
        <v>5</v>
      </c>
      <c r="O1147" t="s">
        <v>979</v>
      </c>
      <c r="P1147">
        <v>0</v>
      </c>
      <c r="Q1147" t="s">
        <v>245</v>
      </c>
      <c r="R1147">
        <v>28.6</v>
      </c>
      <c r="S1147">
        <v>31.4</v>
      </c>
      <c r="T1147">
        <v>28.6</v>
      </c>
      <c r="U1147">
        <v>4.3</v>
      </c>
      <c r="V1147">
        <v>7.1</v>
      </c>
    </row>
    <row r="1148" spans="1:22" x14ac:dyDescent="0.25">
      <c r="A1148" t="s">
        <v>2465</v>
      </c>
      <c r="B1148" t="s">
        <v>1003</v>
      </c>
      <c r="C1148">
        <v>11</v>
      </c>
      <c r="D1148" t="s">
        <v>132</v>
      </c>
      <c r="E1148" t="s">
        <v>132</v>
      </c>
      <c r="F1148" t="s">
        <v>132</v>
      </c>
      <c r="G1148">
        <v>0</v>
      </c>
      <c r="H1148" t="s">
        <v>32</v>
      </c>
      <c r="I1148">
        <v>0</v>
      </c>
      <c r="J1148" t="str">
        <f>HYPERLINK("https://www.eliteprospects.com/player/483413/tayem-gislason")</f>
        <v>https://www.eliteprospects.com/player/483413/tayem-gislason</v>
      </c>
      <c r="K1148" t="s">
        <v>27</v>
      </c>
      <c r="L1148" t="s">
        <v>918</v>
      </c>
      <c r="M1148" t="s">
        <v>1296</v>
      </c>
      <c r="N1148">
        <v>4</v>
      </c>
      <c r="O1148" t="s">
        <v>978</v>
      </c>
      <c r="P1148">
        <v>0</v>
      </c>
      <c r="Q1148" t="s">
        <v>245</v>
      </c>
      <c r="R1148">
        <v>28.6</v>
      </c>
      <c r="S1148">
        <v>31.4</v>
      </c>
      <c r="T1148">
        <v>28.6</v>
      </c>
      <c r="U1148">
        <v>4.3</v>
      </c>
      <c r="V1148">
        <v>7.1</v>
      </c>
    </row>
    <row r="1149" spans="1:22" x14ac:dyDescent="0.25">
      <c r="A1149" t="s">
        <v>2466</v>
      </c>
      <c r="B1149" t="s">
        <v>1003</v>
      </c>
      <c r="C1149">
        <v>12</v>
      </c>
      <c r="D1149" t="s">
        <v>132</v>
      </c>
      <c r="E1149" t="s">
        <v>132</v>
      </c>
      <c r="F1149" t="s">
        <v>132</v>
      </c>
      <c r="G1149">
        <v>0</v>
      </c>
      <c r="H1149" t="s">
        <v>57</v>
      </c>
      <c r="I1149">
        <v>0</v>
      </c>
      <c r="J1149" t="str">
        <f>HYPERLINK("https://www.eliteprospects.com/player/651803/alexander-park")</f>
        <v>https://www.eliteprospects.com/player/651803/alexander-park</v>
      </c>
      <c r="K1149" t="s">
        <v>27</v>
      </c>
      <c r="L1149" t="s">
        <v>918</v>
      </c>
      <c r="M1149" t="s">
        <v>1296</v>
      </c>
      <c r="N1149">
        <v>1</v>
      </c>
      <c r="O1149" t="s">
        <v>984</v>
      </c>
      <c r="P1149">
        <v>0</v>
      </c>
      <c r="Q1149" t="s">
        <v>245</v>
      </c>
      <c r="R1149">
        <v>28.6</v>
      </c>
      <c r="S1149">
        <v>31.4</v>
      </c>
      <c r="T1149">
        <v>28.6</v>
      </c>
      <c r="U1149">
        <v>4.3</v>
      </c>
      <c r="V1149">
        <v>7.1</v>
      </c>
    </row>
    <row r="1150" spans="1:22" x14ac:dyDescent="0.25">
      <c r="A1150" t="s">
        <v>2467</v>
      </c>
      <c r="B1150" t="s">
        <v>1005</v>
      </c>
      <c r="C1150">
        <v>12</v>
      </c>
      <c r="D1150" t="s">
        <v>132</v>
      </c>
      <c r="E1150" t="s">
        <v>132</v>
      </c>
      <c r="F1150" t="s">
        <v>132</v>
      </c>
      <c r="G1150">
        <v>0</v>
      </c>
      <c r="H1150" t="s">
        <v>26</v>
      </c>
      <c r="I1150">
        <v>0</v>
      </c>
      <c r="J1150" t="str">
        <f>HYPERLINK("https://www.eliteprospects.com/player/577918/charles-poudrette")</f>
        <v>https://www.eliteprospects.com/player/577918/charles-poudrette</v>
      </c>
      <c r="K1150" t="s">
        <v>27</v>
      </c>
      <c r="L1150" t="s">
        <v>918</v>
      </c>
      <c r="M1150" t="s">
        <v>1296</v>
      </c>
      <c r="N1150">
        <v>1</v>
      </c>
      <c r="O1150" t="s">
        <v>984</v>
      </c>
      <c r="P1150">
        <v>0</v>
      </c>
      <c r="Q1150" t="s">
        <v>245</v>
      </c>
      <c r="R1150">
        <v>28.6</v>
      </c>
      <c r="S1150">
        <v>31.4</v>
      </c>
      <c r="T1150">
        <v>28.6</v>
      </c>
      <c r="U1150">
        <v>4.3</v>
      </c>
      <c r="V1150">
        <v>7.1</v>
      </c>
    </row>
    <row r="1151" spans="1:22" x14ac:dyDescent="0.25">
      <c r="A1151" t="s">
        <v>2468</v>
      </c>
      <c r="B1151" t="s">
        <v>1001</v>
      </c>
      <c r="C1151">
        <v>12</v>
      </c>
      <c r="D1151" t="s">
        <v>132</v>
      </c>
      <c r="E1151" t="s">
        <v>132</v>
      </c>
      <c r="F1151" t="s">
        <v>132</v>
      </c>
      <c r="G1151">
        <v>0</v>
      </c>
      <c r="H1151" t="s">
        <v>47</v>
      </c>
      <c r="I1151">
        <v>-13</v>
      </c>
      <c r="J1151" t="str">
        <f>HYPERLINK("https://www.eliteprospects.com/player/473291/zach-welsh")</f>
        <v>https://www.eliteprospects.com/player/473291/zach-welsh</v>
      </c>
      <c r="K1151" t="s">
        <v>27</v>
      </c>
      <c r="L1151" t="s">
        <v>918</v>
      </c>
      <c r="M1151" t="s">
        <v>1296</v>
      </c>
      <c r="N1151">
        <v>5</v>
      </c>
      <c r="O1151" t="s">
        <v>930</v>
      </c>
      <c r="P1151">
        <v>0</v>
      </c>
      <c r="Q1151" t="s">
        <v>245</v>
      </c>
      <c r="R1151">
        <v>28.6</v>
      </c>
      <c r="S1151">
        <v>31.4</v>
      </c>
      <c r="T1151">
        <v>28.6</v>
      </c>
      <c r="U1151">
        <v>4.3</v>
      </c>
      <c r="V1151">
        <v>7.1</v>
      </c>
    </row>
    <row r="1152" spans="1:22" x14ac:dyDescent="0.25">
      <c r="A1152" t="s">
        <v>2469</v>
      </c>
      <c r="B1152" t="s">
        <v>961</v>
      </c>
      <c r="C1152">
        <v>17</v>
      </c>
      <c r="D1152" t="s">
        <v>132</v>
      </c>
      <c r="E1152" t="s">
        <v>132</v>
      </c>
      <c r="F1152" t="s">
        <v>132</v>
      </c>
      <c r="G1152">
        <v>0</v>
      </c>
      <c r="H1152" t="s">
        <v>57</v>
      </c>
      <c r="I1152">
        <v>0</v>
      </c>
      <c r="J1152" t="str">
        <f>HYPERLINK("https://www.eliteprospects.com/player/730452/nathan-sauder")</f>
        <v>https://www.eliteprospects.com/player/730452/nathan-sauder</v>
      </c>
      <c r="K1152" t="s">
        <v>27</v>
      </c>
      <c r="L1152" t="s">
        <v>918</v>
      </c>
      <c r="M1152" t="s">
        <v>1296</v>
      </c>
      <c r="N1152">
        <v>5</v>
      </c>
      <c r="O1152" t="s">
        <v>1008</v>
      </c>
      <c r="P1152">
        <v>0</v>
      </c>
      <c r="Q1152" t="s">
        <v>245</v>
      </c>
      <c r="R1152">
        <v>28.6</v>
      </c>
      <c r="S1152">
        <v>31.4</v>
      </c>
      <c r="T1152">
        <v>28.6</v>
      </c>
      <c r="U1152">
        <v>4.3</v>
      </c>
      <c r="V1152">
        <v>7.1</v>
      </c>
    </row>
    <row r="1153" spans="1:22" x14ac:dyDescent="0.25">
      <c r="A1153" t="s">
        <v>2470</v>
      </c>
      <c r="B1153" t="s">
        <v>1084</v>
      </c>
      <c r="C1153">
        <v>17</v>
      </c>
      <c r="D1153" t="s">
        <v>132</v>
      </c>
      <c r="E1153" t="s">
        <v>132</v>
      </c>
      <c r="F1153" t="s">
        <v>132</v>
      </c>
      <c r="G1153">
        <v>0</v>
      </c>
      <c r="H1153" t="s">
        <v>46</v>
      </c>
      <c r="I1153">
        <v>0</v>
      </c>
      <c r="J1153" t="str">
        <f>HYPERLINK("https://www.eliteprospects.com/player/636112/wade-bolton")</f>
        <v>https://www.eliteprospects.com/player/636112/wade-bolton</v>
      </c>
      <c r="K1153" t="s">
        <v>27</v>
      </c>
      <c r="L1153" t="s">
        <v>918</v>
      </c>
      <c r="M1153" t="s">
        <v>1296</v>
      </c>
      <c r="N1153">
        <v>2</v>
      </c>
      <c r="O1153" t="s">
        <v>1021</v>
      </c>
      <c r="P1153">
        <v>0</v>
      </c>
      <c r="Q1153" t="s">
        <v>245</v>
      </c>
      <c r="R1153">
        <v>28.6</v>
      </c>
      <c r="S1153">
        <v>31.4</v>
      </c>
      <c r="T1153">
        <v>28.6</v>
      </c>
      <c r="U1153">
        <v>4.3</v>
      </c>
      <c r="V1153">
        <v>7.1</v>
      </c>
    </row>
    <row r="1154" spans="1:22" x14ac:dyDescent="0.25">
      <c r="J1154" s="4"/>
    </row>
    <row r="1155" spans="1:22" x14ac:dyDescent="0.25">
      <c r="J1155" s="4"/>
    </row>
    <row r="1156" spans="1:22" x14ac:dyDescent="0.25">
      <c r="J1156" s="4"/>
    </row>
    <row r="1157" spans="1:22" x14ac:dyDescent="0.25">
      <c r="J1157" s="4"/>
    </row>
    <row r="1158" spans="1:22" x14ac:dyDescent="0.25">
      <c r="J1158" s="4"/>
    </row>
    <row r="1159" spans="1:22" x14ac:dyDescent="0.25">
      <c r="J1159" s="4"/>
    </row>
    <row r="1160" spans="1:22" x14ac:dyDescent="0.25">
      <c r="J1160" s="4"/>
    </row>
    <row r="1161" spans="1:22" x14ac:dyDescent="0.25">
      <c r="J1161" s="4"/>
    </row>
    <row r="1162" spans="1:22" x14ac:dyDescent="0.25">
      <c r="J1162" s="4"/>
    </row>
    <row r="1163" spans="1:22" x14ac:dyDescent="0.25">
      <c r="J1163" s="4"/>
    </row>
    <row r="1164" spans="1:22" x14ac:dyDescent="0.25">
      <c r="J1164" s="4"/>
    </row>
    <row r="1165" spans="1:22" x14ac:dyDescent="0.25">
      <c r="J1165" s="4"/>
    </row>
    <row r="1166" spans="1:22" x14ac:dyDescent="0.25">
      <c r="J1166" s="4"/>
    </row>
    <row r="1167" spans="1:22" x14ac:dyDescent="0.25">
      <c r="J1167" s="4"/>
    </row>
    <row r="1168" spans="1:22" x14ac:dyDescent="0.25">
      <c r="J1168" s="4"/>
    </row>
    <row r="1169" spans="10:10" x14ac:dyDescent="0.25">
      <c r="J1169" s="4"/>
    </row>
    <row r="1170" spans="10:10" x14ac:dyDescent="0.25">
      <c r="J1170" s="4"/>
    </row>
    <row r="1171" spans="10:10" x14ac:dyDescent="0.25">
      <c r="J1171" s="4"/>
    </row>
    <row r="1172" spans="10:10" x14ac:dyDescent="0.25">
      <c r="J1172" s="4"/>
    </row>
    <row r="1173" spans="10:10" x14ac:dyDescent="0.25">
      <c r="J1173" s="4"/>
    </row>
    <row r="1174" spans="10:10" x14ac:dyDescent="0.25">
      <c r="J1174" s="4"/>
    </row>
    <row r="1175" spans="10:10" x14ac:dyDescent="0.25">
      <c r="J1175" s="4"/>
    </row>
    <row r="1176" spans="10:10" x14ac:dyDescent="0.25">
      <c r="J1176" s="4"/>
    </row>
    <row r="1177" spans="10:10" x14ac:dyDescent="0.25">
      <c r="J1177" s="4"/>
    </row>
    <row r="1178" spans="10:10" x14ac:dyDescent="0.25">
      <c r="J1178" s="4"/>
    </row>
    <row r="1179" spans="10:10" x14ac:dyDescent="0.25">
      <c r="J1179" s="4"/>
    </row>
    <row r="1180" spans="10:10" x14ac:dyDescent="0.25">
      <c r="J1180" s="4"/>
    </row>
    <row r="1181" spans="10:10" x14ac:dyDescent="0.25">
      <c r="J1181" s="4"/>
    </row>
    <row r="1182" spans="10:10" x14ac:dyDescent="0.25">
      <c r="J1182" s="4"/>
    </row>
    <row r="1183" spans="10:10" x14ac:dyDescent="0.25">
      <c r="J1183" s="4"/>
    </row>
    <row r="1184" spans="10:10" x14ac:dyDescent="0.25">
      <c r="J1184" s="4"/>
    </row>
    <row r="1185" spans="10:10" x14ac:dyDescent="0.25">
      <c r="J1185" s="4"/>
    </row>
    <row r="1186" spans="10:10" x14ac:dyDescent="0.25">
      <c r="J1186" s="4"/>
    </row>
    <row r="1187" spans="10:10" x14ac:dyDescent="0.25">
      <c r="J1187" s="4"/>
    </row>
    <row r="1188" spans="10:10" x14ac:dyDescent="0.25">
      <c r="J1188" s="4"/>
    </row>
    <row r="1189" spans="10:10" x14ac:dyDescent="0.25">
      <c r="J1189" s="4"/>
    </row>
    <row r="1190" spans="10:10" x14ac:dyDescent="0.25">
      <c r="J1190" s="4"/>
    </row>
    <row r="1191" spans="10:10" x14ac:dyDescent="0.25">
      <c r="J1191" s="4"/>
    </row>
    <row r="1192" spans="10:10" x14ac:dyDescent="0.25">
      <c r="J1192" s="4"/>
    </row>
    <row r="1193" spans="10:10" x14ac:dyDescent="0.25">
      <c r="J1193" s="4"/>
    </row>
    <row r="1194" spans="10:10" x14ac:dyDescent="0.25">
      <c r="J1194" s="4"/>
    </row>
    <row r="1195" spans="10:10" x14ac:dyDescent="0.25">
      <c r="J1195" s="4"/>
    </row>
    <row r="1196" spans="10:10" x14ac:dyDescent="0.25">
      <c r="J1196" s="4"/>
    </row>
    <row r="1197" spans="10:10" x14ac:dyDescent="0.25">
      <c r="J1197" s="4"/>
    </row>
    <row r="1198" spans="10:10" x14ac:dyDescent="0.25">
      <c r="J1198" s="4"/>
    </row>
    <row r="1199" spans="10:10" x14ac:dyDescent="0.25">
      <c r="J1199" s="4"/>
    </row>
    <row r="1200" spans="10:10" x14ac:dyDescent="0.25">
      <c r="J1200" s="4"/>
    </row>
    <row r="1201" spans="10:10" x14ac:dyDescent="0.25">
      <c r="J1201" s="4"/>
    </row>
    <row r="1202" spans="10:10" x14ac:dyDescent="0.25">
      <c r="J1202" s="4"/>
    </row>
    <row r="1203" spans="10:10" x14ac:dyDescent="0.25">
      <c r="J1203" s="4"/>
    </row>
    <row r="1204" spans="10:10" x14ac:dyDescent="0.25">
      <c r="J1204" s="4"/>
    </row>
    <row r="1205" spans="10:10" x14ac:dyDescent="0.25">
      <c r="J1205" s="4"/>
    </row>
    <row r="1206" spans="10:10" x14ac:dyDescent="0.25">
      <c r="J1206" s="4"/>
    </row>
    <row r="1207" spans="10:10" x14ac:dyDescent="0.25">
      <c r="J1207" s="4"/>
    </row>
    <row r="1208" spans="10:10" x14ac:dyDescent="0.25">
      <c r="J1208" s="4"/>
    </row>
    <row r="1209" spans="10:10" x14ac:dyDescent="0.25">
      <c r="J1209" s="4"/>
    </row>
    <row r="1210" spans="10:10" x14ac:dyDescent="0.25">
      <c r="J1210" s="4"/>
    </row>
    <row r="1211" spans="10:10" x14ac:dyDescent="0.25">
      <c r="J1211" s="4"/>
    </row>
    <row r="1212" spans="10:10" x14ac:dyDescent="0.25">
      <c r="J1212" s="4"/>
    </row>
    <row r="1213" spans="10:10" x14ac:dyDescent="0.25">
      <c r="J1213" s="4"/>
    </row>
    <row r="1214" spans="10:10" x14ac:dyDescent="0.25">
      <c r="J1214" s="4"/>
    </row>
    <row r="1215" spans="10:10" x14ac:dyDescent="0.25">
      <c r="J1215" s="4"/>
    </row>
    <row r="1216" spans="10:10" x14ac:dyDescent="0.25">
      <c r="J1216" s="4"/>
    </row>
    <row r="1217" spans="10:10" x14ac:dyDescent="0.25">
      <c r="J1217" s="4"/>
    </row>
    <row r="1218" spans="10:10" x14ac:dyDescent="0.25">
      <c r="J1218" s="4"/>
    </row>
    <row r="1219" spans="10:10" x14ac:dyDescent="0.25">
      <c r="J1219" s="4"/>
    </row>
    <row r="1220" spans="10:10" x14ac:dyDescent="0.25">
      <c r="J1220" s="4"/>
    </row>
    <row r="1221" spans="10:10" x14ac:dyDescent="0.25">
      <c r="J1221" s="4"/>
    </row>
    <row r="1222" spans="10:10" x14ac:dyDescent="0.25">
      <c r="J1222" s="4"/>
    </row>
    <row r="1223" spans="10:10" x14ac:dyDescent="0.25">
      <c r="J1223" s="4"/>
    </row>
    <row r="1224" spans="10:10" x14ac:dyDescent="0.25">
      <c r="J1224" s="4"/>
    </row>
    <row r="1225" spans="10:10" x14ac:dyDescent="0.25">
      <c r="J1225" s="4"/>
    </row>
    <row r="1226" spans="10:10" x14ac:dyDescent="0.25">
      <c r="J1226" s="4"/>
    </row>
    <row r="1227" spans="10:10" x14ac:dyDescent="0.25">
      <c r="J1227" s="4"/>
    </row>
    <row r="1228" spans="10:10" x14ac:dyDescent="0.25">
      <c r="J1228" s="4"/>
    </row>
    <row r="1229" spans="10:10" x14ac:dyDescent="0.25">
      <c r="J1229" s="4"/>
    </row>
    <row r="1230" spans="10:10" x14ac:dyDescent="0.25">
      <c r="J1230" s="4"/>
    </row>
    <row r="1231" spans="10:10" x14ac:dyDescent="0.25">
      <c r="J1231" s="4"/>
    </row>
    <row r="1232" spans="10:10" x14ac:dyDescent="0.25">
      <c r="J1232" s="4"/>
    </row>
    <row r="1233" spans="10:10" x14ac:dyDescent="0.25">
      <c r="J1233" s="4"/>
    </row>
    <row r="1234" spans="10:10" x14ac:dyDescent="0.25">
      <c r="J1234" s="4"/>
    </row>
    <row r="1235" spans="10:10" x14ac:dyDescent="0.25">
      <c r="J1235" s="4"/>
    </row>
    <row r="1236" spans="10:10" x14ac:dyDescent="0.25">
      <c r="J1236" s="4"/>
    </row>
    <row r="1237" spans="10:10" x14ac:dyDescent="0.25">
      <c r="J1237" s="4"/>
    </row>
    <row r="1238" spans="10:10" x14ac:dyDescent="0.25">
      <c r="J1238" s="4"/>
    </row>
    <row r="1239" spans="10:10" x14ac:dyDescent="0.25">
      <c r="J1239" s="4"/>
    </row>
    <row r="1240" spans="10:10" x14ac:dyDescent="0.25">
      <c r="J1240" s="4"/>
    </row>
    <row r="1241" spans="10:10" x14ac:dyDescent="0.25">
      <c r="J1241" s="4"/>
    </row>
    <row r="1242" spans="10:10" x14ac:dyDescent="0.25">
      <c r="J1242" s="4"/>
    </row>
    <row r="1243" spans="10:10" x14ac:dyDescent="0.25">
      <c r="J1243" s="4"/>
    </row>
    <row r="1244" spans="10:10" x14ac:dyDescent="0.25">
      <c r="J1244" s="4"/>
    </row>
    <row r="1245" spans="10:10" x14ac:dyDescent="0.25">
      <c r="J1245" s="4"/>
    </row>
    <row r="1246" spans="10:10" x14ac:dyDescent="0.25">
      <c r="J1246" s="4"/>
    </row>
    <row r="1247" spans="10:10" x14ac:dyDescent="0.25">
      <c r="J1247" s="4"/>
    </row>
    <row r="1248" spans="10:10" x14ac:dyDescent="0.25">
      <c r="J1248" s="4"/>
    </row>
    <row r="1249" spans="10:10" x14ac:dyDescent="0.25">
      <c r="J1249" s="4"/>
    </row>
    <row r="1250" spans="10:10" x14ac:dyDescent="0.25">
      <c r="J1250" s="4"/>
    </row>
    <row r="1251" spans="10:10" x14ac:dyDescent="0.25">
      <c r="J1251" s="4"/>
    </row>
    <row r="1252" spans="10:10" x14ac:dyDescent="0.25">
      <c r="J1252" s="4"/>
    </row>
    <row r="1253" spans="10:10" x14ac:dyDescent="0.25">
      <c r="J1253" s="4"/>
    </row>
    <row r="1254" spans="10:10" x14ac:dyDescent="0.25">
      <c r="J1254" s="4"/>
    </row>
    <row r="1255" spans="10:10" x14ac:dyDescent="0.25">
      <c r="J1255" s="4"/>
    </row>
    <row r="1256" spans="10:10" x14ac:dyDescent="0.25">
      <c r="J1256" s="4"/>
    </row>
    <row r="1257" spans="10:10" x14ac:dyDescent="0.25">
      <c r="J1257" s="4"/>
    </row>
    <row r="1258" spans="10:10" x14ac:dyDescent="0.25">
      <c r="J1258" s="4"/>
    </row>
    <row r="1259" spans="10:10" x14ac:dyDescent="0.25">
      <c r="J1259" s="4"/>
    </row>
    <row r="1260" spans="10:10" x14ac:dyDescent="0.25">
      <c r="J1260" s="4"/>
    </row>
    <row r="1261" spans="10:10" x14ac:dyDescent="0.25">
      <c r="J1261" s="4"/>
    </row>
    <row r="1262" spans="10:10" x14ac:dyDescent="0.25">
      <c r="J1262" s="4"/>
    </row>
    <row r="1263" spans="10:10" x14ac:dyDescent="0.25">
      <c r="J1263" s="4"/>
    </row>
    <row r="1264" spans="10:10" x14ac:dyDescent="0.25">
      <c r="J1264" s="4"/>
    </row>
    <row r="1265" spans="10:10" x14ac:dyDescent="0.25">
      <c r="J1265" s="4"/>
    </row>
    <row r="1266" spans="10:10" x14ac:dyDescent="0.25">
      <c r="J1266" s="4"/>
    </row>
    <row r="1267" spans="10:10" x14ac:dyDescent="0.25">
      <c r="J1267" s="4"/>
    </row>
    <row r="1268" spans="10:10" x14ac:dyDescent="0.25">
      <c r="J1268" s="4"/>
    </row>
    <row r="1269" spans="10:10" x14ac:dyDescent="0.25">
      <c r="J1269" s="4"/>
    </row>
    <row r="1270" spans="10:10" x14ac:dyDescent="0.25">
      <c r="J1270" s="4"/>
    </row>
    <row r="1271" spans="10:10" x14ac:dyDescent="0.25">
      <c r="J1271" s="4"/>
    </row>
    <row r="1272" spans="10:10" x14ac:dyDescent="0.25">
      <c r="J1272" s="4"/>
    </row>
    <row r="1273" spans="10:10" x14ac:dyDescent="0.25">
      <c r="J1273" s="4"/>
    </row>
    <row r="1274" spans="10:10" x14ac:dyDescent="0.25">
      <c r="J1274" s="4"/>
    </row>
    <row r="1275" spans="10:10" x14ac:dyDescent="0.25">
      <c r="J1275" s="4"/>
    </row>
    <row r="1276" spans="10:10" x14ac:dyDescent="0.25">
      <c r="J1276" s="4"/>
    </row>
    <row r="1277" spans="10:10" x14ac:dyDescent="0.25">
      <c r="J1277" s="4"/>
    </row>
    <row r="1278" spans="10:10" x14ac:dyDescent="0.25">
      <c r="J1278" s="4"/>
    </row>
    <row r="1279" spans="10:10" x14ac:dyDescent="0.25">
      <c r="J1279" s="4"/>
    </row>
    <row r="1280" spans="10:10" x14ac:dyDescent="0.25">
      <c r="J1280" s="4"/>
    </row>
    <row r="1281" spans="10:10" x14ac:dyDescent="0.25">
      <c r="J1281" s="4"/>
    </row>
    <row r="1282" spans="10:10" x14ac:dyDescent="0.25">
      <c r="J1282" s="4"/>
    </row>
    <row r="1283" spans="10:10" x14ac:dyDescent="0.25">
      <c r="J1283" s="4"/>
    </row>
    <row r="1284" spans="10:10" x14ac:dyDescent="0.25">
      <c r="J1284" s="4"/>
    </row>
    <row r="1285" spans="10:10" x14ac:dyDescent="0.25">
      <c r="J1285" s="4"/>
    </row>
    <row r="1286" spans="10:10" x14ac:dyDescent="0.25">
      <c r="J1286" s="4"/>
    </row>
    <row r="1287" spans="10:10" x14ac:dyDescent="0.25">
      <c r="J1287" s="4"/>
    </row>
    <row r="1288" spans="10:10" x14ac:dyDescent="0.25">
      <c r="J1288" s="4"/>
    </row>
    <row r="1289" spans="10:10" x14ac:dyDescent="0.25">
      <c r="J1289" s="4"/>
    </row>
    <row r="1290" spans="10:10" x14ac:dyDescent="0.25">
      <c r="J1290" s="4"/>
    </row>
    <row r="1291" spans="10:10" x14ac:dyDescent="0.25">
      <c r="J1291" s="4"/>
    </row>
    <row r="1292" spans="10:10" x14ac:dyDescent="0.25">
      <c r="J1292" s="4"/>
    </row>
    <row r="1293" spans="10:10" x14ac:dyDescent="0.25">
      <c r="J1293" s="4"/>
    </row>
    <row r="1294" spans="10:10" x14ac:dyDescent="0.25">
      <c r="J1294" s="4"/>
    </row>
    <row r="1295" spans="10:10" x14ac:dyDescent="0.25">
      <c r="J1295" s="4"/>
    </row>
    <row r="1296" spans="10:10" x14ac:dyDescent="0.25">
      <c r="J1296" s="4"/>
    </row>
    <row r="1297" spans="10:10" x14ac:dyDescent="0.25">
      <c r="J1297" s="4"/>
    </row>
    <row r="1298" spans="10:10" x14ac:dyDescent="0.25">
      <c r="J1298" s="4"/>
    </row>
    <row r="1299" spans="10:10" x14ac:dyDescent="0.25">
      <c r="J1299" s="4"/>
    </row>
    <row r="1300" spans="10:10" x14ac:dyDescent="0.25">
      <c r="J1300" s="4"/>
    </row>
    <row r="1301" spans="10:10" x14ac:dyDescent="0.25">
      <c r="J1301" s="4"/>
    </row>
    <row r="1302" spans="10:10" x14ac:dyDescent="0.25">
      <c r="J1302" s="4"/>
    </row>
    <row r="1303" spans="10:10" x14ac:dyDescent="0.25">
      <c r="J1303" s="4"/>
    </row>
    <row r="1304" spans="10:10" x14ac:dyDescent="0.25">
      <c r="J1304" s="4"/>
    </row>
    <row r="1305" spans="10:10" x14ac:dyDescent="0.25">
      <c r="J1305" s="4"/>
    </row>
    <row r="1306" spans="10:10" x14ac:dyDescent="0.25">
      <c r="J1306" s="4"/>
    </row>
    <row r="1307" spans="10:10" x14ac:dyDescent="0.25">
      <c r="J1307" s="4"/>
    </row>
    <row r="1308" spans="10:10" x14ac:dyDescent="0.25">
      <c r="J1308" s="4"/>
    </row>
    <row r="1309" spans="10:10" x14ac:dyDescent="0.25">
      <c r="J1309" s="4"/>
    </row>
    <row r="1310" spans="10:10" x14ac:dyDescent="0.25">
      <c r="J1310" s="4"/>
    </row>
    <row r="1311" spans="10:10" x14ac:dyDescent="0.25">
      <c r="J1311" s="4"/>
    </row>
    <row r="1312" spans="10:10" x14ac:dyDescent="0.25">
      <c r="J1312" s="4"/>
    </row>
    <row r="1313" spans="10:10" x14ac:dyDescent="0.25">
      <c r="J1313" s="4"/>
    </row>
    <row r="1314" spans="10:10" x14ac:dyDescent="0.25">
      <c r="J1314" s="4"/>
    </row>
    <row r="1315" spans="10:10" x14ac:dyDescent="0.25">
      <c r="J1315" s="4"/>
    </row>
    <row r="1316" spans="10:10" x14ac:dyDescent="0.25">
      <c r="J1316" s="4"/>
    </row>
    <row r="1317" spans="10:10" x14ac:dyDescent="0.25">
      <c r="J1317" s="4"/>
    </row>
    <row r="1318" spans="10:10" x14ac:dyDescent="0.25">
      <c r="J1318" s="4"/>
    </row>
    <row r="1319" spans="10:10" x14ac:dyDescent="0.25">
      <c r="J1319" s="4"/>
    </row>
    <row r="1320" spans="10:10" x14ac:dyDescent="0.25">
      <c r="J1320" s="4"/>
    </row>
    <row r="1321" spans="10:10" x14ac:dyDescent="0.25">
      <c r="J1321" s="4"/>
    </row>
    <row r="1322" spans="10:10" x14ac:dyDescent="0.25">
      <c r="J1322" s="4"/>
    </row>
    <row r="1323" spans="10:10" x14ac:dyDescent="0.25">
      <c r="J1323" s="4"/>
    </row>
    <row r="1324" spans="10:10" x14ac:dyDescent="0.25">
      <c r="J1324" s="4"/>
    </row>
    <row r="1325" spans="10:10" x14ac:dyDescent="0.25">
      <c r="J1325" s="4"/>
    </row>
    <row r="1326" spans="10:10" x14ac:dyDescent="0.25">
      <c r="J1326" s="4"/>
    </row>
    <row r="1327" spans="10:10" x14ac:dyDescent="0.25">
      <c r="J1327" s="4"/>
    </row>
    <row r="1328" spans="10:10" x14ac:dyDescent="0.25">
      <c r="J1328" s="4"/>
    </row>
    <row r="1329" spans="10:10" x14ac:dyDescent="0.25">
      <c r="J1329" s="4"/>
    </row>
    <row r="1330" spans="10:10" x14ac:dyDescent="0.25">
      <c r="J1330" s="4"/>
    </row>
    <row r="1331" spans="10:10" x14ac:dyDescent="0.25">
      <c r="J1331" s="4"/>
    </row>
    <row r="1332" spans="10:10" x14ac:dyDescent="0.25">
      <c r="J1332" s="4"/>
    </row>
    <row r="1333" spans="10:10" x14ac:dyDescent="0.25">
      <c r="J1333" s="4"/>
    </row>
    <row r="1334" spans="10:10" x14ac:dyDescent="0.25">
      <c r="J1334" s="4"/>
    </row>
    <row r="1335" spans="10:10" x14ac:dyDescent="0.25">
      <c r="J1335" s="4"/>
    </row>
    <row r="1336" spans="10:10" x14ac:dyDescent="0.25">
      <c r="J1336" s="4"/>
    </row>
    <row r="1337" spans="10:10" x14ac:dyDescent="0.25">
      <c r="J1337" s="4"/>
    </row>
    <row r="1338" spans="10:10" x14ac:dyDescent="0.25">
      <c r="J1338" s="4"/>
    </row>
    <row r="1339" spans="10:10" x14ac:dyDescent="0.25">
      <c r="J1339" s="4"/>
    </row>
    <row r="1340" spans="10:10" x14ac:dyDescent="0.25">
      <c r="J1340" s="4"/>
    </row>
    <row r="1341" spans="10:10" x14ac:dyDescent="0.25">
      <c r="J1341" s="4"/>
    </row>
    <row r="1342" spans="10:10" x14ac:dyDescent="0.25">
      <c r="J1342" s="4"/>
    </row>
    <row r="1343" spans="10:10" x14ac:dyDescent="0.25">
      <c r="J1343" s="4"/>
    </row>
    <row r="1344" spans="10:10" x14ac:dyDescent="0.25">
      <c r="J1344" s="4"/>
    </row>
    <row r="1345" spans="10:10" x14ac:dyDescent="0.25">
      <c r="J1345" s="4"/>
    </row>
    <row r="1346" spans="10:10" x14ac:dyDescent="0.25">
      <c r="J1346" s="4"/>
    </row>
    <row r="1347" spans="10:10" x14ac:dyDescent="0.25">
      <c r="J1347" s="4"/>
    </row>
    <row r="1348" spans="10:10" x14ac:dyDescent="0.25">
      <c r="J1348" s="4"/>
    </row>
    <row r="1349" spans="10:10" x14ac:dyDescent="0.25">
      <c r="J1349" s="4"/>
    </row>
    <row r="1350" spans="10:10" x14ac:dyDescent="0.25">
      <c r="J1350" s="4"/>
    </row>
    <row r="1351" spans="10:10" x14ac:dyDescent="0.25">
      <c r="J1351" s="4"/>
    </row>
    <row r="1352" spans="10:10" x14ac:dyDescent="0.25">
      <c r="J1352" s="4"/>
    </row>
    <row r="1353" spans="10:10" x14ac:dyDescent="0.25">
      <c r="J1353" s="4"/>
    </row>
    <row r="1354" spans="10:10" x14ac:dyDescent="0.25">
      <c r="J1354" s="4"/>
    </row>
    <row r="1355" spans="10:10" x14ac:dyDescent="0.25">
      <c r="J1355" s="4"/>
    </row>
    <row r="1356" spans="10:10" x14ac:dyDescent="0.25">
      <c r="J1356" s="4"/>
    </row>
    <row r="1357" spans="10:10" x14ac:dyDescent="0.25">
      <c r="J1357" s="4"/>
    </row>
    <row r="1358" spans="10:10" x14ac:dyDescent="0.25">
      <c r="J1358" s="4"/>
    </row>
    <row r="1359" spans="10:10" x14ac:dyDescent="0.25">
      <c r="J1359" s="4"/>
    </row>
    <row r="1360" spans="10:10" x14ac:dyDescent="0.25">
      <c r="J1360" s="4"/>
    </row>
    <row r="1361" spans="10:10" x14ac:dyDescent="0.25">
      <c r="J1361" s="4"/>
    </row>
    <row r="1362" spans="10:10" x14ac:dyDescent="0.25">
      <c r="J1362" s="4"/>
    </row>
    <row r="1363" spans="10:10" x14ac:dyDescent="0.25">
      <c r="J1363" s="4"/>
    </row>
    <row r="1364" spans="10:10" x14ac:dyDescent="0.25">
      <c r="J1364" s="4"/>
    </row>
    <row r="1365" spans="10:10" x14ac:dyDescent="0.25">
      <c r="J1365" s="4"/>
    </row>
    <row r="1366" spans="10:10" x14ac:dyDescent="0.25">
      <c r="J1366" s="4"/>
    </row>
    <row r="1367" spans="10:10" x14ac:dyDescent="0.25">
      <c r="J1367" s="4"/>
    </row>
    <row r="1368" spans="10:10" x14ac:dyDescent="0.25">
      <c r="J1368" s="4"/>
    </row>
    <row r="1369" spans="10:10" x14ac:dyDescent="0.25">
      <c r="J1369" s="4"/>
    </row>
    <row r="1370" spans="10:10" x14ac:dyDescent="0.25">
      <c r="J1370" s="4"/>
    </row>
    <row r="1371" spans="10:10" x14ac:dyDescent="0.25">
      <c r="J1371" s="4"/>
    </row>
    <row r="1372" spans="10:10" x14ac:dyDescent="0.25">
      <c r="J1372" s="4"/>
    </row>
    <row r="1373" spans="10:10" x14ac:dyDescent="0.25">
      <c r="J1373" s="4"/>
    </row>
    <row r="1374" spans="10:10" x14ac:dyDescent="0.25">
      <c r="J1374" s="4"/>
    </row>
    <row r="1375" spans="10:10" x14ac:dyDescent="0.25">
      <c r="J1375" s="4"/>
    </row>
    <row r="1376" spans="10:10" x14ac:dyDescent="0.25">
      <c r="J1376" s="4"/>
    </row>
    <row r="1377" spans="10:10" x14ac:dyDescent="0.25">
      <c r="J1377" s="4"/>
    </row>
    <row r="1378" spans="10:10" x14ac:dyDescent="0.25">
      <c r="J1378" s="4"/>
    </row>
    <row r="1379" spans="10:10" x14ac:dyDescent="0.25">
      <c r="J1379" s="4"/>
    </row>
    <row r="1380" spans="10:10" x14ac:dyDescent="0.25">
      <c r="J1380" s="4"/>
    </row>
    <row r="1381" spans="10:10" x14ac:dyDescent="0.25">
      <c r="J1381" s="4"/>
    </row>
    <row r="1382" spans="10:10" x14ac:dyDescent="0.25">
      <c r="J1382" s="4"/>
    </row>
    <row r="1383" spans="10:10" x14ac:dyDescent="0.25">
      <c r="J1383" s="4"/>
    </row>
    <row r="1384" spans="10:10" x14ac:dyDescent="0.25">
      <c r="J1384" s="4"/>
    </row>
    <row r="1385" spans="10:10" x14ac:dyDescent="0.25">
      <c r="J1385" s="4"/>
    </row>
    <row r="1386" spans="10:10" x14ac:dyDescent="0.25">
      <c r="J1386" s="4"/>
    </row>
    <row r="1387" spans="10:10" x14ac:dyDescent="0.25">
      <c r="J1387" s="4"/>
    </row>
    <row r="1388" spans="10:10" x14ac:dyDescent="0.25">
      <c r="J1388" s="4"/>
    </row>
    <row r="1389" spans="10:10" x14ac:dyDescent="0.25">
      <c r="J1389" s="4"/>
    </row>
    <row r="1390" spans="10:10" x14ac:dyDescent="0.25">
      <c r="J1390" s="4"/>
    </row>
    <row r="1391" spans="10:10" x14ac:dyDescent="0.25">
      <c r="J1391" s="4"/>
    </row>
    <row r="1392" spans="10:10" x14ac:dyDescent="0.25">
      <c r="J1392" s="4"/>
    </row>
    <row r="1393" spans="10:10" x14ac:dyDescent="0.25">
      <c r="J1393" s="4"/>
    </row>
    <row r="1394" spans="10:10" x14ac:dyDescent="0.25">
      <c r="J1394" s="4"/>
    </row>
    <row r="1395" spans="10:10" x14ac:dyDescent="0.25">
      <c r="J1395" s="4"/>
    </row>
    <row r="1396" spans="10:10" x14ac:dyDescent="0.25">
      <c r="J1396" s="4"/>
    </row>
    <row r="1397" spans="10:10" x14ac:dyDescent="0.25">
      <c r="J1397" s="4"/>
    </row>
    <row r="1398" spans="10:10" x14ac:dyDescent="0.25">
      <c r="J1398" s="4"/>
    </row>
    <row r="1399" spans="10:10" x14ac:dyDescent="0.25">
      <c r="J1399" s="4"/>
    </row>
    <row r="1400" spans="10:10" x14ac:dyDescent="0.25">
      <c r="J1400" s="4"/>
    </row>
    <row r="1401" spans="10:10" x14ac:dyDescent="0.25">
      <c r="J1401" s="4"/>
    </row>
    <row r="1402" spans="10:10" x14ac:dyDescent="0.25">
      <c r="J1402" s="4"/>
    </row>
    <row r="1403" spans="10:10" x14ac:dyDescent="0.25">
      <c r="J1403" s="4"/>
    </row>
    <row r="1404" spans="10:10" x14ac:dyDescent="0.25">
      <c r="J1404" s="4"/>
    </row>
    <row r="1405" spans="10:10" x14ac:dyDescent="0.25">
      <c r="J1405" s="4"/>
    </row>
    <row r="1406" spans="10:10" x14ac:dyDescent="0.25">
      <c r="J1406" s="4"/>
    </row>
    <row r="1407" spans="10:10" x14ac:dyDescent="0.25">
      <c r="J1407" s="4"/>
    </row>
    <row r="1408" spans="10:10" x14ac:dyDescent="0.25">
      <c r="J1408" s="4"/>
    </row>
    <row r="1409" spans="10:10" x14ac:dyDescent="0.25">
      <c r="J1409" s="4"/>
    </row>
    <row r="1410" spans="10:10" x14ac:dyDescent="0.25">
      <c r="J1410" s="4"/>
    </row>
    <row r="1411" spans="10:10" x14ac:dyDescent="0.25">
      <c r="J1411" s="4"/>
    </row>
    <row r="1412" spans="10:10" x14ac:dyDescent="0.25">
      <c r="J1412" s="4"/>
    </row>
    <row r="1413" spans="10:10" x14ac:dyDescent="0.25">
      <c r="J1413" s="4"/>
    </row>
    <row r="1414" spans="10:10" x14ac:dyDescent="0.25">
      <c r="J1414" s="4"/>
    </row>
    <row r="1415" spans="10:10" x14ac:dyDescent="0.25">
      <c r="J1415" s="4"/>
    </row>
    <row r="1416" spans="10:10" x14ac:dyDescent="0.25">
      <c r="J1416" s="4"/>
    </row>
    <row r="1417" spans="10:10" x14ac:dyDescent="0.25">
      <c r="J1417" s="4"/>
    </row>
    <row r="1418" spans="10:10" x14ac:dyDescent="0.25">
      <c r="J1418" s="4"/>
    </row>
    <row r="1419" spans="10:10" x14ac:dyDescent="0.25">
      <c r="J1419" s="4"/>
    </row>
    <row r="1420" spans="10:10" x14ac:dyDescent="0.25">
      <c r="J1420" s="4"/>
    </row>
    <row r="1421" spans="10:10" x14ac:dyDescent="0.25">
      <c r="J1421" s="4"/>
    </row>
    <row r="1422" spans="10:10" x14ac:dyDescent="0.25">
      <c r="J1422" s="4"/>
    </row>
    <row r="1423" spans="10:10" x14ac:dyDescent="0.25">
      <c r="J1423" s="4"/>
    </row>
    <row r="1424" spans="10:10" x14ac:dyDescent="0.25">
      <c r="J1424" s="4"/>
    </row>
    <row r="1425" spans="10:10" x14ac:dyDescent="0.25">
      <c r="J1425" s="4"/>
    </row>
    <row r="1426" spans="10:10" x14ac:dyDescent="0.25">
      <c r="J1426" s="4"/>
    </row>
    <row r="1427" spans="10:10" x14ac:dyDescent="0.25">
      <c r="J1427" s="4"/>
    </row>
    <row r="1428" spans="10:10" x14ac:dyDescent="0.25">
      <c r="J1428" s="4"/>
    </row>
    <row r="1429" spans="10:10" x14ac:dyDescent="0.25">
      <c r="J1429" s="4"/>
    </row>
    <row r="1430" spans="10:10" x14ac:dyDescent="0.25">
      <c r="J1430" s="4"/>
    </row>
    <row r="1431" spans="10:10" x14ac:dyDescent="0.25">
      <c r="J1431" s="4"/>
    </row>
    <row r="1432" spans="10:10" x14ac:dyDescent="0.25">
      <c r="J1432" s="4"/>
    </row>
    <row r="1433" spans="10:10" x14ac:dyDescent="0.25">
      <c r="J1433" s="4"/>
    </row>
    <row r="1434" spans="10:10" x14ac:dyDescent="0.25">
      <c r="J1434" s="4"/>
    </row>
    <row r="1435" spans="10:10" x14ac:dyDescent="0.25">
      <c r="J1435" s="4"/>
    </row>
    <row r="1436" spans="10:10" x14ac:dyDescent="0.25">
      <c r="J1436" s="4"/>
    </row>
    <row r="1437" spans="10:10" x14ac:dyDescent="0.25">
      <c r="J1437" s="4"/>
    </row>
    <row r="1438" spans="10:10" x14ac:dyDescent="0.25">
      <c r="J1438" s="4"/>
    </row>
    <row r="1439" spans="10:10" x14ac:dyDescent="0.25">
      <c r="J1439" s="4"/>
    </row>
    <row r="1440" spans="10:10" x14ac:dyDescent="0.25">
      <c r="J1440" s="4"/>
    </row>
    <row r="1441" spans="10:10" x14ac:dyDescent="0.25">
      <c r="J1441" s="4"/>
    </row>
    <row r="1442" spans="10:10" x14ac:dyDescent="0.25">
      <c r="J1442" s="4"/>
    </row>
    <row r="1443" spans="10:10" x14ac:dyDescent="0.25">
      <c r="J1443" s="4"/>
    </row>
    <row r="1444" spans="10:10" x14ac:dyDescent="0.25">
      <c r="J1444" s="4"/>
    </row>
    <row r="1445" spans="10:10" x14ac:dyDescent="0.25">
      <c r="J1445" s="4"/>
    </row>
    <row r="1446" spans="10:10" x14ac:dyDescent="0.25">
      <c r="J1446" s="4"/>
    </row>
    <row r="1447" spans="10:10" x14ac:dyDescent="0.25">
      <c r="J1447" s="4"/>
    </row>
    <row r="1448" spans="10:10" x14ac:dyDescent="0.25">
      <c r="J1448" s="4"/>
    </row>
    <row r="1449" spans="10:10" x14ac:dyDescent="0.25">
      <c r="J1449" s="4"/>
    </row>
    <row r="1450" spans="10:10" x14ac:dyDescent="0.25">
      <c r="J1450" s="4"/>
    </row>
    <row r="1451" spans="10:10" x14ac:dyDescent="0.25">
      <c r="J1451" s="4"/>
    </row>
    <row r="1452" spans="10:10" x14ac:dyDescent="0.25">
      <c r="J1452" s="4"/>
    </row>
    <row r="1453" spans="10:10" x14ac:dyDescent="0.25">
      <c r="J1453" s="4"/>
    </row>
    <row r="1454" spans="10:10" x14ac:dyDescent="0.25">
      <c r="J1454" s="4"/>
    </row>
    <row r="1455" spans="10:10" x14ac:dyDescent="0.25">
      <c r="J1455" s="4"/>
    </row>
    <row r="1456" spans="10:10" x14ac:dyDescent="0.25">
      <c r="J1456" s="4"/>
    </row>
    <row r="1457" spans="10:10" x14ac:dyDescent="0.25">
      <c r="J1457" s="4"/>
    </row>
    <row r="1458" spans="10:10" x14ac:dyDescent="0.25">
      <c r="J1458" s="4"/>
    </row>
    <row r="1459" spans="10:10" x14ac:dyDescent="0.25">
      <c r="J1459" s="4"/>
    </row>
    <row r="1460" spans="10:10" x14ac:dyDescent="0.25">
      <c r="J1460" s="4"/>
    </row>
    <row r="1461" spans="10:10" x14ac:dyDescent="0.25">
      <c r="J1461" s="4"/>
    </row>
    <row r="1462" spans="10:10" x14ac:dyDescent="0.25">
      <c r="J1462" s="4"/>
    </row>
    <row r="1463" spans="10:10" x14ac:dyDescent="0.25">
      <c r="J1463" s="4"/>
    </row>
    <row r="1464" spans="10:10" x14ac:dyDescent="0.25">
      <c r="J1464" s="4"/>
    </row>
    <row r="1465" spans="10:10" x14ac:dyDescent="0.25">
      <c r="J1465" s="4"/>
    </row>
    <row r="1466" spans="10:10" x14ac:dyDescent="0.25">
      <c r="J1466" s="4"/>
    </row>
    <row r="1467" spans="10:10" x14ac:dyDescent="0.25">
      <c r="J1467" s="4"/>
    </row>
    <row r="1468" spans="10:10" x14ac:dyDescent="0.25">
      <c r="J1468" s="4"/>
    </row>
    <row r="1469" spans="10:10" x14ac:dyDescent="0.25">
      <c r="J1469" s="4"/>
    </row>
    <row r="1470" spans="10:10" x14ac:dyDescent="0.25">
      <c r="J1470" s="4"/>
    </row>
    <row r="1471" spans="10:10" x14ac:dyDescent="0.25">
      <c r="J1471" s="4"/>
    </row>
    <row r="1472" spans="10:10" x14ac:dyDescent="0.25">
      <c r="J1472" s="4"/>
    </row>
    <row r="1473" spans="10:10" x14ac:dyDescent="0.25">
      <c r="J1473" s="4"/>
    </row>
    <row r="1474" spans="10:10" x14ac:dyDescent="0.25">
      <c r="J1474" s="4"/>
    </row>
    <row r="1475" spans="10:10" x14ac:dyDescent="0.25">
      <c r="J1475" s="4"/>
    </row>
    <row r="1476" spans="10:10" x14ac:dyDescent="0.25">
      <c r="J1476" s="4"/>
    </row>
    <row r="1477" spans="10:10" x14ac:dyDescent="0.25">
      <c r="J1477" s="4"/>
    </row>
    <row r="1478" spans="10:10" x14ac:dyDescent="0.25">
      <c r="J1478" s="4"/>
    </row>
    <row r="1479" spans="10:10" x14ac:dyDescent="0.25">
      <c r="J1479" s="4"/>
    </row>
    <row r="1480" spans="10:10" x14ac:dyDescent="0.25">
      <c r="J1480" s="4"/>
    </row>
    <row r="1481" spans="10:10" x14ac:dyDescent="0.25">
      <c r="J1481" s="4"/>
    </row>
    <row r="1482" spans="10:10" x14ac:dyDescent="0.25">
      <c r="J1482" s="4"/>
    </row>
    <row r="1483" spans="10:10" x14ac:dyDescent="0.25">
      <c r="J1483" s="4"/>
    </row>
    <row r="1484" spans="10:10" x14ac:dyDescent="0.25">
      <c r="J1484" s="4"/>
    </row>
    <row r="1485" spans="10:10" x14ac:dyDescent="0.25">
      <c r="J1485" s="4"/>
    </row>
    <row r="1486" spans="10:10" x14ac:dyDescent="0.25">
      <c r="J1486" s="4"/>
    </row>
    <row r="1487" spans="10:10" x14ac:dyDescent="0.25">
      <c r="J1487" s="4"/>
    </row>
    <row r="1488" spans="10:10" x14ac:dyDescent="0.25">
      <c r="J1488" s="4"/>
    </row>
    <row r="1489" spans="10:10" x14ac:dyDescent="0.25">
      <c r="J1489" s="4"/>
    </row>
    <row r="1490" spans="10:10" x14ac:dyDescent="0.25">
      <c r="J1490" s="4"/>
    </row>
    <row r="1491" spans="10:10" x14ac:dyDescent="0.25">
      <c r="J1491" s="4"/>
    </row>
    <row r="1492" spans="10:10" x14ac:dyDescent="0.25">
      <c r="J1492" s="4"/>
    </row>
    <row r="1493" spans="10:10" x14ac:dyDescent="0.25">
      <c r="J1493" s="4"/>
    </row>
    <row r="1494" spans="10:10" x14ac:dyDescent="0.25">
      <c r="J1494" s="4"/>
    </row>
    <row r="1495" spans="10:10" x14ac:dyDescent="0.25">
      <c r="J1495" s="4"/>
    </row>
    <row r="1496" spans="10:10" x14ac:dyDescent="0.25">
      <c r="J1496" s="4"/>
    </row>
    <row r="1497" spans="10:10" x14ac:dyDescent="0.25">
      <c r="J1497" s="4"/>
    </row>
    <row r="1498" spans="10:10" x14ac:dyDescent="0.25">
      <c r="J1498" s="4"/>
    </row>
    <row r="1499" spans="10:10" x14ac:dyDescent="0.25">
      <c r="J1499" s="4"/>
    </row>
    <row r="1500" spans="10:10" x14ac:dyDescent="0.25">
      <c r="J1500" s="4"/>
    </row>
    <row r="1501" spans="10:10" x14ac:dyDescent="0.25">
      <c r="J1501" s="4"/>
    </row>
    <row r="1502" spans="10:10" x14ac:dyDescent="0.25">
      <c r="J1502" s="4"/>
    </row>
    <row r="1503" spans="10:10" x14ac:dyDescent="0.25">
      <c r="J1503" s="4"/>
    </row>
    <row r="1504" spans="10:10" x14ac:dyDescent="0.25">
      <c r="J1504" s="4"/>
    </row>
    <row r="1505" spans="10:10" x14ac:dyDescent="0.25">
      <c r="J1505" s="4"/>
    </row>
    <row r="1506" spans="10:10" x14ac:dyDescent="0.25">
      <c r="J1506" s="4"/>
    </row>
    <row r="1507" spans="10:10" x14ac:dyDescent="0.25">
      <c r="J1507" s="4"/>
    </row>
    <row r="1508" spans="10:10" x14ac:dyDescent="0.25">
      <c r="J1508" s="4"/>
    </row>
    <row r="1509" spans="10:10" x14ac:dyDescent="0.25">
      <c r="J1509" s="4"/>
    </row>
    <row r="1510" spans="10:10" x14ac:dyDescent="0.25">
      <c r="J1510" s="4"/>
    </row>
    <row r="1511" spans="10:10" x14ac:dyDescent="0.25">
      <c r="J1511" s="4"/>
    </row>
    <row r="1512" spans="10:10" x14ac:dyDescent="0.25">
      <c r="J1512" s="4"/>
    </row>
    <row r="1513" spans="10:10" x14ac:dyDescent="0.25">
      <c r="J1513" s="4"/>
    </row>
    <row r="1514" spans="10:10" x14ac:dyDescent="0.25">
      <c r="J1514" s="4"/>
    </row>
    <row r="1515" spans="10:10" x14ac:dyDescent="0.25">
      <c r="J1515" s="4"/>
    </row>
    <row r="1516" spans="10:10" x14ac:dyDescent="0.25">
      <c r="J1516" s="4"/>
    </row>
    <row r="1517" spans="10:10" x14ac:dyDescent="0.25">
      <c r="J1517" s="4"/>
    </row>
    <row r="1518" spans="10:10" x14ac:dyDescent="0.25">
      <c r="J1518" s="4"/>
    </row>
    <row r="1519" spans="10:10" x14ac:dyDescent="0.25">
      <c r="J1519" s="4"/>
    </row>
    <row r="1520" spans="10:10" x14ac:dyDescent="0.25">
      <c r="J1520" s="4"/>
    </row>
    <row r="1521" spans="10:10" x14ac:dyDescent="0.25">
      <c r="J1521" s="4"/>
    </row>
    <row r="1522" spans="10:10" x14ac:dyDescent="0.25">
      <c r="J1522" s="4"/>
    </row>
    <row r="1523" spans="10:10" x14ac:dyDescent="0.25">
      <c r="J1523" s="4"/>
    </row>
    <row r="1524" spans="10:10" x14ac:dyDescent="0.25">
      <c r="J1524" s="4"/>
    </row>
    <row r="1525" spans="10:10" x14ac:dyDescent="0.25">
      <c r="J1525" s="4"/>
    </row>
    <row r="1526" spans="10:10" x14ac:dyDescent="0.25">
      <c r="J1526" s="4"/>
    </row>
    <row r="1527" spans="10:10" x14ac:dyDescent="0.25">
      <c r="J1527" s="4"/>
    </row>
    <row r="1528" spans="10:10" x14ac:dyDescent="0.25">
      <c r="J1528" s="4"/>
    </row>
    <row r="1529" spans="10:10" x14ac:dyDescent="0.25">
      <c r="J1529" s="4"/>
    </row>
    <row r="1530" spans="10:10" x14ac:dyDescent="0.25">
      <c r="J1530" s="4"/>
    </row>
    <row r="1531" spans="10:10" x14ac:dyDescent="0.25">
      <c r="J1531" s="4"/>
    </row>
    <row r="1532" spans="10:10" x14ac:dyDescent="0.25">
      <c r="J1532" s="4"/>
    </row>
    <row r="1533" spans="10:10" x14ac:dyDescent="0.25">
      <c r="J1533" s="4"/>
    </row>
    <row r="1534" spans="10:10" x14ac:dyDescent="0.25">
      <c r="J1534" s="4"/>
    </row>
    <row r="1535" spans="10:10" x14ac:dyDescent="0.25">
      <c r="J1535" s="4"/>
    </row>
    <row r="1536" spans="10:10" x14ac:dyDescent="0.25">
      <c r="J1536" s="4"/>
    </row>
    <row r="1537" spans="10:10" x14ac:dyDescent="0.25">
      <c r="J1537" s="4"/>
    </row>
    <row r="1538" spans="10:10" x14ac:dyDescent="0.25">
      <c r="J1538" s="4"/>
    </row>
    <row r="1539" spans="10:10" x14ac:dyDescent="0.25">
      <c r="J1539" s="4"/>
    </row>
    <row r="1540" spans="10:10" x14ac:dyDescent="0.25">
      <c r="J1540" s="4"/>
    </row>
    <row r="1541" spans="10:10" x14ac:dyDescent="0.25">
      <c r="J1541" s="4"/>
    </row>
    <row r="1542" spans="10:10" x14ac:dyDescent="0.25">
      <c r="J1542" s="4"/>
    </row>
    <row r="1543" spans="10:10" x14ac:dyDescent="0.25">
      <c r="J1543" s="4"/>
    </row>
    <row r="1544" spans="10:10" x14ac:dyDescent="0.25">
      <c r="J1544" s="4"/>
    </row>
    <row r="1545" spans="10:10" x14ac:dyDescent="0.25">
      <c r="J1545" s="4"/>
    </row>
    <row r="1546" spans="10:10" x14ac:dyDescent="0.25">
      <c r="J1546" s="4"/>
    </row>
    <row r="1547" spans="10:10" x14ac:dyDescent="0.25">
      <c r="J1547" s="4"/>
    </row>
    <row r="1548" spans="10:10" x14ac:dyDescent="0.25">
      <c r="J1548" s="4"/>
    </row>
    <row r="1549" spans="10:10" x14ac:dyDescent="0.25">
      <c r="J1549" s="4"/>
    </row>
    <row r="1550" spans="10:10" x14ac:dyDescent="0.25">
      <c r="J1550" s="4"/>
    </row>
    <row r="1551" spans="10:10" x14ac:dyDescent="0.25">
      <c r="J1551" s="4"/>
    </row>
    <row r="1552" spans="10:10" x14ac:dyDescent="0.25">
      <c r="J1552" s="4"/>
    </row>
    <row r="1553" spans="10:10" x14ac:dyDescent="0.25">
      <c r="J1553" s="4"/>
    </row>
    <row r="1554" spans="10:10" x14ac:dyDescent="0.25">
      <c r="J1554" s="4"/>
    </row>
    <row r="1555" spans="10:10" x14ac:dyDescent="0.25">
      <c r="J1555" s="4"/>
    </row>
    <row r="1556" spans="10:10" x14ac:dyDescent="0.25">
      <c r="J1556" s="4"/>
    </row>
    <row r="1557" spans="10:10" x14ac:dyDescent="0.25">
      <c r="J1557" s="4"/>
    </row>
    <row r="1558" spans="10:10" x14ac:dyDescent="0.25">
      <c r="J1558" s="4"/>
    </row>
    <row r="1559" spans="10:10" x14ac:dyDescent="0.25">
      <c r="J1559" s="4"/>
    </row>
    <row r="1560" spans="10:10" x14ac:dyDescent="0.25">
      <c r="J1560" s="4"/>
    </row>
    <row r="1561" spans="10:10" x14ac:dyDescent="0.25">
      <c r="J1561" s="4"/>
    </row>
    <row r="1562" spans="10:10" x14ac:dyDescent="0.25">
      <c r="J1562" s="4"/>
    </row>
    <row r="1563" spans="10:10" x14ac:dyDescent="0.25">
      <c r="J1563" s="4"/>
    </row>
    <row r="1564" spans="10:10" x14ac:dyDescent="0.25">
      <c r="J1564" s="4"/>
    </row>
    <row r="1565" spans="10:10" x14ac:dyDescent="0.25">
      <c r="J1565" s="4"/>
    </row>
    <row r="1566" spans="10:10" x14ac:dyDescent="0.25">
      <c r="J1566" s="4"/>
    </row>
    <row r="1567" spans="10:10" x14ac:dyDescent="0.25">
      <c r="J1567" s="4"/>
    </row>
    <row r="1568" spans="10:10" x14ac:dyDescent="0.25">
      <c r="J1568" s="4"/>
    </row>
    <row r="1569" spans="10:10" x14ac:dyDescent="0.25">
      <c r="J1569" s="4"/>
    </row>
    <row r="1570" spans="10:10" x14ac:dyDescent="0.25">
      <c r="J1570" s="4"/>
    </row>
    <row r="1571" spans="10:10" x14ac:dyDescent="0.25">
      <c r="J1571" s="4"/>
    </row>
    <row r="1572" spans="10:10" x14ac:dyDescent="0.25">
      <c r="J1572" s="4"/>
    </row>
    <row r="1573" spans="10:10" x14ac:dyDescent="0.25">
      <c r="J1573" s="4"/>
    </row>
    <row r="1574" spans="10:10" x14ac:dyDescent="0.25">
      <c r="J1574" s="4"/>
    </row>
    <row r="1575" spans="10:10" x14ac:dyDescent="0.25">
      <c r="J1575" s="4"/>
    </row>
    <row r="1576" spans="10:10" x14ac:dyDescent="0.25">
      <c r="J1576" s="4"/>
    </row>
    <row r="1577" spans="10:10" x14ac:dyDescent="0.25">
      <c r="J1577" s="4"/>
    </row>
    <row r="1578" spans="10:10" x14ac:dyDescent="0.25">
      <c r="J1578" s="4"/>
    </row>
    <row r="1579" spans="10:10" x14ac:dyDescent="0.25">
      <c r="J1579" s="4"/>
    </row>
    <row r="1580" spans="10:10" x14ac:dyDescent="0.25">
      <c r="J1580" s="4"/>
    </row>
    <row r="1581" spans="10:10" x14ac:dyDescent="0.25">
      <c r="J1581" s="4"/>
    </row>
    <row r="1582" spans="10:10" x14ac:dyDescent="0.25">
      <c r="J1582" s="4"/>
    </row>
    <row r="1583" spans="10:10" x14ac:dyDescent="0.25">
      <c r="J1583" s="4"/>
    </row>
    <row r="1584" spans="10:10" x14ac:dyDescent="0.25">
      <c r="J1584" s="4"/>
    </row>
    <row r="1585" spans="10:10" x14ac:dyDescent="0.25">
      <c r="J1585" s="4"/>
    </row>
    <row r="1586" spans="10:10" x14ac:dyDescent="0.25">
      <c r="J1586" s="4"/>
    </row>
    <row r="1587" spans="10:10" x14ac:dyDescent="0.25">
      <c r="J1587" s="4"/>
    </row>
    <row r="1588" spans="10:10" x14ac:dyDescent="0.25">
      <c r="J1588" s="4"/>
    </row>
    <row r="1589" spans="10:10" x14ac:dyDescent="0.25">
      <c r="J1589" s="4"/>
    </row>
    <row r="1590" spans="10:10" x14ac:dyDescent="0.25">
      <c r="J1590" s="4"/>
    </row>
    <row r="1591" spans="10:10" x14ac:dyDescent="0.25">
      <c r="J1591" s="4"/>
    </row>
    <row r="1592" spans="10:10" x14ac:dyDescent="0.25">
      <c r="J1592" s="4"/>
    </row>
    <row r="1593" spans="10:10" x14ac:dyDescent="0.25">
      <c r="J1593" s="4"/>
    </row>
    <row r="1594" spans="10:10" x14ac:dyDescent="0.25">
      <c r="J1594" s="4"/>
    </row>
    <row r="1595" spans="10:10" x14ac:dyDescent="0.25">
      <c r="J1595" s="4"/>
    </row>
    <row r="1596" spans="10:10" x14ac:dyDescent="0.25">
      <c r="J1596" s="4"/>
    </row>
    <row r="1597" spans="10:10" x14ac:dyDescent="0.25">
      <c r="J1597" s="4"/>
    </row>
    <row r="1598" spans="10:10" x14ac:dyDescent="0.25">
      <c r="J1598" s="4"/>
    </row>
    <row r="1599" spans="10:10" x14ac:dyDescent="0.25">
      <c r="J1599" s="4"/>
    </row>
    <row r="1600" spans="10:10" x14ac:dyDescent="0.25">
      <c r="J1600" s="4"/>
    </row>
    <row r="1601" spans="10:10" x14ac:dyDescent="0.25">
      <c r="J1601" s="4"/>
    </row>
    <row r="1602" spans="10:10" x14ac:dyDescent="0.25">
      <c r="J1602" s="4"/>
    </row>
    <row r="1603" spans="10:10" x14ac:dyDescent="0.25">
      <c r="J1603" s="4"/>
    </row>
    <row r="1604" spans="10:10" x14ac:dyDescent="0.25">
      <c r="J1604" s="4"/>
    </row>
    <row r="1605" spans="10:10" x14ac:dyDescent="0.25">
      <c r="J1605" s="4"/>
    </row>
    <row r="1606" spans="10:10" x14ac:dyDescent="0.25">
      <c r="J1606" s="4"/>
    </row>
    <row r="1607" spans="10:10" x14ac:dyDescent="0.25">
      <c r="J1607" s="4"/>
    </row>
    <row r="1608" spans="10:10" x14ac:dyDescent="0.25">
      <c r="J1608" s="4"/>
    </row>
    <row r="1609" spans="10:10" x14ac:dyDescent="0.25">
      <c r="J1609" s="4"/>
    </row>
    <row r="1610" spans="10:10" x14ac:dyDescent="0.25">
      <c r="J1610" s="4"/>
    </row>
    <row r="1611" spans="10:10" x14ac:dyDescent="0.25">
      <c r="J1611" s="4"/>
    </row>
    <row r="1612" spans="10:10" x14ac:dyDescent="0.25">
      <c r="J1612" s="4"/>
    </row>
    <row r="1613" spans="10:10" x14ac:dyDescent="0.25">
      <c r="J1613" s="4"/>
    </row>
    <row r="1614" spans="10:10" x14ac:dyDescent="0.25">
      <c r="J1614" s="4"/>
    </row>
    <row r="1615" spans="10:10" x14ac:dyDescent="0.25">
      <c r="J1615" s="4"/>
    </row>
    <row r="1616" spans="10:10" x14ac:dyDescent="0.25">
      <c r="J1616" s="4"/>
    </row>
    <row r="1617" spans="10:10" x14ac:dyDescent="0.25">
      <c r="J1617" s="4"/>
    </row>
    <row r="1618" spans="10:10" x14ac:dyDescent="0.25">
      <c r="J1618" s="4"/>
    </row>
    <row r="1619" spans="10:10" x14ac:dyDescent="0.25">
      <c r="J1619" s="4"/>
    </row>
    <row r="1620" spans="10:10" x14ac:dyDescent="0.25">
      <c r="J1620" s="4"/>
    </row>
    <row r="1621" spans="10:10" x14ac:dyDescent="0.25">
      <c r="J1621" s="4"/>
    </row>
    <row r="1622" spans="10:10" x14ac:dyDescent="0.25">
      <c r="J1622" s="4"/>
    </row>
    <row r="1623" spans="10:10" x14ac:dyDescent="0.25">
      <c r="J1623" s="4"/>
    </row>
    <row r="1624" spans="10:10" x14ac:dyDescent="0.25">
      <c r="J1624" s="4"/>
    </row>
    <row r="1625" spans="10:10" x14ac:dyDescent="0.25">
      <c r="J1625" s="4"/>
    </row>
    <row r="1626" spans="10:10" x14ac:dyDescent="0.25">
      <c r="J1626" s="4"/>
    </row>
    <row r="1627" spans="10:10" x14ac:dyDescent="0.25">
      <c r="J1627" s="4"/>
    </row>
    <row r="1628" spans="10:10" x14ac:dyDescent="0.25">
      <c r="J1628" s="4"/>
    </row>
    <row r="1629" spans="10:10" x14ac:dyDescent="0.25">
      <c r="J1629" s="4"/>
    </row>
    <row r="1630" spans="10:10" x14ac:dyDescent="0.25">
      <c r="J1630" s="4"/>
    </row>
    <row r="1631" spans="10:10" x14ac:dyDescent="0.25">
      <c r="J1631" s="4"/>
    </row>
    <row r="1632" spans="10:10" x14ac:dyDescent="0.25">
      <c r="J1632" s="4"/>
    </row>
    <row r="1633" spans="10:10" x14ac:dyDescent="0.25">
      <c r="J1633" s="4"/>
    </row>
    <row r="1634" spans="10:10" x14ac:dyDescent="0.25">
      <c r="J1634" s="4"/>
    </row>
    <row r="1635" spans="10:10" x14ac:dyDescent="0.25">
      <c r="J1635" s="4"/>
    </row>
    <row r="1636" spans="10:10" x14ac:dyDescent="0.25">
      <c r="J1636" s="4"/>
    </row>
    <row r="1637" spans="10:10" x14ac:dyDescent="0.25">
      <c r="J1637" s="4"/>
    </row>
    <row r="1638" spans="10:10" x14ac:dyDescent="0.25">
      <c r="J1638" s="4"/>
    </row>
    <row r="1639" spans="10:10" x14ac:dyDescent="0.25">
      <c r="J1639" s="4"/>
    </row>
    <row r="1640" spans="10:10" x14ac:dyDescent="0.25">
      <c r="J1640" s="4"/>
    </row>
    <row r="1641" spans="10:10" x14ac:dyDescent="0.25">
      <c r="J1641" s="4"/>
    </row>
    <row r="1642" spans="10:10" x14ac:dyDescent="0.25">
      <c r="J1642" s="4"/>
    </row>
    <row r="1643" spans="10:10" x14ac:dyDescent="0.25">
      <c r="J1643" s="4"/>
    </row>
    <row r="1644" spans="10:10" x14ac:dyDescent="0.25">
      <c r="J1644" s="4"/>
    </row>
    <row r="1645" spans="10:10" x14ac:dyDescent="0.25">
      <c r="J1645" s="4"/>
    </row>
    <row r="1646" spans="10:10" x14ac:dyDescent="0.25">
      <c r="J1646" s="4"/>
    </row>
    <row r="1647" spans="10:10" x14ac:dyDescent="0.25">
      <c r="J1647" s="4"/>
    </row>
    <row r="1648" spans="10:10" x14ac:dyDescent="0.25">
      <c r="J1648" s="4"/>
    </row>
    <row r="1649" spans="10:10" x14ac:dyDescent="0.25">
      <c r="J1649" s="4"/>
    </row>
    <row r="1650" spans="10:10" x14ac:dyDescent="0.25">
      <c r="J1650" s="4"/>
    </row>
    <row r="1651" spans="10:10" x14ac:dyDescent="0.25">
      <c r="J1651" s="4"/>
    </row>
    <row r="1652" spans="10:10" x14ac:dyDescent="0.25">
      <c r="J1652" s="4"/>
    </row>
    <row r="1653" spans="10:10" x14ac:dyDescent="0.25">
      <c r="J1653" s="4"/>
    </row>
    <row r="1654" spans="10:10" x14ac:dyDescent="0.25">
      <c r="J1654" s="4"/>
    </row>
    <row r="1655" spans="10:10" x14ac:dyDescent="0.25">
      <c r="J1655" s="4"/>
    </row>
    <row r="1656" spans="10:10" x14ac:dyDescent="0.25">
      <c r="J1656" s="4"/>
    </row>
    <row r="1657" spans="10:10" x14ac:dyDescent="0.25">
      <c r="J1657" s="4"/>
    </row>
    <row r="1658" spans="10:10" x14ac:dyDescent="0.25">
      <c r="J1658" s="4"/>
    </row>
    <row r="1659" spans="10:10" x14ac:dyDescent="0.25">
      <c r="J1659" s="4"/>
    </row>
    <row r="1660" spans="10:10" x14ac:dyDescent="0.25">
      <c r="J1660" s="4"/>
    </row>
    <row r="1661" spans="10:10" x14ac:dyDescent="0.25">
      <c r="J1661" s="4"/>
    </row>
    <row r="1662" spans="10:10" x14ac:dyDescent="0.25">
      <c r="J1662" s="4"/>
    </row>
    <row r="1663" spans="10:10" x14ac:dyDescent="0.25">
      <c r="J1663" s="4"/>
    </row>
    <row r="1664" spans="10:10" x14ac:dyDescent="0.25">
      <c r="J1664" s="4"/>
    </row>
    <row r="1665" spans="10:10" x14ac:dyDescent="0.25">
      <c r="J1665" s="4"/>
    </row>
    <row r="1666" spans="10:10" x14ac:dyDescent="0.25">
      <c r="J1666" s="4"/>
    </row>
    <row r="1667" spans="10:10" x14ac:dyDescent="0.25">
      <c r="J1667" s="4"/>
    </row>
    <row r="1668" spans="10:10" x14ac:dyDescent="0.25">
      <c r="J1668" s="4"/>
    </row>
    <row r="1669" spans="10:10" x14ac:dyDescent="0.25">
      <c r="J1669" s="4"/>
    </row>
    <row r="1670" spans="10:10" x14ac:dyDescent="0.25">
      <c r="J1670" s="4"/>
    </row>
    <row r="1671" spans="10:10" x14ac:dyDescent="0.25">
      <c r="J1671" s="4"/>
    </row>
    <row r="1672" spans="10:10" x14ac:dyDescent="0.25">
      <c r="J1672" s="4"/>
    </row>
    <row r="1673" spans="10:10" x14ac:dyDescent="0.25">
      <c r="J1673" s="4"/>
    </row>
    <row r="1674" spans="10:10" x14ac:dyDescent="0.25">
      <c r="J1674" s="4"/>
    </row>
    <row r="1675" spans="10:10" x14ac:dyDescent="0.25">
      <c r="J1675" s="4"/>
    </row>
    <row r="1676" spans="10:10" x14ac:dyDescent="0.25">
      <c r="J1676" s="4"/>
    </row>
    <row r="1677" spans="10:10" x14ac:dyDescent="0.25">
      <c r="J1677" s="4"/>
    </row>
    <row r="1678" spans="10:10" x14ac:dyDescent="0.25">
      <c r="J1678" s="4"/>
    </row>
    <row r="1679" spans="10:10" x14ac:dyDescent="0.25">
      <c r="J1679" s="4"/>
    </row>
    <row r="1680" spans="10:10" x14ac:dyDescent="0.25">
      <c r="J1680" s="4"/>
    </row>
    <row r="1681" spans="10:10" x14ac:dyDescent="0.25">
      <c r="J1681" s="4"/>
    </row>
    <row r="1682" spans="10:10" x14ac:dyDescent="0.25">
      <c r="J1682" s="4"/>
    </row>
    <row r="1683" spans="10:10" x14ac:dyDescent="0.25">
      <c r="J1683" s="4"/>
    </row>
    <row r="1684" spans="10:10" x14ac:dyDescent="0.25">
      <c r="J1684" s="4"/>
    </row>
    <row r="1685" spans="10:10" x14ac:dyDescent="0.25">
      <c r="J1685" s="4"/>
    </row>
    <row r="1686" spans="10:10" x14ac:dyDescent="0.25">
      <c r="J1686" s="4"/>
    </row>
    <row r="1687" spans="10:10" x14ac:dyDescent="0.25">
      <c r="J1687" s="4"/>
    </row>
    <row r="1688" spans="10:10" x14ac:dyDescent="0.25">
      <c r="J1688" s="4"/>
    </row>
    <row r="1689" spans="10:10" x14ac:dyDescent="0.25">
      <c r="J1689" s="4"/>
    </row>
    <row r="1690" spans="10:10" x14ac:dyDescent="0.25">
      <c r="J1690" s="4"/>
    </row>
    <row r="1691" spans="10:10" x14ac:dyDescent="0.25">
      <c r="J1691" s="4"/>
    </row>
    <row r="1692" spans="10:10" x14ac:dyDescent="0.25">
      <c r="J1692" s="4"/>
    </row>
    <row r="1693" spans="10:10" x14ac:dyDescent="0.25">
      <c r="J1693" s="4"/>
    </row>
    <row r="1694" spans="10:10" x14ac:dyDescent="0.25">
      <c r="J1694" s="4"/>
    </row>
    <row r="1695" spans="10:10" x14ac:dyDescent="0.25">
      <c r="J1695" s="4"/>
    </row>
    <row r="1696" spans="10:10" x14ac:dyDescent="0.25">
      <c r="J1696" s="4"/>
    </row>
    <row r="1697" spans="10:10" x14ac:dyDescent="0.25">
      <c r="J1697" s="4"/>
    </row>
    <row r="1698" spans="10:10" x14ac:dyDescent="0.25">
      <c r="J1698" s="4"/>
    </row>
    <row r="1699" spans="10:10" x14ac:dyDescent="0.25">
      <c r="J1699" s="4"/>
    </row>
    <row r="1700" spans="10:10" x14ac:dyDescent="0.25">
      <c r="J1700" s="4"/>
    </row>
    <row r="1701" spans="10:10" x14ac:dyDescent="0.25">
      <c r="J1701" s="4"/>
    </row>
    <row r="1702" spans="10:10" x14ac:dyDescent="0.25">
      <c r="J1702" s="4"/>
    </row>
    <row r="1703" spans="10:10" x14ac:dyDescent="0.25">
      <c r="J1703" s="4"/>
    </row>
    <row r="1704" spans="10:10" x14ac:dyDescent="0.25">
      <c r="J1704" s="4"/>
    </row>
    <row r="1705" spans="10:10" x14ac:dyDescent="0.25">
      <c r="J1705" s="4"/>
    </row>
    <row r="1706" spans="10:10" x14ac:dyDescent="0.25">
      <c r="J1706" s="4"/>
    </row>
    <row r="1707" spans="10:10" x14ac:dyDescent="0.25">
      <c r="J1707" s="4"/>
    </row>
    <row r="1708" spans="10:10" x14ac:dyDescent="0.25">
      <c r="J1708" s="4"/>
    </row>
    <row r="1709" spans="10:10" x14ac:dyDescent="0.25">
      <c r="J1709" s="4"/>
    </row>
    <row r="1710" spans="10:10" x14ac:dyDescent="0.25">
      <c r="J1710" s="4"/>
    </row>
    <row r="1711" spans="10:10" x14ac:dyDescent="0.25">
      <c r="J1711" s="4"/>
    </row>
    <row r="1712" spans="10:10" x14ac:dyDescent="0.25">
      <c r="J1712" s="4"/>
    </row>
    <row r="1713" spans="10:10" x14ac:dyDescent="0.25">
      <c r="J1713" s="4"/>
    </row>
    <row r="1714" spans="10:10" x14ac:dyDescent="0.25">
      <c r="J1714" s="4"/>
    </row>
    <row r="1715" spans="10:10" x14ac:dyDescent="0.25">
      <c r="J1715" s="4"/>
    </row>
    <row r="1716" spans="10:10" x14ac:dyDescent="0.25">
      <c r="J1716" s="4"/>
    </row>
    <row r="1717" spans="10:10" x14ac:dyDescent="0.25">
      <c r="J1717" s="4"/>
    </row>
    <row r="1718" spans="10:10" x14ac:dyDescent="0.25">
      <c r="J1718" s="4"/>
    </row>
    <row r="1719" spans="10:10" x14ac:dyDescent="0.25">
      <c r="J1719" s="4"/>
    </row>
    <row r="1720" spans="10:10" x14ac:dyDescent="0.25">
      <c r="J1720" s="4"/>
    </row>
    <row r="1721" spans="10:10" x14ac:dyDescent="0.25">
      <c r="J1721" s="4"/>
    </row>
    <row r="1722" spans="10:10" x14ac:dyDescent="0.25">
      <c r="J1722" s="4"/>
    </row>
    <row r="1723" spans="10:10" x14ac:dyDescent="0.25">
      <c r="J1723" s="4"/>
    </row>
    <row r="1724" spans="10:10" x14ac:dyDescent="0.25">
      <c r="J1724" s="4"/>
    </row>
    <row r="1725" spans="10:10" x14ac:dyDescent="0.25">
      <c r="J1725" s="4"/>
    </row>
    <row r="1726" spans="10:10" x14ac:dyDescent="0.25">
      <c r="J1726" s="4"/>
    </row>
    <row r="1727" spans="10:10" x14ac:dyDescent="0.25">
      <c r="J1727" s="4"/>
    </row>
    <row r="1728" spans="10:10" x14ac:dyDescent="0.25">
      <c r="J1728" s="4"/>
    </row>
    <row r="1729" spans="10:10" x14ac:dyDescent="0.25">
      <c r="J1729" s="4"/>
    </row>
    <row r="1730" spans="10:10" x14ac:dyDescent="0.25">
      <c r="J1730" s="4"/>
    </row>
    <row r="1731" spans="10:10" x14ac:dyDescent="0.25">
      <c r="J1731" s="4"/>
    </row>
    <row r="1732" spans="10:10" x14ac:dyDescent="0.25">
      <c r="J1732" s="4"/>
    </row>
    <row r="1733" spans="10:10" x14ac:dyDescent="0.25">
      <c r="J1733" s="4"/>
    </row>
    <row r="1734" spans="10:10" x14ac:dyDescent="0.25">
      <c r="J1734" s="4"/>
    </row>
    <row r="1735" spans="10:10" x14ac:dyDescent="0.25">
      <c r="J1735" s="4"/>
    </row>
    <row r="1736" spans="10:10" x14ac:dyDescent="0.25">
      <c r="J1736" s="4"/>
    </row>
    <row r="1737" spans="10:10" x14ac:dyDescent="0.25">
      <c r="J1737" s="4"/>
    </row>
    <row r="1738" spans="10:10" x14ac:dyDescent="0.25">
      <c r="J1738" s="4"/>
    </row>
    <row r="1739" spans="10:10" x14ac:dyDescent="0.25">
      <c r="J1739" s="4"/>
    </row>
    <row r="1740" spans="10:10" x14ac:dyDescent="0.25">
      <c r="J1740" s="4"/>
    </row>
    <row r="1741" spans="10:10" x14ac:dyDescent="0.25">
      <c r="J1741" s="4"/>
    </row>
    <row r="1742" spans="10:10" x14ac:dyDescent="0.25">
      <c r="J1742" s="4"/>
    </row>
    <row r="1743" spans="10:10" x14ac:dyDescent="0.25">
      <c r="J1743" s="4"/>
    </row>
    <row r="1744" spans="10:10" x14ac:dyDescent="0.25">
      <c r="J1744" s="4"/>
    </row>
    <row r="1745" spans="10:10" x14ac:dyDescent="0.25">
      <c r="J1745" s="4"/>
    </row>
    <row r="1746" spans="10:10" x14ac:dyDescent="0.25">
      <c r="J1746" s="4"/>
    </row>
    <row r="1747" spans="10:10" x14ac:dyDescent="0.25">
      <c r="J1747" s="4"/>
    </row>
    <row r="1748" spans="10:10" x14ac:dyDescent="0.25">
      <c r="J1748" s="4"/>
    </row>
    <row r="1749" spans="10:10" x14ac:dyDescent="0.25">
      <c r="J1749" s="4"/>
    </row>
    <row r="1750" spans="10:10" x14ac:dyDescent="0.25">
      <c r="J1750" s="4"/>
    </row>
    <row r="1751" spans="10:10" x14ac:dyDescent="0.25">
      <c r="J1751" s="4"/>
    </row>
    <row r="1752" spans="10:10" x14ac:dyDescent="0.25">
      <c r="J1752" s="4"/>
    </row>
    <row r="1753" spans="10:10" x14ac:dyDescent="0.25">
      <c r="J1753" s="4"/>
    </row>
    <row r="1754" spans="10:10" x14ac:dyDescent="0.25">
      <c r="J1754" s="4"/>
    </row>
    <row r="1755" spans="10:10" x14ac:dyDescent="0.25">
      <c r="J1755" s="4"/>
    </row>
    <row r="1756" spans="10:10" x14ac:dyDescent="0.25">
      <c r="J1756" s="4"/>
    </row>
    <row r="1757" spans="10:10" x14ac:dyDescent="0.25">
      <c r="J1757" s="4"/>
    </row>
    <row r="1758" spans="10:10" x14ac:dyDescent="0.25">
      <c r="J1758" s="4"/>
    </row>
    <row r="1759" spans="10:10" x14ac:dyDescent="0.25">
      <c r="J1759" s="4"/>
    </row>
    <row r="1760" spans="10:10" x14ac:dyDescent="0.25">
      <c r="J1760" s="4"/>
    </row>
    <row r="1761" spans="10:10" x14ac:dyDescent="0.25">
      <c r="J1761" s="4"/>
    </row>
    <row r="1762" spans="10:10" x14ac:dyDescent="0.25">
      <c r="J1762" s="4"/>
    </row>
    <row r="1763" spans="10:10" x14ac:dyDescent="0.25">
      <c r="J1763" s="4"/>
    </row>
    <row r="1764" spans="10:10" x14ac:dyDescent="0.25">
      <c r="J1764" s="4"/>
    </row>
    <row r="1765" spans="10:10" x14ac:dyDescent="0.25">
      <c r="J1765" s="4"/>
    </row>
    <row r="1766" spans="10:10" x14ac:dyDescent="0.25">
      <c r="J1766" s="4"/>
    </row>
    <row r="1767" spans="10:10" x14ac:dyDescent="0.25">
      <c r="J1767" s="4"/>
    </row>
    <row r="1768" spans="10:10" x14ac:dyDescent="0.25">
      <c r="J1768" s="4"/>
    </row>
    <row r="1769" spans="10:10" x14ac:dyDescent="0.25">
      <c r="J1769" s="4"/>
    </row>
    <row r="1770" spans="10:10" x14ac:dyDescent="0.25">
      <c r="J1770" s="4"/>
    </row>
    <row r="1771" spans="10:10" x14ac:dyDescent="0.25">
      <c r="J1771" s="4"/>
    </row>
    <row r="1772" spans="10:10" x14ac:dyDescent="0.25">
      <c r="J1772" s="4"/>
    </row>
    <row r="1773" spans="10:10" x14ac:dyDescent="0.25">
      <c r="J1773" s="4"/>
    </row>
    <row r="1774" spans="10:10" x14ac:dyDescent="0.25">
      <c r="J1774" s="4"/>
    </row>
    <row r="1775" spans="10:10" x14ac:dyDescent="0.25">
      <c r="J1775" s="4"/>
    </row>
    <row r="1776" spans="10:10" x14ac:dyDescent="0.25">
      <c r="J1776" s="4"/>
    </row>
    <row r="1777" spans="10:10" x14ac:dyDescent="0.25">
      <c r="J1777" s="4"/>
    </row>
    <row r="1778" spans="10:10" x14ac:dyDescent="0.25">
      <c r="J1778" s="4"/>
    </row>
    <row r="1779" spans="10:10" x14ac:dyDescent="0.25">
      <c r="J1779" s="4"/>
    </row>
    <row r="1780" spans="10:10" x14ac:dyDescent="0.25">
      <c r="J1780" s="4"/>
    </row>
    <row r="1781" spans="10:10" x14ac:dyDescent="0.25">
      <c r="J1781" s="4"/>
    </row>
    <row r="1782" spans="10:10" x14ac:dyDescent="0.25">
      <c r="J1782" s="4"/>
    </row>
    <row r="1783" spans="10:10" x14ac:dyDescent="0.25">
      <c r="J1783" s="4"/>
    </row>
    <row r="1784" spans="10:10" x14ac:dyDescent="0.25">
      <c r="J1784" s="4"/>
    </row>
    <row r="1785" spans="10:10" x14ac:dyDescent="0.25">
      <c r="J1785" s="4"/>
    </row>
    <row r="1786" spans="10:10" x14ac:dyDescent="0.25">
      <c r="J1786" s="4"/>
    </row>
    <row r="1787" spans="10:10" x14ac:dyDescent="0.25">
      <c r="J1787" s="4"/>
    </row>
    <row r="1788" spans="10:10" x14ac:dyDescent="0.25">
      <c r="J1788" s="4"/>
    </row>
    <row r="1789" spans="10:10" x14ac:dyDescent="0.25">
      <c r="J1789" s="4"/>
    </row>
    <row r="1790" spans="10:10" x14ac:dyDescent="0.25">
      <c r="J1790" s="4"/>
    </row>
    <row r="1791" spans="10:10" x14ac:dyDescent="0.25">
      <c r="J1791" s="4"/>
    </row>
    <row r="1792" spans="10:10" x14ac:dyDescent="0.25">
      <c r="J1792" s="4"/>
    </row>
    <row r="1793" spans="10:10" x14ac:dyDescent="0.25">
      <c r="J1793" s="4"/>
    </row>
    <row r="1794" spans="10:10" x14ac:dyDescent="0.25">
      <c r="J1794" s="4"/>
    </row>
    <row r="1795" spans="10:10" x14ac:dyDescent="0.25">
      <c r="J1795" s="4"/>
    </row>
    <row r="1796" spans="10:10" x14ac:dyDescent="0.25">
      <c r="J1796" s="4"/>
    </row>
    <row r="1797" spans="10:10" x14ac:dyDescent="0.25">
      <c r="J1797" s="4"/>
    </row>
    <row r="1798" spans="10:10" x14ac:dyDescent="0.25">
      <c r="J1798" s="4"/>
    </row>
    <row r="1799" spans="10:10" x14ac:dyDescent="0.25">
      <c r="J1799" s="4"/>
    </row>
    <row r="1800" spans="10:10" x14ac:dyDescent="0.25">
      <c r="J1800" s="4"/>
    </row>
    <row r="1801" spans="10:10" x14ac:dyDescent="0.25">
      <c r="J1801" s="4"/>
    </row>
    <row r="1802" spans="10:10" x14ac:dyDescent="0.25">
      <c r="J1802" s="4"/>
    </row>
    <row r="1803" spans="10:10" x14ac:dyDescent="0.25">
      <c r="J1803" s="4"/>
    </row>
    <row r="1804" spans="10:10" x14ac:dyDescent="0.25">
      <c r="J1804" s="4"/>
    </row>
    <row r="1805" spans="10:10" x14ac:dyDescent="0.25">
      <c r="J1805" s="4"/>
    </row>
    <row r="1806" spans="10:10" x14ac:dyDescent="0.25">
      <c r="J1806" s="4"/>
    </row>
    <row r="1807" spans="10:10" x14ac:dyDescent="0.25">
      <c r="J1807" s="4"/>
    </row>
    <row r="1808" spans="10:10" x14ac:dyDescent="0.25">
      <c r="J1808" s="4"/>
    </row>
    <row r="1809" spans="10:10" x14ac:dyDescent="0.25">
      <c r="J1809" s="4"/>
    </row>
    <row r="1810" spans="10:10" x14ac:dyDescent="0.25">
      <c r="J1810" s="4"/>
    </row>
    <row r="1811" spans="10:10" x14ac:dyDescent="0.25">
      <c r="J1811" s="4"/>
    </row>
    <row r="1812" spans="10:10" x14ac:dyDescent="0.25">
      <c r="J1812" s="4"/>
    </row>
    <row r="1813" spans="10:10" x14ac:dyDescent="0.25">
      <c r="J1813" s="4"/>
    </row>
    <row r="1814" spans="10:10" x14ac:dyDescent="0.25">
      <c r="J1814" s="4"/>
    </row>
    <row r="1815" spans="10:10" x14ac:dyDescent="0.25">
      <c r="J1815" s="4"/>
    </row>
    <row r="1816" spans="10:10" x14ac:dyDescent="0.25">
      <c r="J1816" s="4"/>
    </row>
    <row r="1817" spans="10:10" x14ac:dyDescent="0.25">
      <c r="J1817" s="4"/>
    </row>
    <row r="1818" spans="10:10" x14ac:dyDescent="0.25">
      <c r="J1818" s="4"/>
    </row>
    <row r="1819" spans="10:10" x14ac:dyDescent="0.25">
      <c r="J1819" s="4"/>
    </row>
    <row r="1820" spans="10:10" x14ac:dyDescent="0.25">
      <c r="J1820" s="4"/>
    </row>
    <row r="1821" spans="10:10" x14ac:dyDescent="0.25">
      <c r="J1821" s="4"/>
    </row>
    <row r="1822" spans="10:10" x14ac:dyDescent="0.25">
      <c r="J1822" s="4"/>
    </row>
    <row r="1823" spans="10:10" x14ac:dyDescent="0.25">
      <c r="J1823" s="4"/>
    </row>
    <row r="1824" spans="10:10" x14ac:dyDescent="0.25">
      <c r="J1824" s="4"/>
    </row>
    <row r="1825" spans="10:10" x14ac:dyDescent="0.25">
      <c r="J1825" s="4"/>
    </row>
    <row r="1826" spans="10:10" x14ac:dyDescent="0.25">
      <c r="J1826" s="4"/>
    </row>
    <row r="1827" spans="10:10" x14ac:dyDescent="0.25">
      <c r="J1827" s="4"/>
    </row>
    <row r="1828" spans="10:10" x14ac:dyDescent="0.25">
      <c r="J1828" s="4"/>
    </row>
    <row r="1829" spans="10:10" x14ac:dyDescent="0.25">
      <c r="J1829" s="4"/>
    </row>
    <row r="1830" spans="10:10" x14ac:dyDescent="0.25">
      <c r="J1830" s="4"/>
    </row>
    <row r="1831" spans="10:10" x14ac:dyDescent="0.25">
      <c r="J1831" s="4"/>
    </row>
    <row r="1832" spans="10:10" x14ac:dyDescent="0.25">
      <c r="J1832" s="4"/>
    </row>
    <row r="1833" spans="10:10" x14ac:dyDescent="0.25">
      <c r="J1833" s="4"/>
    </row>
    <row r="1834" spans="10:10" x14ac:dyDescent="0.25">
      <c r="J1834" s="4"/>
    </row>
    <row r="1835" spans="10:10" x14ac:dyDescent="0.25">
      <c r="J1835" s="4"/>
    </row>
    <row r="1836" spans="10:10" x14ac:dyDescent="0.25">
      <c r="J1836" s="4"/>
    </row>
    <row r="1837" spans="10:10" x14ac:dyDescent="0.25">
      <c r="J1837" s="4"/>
    </row>
    <row r="1838" spans="10:10" x14ac:dyDescent="0.25">
      <c r="J1838" s="4"/>
    </row>
    <row r="1839" spans="10:10" x14ac:dyDescent="0.25">
      <c r="J1839" s="4"/>
    </row>
    <row r="1840" spans="10:10" x14ac:dyDescent="0.25">
      <c r="J1840" s="4"/>
    </row>
    <row r="1841" spans="10:10" x14ac:dyDescent="0.25">
      <c r="J1841" s="4"/>
    </row>
    <row r="1842" spans="10:10" x14ac:dyDescent="0.25">
      <c r="J1842" s="4"/>
    </row>
    <row r="1843" spans="10:10" x14ac:dyDescent="0.25">
      <c r="J1843" s="4"/>
    </row>
    <row r="1844" spans="10:10" x14ac:dyDescent="0.25">
      <c r="J1844" s="4"/>
    </row>
    <row r="1845" spans="10:10" x14ac:dyDescent="0.25">
      <c r="J1845" s="4"/>
    </row>
    <row r="1846" spans="10:10" x14ac:dyDescent="0.25">
      <c r="J1846" s="4"/>
    </row>
    <row r="1847" spans="10:10" x14ac:dyDescent="0.25">
      <c r="J1847" s="4"/>
    </row>
    <row r="1848" spans="10:10" x14ac:dyDescent="0.25">
      <c r="J1848" s="4"/>
    </row>
    <row r="1849" spans="10:10" x14ac:dyDescent="0.25">
      <c r="J1849" s="4"/>
    </row>
    <row r="1850" spans="10:10" x14ac:dyDescent="0.25">
      <c r="J1850" s="4"/>
    </row>
    <row r="1851" spans="10:10" x14ac:dyDescent="0.25">
      <c r="J1851" s="4"/>
    </row>
    <row r="1852" spans="10:10" x14ac:dyDescent="0.25">
      <c r="J1852" s="4"/>
    </row>
    <row r="1853" spans="10:10" x14ac:dyDescent="0.25">
      <c r="J1853" s="4"/>
    </row>
    <row r="1854" spans="10:10" x14ac:dyDescent="0.25">
      <c r="J1854" s="4"/>
    </row>
    <row r="1855" spans="10:10" x14ac:dyDescent="0.25">
      <c r="J1855" s="4"/>
    </row>
    <row r="1856" spans="10:10" x14ac:dyDescent="0.25">
      <c r="J1856" s="4"/>
    </row>
    <row r="1857" spans="10:10" x14ac:dyDescent="0.25">
      <c r="J1857" s="4"/>
    </row>
    <row r="1858" spans="10:10" x14ac:dyDescent="0.25">
      <c r="J1858" s="4"/>
    </row>
    <row r="1859" spans="10:10" x14ac:dyDescent="0.25">
      <c r="J1859" s="4"/>
    </row>
    <row r="1860" spans="10:10" x14ac:dyDescent="0.25">
      <c r="J1860" s="4"/>
    </row>
    <row r="1861" spans="10:10" x14ac:dyDescent="0.25">
      <c r="J1861" s="4"/>
    </row>
    <row r="1862" spans="10:10" x14ac:dyDescent="0.25">
      <c r="J1862" s="4"/>
    </row>
    <row r="1863" spans="10:10" x14ac:dyDescent="0.25">
      <c r="J1863" s="4"/>
    </row>
    <row r="1864" spans="10:10" x14ac:dyDescent="0.25">
      <c r="J1864" s="4"/>
    </row>
    <row r="1865" spans="10:10" x14ac:dyDescent="0.25">
      <c r="J1865" s="4"/>
    </row>
    <row r="1866" spans="10:10" x14ac:dyDescent="0.25">
      <c r="J1866" s="4"/>
    </row>
    <row r="1867" spans="10:10" x14ac:dyDescent="0.25">
      <c r="J1867" s="4"/>
    </row>
    <row r="1868" spans="10:10" x14ac:dyDescent="0.25">
      <c r="J1868" s="4"/>
    </row>
    <row r="1869" spans="10:10" x14ac:dyDescent="0.25">
      <c r="J1869" s="4"/>
    </row>
    <row r="1870" spans="10:10" x14ac:dyDescent="0.25">
      <c r="J1870" s="4"/>
    </row>
    <row r="1871" spans="10:10" x14ac:dyDescent="0.25">
      <c r="J1871" s="4"/>
    </row>
    <row r="1872" spans="10:10" x14ac:dyDescent="0.25">
      <c r="J1872" s="4"/>
    </row>
    <row r="1873" spans="10:10" x14ac:dyDescent="0.25">
      <c r="J1873" s="4"/>
    </row>
    <row r="1874" spans="10:10" x14ac:dyDescent="0.25">
      <c r="J1874" s="4"/>
    </row>
    <row r="1875" spans="10:10" x14ac:dyDescent="0.25">
      <c r="J1875" s="4"/>
    </row>
    <row r="1876" spans="10:10" x14ac:dyDescent="0.25">
      <c r="J1876" s="4"/>
    </row>
    <row r="1877" spans="10:10" x14ac:dyDescent="0.25">
      <c r="J1877" s="4"/>
    </row>
    <row r="1878" spans="10:10" x14ac:dyDescent="0.25">
      <c r="J1878" s="4"/>
    </row>
    <row r="1879" spans="10:10" x14ac:dyDescent="0.25">
      <c r="J1879" s="4"/>
    </row>
    <row r="1880" spans="10:10" x14ac:dyDescent="0.25">
      <c r="J1880" s="4"/>
    </row>
    <row r="1881" spans="10:10" x14ac:dyDescent="0.25">
      <c r="J1881" s="4"/>
    </row>
    <row r="1882" spans="10:10" x14ac:dyDescent="0.25">
      <c r="J1882" s="4"/>
    </row>
    <row r="1883" spans="10:10" x14ac:dyDescent="0.25">
      <c r="J1883" s="4"/>
    </row>
    <row r="1884" spans="10:10" x14ac:dyDescent="0.25">
      <c r="J1884" s="4"/>
    </row>
    <row r="1885" spans="10:10" x14ac:dyDescent="0.25">
      <c r="J1885" s="4"/>
    </row>
    <row r="1886" spans="10:10" x14ac:dyDescent="0.25">
      <c r="J1886" s="4"/>
    </row>
    <row r="1887" spans="10:10" x14ac:dyDescent="0.25">
      <c r="J1887" s="4"/>
    </row>
    <row r="1888" spans="10:10" x14ac:dyDescent="0.25">
      <c r="J1888" s="4"/>
    </row>
    <row r="1889" spans="10:10" x14ac:dyDescent="0.25">
      <c r="J1889" s="4"/>
    </row>
    <row r="1890" spans="10:10" x14ac:dyDescent="0.25">
      <c r="J1890" s="4"/>
    </row>
    <row r="1891" spans="10:10" x14ac:dyDescent="0.25">
      <c r="J1891" s="4"/>
    </row>
    <row r="1892" spans="10:10" x14ac:dyDescent="0.25">
      <c r="J1892" s="4"/>
    </row>
    <row r="1893" spans="10:10" x14ac:dyDescent="0.25">
      <c r="J1893" s="4"/>
    </row>
    <row r="1894" spans="10:10" x14ac:dyDescent="0.25">
      <c r="J1894" s="4"/>
    </row>
    <row r="1895" spans="10:10" x14ac:dyDescent="0.25">
      <c r="J1895" s="4"/>
    </row>
    <row r="1896" spans="10:10" x14ac:dyDescent="0.25">
      <c r="J1896" s="4"/>
    </row>
    <row r="1897" spans="10:10" x14ac:dyDescent="0.25">
      <c r="J1897" s="4"/>
    </row>
    <row r="1898" spans="10:10" x14ac:dyDescent="0.25">
      <c r="J1898" s="4"/>
    </row>
    <row r="1899" spans="10:10" x14ac:dyDescent="0.25">
      <c r="J1899" s="4"/>
    </row>
    <row r="1900" spans="10:10" x14ac:dyDescent="0.25">
      <c r="J1900" s="4"/>
    </row>
    <row r="1901" spans="10:10" x14ac:dyDescent="0.25">
      <c r="J1901" s="4"/>
    </row>
    <row r="1902" spans="10:10" x14ac:dyDescent="0.25">
      <c r="J1902" s="4"/>
    </row>
    <row r="1903" spans="10:10" x14ac:dyDescent="0.25">
      <c r="J1903" s="4"/>
    </row>
    <row r="1904" spans="10:10" x14ac:dyDescent="0.25">
      <c r="J1904" s="4"/>
    </row>
    <row r="1905" spans="10:10" x14ac:dyDescent="0.25">
      <c r="J1905" s="4"/>
    </row>
    <row r="1906" spans="10:10" x14ac:dyDescent="0.25">
      <c r="J1906" s="4"/>
    </row>
    <row r="1907" spans="10:10" x14ac:dyDescent="0.25">
      <c r="J1907" s="4"/>
    </row>
    <row r="1908" spans="10:10" x14ac:dyDescent="0.25">
      <c r="J1908" s="4"/>
    </row>
    <row r="1909" spans="10:10" x14ac:dyDescent="0.25">
      <c r="J1909" s="4"/>
    </row>
    <row r="1910" spans="10:10" x14ac:dyDescent="0.25">
      <c r="J1910" s="4"/>
    </row>
    <row r="1911" spans="10:10" x14ac:dyDescent="0.25">
      <c r="J1911" s="4"/>
    </row>
    <row r="1912" spans="10:10" x14ac:dyDescent="0.25">
      <c r="J1912" s="4"/>
    </row>
    <row r="1913" spans="10:10" x14ac:dyDescent="0.25">
      <c r="J1913" s="4"/>
    </row>
    <row r="1914" spans="10:10" x14ac:dyDescent="0.25">
      <c r="J1914" s="4"/>
    </row>
    <row r="1915" spans="10:10" x14ac:dyDescent="0.25">
      <c r="J1915" s="4"/>
    </row>
    <row r="1916" spans="10:10" x14ac:dyDescent="0.25">
      <c r="J1916" s="4"/>
    </row>
    <row r="1917" spans="10:10" x14ac:dyDescent="0.25">
      <c r="J1917" s="4"/>
    </row>
    <row r="1918" spans="10:10" x14ac:dyDescent="0.25">
      <c r="J1918" s="4"/>
    </row>
    <row r="1919" spans="10:10" x14ac:dyDescent="0.25">
      <c r="J1919" s="4"/>
    </row>
    <row r="1920" spans="10:10" x14ac:dyDescent="0.25">
      <c r="J1920" s="4"/>
    </row>
    <row r="1921" spans="10:10" x14ac:dyDescent="0.25">
      <c r="J1921" s="4"/>
    </row>
    <row r="1922" spans="10:10" x14ac:dyDescent="0.25">
      <c r="J1922" s="4"/>
    </row>
    <row r="1923" spans="10:10" x14ac:dyDescent="0.25">
      <c r="J1923" s="4"/>
    </row>
    <row r="1924" spans="10:10" x14ac:dyDescent="0.25">
      <c r="J1924" s="4"/>
    </row>
    <row r="1925" spans="10:10" x14ac:dyDescent="0.25">
      <c r="J1925" s="4"/>
    </row>
    <row r="1926" spans="10:10" x14ac:dyDescent="0.25">
      <c r="J1926" s="4"/>
    </row>
    <row r="1927" spans="10:10" x14ac:dyDescent="0.25">
      <c r="J1927" s="4"/>
    </row>
    <row r="1928" spans="10:10" x14ac:dyDescent="0.25">
      <c r="J1928" s="4"/>
    </row>
    <row r="1929" spans="10:10" x14ac:dyDescent="0.25">
      <c r="J1929" s="4"/>
    </row>
    <row r="1930" spans="10:10" x14ac:dyDescent="0.25">
      <c r="J1930" s="4"/>
    </row>
    <row r="1931" spans="10:10" x14ac:dyDescent="0.25">
      <c r="J1931" s="4"/>
    </row>
    <row r="1932" spans="10:10" x14ac:dyDescent="0.25">
      <c r="J1932" s="4"/>
    </row>
    <row r="1933" spans="10:10" x14ac:dyDescent="0.25">
      <c r="J1933" s="4"/>
    </row>
    <row r="1934" spans="10:10" x14ac:dyDescent="0.25">
      <c r="J1934" s="4"/>
    </row>
    <row r="1935" spans="10:10" x14ac:dyDescent="0.25">
      <c r="J1935" s="4"/>
    </row>
    <row r="1936" spans="10:10" x14ac:dyDescent="0.25">
      <c r="J1936" s="4"/>
    </row>
    <row r="1937" spans="10:10" x14ac:dyDescent="0.25">
      <c r="J1937" s="4"/>
    </row>
    <row r="1938" spans="10:10" x14ac:dyDescent="0.25">
      <c r="J1938" s="4"/>
    </row>
    <row r="1939" spans="10:10" x14ac:dyDescent="0.25">
      <c r="J1939" s="4"/>
    </row>
    <row r="1940" spans="10:10" x14ac:dyDescent="0.25">
      <c r="J1940" s="4"/>
    </row>
    <row r="1941" spans="10:10" x14ac:dyDescent="0.25">
      <c r="J1941" s="4"/>
    </row>
    <row r="1942" spans="10:10" x14ac:dyDescent="0.25">
      <c r="J1942" s="4"/>
    </row>
    <row r="1943" spans="10:10" x14ac:dyDescent="0.25">
      <c r="J1943" s="4"/>
    </row>
    <row r="1944" spans="10:10" x14ac:dyDescent="0.25">
      <c r="J1944" s="4"/>
    </row>
    <row r="1945" spans="10:10" x14ac:dyDescent="0.25">
      <c r="J1945" s="4"/>
    </row>
    <row r="1946" spans="10:10" x14ac:dyDescent="0.25">
      <c r="J1946" s="4"/>
    </row>
    <row r="1947" spans="10:10" x14ac:dyDescent="0.25">
      <c r="J1947" s="4"/>
    </row>
    <row r="1948" spans="10:10" x14ac:dyDescent="0.25">
      <c r="J1948" s="4"/>
    </row>
    <row r="1949" spans="10:10" x14ac:dyDescent="0.25">
      <c r="J1949" s="4"/>
    </row>
    <row r="1950" spans="10:10" x14ac:dyDescent="0.25">
      <c r="J1950" s="4"/>
    </row>
    <row r="1951" spans="10:10" x14ac:dyDescent="0.25">
      <c r="J1951" s="4"/>
    </row>
    <row r="1952" spans="10:10" x14ac:dyDescent="0.25">
      <c r="J1952" s="4"/>
    </row>
    <row r="1953" spans="10:10" x14ac:dyDescent="0.25">
      <c r="J1953" s="4"/>
    </row>
    <row r="1954" spans="10:10" x14ac:dyDescent="0.25">
      <c r="J1954" s="4"/>
    </row>
    <row r="1955" spans="10:10" x14ac:dyDescent="0.25">
      <c r="J1955" s="4"/>
    </row>
    <row r="1956" spans="10:10" x14ac:dyDescent="0.25">
      <c r="J1956" s="4"/>
    </row>
    <row r="1957" spans="10:10" x14ac:dyDescent="0.25">
      <c r="J1957" s="4"/>
    </row>
    <row r="1958" spans="10:10" x14ac:dyDescent="0.25">
      <c r="J1958" s="4"/>
    </row>
    <row r="1959" spans="10:10" x14ac:dyDescent="0.25">
      <c r="J1959" s="4"/>
    </row>
    <row r="1960" spans="10:10" x14ac:dyDescent="0.25">
      <c r="J1960" s="4"/>
    </row>
    <row r="1961" spans="10:10" x14ac:dyDescent="0.25">
      <c r="J1961" s="4"/>
    </row>
    <row r="1962" spans="10:10" x14ac:dyDescent="0.25">
      <c r="J1962" s="4"/>
    </row>
    <row r="1963" spans="10:10" x14ac:dyDescent="0.25">
      <c r="J1963" s="4"/>
    </row>
    <row r="1964" spans="10:10" x14ac:dyDescent="0.25">
      <c r="J1964" s="4"/>
    </row>
    <row r="1965" spans="10:10" x14ac:dyDescent="0.25">
      <c r="J1965" s="4"/>
    </row>
    <row r="1966" spans="10:10" x14ac:dyDescent="0.25">
      <c r="J1966" s="4"/>
    </row>
    <row r="1967" spans="10:10" x14ac:dyDescent="0.25">
      <c r="J1967" s="4"/>
    </row>
    <row r="1968" spans="10:10" x14ac:dyDescent="0.25">
      <c r="J1968" s="4"/>
    </row>
    <row r="1969" spans="10:10" x14ac:dyDescent="0.25">
      <c r="J1969" s="4"/>
    </row>
    <row r="1970" spans="10:10" x14ac:dyDescent="0.25">
      <c r="J1970" s="4"/>
    </row>
    <row r="1971" spans="10:10" x14ac:dyDescent="0.25">
      <c r="J1971" s="4"/>
    </row>
    <row r="1972" spans="10:10" x14ac:dyDescent="0.25">
      <c r="J1972" s="4"/>
    </row>
    <row r="1973" spans="10:10" x14ac:dyDescent="0.25">
      <c r="J1973" s="4"/>
    </row>
    <row r="1974" spans="10:10" x14ac:dyDescent="0.25">
      <c r="J1974" s="4"/>
    </row>
    <row r="1975" spans="10:10" x14ac:dyDescent="0.25">
      <c r="J1975" s="4"/>
    </row>
    <row r="1976" spans="10:10" x14ac:dyDescent="0.25">
      <c r="J1976" s="4"/>
    </row>
    <row r="1977" spans="10:10" x14ac:dyDescent="0.25">
      <c r="J1977" s="4"/>
    </row>
    <row r="1978" spans="10:10" x14ac:dyDescent="0.25">
      <c r="J1978" s="4"/>
    </row>
    <row r="1979" spans="10:10" x14ac:dyDescent="0.25">
      <c r="J1979" s="4"/>
    </row>
    <row r="1980" spans="10:10" x14ac:dyDescent="0.25">
      <c r="J1980" s="4"/>
    </row>
    <row r="1981" spans="10:10" x14ac:dyDescent="0.25">
      <c r="J1981" s="4"/>
    </row>
    <row r="1982" spans="10:10" x14ac:dyDescent="0.25">
      <c r="J1982" s="4"/>
    </row>
    <row r="1983" spans="10:10" x14ac:dyDescent="0.25">
      <c r="J1983" s="4"/>
    </row>
    <row r="1984" spans="10:10" x14ac:dyDescent="0.25">
      <c r="J1984" s="4"/>
    </row>
    <row r="1985" spans="10:10" x14ac:dyDescent="0.25">
      <c r="J1985" s="4"/>
    </row>
    <row r="1986" spans="10:10" x14ac:dyDescent="0.25">
      <c r="J1986" s="4"/>
    </row>
    <row r="1987" spans="10:10" x14ac:dyDescent="0.25">
      <c r="J1987" s="4"/>
    </row>
    <row r="1988" spans="10:10" x14ac:dyDescent="0.25">
      <c r="J1988" s="4"/>
    </row>
    <row r="1989" spans="10:10" x14ac:dyDescent="0.25">
      <c r="J1989" s="4"/>
    </row>
    <row r="1990" spans="10:10" x14ac:dyDescent="0.25">
      <c r="J1990" s="4"/>
    </row>
    <row r="1991" spans="10:10" x14ac:dyDescent="0.25">
      <c r="J1991" s="4"/>
    </row>
    <row r="1992" spans="10:10" x14ac:dyDescent="0.25">
      <c r="J1992" s="4"/>
    </row>
    <row r="1993" spans="10:10" x14ac:dyDescent="0.25">
      <c r="J1993" s="4"/>
    </row>
    <row r="1994" spans="10:10" x14ac:dyDescent="0.25">
      <c r="J1994" s="4"/>
    </row>
    <row r="1995" spans="10:10" x14ac:dyDescent="0.25">
      <c r="J1995" s="4"/>
    </row>
    <row r="1996" spans="10:10" x14ac:dyDescent="0.25">
      <c r="J1996" s="4"/>
    </row>
    <row r="1997" spans="10:10" x14ac:dyDescent="0.25">
      <c r="J1997" s="4"/>
    </row>
    <row r="1998" spans="10:10" x14ac:dyDescent="0.25">
      <c r="J1998" s="4"/>
    </row>
    <row r="1999" spans="10:10" x14ac:dyDescent="0.25">
      <c r="J1999" s="4"/>
    </row>
    <row r="2000" spans="10:10" x14ac:dyDescent="0.25">
      <c r="J2000" s="4"/>
    </row>
    <row r="2001" spans="10:10" x14ac:dyDescent="0.25">
      <c r="J2001" s="4"/>
    </row>
    <row r="2002" spans="10:10" x14ac:dyDescent="0.25">
      <c r="J2002" s="4"/>
    </row>
    <row r="2003" spans="10:10" x14ac:dyDescent="0.25">
      <c r="J2003" s="4"/>
    </row>
    <row r="2004" spans="10:10" x14ac:dyDescent="0.25">
      <c r="J2004" s="4"/>
    </row>
    <row r="2005" spans="10:10" x14ac:dyDescent="0.25">
      <c r="J2005" s="4"/>
    </row>
    <row r="2006" spans="10:10" x14ac:dyDescent="0.25">
      <c r="J2006" s="4"/>
    </row>
    <row r="2007" spans="10:10" x14ac:dyDescent="0.25">
      <c r="J2007" s="4"/>
    </row>
    <row r="2008" spans="10:10" x14ac:dyDescent="0.25">
      <c r="J2008" s="4"/>
    </row>
    <row r="2009" spans="10:10" x14ac:dyDescent="0.25">
      <c r="J2009" s="4"/>
    </row>
    <row r="2010" spans="10:10" x14ac:dyDescent="0.25">
      <c r="J2010" s="4"/>
    </row>
    <row r="2011" spans="10:10" x14ac:dyDescent="0.25">
      <c r="J2011" s="4"/>
    </row>
    <row r="2012" spans="10:10" x14ac:dyDescent="0.25">
      <c r="J2012" s="4"/>
    </row>
    <row r="2013" spans="10:10" x14ac:dyDescent="0.25">
      <c r="J2013" s="4"/>
    </row>
    <row r="2014" spans="10:10" x14ac:dyDescent="0.25">
      <c r="J2014" s="4"/>
    </row>
    <row r="2015" spans="10:10" x14ac:dyDescent="0.25">
      <c r="J2015" s="4"/>
    </row>
    <row r="2016" spans="10:10" x14ac:dyDescent="0.25">
      <c r="J2016" s="4"/>
    </row>
    <row r="2017" spans="10:10" x14ac:dyDescent="0.25">
      <c r="J2017" s="4"/>
    </row>
    <row r="2018" spans="10:10" x14ac:dyDescent="0.25">
      <c r="J2018" s="4"/>
    </row>
    <row r="2019" spans="10:10" x14ac:dyDescent="0.25">
      <c r="J2019" s="4"/>
    </row>
    <row r="2020" spans="10:10" x14ac:dyDescent="0.25">
      <c r="J2020" s="4"/>
    </row>
    <row r="2021" spans="10:10" x14ac:dyDescent="0.25">
      <c r="J2021" s="4"/>
    </row>
    <row r="2022" spans="10:10" x14ac:dyDescent="0.25">
      <c r="J2022" s="4"/>
    </row>
    <row r="2023" spans="10:10" x14ac:dyDescent="0.25">
      <c r="J2023" s="4"/>
    </row>
    <row r="2024" spans="10:10" x14ac:dyDescent="0.25">
      <c r="J2024" s="4"/>
    </row>
    <row r="2025" spans="10:10" x14ac:dyDescent="0.25">
      <c r="J2025" s="4"/>
    </row>
    <row r="2026" spans="10:10" x14ac:dyDescent="0.25">
      <c r="J2026" s="4"/>
    </row>
    <row r="2027" spans="10:10" x14ac:dyDescent="0.25">
      <c r="J2027" s="4"/>
    </row>
    <row r="2028" spans="10:10" x14ac:dyDescent="0.25">
      <c r="J2028" s="4"/>
    </row>
    <row r="2029" spans="10:10" x14ac:dyDescent="0.25">
      <c r="J2029" s="4"/>
    </row>
    <row r="2030" spans="10:10" x14ac:dyDescent="0.25">
      <c r="J2030" s="4"/>
    </row>
    <row r="2031" spans="10:10" x14ac:dyDescent="0.25">
      <c r="J2031" s="4"/>
    </row>
    <row r="2032" spans="10:10" x14ac:dyDescent="0.25">
      <c r="J2032" s="4"/>
    </row>
    <row r="2033" spans="10:10" x14ac:dyDescent="0.25">
      <c r="J2033" s="4"/>
    </row>
    <row r="2034" spans="10:10" x14ac:dyDescent="0.25">
      <c r="J2034" s="4"/>
    </row>
    <row r="2035" spans="10:10" x14ac:dyDescent="0.25">
      <c r="J2035" s="4"/>
    </row>
    <row r="2036" spans="10:10" x14ac:dyDescent="0.25">
      <c r="J2036" s="4"/>
    </row>
    <row r="2037" spans="10:10" x14ac:dyDescent="0.25">
      <c r="J2037" s="4"/>
    </row>
    <row r="2038" spans="10:10" x14ac:dyDescent="0.25">
      <c r="J2038" s="4"/>
    </row>
    <row r="2039" spans="10:10" x14ac:dyDescent="0.25">
      <c r="J2039" s="4"/>
    </row>
    <row r="2040" spans="10:10" x14ac:dyDescent="0.25">
      <c r="J2040" s="4"/>
    </row>
    <row r="2041" spans="10:10" x14ac:dyDescent="0.25">
      <c r="J2041" s="4"/>
    </row>
    <row r="2042" spans="10:10" x14ac:dyDescent="0.25">
      <c r="J2042" s="4"/>
    </row>
    <row r="2043" spans="10:10" x14ac:dyDescent="0.25">
      <c r="J2043" s="4"/>
    </row>
    <row r="2044" spans="10:10" x14ac:dyDescent="0.25">
      <c r="J2044" s="4"/>
    </row>
    <row r="2045" spans="10:10" x14ac:dyDescent="0.25">
      <c r="J2045" s="4"/>
    </row>
    <row r="2046" spans="10:10" x14ac:dyDescent="0.25">
      <c r="J2046" s="4"/>
    </row>
    <row r="2047" spans="10:10" x14ac:dyDescent="0.25">
      <c r="J2047" s="4"/>
    </row>
    <row r="2048" spans="10:10" x14ac:dyDescent="0.25">
      <c r="J2048" s="4"/>
    </row>
    <row r="2049" spans="10:10" x14ac:dyDescent="0.25">
      <c r="J2049" s="4"/>
    </row>
    <row r="2050" spans="10:10" x14ac:dyDescent="0.25">
      <c r="J2050" s="4"/>
    </row>
    <row r="2051" spans="10:10" x14ac:dyDescent="0.25">
      <c r="J2051" s="4"/>
    </row>
    <row r="2052" spans="10:10" x14ac:dyDescent="0.25">
      <c r="J2052" s="4"/>
    </row>
    <row r="2053" spans="10:10" x14ac:dyDescent="0.25">
      <c r="J2053" s="4"/>
    </row>
    <row r="2054" spans="10:10" x14ac:dyDescent="0.25">
      <c r="J2054" s="4"/>
    </row>
    <row r="2055" spans="10:10" x14ac:dyDescent="0.25">
      <c r="J2055" s="4"/>
    </row>
    <row r="2056" spans="10:10" x14ac:dyDescent="0.25">
      <c r="J2056" s="4"/>
    </row>
  </sheetData>
  <autoFilter ref="A1:V2056" xr:uid="{00000000-0001-0000-0000-000000000000}">
    <sortState xmlns:xlrd2="http://schemas.microsoft.com/office/spreadsheetml/2017/richdata2" ref="A2:V2056">
      <sortCondition ref="B1:B2056"/>
    </sortState>
  </autoFilter>
  <pageMargins left="0.75" right="0.75" top="1" bottom="1" header="0.5" footer="0.5"/>
  <headerFooter>
    <oddHeader>&amp;C&amp;G</oddHead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056"/>
  <sheetViews>
    <sheetView workbookViewId="0">
      <selection activeCell="A2" sqref="A2:V1153"/>
    </sheetView>
  </sheetViews>
  <sheetFormatPr defaultRowHeight="15" x14ac:dyDescent="0.25"/>
  <cols>
    <col min="1" max="1" width="33" bestFit="1" customWidth="1"/>
    <col min="2" max="2" width="30.7109375" bestFit="1" customWidth="1"/>
    <col min="3" max="3" width="7.7109375" bestFit="1" customWidth="1"/>
    <col min="4" max="5" width="6.5703125" bestFit="1" customWidth="1"/>
    <col min="6" max="6" width="7.42578125" bestFit="1" customWidth="1"/>
    <col min="7" max="7" width="8.85546875" bestFit="1" customWidth="1"/>
    <col min="8" max="8" width="9" bestFit="1" customWidth="1"/>
    <col min="9" max="9" width="8.140625" bestFit="1" customWidth="1"/>
    <col min="10" max="10" width="71.140625" bestFit="1" customWidth="1"/>
    <col min="11" max="11" width="11.7109375" bestFit="1" customWidth="1"/>
    <col min="12" max="12" width="11.5703125" bestFit="1" customWidth="1"/>
    <col min="13" max="13" width="12.85546875" bestFit="1" customWidth="1"/>
    <col min="14" max="14" width="11.7109375" bestFit="1" customWidth="1"/>
    <col min="15" max="15" width="25.140625" bestFit="1" customWidth="1"/>
    <col min="16" max="16" width="13.85546875" bestFit="1" customWidth="1"/>
    <col min="17" max="17" width="20.28515625" bestFit="1" customWidth="1"/>
    <col min="18" max="18" width="18.5703125" bestFit="1" customWidth="1"/>
    <col min="19" max="19" width="19.28515625" bestFit="1" customWidth="1"/>
    <col min="20" max="20" width="30.28515625" bestFit="1" customWidth="1"/>
    <col min="21" max="21" width="18.5703125" bestFit="1" customWidth="1"/>
    <col min="22" max="22" width="16" bestFit="1"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3" t="s">
        <v>17</v>
      </c>
      <c r="S1" s="3" t="s">
        <v>18</v>
      </c>
      <c r="T1" s="3" t="s">
        <v>19</v>
      </c>
      <c r="U1" s="3" t="s">
        <v>20</v>
      </c>
      <c r="V1" s="3" t="s">
        <v>21</v>
      </c>
    </row>
    <row r="2" spans="1:22" x14ac:dyDescent="0.25">
      <c r="A2" t="s">
        <v>1295</v>
      </c>
      <c r="B2" t="s">
        <v>145</v>
      </c>
      <c r="C2">
        <v>23</v>
      </c>
      <c r="D2" t="s">
        <v>65</v>
      </c>
      <c r="E2" t="s">
        <v>69</v>
      </c>
      <c r="F2" t="s">
        <v>81</v>
      </c>
      <c r="G2">
        <v>1.04</v>
      </c>
      <c r="H2" t="s">
        <v>84</v>
      </c>
      <c r="I2">
        <v>12</v>
      </c>
      <c r="J2" t="str">
        <f>HYPERLINK("https://www.eliteprospects.com/player/656832/eric-pohlkamp")</f>
        <v>https://www.eliteprospects.com/player/656832/eric-pohlkamp</v>
      </c>
      <c r="K2" t="s">
        <v>27</v>
      </c>
      <c r="L2" t="s">
        <v>28</v>
      </c>
      <c r="M2" t="s">
        <v>1296</v>
      </c>
      <c r="N2">
        <v>3</v>
      </c>
      <c r="O2" t="s">
        <v>74</v>
      </c>
      <c r="P2">
        <v>0.2</v>
      </c>
      <c r="Q2" t="s">
        <v>31</v>
      </c>
      <c r="R2">
        <v>42.9</v>
      </c>
      <c r="S2">
        <v>14.3</v>
      </c>
      <c r="T2">
        <v>7.1</v>
      </c>
      <c r="U2">
        <v>7.1</v>
      </c>
      <c r="V2">
        <v>28.6</v>
      </c>
    </row>
    <row r="3" spans="1:22" x14ac:dyDescent="0.25">
      <c r="A3" t="s">
        <v>1297</v>
      </c>
      <c r="B3" t="s">
        <v>37</v>
      </c>
      <c r="C3">
        <v>22</v>
      </c>
      <c r="D3" t="s">
        <v>57</v>
      </c>
      <c r="E3" t="s">
        <v>55</v>
      </c>
      <c r="F3" t="s">
        <v>81</v>
      </c>
      <c r="G3">
        <v>1.0900000000000001</v>
      </c>
      <c r="H3" t="s">
        <v>26</v>
      </c>
      <c r="I3">
        <v>17</v>
      </c>
      <c r="J3" t="str">
        <f>HYPERLINK("https://www.eliteprospects.com/player/603191/ty-hanson")</f>
        <v>https://www.eliteprospects.com/player/603191/ty-hanson</v>
      </c>
      <c r="K3" t="s">
        <v>27</v>
      </c>
      <c r="L3" t="s">
        <v>28</v>
      </c>
      <c r="M3" t="s">
        <v>1296</v>
      </c>
      <c r="N3">
        <v>2</v>
      </c>
      <c r="O3" t="s">
        <v>43</v>
      </c>
      <c r="P3">
        <v>0.21</v>
      </c>
      <c r="Q3" t="s">
        <v>31</v>
      </c>
      <c r="R3">
        <v>0</v>
      </c>
      <c r="S3">
        <v>0</v>
      </c>
      <c r="T3">
        <v>0</v>
      </c>
      <c r="U3">
        <v>0</v>
      </c>
      <c r="V3">
        <v>0</v>
      </c>
    </row>
    <row r="4" spans="1:22" x14ac:dyDescent="0.25">
      <c r="A4" t="s">
        <v>1298</v>
      </c>
      <c r="B4" t="s">
        <v>98</v>
      </c>
      <c r="C4">
        <v>21</v>
      </c>
      <c r="D4" t="s">
        <v>45</v>
      </c>
      <c r="E4" t="s">
        <v>39</v>
      </c>
      <c r="F4" t="s">
        <v>84</v>
      </c>
      <c r="G4">
        <v>1.1000000000000001</v>
      </c>
      <c r="H4" t="s">
        <v>75</v>
      </c>
      <c r="I4">
        <v>17</v>
      </c>
      <c r="J4" t="str">
        <f>HYPERLINK("https://www.eliteprospects.com/player/476039/tyler-dunbar")</f>
        <v>https://www.eliteprospects.com/player/476039/tyler-dunbar</v>
      </c>
      <c r="K4" t="s">
        <v>27</v>
      </c>
      <c r="L4" t="s">
        <v>28</v>
      </c>
      <c r="M4" t="s">
        <v>1296</v>
      </c>
      <c r="N4">
        <v>3</v>
      </c>
      <c r="O4" t="s">
        <v>74</v>
      </c>
      <c r="P4">
        <v>0.21</v>
      </c>
      <c r="Q4" t="s">
        <v>31</v>
      </c>
      <c r="R4">
        <v>0</v>
      </c>
      <c r="S4">
        <v>0</v>
      </c>
      <c r="T4">
        <v>0</v>
      </c>
      <c r="U4">
        <v>0</v>
      </c>
      <c r="V4">
        <v>0</v>
      </c>
    </row>
    <row r="5" spans="1:22" x14ac:dyDescent="0.25">
      <c r="A5" t="s">
        <v>1299</v>
      </c>
      <c r="B5" t="s">
        <v>88</v>
      </c>
      <c r="C5">
        <v>22</v>
      </c>
      <c r="D5" t="s">
        <v>32</v>
      </c>
      <c r="E5" t="s">
        <v>69</v>
      </c>
      <c r="F5" t="s">
        <v>33</v>
      </c>
      <c r="G5">
        <v>0.95</v>
      </c>
      <c r="H5" t="s">
        <v>32</v>
      </c>
      <c r="I5">
        <v>3</v>
      </c>
      <c r="J5" t="str">
        <f>HYPERLINK("https://www.eliteprospects.com/player/417512/chris-hedden")</f>
        <v>https://www.eliteprospects.com/player/417512/chris-hedden</v>
      </c>
      <c r="K5" t="s">
        <v>27</v>
      </c>
      <c r="L5" t="s">
        <v>28</v>
      </c>
      <c r="M5" t="s">
        <v>1296</v>
      </c>
      <c r="N5">
        <v>4</v>
      </c>
      <c r="O5" t="s">
        <v>30</v>
      </c>
      <c r="P5">
        <v>0.18</v>
      </c>
      <c r="Q5" t="s">
        <v>1300</v>
      </c>
      <c r="R5">
        <v>33.299999999999997</v>
      </c>
      <c r="S5">
        <v>33.299999999999997</v>
      </c>
      <c r="T5">
        <v>16.7</v>
      </c>
      <c r="U5">
        <v>16.7</v>
      </c>
      <c r="V5">
        <v>0</v>
      </c>
    </row>
    <row r="6" spans="1:22" x14ac:dyDescent="0.25">
      <c r="A6" t="s">
        <v>1301</v>
      </c>
      <c r="B6" t="s">
        <v>195</v>
      </c>
      <c r="C6">
        <v>19</v>
      </c>
      <c r="D6" t="s">
        <v>78</v>
      </c>
      <c r="E6" t="s">
        <v>65</v>
      </c>
      <c r="F6" t="s">
        <v>24</v>
      </c>
      <c r="G6">
        <v>1.05</v>
      </c>
      <c r="H6" t="s">
        <v>23</v>
      </c>
      <c r="I6">
        <v>8</v>
      </c>
      <c r="J6" t="str">
        <f>HYPERLINK("https://www.eliteprospects.com/player/597819/cole-hutson")</f>
        <v>https://www.eliteprospects.com/player/597819/cole-hutson</v>
      </c>
      <c r="K6" t="s">
        <v>27</v>
      </c>
      <c r="L6" t="s">
        <v>28</v>
      </c>
      <c r="M6" t="s">
        <v>1296</v>
      </c>
      <c r="N6">
        <v>2</v>
      </c>
      <c r="O6" t="s">
        <v>43</v>
      </c>
      <c r="P6">
        <v>0.2</v>
      </c>
      <c r="Q6" t="s">
        <v>31</v>
      </c>
      <c r="R6">
        <v>42.9</v>
      </c>
      <c r="S6">
        <v>14.3</v>
      </c>
      <c r="T6">
        <v>7.1</v>
      </c>
      <c r="U6">
        <v>7.1</v>
      </c>
      <c r="V6">
        <v>28.6</v>
      </c>
    </row>
    <row r="7" spans="1:22" x14ac:dyDescent="0.25">
      <c r="A7" t="s">
        <v>1302</v>
      </c>
      <c r="B7" t="s">
        <v>145</v>
      </c>
      <c r="C7">
        <v>23</v>
      </c>
      <c r="D7" t="s">
        <v>78</v>
      </c>
      <c r="E7" t="s">
        <v>65</v>
      </c>
      <c r="F7" t="s">
        <v>24</v>
      </c>
      <c r="G7">
        <v>0.87</v>
      </c>
      <c r="H7" t="s">
        <v>23</v>
      </c>
      <c r="I7">
        <v>15</v>
      </c>
      <c r="J7" t="str">
        <f>HYPERLINK("https://www.eliteprospects.com/player/486534/boston-buckberger")</f>
        <v>https://www.eliteprospects.com/player/486534/boston-buckberger</v>
      </c>
      <c r="K7" t="s">
        <v>27</v>
      </c>
      <c r="L7" t="s">
        <v>28</v>
      </c>
      <c r="M7" t="s">
        <v>1296</v>
      </c>
      <c r="N7">
        <v>3</v>
      </c>
      <c r="O7" t="s">
        <v>74</v>
      </c>
      <c r="P7">
        <v>0.17</v>
      </c>
      <c r="Q7" t="s">
        <v>1300</v>
      </c>
      <c r="R7">
        <v>42.9</v>
      </c>
      <c r="S7">
        <v>14.3</v>
      </c>
      <c r="T7">
        <v>7.1</v>
      </c>
      <c r="U7">
        <v>7.1</v>
      </c>
      <c r="V7">
        <v>28.6</v>
      </c>
    </row>
    <row r="8" spans="1:22" x14ac:dyDescent="0.25">
      <c r="A8" t="s">
        <v>1303</v>
      </c>
      <c r="B8" t="s">
        <v>113</v>
      </c>
      <c r="C8">
        <v>23</v>
      </c>
      <c r="D8" t="s">
        <v>57</v>
      </c>
      <c r="E8" t="s">
        <v>39</v>
      </c>
      <c r="F8" t="s">
        <v>24</v>
      </c>
      <c r="G8">
        <v>0.87</v>
      </c>
      <c r="H8" t="s">
        <v>132</v>
      </c>
      <c r="I8">
        <v>12</v>
      </c>
      <c r="J8" t="str">
        <f>HYPERLINK("https://www.eliteprospects.com/player/658220/evan-murr")</f>
        <v>https://www.eliteprospects.com/player/658220/evan-murr</v>
      </c>
      <c r="K8" t="s">
        <v>27</v>
      </c>
      <c r="L8" t="s">
        <v>28</v>
      </c>
      <c r="M8" t="s">
        <v>1296</v>
      </c>
      <c r="N8">
        <v>3</v>
      </c>
      <c r="O8" t="s">
        <v>74</v>
      </c>
      <c r="P8">
        <v>0.17</v>
      </c>
      <c r="Q8" t="s">
        <v>1300</v>
      </c>
      <c r="R8">
        <v>42.9</v>
      </c>
      <c r="S8">
        <v>14.3</v>
      </c>
      <c r="T8">
        <v>7.1</v>
      </c>
      <c r="U8">
        <v>7.1</v>
      </c>
      <c r="V8">
        <v>28.6</v>
      </c>
    </row>
    <row r="9" spans="1:22" x14ac:dyDescent="0.25">
      <c r="A9" t="s">
        <v>1304</v>
      </c>
      <c r="B9" t="s">
        <v>59</v>
      </c>
      <c r="C9">
        <v>23</v>
      </c>
      <c r="D9" t="s">
        <v>96</v>
      </c>
      <c r="E9" t="s">
        <v>41</v>
      </c>
      <c r="F9" t="s">
        <v>24</v>
      </c>
      <c r="G9">
        <v>0.87</v>
      </c>
      <c r="H9" t="s">
        <v>66</v>
      </c>
      <c r="I9">
        <v>14</v>
      </c>
      <c r="J9" t="str">
        <f>HYPERLINK("https://www.eliteprospects.com/player/508078/brandon-holt")</f>
        <v>https://www.eliteprospects.com/player/508078/brandon-holt</v>
      </c>
      <c r="K9" t="s">
        <v>27</v>
      </c>
      <c r="L9" t="s">
        <v>28</v>
      </c>
      <c r="M9" t="s">
        <v>1296</v>
      </c>
      <c r="N9">
        <v>4</v>
      </c>
      <c r="O9" t="s">
        <v>30</v>
      </c>
      <c r="P9">
        <v>0.17</v>
      </c>
      <c r="Q9" t="s">
        <v>1300</v>
      </c>
      <c r="R9">
        <v>42.9</v>
      </c>
      <c r="S9">
        <v>14.3</v>
      </c>
      <c r="T9">
        <v>7.1</v>
      </c>
      <c r="U9">
        <v>7.1</v>
      </c>
      <c r="V9">
        <v>28.6</v>
      </c>
    </row>
    <row r="10" spans="1:22" x14ac:dyDescent="0.25">
      <c r="A10" t="s">
        <v>1305</v>
      </c>
      <c r="B10" t="s">
        <v>109</v>
      </c>
      <c r="C10">
        <v>22</v>
      </c>
      <c r="D10" t="s">
        <v>140</v>
      </c>
      <c r="E10" t="s">
        <v>60</v>
      </c>
      <c r="F10" t="s">
        <v>24</v>
      </c>
      <c r="G10">
        <v>0.91</v>
      </c>
      <c r="H10" t="s">
        <v>26</v>
      </c>
      <c r="I10">
        <v>11</v>
      </c>
      <c r="J10" t="str">
        <f>HYPERLINK("https://www.eliteprospects.com/player/571946/jake-livanavage")</f>
        <v>https://www.eliteprospects.com/player/571946/jake-livanavage</v>
      </c>
      <c r="K10" t="s">
        <v>27</v>
      </c>
      <c r="L10" t="s">
        <v>28</v>
      </c>
      <c r="M10" t="s">
        <v>1296</v>
      </c>
      <c r="N10">
        <v>3</v>
      </c>
      <c r="O10" t="s">
        <v>74</v>
      </c>
      <c r="P10">
        <v>0.18</v>
      </c>
      <c r="Q10" t="s">
        <v>1300</v>
      </c>
      <c r="R10">
        <v>42.9</v>
      </c>
      <c r="S10">
        <v>14.3</v>
      </c>
      <c r="T10">
        <v>7.1</v>
      </c>
      <c r="U10">
        <v>7.1</v>
      </c>
      <c r="V10">
        <v>28.6</v>
      </c>
    </row>
    <row r="11" spans="1:22" x14ac:dyDescent="0.25">
      <c r="A11" t="s">
        <v>1306</v>
      </c>
      <c r="B11" t="s">
        <v>139</v>
      </c>
      <c r="C11">
        <v>20</v>
      </c>
      <c r="D11" t="s">
        <v>96</v>
      </c>
      <c r="E11" t="s">
        <v>65</v>
      </c>
      <c r="F11" t="s">
        <v>55</v>
      </c>
      <c r="G11">
        <v>0.9</v>
      </c>
      <c r="H11" t="s">
        <v>66</v>
      </c>
      <c r="I11">
        <v>1</v>
      </c>
      <c r="J11" t="str">
        <f>HYPERLINK("https://www.eliteprospects.com/player/201850/ben-dexheimer")</f>
        <v>https://www.eliteprospects.com/player/201850/ben-dexheimer</v>
      </c>
      <c r="K11" t="s">
        <v>27</v>
      </c>
      <c r="L11" t="s">
        <v>28</v>
      </c>
      <c r="M11" t="s">
        <v>1296</v>
      </c>
      <c r="N11">
        <v>4</v>
      </c>
      <c r="O11" t="s">
        <v>30</v>
      </c>
      <c r="P11">
        <v>0.17</v>
      </c>
      <c r="Q11" t="s">
        <v>1300</v>
      </c>
      <c r="R11">
        <v>33.299999999999997</v>
      </c>
      <c r="S11">
        <v>33.299999999999997</v>
      </c>
      <c r="T11">
        <v>16.7</v>
      </c>
      <c r="U11">
        <v>16.7</v>
      </c>
      <c r="V11">
        <v>0</v>
      </c>
    </row>
    <row r="12" spans="1:22" x14ac:dyDescent="0.25">
      <c r="A12" t="s">
        <v>1307</v>
      </c>
      <c r="B12" t="s">
        <v>128</v>
      </c>
      <c r="C12">
        <v>20</v>
      </c>
      <c r="D12" t="s">
        <v>79</v>
      </c>
      <c r="E12" t="s">
        <v>38</v>
      </c>
      <c r="F12" t="s">
        <v>55</v>
      </c>
      <c r="G12">
        <v>0.9</v>
      </c>
      <c r="H12" t="s">
        <v>23</v>
      </c>
      <c r="I12">
        <v>11</v>
      </c>
      <c r="J12" t="str">
        <f>HYPERLINK("https://www.eliteprospects.com/player/507286/breck-mckinley")</f>
        <v>https://www.eliteprospects.com/player/507286/breck-mckinley</v>
      </c>
      <c r="K12" t="s">
        <v>27</v>
      </c>
      <c r="L12" t="s">
        <v>28</v>
      </c>
      <c r="M12" t="s">
        <v>1296</v>
      </c>
      <c r="N12">
        <v>3</v>
      </c>
      <c r="O12" t="s">
        <v>74</v>
      </c>
      <c r="P12">
        <v>0.17</v>
      </c>
      <c r="Q12" t="s">
        <v>1300</v>
      </c>
      <c r="R12">
        <v>42.9</v>
      </c>
      <c r="S12">
        <v>14.3</v>
      </c>
      <c r="T12">
        <v>7.1</v>
      </c>
      <c r="U12">
        <v>7.1</v>
      </c>
      <c r="V12">
        <v>28.6</v>
      </c>
    </row>
    <row r="13" spans="1:22" x14ac:dyDescent="0.25">
      <c r="A13" t="s">
        <v>1308</v>
      </c>
      <c r="B13" t="s">
        <v>124</v>
      </c>
      <c r="C13">
        <v>22</v>
      </c>
      <c r="D13" t="s">
        <v>79</v>
      </c>
      <c r="E13" t="s">
        <v>41</v>
      </c>
      <c r="F13" t="s">
        <v>60</v>
      </c>
      <c r="G13">
        <v>0.77</v>
      </c>
      <c r="H13" t="s">
        <v>38</v>
      </c>
      <c r="I13">
        <v>8</v>
      </c>
      <c r="J13" t="str">
        <f>HYPERLINK("https://www.eliteprospects.com/player/697964/vladislav-lukashevich")</f>
        <v>https://www.eliteprospects.com/player/697964/vladislav-lukashevich</v>
      </c>
      <c r="K13" t="s">
        <v>27</v>
      </c>
      <c r="L13" t="s">
        <v>28</v>
      </c>
      <c r="M13" t="s">
        <v>1296</v>
      </c>
      <c r="N13">
        <v>2</v>
      </c>
      <c r="O13" t="s">
        <v>43</v>
      </c>
      <c r="P13">
        <v>0.15</v>
      </c>
      <c r="Q13" t="s">
        <v>1309</v>
      </c>
      <c r="R13">
        <v>10</v>
      </c>
      <c r="S13">
        <v>10</v>
      </c>
      <c r="T13">
        <v>20</v>
      </c>
      <c r="U13">
        <v>20</v>
      </c>
      <c r="V13">
        <v>40</v>
      </c>
    </row>
    <row r="14" spans="1:22" x14ac:dyDescent="0.25">
      <c r="A14" t="s">
        <v>1310</v>
      </c>
      <c r="B14" t="s">
        <v>64</v>
      </c>
      <c r="C14">
        <v>22</v>
      </c>
      <c r="D14" t="s">
        <v>132</v>
      </c>
      <c r="E14" t="s">
        <v>60</v>
      </c>
      <c r="F14" t="s">
        <v>60</v>
      </c>
      <c r="G14">
        <v>0.77</v>
      </c>
      <c r="H14" t="s">
        <v>57</v>
      </c>
      <c r="I14">
        <v>6</v>
      </c>
      <c r="J14" t="str">
        <f>HYPERLINK("https://www.eliteprospects.com/player/689570/chase-cheslock")</f>
        <v>https://www.eliteprospects.com/player/689570/chase-cheslock</v>
      </c>
      <c r="K14" t="s">
        <v>27</v>
      </c>
      <c r="L14" t="s">
        <v>28</v>
      </c>
      <c r="M14" t="s">
        <v>1296</v>
      </c>
      <c r="N14">
        <v>3</v>
      </c>
      <c r="O14" t="s">
        <v>74</v>
      </c>
      <c r="P14">
        <v>0.15</v>
      </c>
      <c r="Q14" t="s">
        <v>1309</v>
      </c>
      <c r="R14">
        <v>10</v>
      </c>
      <c r="S14">
        <v>10</v>
      </c>
      <c r="T14">
        <v>20</v>
      </c>
      <c r="U14">
        <v>20</v>
      </c>
      <c r="V14">
        <v>40</v>
      </c>
    </row>
    <row r="15" spans="1:22" x14ac:dyDescent="0.25">
      <c r="A15" t="s">
        <v>1311</v>
      </c>
      <c r="B15" t="s">
        <v>180</v>
      </c>
      <c r="C15">
        <v>20</v>
      </c>
      <c r="D15" t="s">
        <v>96</v>
      </c>
      <c r="E15" t="s">
        <v>69</v>
      </c>
      <c r="F15" t="s">
        <v>38</v>
      </c>
      <c r="G15">
        <v>0.8</v>
      </c>
      <c r="H15" t="s">
        <v>265</v>
      </c>
      <c r="I15">
        <v>-12</v>
      </c>
      <c r="J15" t="str">
        <f>HYPERLINK("https://www.eliteprospects.com/player/637620/paul-fischer")</f>
        <v>https://www.eliteprospects.com/player/637620/paul-fischer</v>
      </c>
      <c r="K15" t="s">
        <v>27</v>
      </c>
      <c r="L15" t="s">
        <v>28</v>
      </c>
      <c r="M15" t="s">
        <v>1296</v>
      </c>
      <c r="N15">
        <v>3</v>
      </c>
      <c r="O15" t="s">
        <v>74</v>
      </c>
      <c r="P15">
        <v>0.16</v>
      </c>
      <c r="Q15" t="s">
        <v>1300</v>
      </c>
      <c r="R15">
        <v>40</v>
      </c>
      <c r="S15">
        <v>40</v>
      </c>
      <c r="T15">
        <v>0</v>
      </c>
      <c r="U15">
        <v>0</v>
      </c>
      <c r="V15">
        <v>20</v>
      </c>
    </row>
    <row r="16" spans="1:22" x14ac:dyDescent="0.25">
      <c r="A16" t="s">
        <v>1312</v>
      </c>
      <c r="B16" t="s">
        <v>165</v>
      </c>
      <c r="C16">
        <v>20</v>
      </c>
      <c r="D16" t="s">
        <v>66</v>
      </c>
      <c r="E16" t="s">
        <v>23</v>
      </c>
      <c r="F16" t="s">
        <v>38</v>
      </c>
      <c r="G16">
        <v>0.8</v>
      </c>
      <c r="H16" t="s">
        <v>32</v>
      </c>
      <c r="I16">
        <v>-3</v>
      </c>
      <c r="J16" t="str">
        <f>HYPERLINK("https://www.eliteprospects.com/player/655508/isaiah-norlin")</f>
        <v>https://www.eliteprospects.com/player/655508/isaiah-norlin</v>
      </c>
      <c r="K16" t="s">
        <v>27</v>
      </c>
      <c r="L16" t="s">
        <v>28</v>
      </c>
      <c r="M16" t="s">
        <v>1296</v>
      </c>
      <c r="N16">
        <v>2</v>
      </c>
      <c r="O16" t="s">
        <v>43</v>
      </c>
      <c r="P16">
        <v>0.16</v>
      </c>
      <c r="Q16" t="s">
        <v>1300</v>
      </c>
      <c r="R16">
        <v>40</v>
      </c>
      <c r="S16">
        <v>40</v>
      </c>
      <c r="T16">
        <v>0</v>
      </c>
      <c r="U16">
        <v>0</v>
      </c>
      <c r="V16">
        <v>20</v>
      </c>
    </row>
    <row r="17" spans="1:22" x14ac:dyDescent="0.25">
      <c r="A17" t="s">
        <v>1313</v>
      </c>
      <c r="B17" t="s">
        <v>88</v>
      </c>
      <c r="C17">
        <v>22</v>
      </c>
      <c r="D17" t="s">
        <v>96</v>
      </c>
      <c r="E17" t="s">
        <v>32</v>
      </c>
      <c r="F17" t="s">
        <v>41</v>
      </c>
      <c r="G17">
        <v>0.68</v>
      </c>
      <c r="H17" t="s">
        <v>75</v>
      </c>
      <c r="I17">
        <v>-2</v>
      </c>
      <c r="J17" t="str">
        <f>HYPERLINK("https://www.eliteprospects.com/player/478395/will-staring")</f>
        <v>https://www.eliteprospects.com/player/478395/will-staring</v>
      </c>
      <c r="K17" t="s">
        <v>27</v>
      </c>
      <c r="L17" t="s">
        <v>28</v>
      </c>
      <c r="M17" t="s">
        <v>1296</v>
      </c>
      <c r="N17">
        <v>3</v>
      </c>
      <c r="O17" t="s">
        <v>74</v>
      </c>
      <c r="P17">
        <v>0.13</v>
      </c>
      <c r="Q17" t="s">
        <v>1309</v>
      </c>
      <c r="R17">
        <v>25</v>
      </c>
      <c r="S17">
        <v>25</v>
      </c>
      <c r="T17">
        <v>0</v>
      </c>
      <c r="U17">
        <v>0</v>
      </c>
      <c r="V17">
        <v>50</v>
      </c>
    </row>
    <row r="18" spans="1:22" x14ac:dyDescent="0.25">
      <c r="A18" t="s">
        <v>1314</v>
      </c>
      <c r="B18" t="s">
        <v>101</v>
      </c>
      <c r="C18">
        <v>19</v>
      </c>
      <c r="D18" t="s">
        <v>66</v>
      </c>
      <c r="E18" t="s">
        <v>69</v>
      </c>
      <c r="F18" t="s">
        <v>41</v>
      </c>
      <c r="G18">
        <v>0.79</v>
      </c>
      <c r="H18" t="s">
        <v>26</v>
      </c>
      <c r="I18">
        <v>-3</v>
      </c>
      <c r="J18" t="str">
        <f>HYPERLINK("https://www.eliteprospects.com/player/478377/vincent-borgesi")</f>
        <v>https://www.eliteprospects.com/player/478377/vincent-borgesi</v>
      </c>
      <c r="K18" t="s">
        <v>27</v>
      </c>
      <c r="L18" t="s">
        <v>28</v>
      </c>
      <c r="M18" t="s">
        <v>1296</v>
      </c>
      <c r="N18">
        <v>4</v>
      </c>
      <c r="O18" t="s">
        <v>30</v>
      </c>
      <c r="P18">
        <v>0.15</v>
      </c>
      <c r="Q18" t="s">
        <v>1300</v>
      </c>
      <c r="R18">
        <v>40</v>
      </c>
      <c r="S18">
        <v>40</v>
      </c>
      <c r="T18">
        <v>0</v>
      </c>
      <c r="U18">
        <v>0</v>
      </c>
      <c r="V18">
        <v>20</v>
      </c>
    </row>
    <row r="19" spans="1:22" x14ac:dyDescent="0.25">
      <c r="A19" t="s">
        <v>1315</v>
      </c>
      <c r="B19" t="s">
        <v>90</v>
      </c>
      <c r="C19">
        <v>20</v>
      </c>
      <c r="D19" t="s">
        <v>140</v>
      </c>
      <c r="E19" t="s">
        <v>23</v>
      </c>
      <c r="F19" t="s">
        <v>41</v>
      </c>
      <c r="G19">
        <v>0.75</v>
      </c>
      <c r="H19" t="s">
        <v>23</v>
      </c>
      <c r="I19">
        <v>-6</v>
      </c>
      <c r="J19" t="str">
        <f>HYPERLINK("https://www.eliteprospects.com/player/540571/mikey-adamson")</f>
        <v>https://www.eliteprospects.com/player/540571/mikey-adamson</v>
      </c>
      <c r="K19" t="s">
        <v>27</v>
      </c>
      <c r="L19" t="s">
        <v>28</v>
      </c>
      <c r="M19" t="s">
        <v>1296</v>
      </c>
      <c r="N19">
        <v>4</v>
      </c>
      <c r="O19" t="s">
        <v>30</v>
      </c>
      <c r="P19">
        <v>0.15</v>
      </c>
      <c r="Q19" t="s">
        <v>1300</v>
      </c>
      <c r="R19">
        <v>40</v>
      </c>
      <c r="S19">
        <v>40</v>
      </c>
      <c r="T19">
        <v>0</v>
      </c>
      <c r="U19">
        <v>0</v>
      </c>
      <c r="V19">
        <v>20</v>
      </c>
    </row>
    <row r="20" spans="1:22" x14ac:dyDescent="0.25">
      <c r="A20" t="s">
        <v>1316</v>
      </c>
      <c r="B20" t="s">
        <v>50</v>
      </c>
      <c r="C20">
        <v>22</v>
      </c>
      <c r="D20" t="s">
        <v>132</v>
      </c>
      <c r="E20" t="s">
        <v>41</v>
      </c>
      <c r="F20" t="s">
        <v>41</v>
      </c>
      <c r="G20">
        <v>0.68</v>
      </c>
      <c r="H20" t="s">
        <v>39</v>
      </c>
      <c r="I20">
        <v>15</v>
      </c>
      <c r="J20" t="str">
        <f>HYPERLINK("https://www.eliteprospects.com/player/609495/ben-robertson")</f>
        <v>https://www.eliteprospects.com/player/609495/ben-robertson</v>
      </c>
      <c r="K20" t="s">
        <v>27</v>
      </c>
      <c r="L20" t="s">
        <v>28</v>
      </c>
      <c r="M20" t="s">
        <v>1296</v>
      </c>
      <c r="N20">
        <v>3</v>
      </c>
      <c r="O20" t="s">
        <v>74</v>
      </c>
      <c r="P20">
        <v>0.13</v>
      </c>
      <c r="Q20" t="s">
        <v>1300</v>
      </c>
      <c r="R20">
        <v>42.9</v>
      </c>
      <c r="S20">
        <v>14.3</v>
      </c>
      <c r="T20">
        <v>7.1</v>
      </c>
      <c r="U20">
        <v>7.1</v>
      </c>
      <c r="V20">
        <v>28.6</v>
      </c>
    </row>
    <row r="21" spans="1:22" x14ac:dyDescent="0.25">
      <c r="A21" t="s">
        <v>1317</v>
      </c>
      <c r="B21" t="s">
        <v>124</v>
      </c>
      <c r="C21">
        <v>22</v>
      </c>
      <c r="D21" t="s">
        <v>66</v>
      </c>
      <c r="E21" t="s">
        <v>32</v>
      </c>
      <c r="F21" t="s">
        <v>39</v>
      </c>
      <c r="G21">
        <v>0.64</v>
      </c>
      <c r="H21" t="s">
        <v>26</v>
      </c>
      <c r="I21">
        <v>10</v>
      </c>
      <c r="J21" t="str">
        <f>HYPERLINK("https://www.eliteprospects.com/player/511976/michael-quinn")</f>
        <v>https://www.eliteprospects.com/player/511976/michael-quinn</v>
      </c>
      <c r="K21" t="s">
        <v>27</v>
      </c>
      <c r="L21" t="s">
        <v>28</v>
      </c>
      <c r="M21" t="s">
        <v>1296</v>
      </c>
      <c r="N21">
        <v>2</v>
      </c>
      <c r="O21" t="s">
        <v>43</v>
      </c>
      <c r="P21">
        <v>0.12</v>
      </c>
      <c r="Q21" t="s">
        <v>1300</v>
      </c>
      <c r="R21">
        <v>42.9</v>
      </c>
      <c r="S21">
        <v>14.3</v>
      </c>
      <c r="T21">
        <v>7.1</v>
      </c>
      <c r="U21">
        <v>7.1</v>
      </c>
      <c r="V21">
        <v>28.6</v>
      </c>
    </row>
    <row r="22" spans="1:22" x14ac:dyDescent="0.25">
      <c r="A22" t="s">
        <v>1318</v>
      </c>
      <c r="B22" t="s">
        <v>95</v>
      </c>
      <c r="C22">
        <v>22</v>
      </c>
      <c r="D22" t="s">
        <v>66</v>
      </c>
      <c r="E22" t="s">
        <v>32</v>
      </c>
      <c r="F22" t="s">
        <v>39</v>
      </c>
      <c r="G22">
        <v>0.64</v>
      </c>
      <c r="H22" t="s">
        <v>32</v>
      </c>
      <c r="I22">
        <v>8</v>
      </c>
      <c r="J22" t="str">
        <f>HYPERLINK("https://www.eliteprospects.com/player/381262/samuel-sjolund")</f>
        <v>https://www.eliteprospects.com/player/381262/samuel-sjolund</v>
      </c>
      <c r="K22" t="s">
        <v>27</v>
      </c>
      <c r="L22" t="s">
        <v>28</v>
      </c>
      <c r="M22" t="s">
        <v>1296</v>
      </c>
      <c r="N22">
        <v>4</v>
      </c>
      <c r="O22" t="s">
        <v>30</v>
      </c>
      <c r="P22">
        <v>0.12</v>
      </c>
      <c r="Q22" t="s">
        <v>1309</v>
      </c>
      <c r="R22">
        <v>10</v>
      </c>
      <c r="S22">
        <v>10</v>
      </c>
      <c r="T22">
        <v>20</v>
      </c>
      <c r="U22">
        <v>20</v>
      </c>
      <c r="V22">
        <v>40</v>
      </c>
    </row>
    <row r="23" spans="1:22" x14ac:dyDescent="0.25">
      <c r="A23" t="s">
        <v>1319</v>
      </c>
      <c r="B23" t="s">
        <v>68</v>
      </c>
      <c r="C23">
        <v>19</v>
      </c>
      <c r="D23" t="s">
        <v>140</v>
      </c>
      <c r="E23" t="s">
        <v>69</v>
      </c>
      <c r="F23" t="s">
        <v>39</v>
      </c>
      <c r="G23">
        <v>0.74</v>
      </c>
      <c r="H23" t="s">
        <v>26</v>
      </c>
      <c r="I23">
        <v>4</v>
      </c>
      <c r="J23" t="str">
        <f>HYPERLINK("https://www.eliteprospects.com/player/424457/will-gilson")</f>
        <v>https://www.eliteprospects.com/player/424457/will-gilson</v>
      </c>
      <c r="K23" t="s">
        <v>27</v>
      </c>
      <c r="L23" t="s">
        <v>28</v>
      </c>
      <c r="M23" t="s">
        <v>1296</v>
      </c>
      <c r="N23">
        <v>4</v>
      </c>
      <c r="O23" t="s">
        <v>30</v>
      </c>
      <c r="P23">
        <v>0.14000000000000001</v>
      </c>
      <c r="Q23" t="s">
        <v>1309</v>
      </c>
      <c r="R23">
        <v>10</v>
      </c>
      <c r="S23">
        <v>10</v>
      </c>
      <c r="T23">
        <v>20</v>
      </c>
      <c r="U23">
        <v>20</v>
      </c>
      <c r="V23">
        <v>40</v>
      </c>
    </row>
    <row r="24" spans="1:22" x14ac:dyDescent="0.25">
      <c r="A24" t="s">
        <v>1320</v>
      </c>
      <c r="B24" t="s">
        <v>130</v>
      </c>
      <c r="C24">
        <v>20</v>
      </c>
      <c r="D24" t="s">
        <v>140</v>
      </c>
      <c r="E24" t="s">
        <v>69</v>
      </c>
      <c r="F24" t="s">
        <v>39</v>
      </c>
      <c r="G24">
        <v>0.7</v>
      </c>
      <c r="H24" t="s">
        <v>79</v>
      </c>
      <c r="I24">
        <v>-6</v>
      </c>
      <c r="J24" t="str">
        <f>HYPERLINK("https://www.eliteprospects.com/player/626521/seamus-powell")</f>
        <v>https://www.eliteprospects.com/player/626521/seamus-powell</v>
      </c>
      <c r="K24" t="s">
        <v>27</v>
      </c>
      <c r="L24" t="s">
        <v>28</v>
      </c>
      <c r="M24" t="s">
        <v>1296</v>
      </c>
      <c r="N24">
        <v>3</v>
      </c>
      <c r="O24" t="s">
        <v>74</v>
      </c>
      <c r="P24">
        <v>0.14000000000000001</v>
      </c>
      <c r="Q24" t="s">
        <v>1300</v>
      </c>
      <c r="R24">
        <v>40</v>
      </c>
      <c r="S24">
        <v>40</v>
      </c>
      <c r="T24">
        <v>0</v>
      </c>
      <c r="U24">
        <v>0</v>
      </c>
      <c r="V24">
        <v>20</v>
      </c>
    </row>
    <row r="25" spans="1:22" x14ac:dyDescent="0.25">
      <c r="A25" t="s">
        <v>1321</v>
      </c>
      <c r="B25" t="s">
        <v>109</v>
      </c>
      <c r="C25">
        <v>22</v>
      </c>
      <c r="D25" t="s">
        <v>140</v>
      </c>
      <c r="E25" t="s">
        <v>69</v>
      </c>
      <c r="F25" t="s">
        <v>39</v>
      </c>
      <c r="G25">
        <v>0.64</v>
      </c>
      <c r="H25" t="s">
        <v>66</v>
      </c>
      <c r="I25">
        <v>1</v>
      </c>
      <c r="J25" t="str">
        <f>HYPERLINK("https://www.eliteprospects.com/player/579149/abram-wiebe")</f>
        <v>https://www.eliteprospects.com/player/579149/abram-wiebe</v>
      </c>
      <c r="K25" t="s">
        <v>27</v>
      </c>
      <c r="L25" t="s">
        <v>28</v>
      </c>
      <c r="M25" t="s">
        <v>1296</v>
      </c>
      <c r="N25">
        <v>3</v>
      </c>
      <c r="O25" t="s">
        <v>74</v>
      </c>
      <c r="P25">
        <v>0.12</v>
      </c>
      <c r="Q25" t="s">
        <v>1300</v>
      </c>
      <c r="R25">
        <v>33.299999999999997</v>
      </c>
      <c r="S25">
        <v>33.299999999999997</v>
      </c>
      <c r="T25">
        <v>16.7</v>
      </c>
      <c r="U25">
        <v>16.7</v>
      </c>
      <c r="V25">
        <v>0</v>
      </c>
    </row>
    <row r="26" spans="1:22" x14ac:dyDescent="0.25">
      <c r="A26" t="s">
        <v>1322</v>
      </c>
      <c r="B26" t="s">
        <v>146</v>
      </c>
      <c r="C26">
        <v>22</v>
      </c>
      <c r="D26" t="s">
        <v>79</v>
      </c>
      <c r="E26" t="s">
        <v>23</v>
      </c>
      <c r="F26" t="s">
        <v>39</v>
      </c>
      <c r="G26">
        <v>0.64</v>
      </c>
      <c r="H26" t="s">
        <v>55</v>
      </c>
      <c r="I26">
        <v>0</v>
      </c>
      <c r="J26" t="str">
        <f>HYPERLINK("https://www.eliteprospects.com/player/645227/adam-barone")</f>
        <v>https://www.eliteprospects.com/player/645227/adam-barone</v>
      </c>
      <c r="K26" t="s">
        <v>27</v>
      </c>
      <c r="L26" t="s">
        <v>28</v>
      </c>
      <c r="M26" t="s">
        <v>1296</v>
      </c>
      <c r="N26">
        <v>2</v>
      </c>
      <c r="O26" t="s">
        <v>43</v>
      </c>
      <c r="P26">
        <v>0.12</v>
      </c>
      <c r="Q26" t="s">
        <v>1309</v>
      </c>
      <c r="R26">
        <v>25</v>
      </c>
      <c r="S26">
        <v>25</v>
      </c>
      <c r="T26">
        <v>0</v>
      </c>
      <c r="U26">
        <v>0</v>
      </c>
      <c r="V26">
        <v>50</v>
      </c>
    </row>
    <row r="27" spans="1:22" x14ac:dyDescent="0.25">
      <c r="A27" t="s">
        <v>1323</v>
      </c>
      <c r="B27" t="s">
        <v>145</v>
      </c>
      <c r="C27">
        <v>23</v>
      </c>
      <c r="D27" t="s">
        <v>57</v>
      </c>
      <c r="E27" t="s">
        <v>78</v>
      </c>
      <c r="F27" t="s">
        <v>65</v>
      </c>
      <c r="G27">
        <v>0.56999999999999995</v>
      </c>
      <c r="H27" t="s">
        <v>518</v>
      </c>
      <c r="I27">
        <v>5</v>
      </c>
      <c r="J27" t="str">
        <f>HYPERLINK("https://www.eliteprospects.com/player/670790/eric-jamieson")</f>
        <v>https://www.eliteprospects.com/player/670790/eric-jamieson</v>
      </c>
      <c r="K27" t="s">
        <v>27</v>
      </c>
      <c r="L27" t="s">
        <v>28</v>
      </c>
      <c r="M27" t="s">
        <v>1296</v>
      </c>
      <c r="N27">
        <v>5</v>
      </c>
      <c r="O27" t="s">
        <v>152</v>
      </c>
      <c r="P27">
        <v>0.11</v>
      </c>
      <c r="Q27" t="s">
        <v>1300</v>
      </c>
      <c r="R27">
        <v>37.5</v>
      </c>
      <c r="S27">
        <v>12.5</v>
      </c>
      <c r="T27">
        <v>12.5</v>
      </c>
      <c r="U27">
        <v>12.5</v>
      </c>
      <c r="V27">
        <v>25</v>
      </c>
    </row>
    <row r="28" spans="1:22" x14ac:dyDescent="0.25">
      <c r="A28" t="s">
        <v>1324</v>
      </c>
      <c r="B28" t="s">
        <v>64</v>
      </c>
      <c r="C28">
        <v>22</v>
      </c>
      <c r="D28" t="s">
        <v>96</v>
      </c>
      <c r="E28" t="s">
        <v>26</v>
      </c>
      <c r="F28" t="s">
        <v>65</v>
      </c>
      <c r="G28">
        <v>0.59</v>
      </c>
      <c r="H28" t="s">
        <v>57</v>
      </c>
      <c r="I28">
        <v>3</v>
      </c>
      <c r="J28" t="str">
        <f>HYPERLINK("https://www.eliteprospects.com/player/574929/nick-williams")</f>
        <v>https://www.eliteprospects.com/player/574929/nick-williams</v>
      </c>
      <c r="K28" t="s">
        <v>27</v>
      </c>
      <c r="L28" t="s">
        <v>28</v>
      </c>
      <c r="M28" t="s">
        <v>1296</v>
      </c>
      <c r="N28">
        <v>3</v>
      </c>
      <c r="O28" t="s">
        <v>74</v>
      </c>
      <c r="P28">
        <v>0.11</v>
      </c>
      <c r="Q28" t="s">
        <v>1325</v>
      </c>
      <c r="R28">
        <v>22.2</v>
      </c>
      <c r="S28">
        <v>11.1</v>
      </c>
      <c r="T28">
        <v>44.4</v>
      </c>
      <c r="U28">
        <v>0</v>
      </c>
      <c r="V28">
        <v>22.2</v>
      </c>
    </row>
    <row r="29" spans="1:22" x14ac:dyDescent="0.25">
      <c r="A29" t="s">
        <v>1326</v>
      </c>
      <c r="B29" t="s">
        <v>88</v>
      </c>
      <c r="C29">
        <v>22</v>
      </c>
      <c r="D29" t="s">
        <v>96</v>
      </c>
      <c r="E29" t="s">
        <v>26</v>
      </c>
      <c r="F29" t="s">
        <v>65</v>
      </c>
      <c r="G29">
        <v>0.59</v>
      </c>
      <c r="H29" t="s">
        <v>23</v>
      </c>
      <c r="I29">
        <v>-3</v>
      </c>
      <c r="J29" t="str">
        <f>HYPERLINK("https://www.eliteprospects.com/player/351311/nolan-cunningham")</f>
        <v>https://www.eliteprospects.com/player/351311/nolan-cunningham</v>
      </c>
      <c r="K29" t="s">
        <v>27</v>
      </c>
      <c r="L29" t="s">
        <v>28</v>
      </c>
      <c r="M29" t="s">
        <v>1296</v>
      </c>
      <c r="N29">
        <v>4</v>
      </c>
      <c r="O29" t="s">
        <v>30</v>
      </c>
      <c r="P29">
        <v>0.11</v>
      </c>
      <c r="Q29" t="s">
        <v>1325</v>
      </c>
      <c r="R29">
        <v>37.5</v>
      </c>
      <c r="S29">
        <v>25</v>
      </c>
      <c r="T29">
        <v>37.5</v>
      </c>
      <c r="U29">
        <v>0</v>
      </c>
      <c r="V29">
        <v>0</v>
      </c>
    </row>
    <row r="30" spans="1:22" x14ac:dyDescent="0.25">
      <c r="A30" t="s">
        <v>1327</v>
      </c>
      <c r="B30" t="s">
        <v>50</v>
      </c>
      <c r="C30">
        <v>22</v>
      </c>
      <c r="D30" t="s">
        <v>66</v>
      </c>
      <c r="E30" t="s">
        <v>45</v>
      </c>
      <c r="F30" t="s">
        <v>65</v>
      </c>
      <c r="G30">
        <v>0.59</v>
      </c>
      <c r="H30" t="s">
        <v>39</v>
      </c>
      <c r="I30">
        <v>9</v>
      </c>
      <c r="J30" t="str">
        <f>HYPERLINK("https://www.eliteprospects.com/player/597856/dakoda-rheaume-mullen")</f>
        <v>https://www.eliteprospects.com/player/597856/dakoda-rheaume-mullen</v>
      </c>
      <c r="K30" t="s">
        <v>27</v>
      </c>
      <c r="L30" t="s">
        <v>28</v>
      </c>
      <c r="M30" t="s">
        <v>1296</v>
      </c>
      <c r="N30">
        <v>2</v>
      </c>
      <c r="O30" t="s">
        <v>43</v>
      </c>
      <c r="P30">
        <v>0.11</v>
      </c>
      <c r="Q30" t="s">
        <v>1300</v>
      </c>
      <c r="R30">
        <v>37.5</v>
      </c>
      <c r="S30">
        <v>12.5</v>
      </c>
      <c r="T30">
        <v>12.5</v>
      </c>
      <c r="U30">
        <v>12.5</v>
      </c>
      <c r="V30">
        <v>25</v>
      </c>
    </row>
    <row r="31" spans="1:22" x14ac:dyDescent="0.25">
      <c r="A31" t="s">
        <v>1328</v>
      </c>
      <c r="B31" t="s">
        <v>189</v>
      </c>
      <c r="C31">
        <v>24</v>
      </c>
      <c r="D31" t="s">
        <v>66</v>
      </c>
      <c r="E31" t="s">
        <v>45</v>
      </c>
      <c r="F31" t="s">
        <v>65</v>
      </c>
      <c r="G31">
        <v>0.54</v>
      </c>
      <c r="H31" t="s">
        <v>60</v>
      </c>
      <c r="I31">
        <v>-5</v>
      </c>
      <c r="J31" t="str">
        <f>HYPERLINK("https://www.eliteprospects.com/player/632451/xavier-alexandre-jean-louis")</f>
        <v>https://www.eliteprospects.com/player/632451/xavier-alexandre-jean-louis</v>
      </c>
      <c r="K31" t="s">
        <v>27</v>
      </c>
      <c r="L31" t="s">
        <v>28</v>
      </c>
      <c r="M31" t="s">
        <v>1296</v>
      </c>
      <c r="N31">
        <v>4</v>
      </c>
      <c r="O31" t="s">
        <v>30</v>
      </c>
      <c r="P31">
        <v>0.1</v>
      </c>
      <c r="Q31" t="s">
        <v>1325</v>
      </c>
      <c r="R31">
        <v>37.5</v>
      </c>
      <c r="S31">
        <v>25</v>
      </c>
      <c r="T31">
        <v>37.5</v>
      </c>
      <c r="U31">
        <v>0</v>
      </c>
      <c r="V31">
        <v>0</v>
      </c>
    </row>
    <row r="32" spans="1:22" x14ac:dyDescent="0.25">
      <c r="A32" t="s">
        <v>1329</v>
      </c>
      <c r="B32" t="s">
        <v>103</v>
      </c>
      <c r="C32">
        <v>20</v>
      </c>
      <c r="D32" t="s">
        <v>140</v>
      </c>
      <c r="E32" t="s">
        <v>32</v>
      </c>
      <c r="F32" t="s">
        <v>65</v>
      </c>
      <c r="G32">
        <v>0.65</v>
      </c>
      <c r="H32" t="s">
        <v>26</v>
      </c>
      <c r="I32">
        <v>-1</v>
      </c>
      <c r="J32" t="str">
        <f>HYPERLINK("https://www.eliteprospects.com/player/723401/francesco-dell-elce")</f>
        <v>https://www.eliteprospects.com/player/723401/francesco-dell-elce</v>
      </c>
      <c r="K32" t="s">
        <v>27</v>
      </c>
      <c r="L32" t="s">
        <v>28</v>
      </c>
      <c r="M32" t="s">
        <v>1296</v>
      </c>
      <c r="N32">
        <v>2</v>
      </c>
      <c r="O32" t="s">
        <v>43</v>
      </c>
      <c r="P32">
        <v>0.13</v>
      </c>
      <c r="Q32" t="s">
        <v>1309</v>
      </c>
      <c r="R32">
        <v>25</v>
      </c>
      <c r="S32">
        <v>25</v>
      </c>
      <c r="T32">
        <v>0</v>
      </c>
      <c r="U32">
        <v>0</v>
      </c>
      <c r="V32">
        <v>50</v>
      </c>
    </row>
    <row r="33" spans="1:22" x14ac:dyDescent="0.25">
      <c r="A33" t="s">
        <v>1330</v>
      </c>
      <c r="B33" t="s">
        <v>114</v>
      </c>
      <c r="C33">
        <v>20</v>
      </c>
      <c r="D33" t="s">
        <v>140</v>
      </c>
      <c r="E33" t="s">
        <v>32</v>
      </c>
      <c r="F33" t="s">
        <v>65</v>
      </c>
      <c r="G33">
        <v>0.65</v>
      </c>
      <c r="H33" t="s">
        <v>23</v>
      </c>
      <c r="I33">
        <v>2</v>
      </c>
      <c r="J33" t="str">
        <f>HYPERLINK("https://www.eliteprospects.com/player/413833/nolan-seed")</f>
        <v>https://www.eliteprospects.com/player/413833/nolan-seed</v>
      </c>
      <c r="K33" t="s">
        <v>27</v>
      </c>
      <c r="L33" t="s">
        <v>28</v>
      </c>
      <c r="M33" t="s">
        <v>1296</v>
      </c>
      <c r="N33">
        <v>5</v>
      </c>
      <c r="O33" t="s">
        <v>182</v>
      </c>
      <c r="P33">
        <v>0.13</v>
      </c>
      <c r="Q33" t="s">
        <v>1300</v>
      </c>
      <c r="R33">
        <v>33.299999999999997</v>
      </c>
      <c r="S33">
        <v>33.299999999999997</v>
      </c>
      <c r="T33">
        <v>16.7</v>
      </c>
      <c r="U33">
        <v>16.7</v>
      </c>
      <c r="V33">
        <v>0</v>
      </c>
    </row>
    <row r="34" spans="1:22" x14ac:dyDescent="0.25">
      <c r="A34" t="s">
        <v>1331</v>
      </c>
      <c r="B34" t="s">
        <v>148</v>
      </c>
      <c r="C34">
        <v>20</v>
      </c>
      <c r="D34" t="s">
        <v>140</v>
      </c>
      <c r="E34" t="s">
        <v>32</v>
      </c>
      <c r="F34" t="s">
        <v>65</v>
      </c>
      <c r="G34">
        <v>0.65</v>
      </c>
      <c r="H34" t="s">
        <v>38</v>
      </c>
      <c r="I34">
        <v>3</v>
      </c>
      <c r="J34" t="str">
        <f>HYPERLINK("https://www.eliteprospects.com/player/424078/owen-baumgartner")</f>
        <v>https://www.eliteprospects.com/player/424078/owen-baumgartner</v>
      </c>
      <c r="K34" t="s">
        <v>27</v>
      </c>
      <c r="L34" t="s">
        <v>28</v>
      </c>
      <c r="M34" t="s">
        <v>1296</v>
      </c>
      <c r="N34">
        <v>3</v>
      </c>
      <c r="O34" t="s">
        <v>74</v>
      </c>
      <c r="P34">
        <v>0.13</v>
      </c>
      <c r="Q34" t="s">
        <v>1300</v>
      </c>
      <c r="R34">
        <v>33.299999999999997</v>
      </c>
      <c r="S34">
        <v>33.299999999999997</v>
      </c>
      <c r="T34">
        <v>16.7</v>
      </c>
      <c r="U34">
        <v>16.7</v>
      </c>
      <c r="V34">
        <v>0</v>
      </c>
    </row>
    <row r="35" spans="1:22" x14ac:dyDescent="0.25">
      <c r="A35" t="s">
        <v>1332</v>
      </c>
      <c r="B35" t="s">
        <v>86</v>
      </c>
      <c r="C35">
        <v>20</v>
      </c>
      <c r="D35" t="s">
        <v>79</v>
      </c>
      <c r="E35" t="s">
        <v>69</v>
      </c>
      <c r="F35" t="s">
        <v>65</v>
      </c>
      <c r="G35">
        <v>0.65</v>
      </c>
      <c r="H35" t="s">
        <v>132</v>
      </c>
      <c r="I35">
        <v>17</v>
      </c>
      <c r="J35" t="str">
        <f>HYPERLINK("https://www.eliteprospects.com/player/418236/matt-basgall")</f>
        <v>https://www.eliteprospects.com/player/418236/matt-basgall</v>
      </c>
      <c r="K35" t="s">
        <v>27</v>
      </c>
      <c r="L35" t="s">
        <v>28</v>
      </c>
      <c r="M35" t="s">
        <v>1296</v>
      </c>
      <c r="N35">
        <v>4</v>
      </c>
      <c r="O35" t="s">
        <v>30</v>
      </c>
      <c r="P35">
        <v>0.13</v>
      </c>
      <c r="Q35" t="s">
        <v>1300</v>
      </c>
      <c r="R35">
        <v>42.9</v>
      </c>
      <c r="S35">
        <v>14.3</v>
      </c>
      <c r="T35">
        <v>7.1</v>
      </c>
      <c r="U35">
        <v>7.1</v>
      </c>
      <c r="V35">
        <v>28.6</v>
      </c>
    </row>
    <row r="36" spans="1:22" x14ac:dyDescent="0.25">
      <c r="A36" t="s">
        <v>1333</v>
      </c>
      <c r="B36" t="s">
        <v>82</v>
      </c>
      <c r="C36">
        <v>22</v>
      </c>
      <c r="D36" t="s">
        <v>79</v>
      </c>
      <c r="E36" t="s">
        <v>69</v>
      </c>
      <c r="F36" t="s">
        <v>65</v>
      </c>
      <c r="G36">
        <v>0.59</v>
      </c>
      <c r="H36" t="s">
        <v>81</v>
      </c>
      <c r="I36">
        <v>1</v>
      </c>
      <c r="J36" t="str">
        <f>HYPERLINK("https://www.eliteprospects.com/player/483418/hudson-thornton")</f>
        <v>https://www.eliteprospects.com/player/483418/hudson-thornton</v>
      </c>
      <c r="K36" t="s">
        <v>27</v>
      </c>
      <c r="L36" t="s">
        <v>28</v>
      </c>
      <c r="M36" t="s">
        <v>1296</v>
      </c>
      <c r="N36">
        <v>5</v>
      </c>
      <c r="O36" t="s">
        <v>152</v>
      </c>
      <c r="P36">
        <v>0.11</v>
      </c>
      <c r="Q36" t="s">
        <v>1325</v>
      </c>
      <c r="R36">
        <v>22.2</v>
      </c>
      <c r="S36">
        <v>11.1</v>
      </c>
      <c r="T36">
        <v>44.4</v>
      </c>
      <c r="U36">
        <v>0</v>
      </c>
      <c r="V36">
        <v>22.2</v>
      </c>
    </row>
    <row r="37" spans="1:22" x14ac:dyDescent="0.25">
      <c r="A37" t="s">
        <v>1334</v>
      </c>
      <c r="B37" t="s">
        <v>127</v>
      </c>
      <c r="C37">
        <v>20</v>
      </c>
      <c r="D37" t="s">
        <v>96</v>
      </c>
      <c r="E37" t="s">
        <v>78</v>
      </c>
      <c r="F37" t="s">
        <v>23</v>
      </c>
      <c r="G37">
        <v>0.6</v>
      </c>
      <c r="H37" t="s">
        <v>66</v>
      </c>
      <c r="I37">
        <v>6</v>
      </c>
      <c r="J37" t="str">
        <f>HYPERLINK("https://www.eliteprospects.com/player/542863/mack-oliphant")</f>
        <v>https://www.eliteprospects.com/player/542863/mack-oliphant</v>
      </c>
      <c r="K37" t="s">
        <v>27</v>
      </c>
      <c r="L37" t="s">
        <v>28</v>
      </c>
      <c r="M37" t="s">
        <v>1296</v>
      </c>
      <c r="N37">
        <v>4</v>
      </c>
      <c r="O37" t="s">
        <v>30</v>
      </c>
      <c r="P37">
        <v>0.12</v>
      </c>
      <c r="Q37" t="s">
        <v>1309</v>
      </c>
      <c r="R37">
        <v>10</v>
      </c>
      <c r="S37">
        <v>10</v>
      </c>
      <c r="T37">
        <v>20</v>
      </c>
      <c r="U37">
        <v>20</v>
      </c>
      <c r="V37">
        <v>40</v>
      </c>
    </row>
    <row r="38" spans="1:22" x14ac:dyDescent="0.25">
      <c r="A38" t="s">
        <v>1335</v>
      </c>
      <c r="B38" t="s">
        <v>200</v>
      </c>
      <c r="C38">
        <v>15</v>
      </c>
      <c r="D38" t="s">
        <v>66</v>
      </c>
      <c r="E38" t="s">
        <v>26</v>
      </c>
      <c r="F38" t="s">
        <v>23</v>
      </c>
      <c r="G38">
        <v>0.8</v>
      </c>
      <c r="H38" t="s">
        <v>79</v>
      </c>
      <c r="I38">
        <v>0</v>
      </c>
      <c r="J38" t="str">
        <f>HYPERLINK("https://www.eliteprospects.com/player/719775/xavier-veilleux")</f>
        <v>https://www.eliteprospects.com/player/719775/xavier-veilleux</v>
      </c>
      <c r="K38" t="s">
        <v>27</v>
      </c>
      <c r="L38" t="s">
        <v>28</v>
      </c>
      <c r="M38" t="s">
        <v>1296</v>
      </c>
      <c r="N38">
        <v>1</v>
      </c>
      <c r="O38" t="s">
        <v>71</v>
      </c>
      <c r="P38">
        <v>0.16</v>
      </c>
      <c r="Q38" t="s">
        <v>1309</v>
      </c>
      <c r="R38">
        <v>25</v>
      </c>
      <c r="S38">
        <v>25</v>
      </c>
      <c r="T38">
        <v>0</v>
      </c>
      <c r="U38">
        <v>0</v>
      </c>
      <c r="V38">
        <v>50</v>
      </c>
    </row>
    <row r="39" spans="1:22" x14ac:dyDescent="0.25">
      <c r="A39" t="s">
        <v>1336</v>
      </c>
      <c r="B39" t="s">
        <v>109</v>
      </c>
      <c r="C39">
        <v>18</v>
      </c>
      <c r="D39" t="s">
        <v>66</v>
      </c>
      <c r="E39" t="s">
        <v>26</v>
      </c>
      <c r="F39" t="s">
        <v>23</v>
      </c>
      <c r="G39">
        <v>0.67</v>
      </c>
      <c r="H39" t="s">
        <v>33</v>
      </c>
      <c r="I39">
        <v>7</v>
      </c>
      <c r="J39" t="str">
        <f>HYPERLINK("https://www.eliteprospects.com/player/878326/keaton-verhoeff")</f>
        <v>https://www.eliteprospects.com/player/878326/keaton-verhoeff</v>
      </c>
      <c r="K39" t="s">
        <v>27</v>
      </c>
      <c r="L39" t="s">
        <v>28</v>
      </c>
      <c r="M39" t="s">
        <v>1296</v>
      </c>
      <c r="N39">
        <v>3</v>
      </c>
      <c r="O39" t="s">
        <v>1337</v>
      </c>
      <c r="P39">
        <v>0.13</v>
      </c>
      <c r="Q39" t="s">
        <v>1309</v>
      </c>
      <c r="R39">
        <v>10</v>
      </c>
      <c r="S39">
        <v>10</v>
      </c>
      <c r="T39">
        <v>20</v>
      </c>
      <c r="U39">
        <v>20</v>
      </c>
      <c r="V39">
        <v>40</v>
      </c>
    </row>
    <row r="40" spans="1:22" x14ac:dyDescent="0.25">
      <c r="A40" t="s">
        <v>1338</v>
      </c>
      <c r="B40" t="s">
        <v>83</v>
      </c>
      <c r="C40">
        <v>17</v>
      </c>
      <c r="D40" t="s">
        <v>140</v>
      </c>
      <c r="E40" t="s">
        <v>45</v>
      </c>
      <c r="F40" t="s">
        <v>23</v>
      </c>
      <c r="G40">
        <v>0.71</v>
      </c>
      <c r="H40" t="s">
        <v>57</v>
      </c>
      <c r="I40">
        <v>4</v>
      </c>
      <c r="J40" t="str">
        <f>HYPERLINK("https://www.eliteprospects.com/player/603641/c.j.-foley")</f>
        <v>https://www.eliteprospects.com/player/603641/c.j.-foley</v>
      </c>
      <c r="K40" t="s">
        <v>27</v>
      </c>
      <c r="L40" t="s">
        <v>28</v>
      </c>
      <c r="M40" t="s">
        <v>1296</v>
      </c>
      <c r="N40">
        <v>3</v>
      </c>
      <c r="O40" t="s">
        <v>74</v>
      </c>
      <c r="P40">
        <v>0.14000000000000001</v>
      </c>
      <c r="Q40" t="s">
        <v>1309</v>
      </c>
      <c r="R40">
        <v>10</v>
      </c>
      <c r="S40">
        <v>10</v>
      </c>
      <c r="T40">
        <v>20</v>
      </c>
      <c r="U40">
        <v>20</v>
      </c>
      <c r="V40">
        <v>40</v>
      </c>
    </row>
    <row r="41" spans="1:22" x14ac:dyDescent="0.25">
      <c r="A41" t="s">
        <v>1339</v>
      </c>
      <c r="B41" t="s">
        <v>95</v>
      </c>
      <c r="C41">
        <v>20</v>
      </c>
      <c r="D41" t="s">
        <v>140</v>
      </c>
      <c r="E41" t="s">
        <v>45</v>
      </c>
      <c r="F41" t="s">
        <v>23</v>
      </c>
      <c r="G41">
        <v>0.6</v>
      </c>
      <c r="H41" t="s">
        <v>32</v>
      </c>
      <c r="I41">
        <v>13</v>
      </c>
      <c r="J41" t="str">
        <f>HYPERLINK("https://www.eliteprospects.com/player/674722/zack-sharp")</f>
        <v>https://www.eliteprospects.com/player/674722/zack-sharp</v>
      </c>
      <c r="K41" t="s">
        <v>27</v>
      </c>
      <c r="L41" t="s">
        <v>28</v>
      </c>
      <c r="M41" t="s">
        <v>1296</v>
      </c>
      <c r="N41">
        <v>2</v>
      </c>
      <c r="O41" t="s">
        <v>43</v>
      </c>
      <c r="P41">
        <v>0.12</v>
      </c>
      <c r="Q41" t="s">
        <v>1300</v>
      </c>
      <c r="R41">
        <v>42.9</v>
      </c>
      <c r="S41">
        <v>14.3</v>
      </c>
      <c r="T41">
        <v>7.1</v>
      </c>
      <c r="U41">
        <v>7.1</v>
      </c>
      <c r="V41">
        <v>28.6</v>
      </c>
    </row>
    <row r="42" spans="1:22" x14ac:dyDescent="0.25">
      <c r="A42" t="s">
        <v>1340</v>
      </c>
      <c r="B42" t="s">
        <v>205</v>
      </c>
      <c r="C42">
        <v>21</v>
      </c>
      <c r="D42" t="s">
        <v>140</v>
      </c>
      <c r="E42" t="s">
        <v>45</v>
      </c>
      <c r="F42" t="s">
        <v>23</v>
      </c>
      <c r="G42">
        <v>0.56999999999999995</v>
      </c>
      <c r="H42" t="s">
        <v>57</v>
      </c>
      <c r="I42">
        <v>4</v>
      </c>
      <c r="J42" t="str">
        <f>HYPERLINK("https://www.eliteprospects.com/player/502982/ben-roger")</f>
        <v>https://www.eliteprospects.com/player/502982/ben-roger</v>
      </c>
      <c r="K42" t="s">
        <v>27</v>
      </c>
      <c r="L42" t="s">
        <v>28</v>
      </c>
      <c r="M42" t="s">
        <v>1296</v>
      </c>
      <c r="N42">
        <v>6</v>
      </c>
      <c r="O42" t="s">
        <v>460</v>
      </c>
      <c r="P42">
        <v>0.11</v>
      </c>
      <c r="Q42" t="s">
        <v>1300</v>
      </c>
      <c r="R42">
        <v>37.5</v>
      </c>
      <c r="S42">
        <v>12.5</v>
      </c>
      <c r="T42">
        <v>12.5</v>
      </c>
      <c r="U42">
        <v>12.5</v>
      </c>
      <c r="V42">
        <v>25</v>
      </c>
    </row>
    <row r="43" spans="1:22" x14ac:dyDescent="0.25">
      <c r="A43" t="s">
        <v>1341</v>
      </c>
      <c r="B43" t="s">
        <v>73</v>
      </c>
      <c r="C43">
        <v>22</v>
      </c>
      <c r="D43" t="s">
        <v>140</v>
      </c>
      <c r="E43" t="s">
        <v>45</v>
      </c>
      <c r="F43" t="s">
        <v>23</v>
      </c>
      <c r="G43">
        <v>0.55000000000000004</v>
      </c>
      <c r="H43" t="s">
        <v>79</v>
      </c>
      <c r="I43">
        <v>-3</v>
      </c>
      <c r="J43" t="str">
        <f>HYPERLINK("https://www.eliteprospects.com/player/494613/max-smolinski")</f>
        <v>https://www.eliteprospects.com/player/494613/max-smolinski</v>
      </c>
      <c r="K43" t="s">
        <v>27</v>
      </c>
      <c r="L43" t="s">
        <v>28</v>
      </c>
      <c r="M43" t="s">
        <v>1296</v>
      </c>
      <c r="N43">
        <v>4</v>
      </c>
      <c r="O43" t="s">
        <v>30</v>
      </c>
      <c r="P43">
        <v>0.11</v>
      </c>
      <c r="Q43" t="s">
        <v>1325</v>
      </c>
      <c r="R43">
        <v>37.5</v>
      </c>
      <c r="S43">
        <v>25</v>
      </c>
      <c r="T43">
        <v>37.5</v>
      </c>
      <c r="U43">
        <v>0</v>
      </c>
      <c r="V43">
        <v>0</v>
      </c>
    </row>
    <row r="44" spans="1:22" x14ac:dyDescent="0.25">
      <c r="A44" t="s">
        <v>1342</v>
      </c>
      <c r="B44" t="s">
        <v>255</v>
      </c>
      <c r="C44">
        <v>20</v>
      </c>
      <c r="D44" t="s">
        <v>79</v>
      </c>
      <c r="E44" t="s">
        <v>32</v>
      </c>
      <c r="F44" t="s">
        <v>23</v>
      </c>
      <c r="G44">
        <v>0.6</v>
      </c>
      <c r="H44" t="s">
        <v>66</v>
      </c>
      <c r="I44">
        <v>-6</v>
      </c>
      <c r="J44" t="str">
        <f>HYPERLINK("https://www.eliteprospects.com/player/359532/evan-orr")</f>
        <v>https://www.eliteprospects.com/player/359532/evan-orr</v>
      </c>
      <c r="K44" t="s">
        <v>27</v>
      </c>
      <c r="L44" t="s">
        <v>28</v>
      </c>
      <c r="M44" t="s">
        <v>1296</v>
      </c>
      <c r="N44">
        <v>4</v>
      </c>
      <c r="O44" t="s">
        <v>30</v>
      </c>
      <c r="P44">
        <v>0.12</v>
      </c>
      <c r="Q44" t="s">
        <v>1300</v>
      </c>
      <c r="R44">
        <v>40</v>
      </c>
      <c r="S44">
        <v>40</v>
      </c>
      <c r="T44">
        <v>0</v>
      </c>
      <c r="U44">
        <v>0</v>
      </c>
      <c r="V44">
        <v>20</v>
      </c>
    </row>
    <row r="45" spans="1:22" x14ac:dyDescent="0.25">
      <c r="A45" t="s">
        <v>1343</v>
      </c>
      <c r="B45" t="s">
        <v>113</v>
      </c>
      <c r="C45">
        <v>23</v>
      </c>
      <c r="D45" t="s">
        <v>79</v>
      </c>
      <c r="E45" t="s">
        <v>32</v>
      </c>
      <c r="F45" t="s">
        <v>23</v>
      </c>
      <c r="G45">
        <v>0.52</v>
      </c>
      <c r="H45" t="s">
        <v>55</v>
      </c>
      <c r="I45">
        <v>1</v>
      </c>
      <c r="J45" t="str">
        <f>HYPERLINK("https://www.eliteprospects.com/player/534187/ralfs-bergmanis")</f>
        <v>https://www.eliteprospects.com/player/534187/ralfs-bergmanis</v>
      </c>
      <c r="K45" t="s">
        <v>27</v>
      </c>
      <c r="L45" t="s">
        <v>28</v>
      </c>
      <c r="M45" t="s">
        <v>1296</v>
      </c>
      <c r="N45">
        <v>4</v>
      </c>
      <c r="O45" t="s">
        <v>30</v>
      </c>
      <c r="P45">
        <v>0.1</v>
      </c>
      <c r="Q45" t="s">
        <v>1325</v>
      </c>
      <c r="R45">
        <v>22.2</v>
      </c>
      <c r="S45">
        <v>11.1</v>
      </c>
      <c r="T45">
        <v>44.4</v>
      </c>
      <c r="U45">
        <v>0</v>
      </c>
      <c r="V45">
        <v>22.2</v>
      </c>
    </row>
    <row r="46" spans="1:22" x14ac:dyDescent="0.25">
      <c r="A46" t="s">
        <v>1344</v>
      </c>
      <c r="B46" t="s">
        <v>127</v>
      </c>
      <c r="C46">
        <v>20</v>
      </c>
      <c r="D46" t="s">
        <v>260</v>
      </c>
      <c r="E46" t="s">
        <v>69</v>
      </c>
      <c r="F46" t="s">
        <v>23</v>
      </c>
      <c r="G46">
        <v>0.6</v>
      </c>
      <c r="H46" t="s">
        <v>66</v>
      </c>
      <c r="I46">
        <v>6</v>
      </c>
      <c r="J46" t="str">
        <f>HYPERLINK("https://www.eliteprospects.com/player/617528/william-elias")</f>
        <v>https://www.eliteprospects.com/player/617528/william-elias</v>
      </c>
      <c r="K46" t="s">
        <v>27</v>
      </c>
      <c r="L46" t="s">
        <v>28</v>
      </c>
      <c r="M46" t="s">
        <v>1296</v>
      </c>
      <c r="N46">
        <v>3</v>
      </c>
      <c r="O46" t="s">
        <v>74</v>
      </c>
      <c r="P46">
        <v>0.12</v>
      </c>
      <c r="Q46" t="s">
        <v>1309</v>
      </c>
      <c r="R46">
        <v>10</v>
      </c>
      <c r="S46">
        <v>10</v>
      </c>
      <c r="T46">
        <v>20</v>
      </c>
      <c r="U46">
        <v>20</v>
      </c>
      <c r="V46">
        <v>40</v>
      </c>
    </row>
    <row r="47" spans="1:22" x14ac:dyDescent="0.25">
      <c r="A47" t="s">
        <v>1345</v>
      </c>
      <c r="B47" t="s">
        <v>119</v>
      </c>
      <c r="C47">
        <v>21</v>
      </c>
      <c r="D47" t="s">
        <v>260</v>
      </c>
      <c r="E47" t="s">
        <v>69</v>
      </c>
      <c r="F47" t="s">
        <v>23</v>
      </c>
      <c r="G47">
        <v>0.56999999999999995</v>
      </c>
      <c r="H47" t="s">
        <v>23</v>
      </c>
      <c r="I47">
        <v>-3</v>
      </c>
      <c r="J47" t="str">
        <f>HYPERLINK("https://www.eliteprospects.com/player/559036/luke-mittelstadt")</f>
        <v>https://www.eliteprospects.com/player/559036/luke-mittelstadt</v>
      </c>
      <c r="K47" t="s">
        <v>27</v>
      </c>
      <c r="L47" t="s">
        <v>28</v>
      </c>
      <c r="M47" t="s">
        <v>1296</v>
      </c>
      <c r="N47">
        <v>4</v>
      </c>
      <c r="O47" t="s">
        <v>30</v>
      </c>
      <c r="P47">
        <v>0.11</v>
      </c>
      <c r="Q47" t="s">
        <v>1325</v>
      </c>
      <c r="R47">
        <v>37.5</v>
      </c>
      <c r="S47">
        <v>25</v>
      </c>
      <c r="T47">
        <v>37.5</v>
      </c>
      <c r="U47">
        <v>0</v>
      </c>
      <c r="V47">
        <v>0</v>
      </c>
    </row>
    <row r="48" spans="1:22" x14ac:dyDescent="0.25">
      <c r="A48" t="s">
        <v>1346</v>
      </c>
      <c r="B48" t="s">
        <v>80</v>
      </c>
      <c r="C48">
        <v>18</v>
      </c>
      <c r="D48" t="s">
        <v>96</v>
      </c>
      <c r="E48" t="s">
        <v>57</v>
      </c>
      <c r="F48" t="s">
        <v>69</v>
      </c>
      <c r="G48">
        <v>0.61</v>
      </c>
      <c r="H48" t="s">
        <v>39</v>
      </c>
      <c r="I48">
        <v>3</v>
      </c>
      <c r="J48" t="str">
        <f>HYPERLINK("https://www.eliteprospects.com/player/689872/jackson-smith")</f>
        <v>https://www.eliteprospects.com/player/689872/jackson-smith</v>
      </c>
      <c r="K48" t="s">
        <v>27</v>
      </c>
      <c r="L48" t="s">
        <v>28</v>
      </c>
      <c r="M48" t="s">
        <v>1296</v>
      </c>
      <c r="N48">
        <v>4</v>
      </c>
      <c r="O48" t="s">
        <v>137</v>
      </c>
      <c r="P48">
        <v>0.12</v>
      </c>
      <c r="Q48" t="s">
        <v>1300</v>
      </c>
      <c r="R48">
        <v>33.299999999999997</v>
      </c>
      <c r="S48">
        <v>33.299999999999997</v>
      </c>
      <c r="T48">
        <v>16.7</v>
      </c>
      <c r="U48">
        <v>16.7</v>
      </c>
      <c r="V48">
        <v>0</v>
      </c>
    </row>
    <row r="49" spans="1:22" x14ac:dyDescent="0.25">
      <c r="A49" t="s">
        <v>1347</v>
      </c>
      <c r="B49" t="s">
        <v>44</v>
      </c>
      <c r="C49">
        <v>24</v>
      </c>
      <c r="D49" t="s">
        <v>96</v>
      </c>
      <c r="E49" t="s">
        <v>57</v>
      </c>
      <c r="F49" t="s">
        <v>69</v>
      </c>
      <c r="G49">
        <v>0.46</v>
      </c>
      <c r="H49" t="s">
        <v>269</v>
      </c>
      <c r="I49">
        <v>9</v>
      </c>
      <c r="J49" t="str">
        <f>HYPERLINK("https://www.eliteprospects.com/player/341010/jack-anderson")</f>
        <v>https://www.eliteprospects.com/player/341010/jack-anderson</v>
      </c>
      <c r="K49" t="s">
        <v>27</v>
      </c>
      <c r="L49" t="s">
        <v>28</v>
      </c>
      <c r="M49" t="s">
        <v>1296</v>
      </c>
      <c r="N49">
        <v>4</v>
      </c>
      <c r="O49" t="s">
        <v>30</v>
      </c>
      <c r="P49">
        <v>0.09</v>
      </c>
      <c r="Q49" t="s">
        <v>1300</v>
      </c>
      <c r="R49">
        <v>37.5</v>
      </c>
      <c r="S49">
        <v>12.5</v>
      </c>
      <c r="T49">
        <v>12.5</v>
      </c>
      <c r="U49">
        <v>12.5</v>
      </c>
      <c r="V49">
        <v>25</v>
      </c>
    </row>
    <row r="50" spans="1:22" x14ac:dyDescent="0.25">
      <c r="A50" t="s">
        <v>1348</v>
      </c>
      <c r="B50" t="s">
        <v>83</v>
      </c>
      <c r="C50">
        <v>17</v>
      </c>
      <c r="D50" t="s">
        <v>66</v>
      </c>
      <c r="E50" t="s">
        <v>78</v>
      </c>
      <c r="F50" t="s">
        <v>69</v>
      </c>
      <c r="G50">
        <v>0.65</v>
      </c>
      <c r="H50" t="s">
        <v>79</v>
      </c>
      <c r="I50">
        <v>20</v>
      </c>
      <c r="J50" t="str">
        <f>HYPERLINK("https://www.eliteprospects.com/player/548701/eric-charpentier")</f>
        <v>https://www.eliteprospects.com/player/548701/eric-charpentier</v>
      </c>
      <c r="K50" t="s">
        <v>27</v>
      </c>
      <c r="L50" t="s">
        <v>28</v>
      </c>
      <c r="M50" t="s">
        <v>1296</v>
      </c>
      <c r="N50">
        <v>3</v>
      </c>
      <c r="O50" t="s">
        <v>74</v>
      </c>
      <c r="P50">
        <v>0.13</v>
      </c>
      <c r="Q50" t="s">
        <v>1300</v>
      </c>
      <c r="R50">
        <v>42.9</v>
      </c>
      <c r="S50">
        <v>14.3</v>
      </c>
      <c r="T50">
        <v>7.1</v>
      </c>
      <c r="U50">
        <v>7.1</v>
      </c>
      <c r="V50">
        <v>28.6</v>
      </c>
    </row>
    <row r="51" spans="1:22" x14ac:dyDescent="0.25">
      <c r="A51" t="s">
        <v>1349</v>
      </c>
      <c r="B51" t="s">
        <v>88</v>
      </c>
      <c r="C51">
        <v>22</v>
      </c>
      <c r="D51" t="s">
        <v>66</v>
      </c>
      <c r="E51" t="s">
        <v>78</v>
      </c>
      <c r="F51" t="s">
        <v>69</v>
      </c>
      <c r="G51">
        <v>0.5</v>
      </c>
      <c r="H51" t="s">
        <v>57</v>
      </c>
      <c r="I51">
        <v>2</v>
      </c>
      <c r="J51" t="str">
        <f>HYPERLINK("https://www.eliteprospects.com/player/623762/jake-peterson")</f>
        <v>https://www.eliteprospects.com/player/623762/jake-peterson</v>
      </c>
      <c r="K51" t="s">
        <v>27</v>
      </c>
      <c r="L51" t="s">
        <v>28</v>
      </c>
      <c r="M51" t="s">
        <v>1296</v>
      </c>
      <c r="N51">
        <v>2</v>
      </c>
      <c r="O51" t="s">
        <v>43</v>
      </c>
      <c r="P51">
        <v>0.1</v>
      </c>
      <c r="Q51" t="s">
        <v>1325</v>
      </c>
      <c r="R51">
        <v>22.2</v>
      </c>
      <c r="S51">
        <v>11.1</v>
      </c>
      <c r="T51">
        <v>44.4</v>
      </c>
      <c r="U51">
        <v>0</v>
      </c>
      <c r="V51">
        <v>22.2</v>
      </c>
    </row>
    <row r="52" spans="1:22" x14ac:dyDescent="0.25">
      <c r="A52" t="s">
        <v>1350</v>
      </c>
      <c r="B52" t="s">
        <v>120</v>
      </c>
      <c r="C52">
        <v>18</v>
      </c>
      <c r="D52" t="s">
        <v>140</v>
      </c>
      <c r="E52" t="s">
        <v>26</v>
      </c>
      <c r="F52" t="s">
        <v>69</v>
      </c>
      <c r="G52">
        <v>0.61</v>
      </c>
      <c r="H52" t="s">
        <v>46</v>
      </c>
      <c r="I52">
        <v>6</v>
      </c>
      <c r="J52" t="str">
        <f>HYPERLINK("https://www.eliteprospects.com/player/599415/drew-fortescue")</f>
        <v>https://www.eliteprospects.com/player/599415/drew-fortescue</v>
      </c>
      <c r="K52" t="s">
        <v>27</v>
      </c>
      <c r="L52" t="s">
        <v>28</v>
      </c>
      <c r="M52" t="s">
        <v>1296</v>
      </c>
      <c r="N52">
        <v>3</v>
      </c>
      <c r="O52" t="s">
        <v>74</v>
      </c>
      <c r="P52">
        <v>0.12</v>
      </c>
      <c r="Q52" t="s">
        <v>1309</v>
      </c>
      <c r="R52">
        <v>10</v>
      </c>
      <c r="S52">
        <v>10</v>
      </c>
      <c r="T52">
        <v>20</v>
      </c>
      <c r="U52">
        <v>20</v>
      </c>
      <c r="V52">
        <v>40</v>
      </c>
    </row>
    <row r="53" spans="1:22" x14ac:dyDescent="0.25">
      <c r="A53" t="s">
        <v>1351</v>
      </c>
      <c r="B53" t="s">
        <v>98</v>
      </c>
      <c r="C53">
        <v>21</v>
      </c>
      <c r="D53" t="s">
        <v>140</v>
      </c>
      <c r="E53" t="s">
        <v>26</v>
      </c>
      <c r="F53" t="s">
        <v>69</v>
      </c>
      <c r="G53">
        <v>0.52</v>
      </c>
      <c r="H53" t="s">
        <v>125</v>
      </c>
      <c r="I53">
        <v>7</v>
      </c>
      <c r="J53" t="str">
        <f>HYPERLINK("https://www.eliteprospects.com/player/591976/etienne-lessard")</f>
        <v>https://www.eliteprospects.com/player/591976/etienne-lessard</v>
      </c>
      <c r="K53" t="s">
        <v>27</v>
      </c>
      <c r="L53" t="s">
        <v>28</v>
      </c>
      <c r="M53" t="s">
        <v>1296</v>
      </c>
      <c r="N53">
        <v>1</v>
      </c>
      <c r="O53" t="s">
        <v>71</v>
      </c>
      <c r="P53">
        <v>0.1</v>
      </c>
      <c r="Q53" t="s">
        <v>1300</v>
      </c>
      <c r="R53">
        <v>37.5</v>
      </c>
      <c r="S53">
        <v>12.5</v>
      </c>
      <c r="T53">
        <v>12.5</v>
      </c>
      <c r="U53">
        <v>12.5</v>
      </c>
      <c r="V53">
        <v>25</v>
      </c>
    </row>
    <row r="54" spans="1:22" x14ac:dyDescent="0.25">
      <c r="A54" t="s">
        <v>1352</v>
      </c>
      <c r="B54" t="s">
        <v>59</v>
      </c>
      <c r="C54">
        <v>22</v>
      </c>
      <c r="D54" t="s">
        <v>140</v>
      </c>
      <c r="E54" t="s">
        <v>26</v>
      </c>
      <c r="F54" t="s">
        <v>69</v>
      </c>
      <c r="G54">
        <v>0.5</v>
      </c>
      <c r="H54" t="s">
        <v>66</v>
      </c>
      <c r="I54">
        <v>14</v>
      </c>
      <c r="J54" t="str">
        <f>HYPERLINK("https://www.eliteprospects.com/player/737982/lukas-peterson")</f>
        <v>https://www.eliteprospects.com/player/737982/lukas-peterson</v>
      </c>
      <c r="K54" t="s">
        <v>27</v>
      </c>
      <c r="L54" t="s">
        <v>28</v>
      </c>
      <c r="M54" t="s">
        <v>1296</v>
      </c>
      <c r="N54">
        <v>1</v>
      </c>
      <c r="O54" t="s">
        <v>71</v>
      </c>
      <c r="P54">
        <v>0.1</v>
      </c>
      <c r="Q54" t="s">
        <v>1309</v>
      </c>
      <c r="R54">
        <v>25</v>
      </c>
      <c r="S54">
        <v>25</v>
      </c>
      <c r="T54">
        <v>16.7</v>
      </c>
      <c r="U54">
        <v>8.3000000000000007</v>
      </c>
      <c r="V54">
        <v>25</v>
      </c>
    </row>
    <row r="55" spans="1:22" x14ac:dyDescent="0.25">
      <c r="A55" t="s">
        <v>1353</v>
      </c>
      <c r="B55" t="s">
        <v>165</v>
      </c>
      <c r="C55">
        <v>20</v>
      </c>
      <c r="D55" t="s">
        <v>79</v>
      </c>
      <c r="E55" t="s">
        <v>45</v>
      </c>
      <c r="F55" t="s">
        <v>69</v>
      </c>
      <c r="G55">
        <v>0.55000000000000004</v>
      </c>
      <c r="H55" t="s">
        <v>26</v>
      </c>
      <c r="I55">
        <v>-15</v>
      </c>
      <c r="J55" t="str">
        <f>HYPERLINK("https://www.eliteprospects.com/player/403420/michael-neumeier")</f>
        <v>https://www.eliteprospects.com/player/403420/michael-neumeier</v>
      </c>
      <c r="K55" t="s">
        <v>27</v>
      </c>
      <c r="L55" t="s">
        <v>28</v>
      </c>
      <c r="M55" t="s">
        <v>1296</v>
      </c>
      <c r="N55">
        <v>2</v>
      </c>
      <c r="O55" t="s">
        <v>43</v>
      </c>
      <c r="P55">
        <v>0.11</v>
      </c>
      <c r="Q55" t="s">
        <v>1325</v>
      </c>
      <c r="R55">
        <v>37.5</v>
      </c>
      <c r="S55">
        <v>25</v>
      </c>
      <c r="T55">
        <v>37.5</v>
      </c>
      <c r="U55">
        <v>0</v>
      </c>
      <c r="V55">
        <v>0</v>
      </c>
    </row>
    <row r="56" spans="1:22" x14ac:dyDescent="0.25">
      <c r="A56" t="s">
        <v>1354</v>
      </c>
      <c r="B56" t="s">
        <v>68</v>
      </c>
      <c r="C56">
        <v>22</v>
      </c>
      <c r="D56" t="s">
        <v>79</v>
      </c>
      <c r="E56" t="s">
        <v>45</v>
      </c>
      <c r="F56" t="s">
        <v>69</v>
      </c>
      <c r="G56">
        <v>0.5</v>
      </c>
      <c r="H56" t="s">
        <v>23</v>
      </c>
      <c r="I56">
        <v>23</v>
      </c>
      <c r="J56" t="str">
        <f>HYPERLINK("https://www.eliteprospects.com/player/619045/elliott-groenewold")</f>
        <v>https://www.eliteprospects.com/player/619045/elliott-groenewold</v>
      </c>
      <c r="K56" t="s">
        <v>27</v>
      </c>
      <c r="L56" t="s">
        <v>28</v>
      </c>
      <c r="M56" t="s">
        <v>1296</v>
      </c>
      <c r="N56">
        <v>2</v>
      </c>
      <c r="O56" t="s">
        <v>43</v>
      </c>
      <c r="P56">
        <v>0.1</v>
      </c>
      <c r="Q56" t="s">
        <v>1309</v>
      </c>
      <c r="R56">
        <v>25</v>
      </c>
      <c r="S56">
        <v>25</v>
      </c>
      <c r="T56">
        <v>16.7</v>
      </c>
      <c r="U56">
        <v>8.3000000000000007</v>
      </c>
      <c r="V56">
        <v>25</v>
      </c>
    </row>
    <row r="57" spans="1:22" x14ac:dyDescent="0.25">
      <c r="A57" t="s">
        <v>1355</v>
      </c>
      <c r="B57" t="s">
        <v>85</v>
      </c>
      <c r="C57">
        <v>16</v>
      </c>
      <c r="D57" t="s">
        <v>260</v>
      </c>
      <c r="E57" t="s">
        <v>32</v>
      </c>
      <c r="F57" t="s">
        <v>69</v>
      </c>
      <c r="G57">
        <v>0.69</v>
      </c>
      <c r="H57" t="s">
        <v>79</v>
      </c>
      <c r="I57">
        <v>11</v>
      </c>
      <c r="J57" t="str">
        <f>HYPERLINK("https://www.eliteprospects.com/player/617532/tyler-rubin")</f>
        <v>https://www.eliteprospects.com/player/617532/tyler-rubin</v>
      </c>
      <c r="K57" t="s">
        <v>27</v>
      </c>
      <c r="L57" t="s">
        <v>28</v>
      </c>
      <c r="M57" t="s">
        <v>1296</v>
      </c>
      <c r="N57">
        <v>4</v>
      </c>
      <c r="O57" t="s">
        <v>30</v>
      </c>
      <c r="P57">
        <v>0.13</v>
      </c>
      <c r="Q57" t="s">
        <v>1300</v>
      </c>
      <c r="R57">
        <v>42.9</v>
      </c>
      <c r="S57">
        <v>14.3</v>
      </c>
      <c r="T57">
        <v>7.1</v>
      </c>
      <c r="U57">
        <v>7.1</v>
      </c>
      <c r="V57">
        <v>28.6</v>
      </c>
    </row>
    <row r="58" spans="1:22" x14ac:dyDescent="0.25">
      <c r="A58" t="s">
        <v>1356</v>
      </c>
      <c r="B58" t="s">
        <v>174</v>
      </c>
      <c r="C58">
        <v>19</v>
      </c>
      <c r="D58" t="s">
        <v>260</v>
      </c>
      <c r="E58" t="s">
        <v>32</v>
      </c>
      <c r="F58" t="s">
        <v>69</v>
      </c>
      <c r="G58">
        <v>0.57999999999999996</v>
      </c>
      <c r="H58" t="s">
        <v>26</v>
      </c>
      <c r="I58">
        <v>0</v>
      </c>
      <c r="J58" t="str">
        <f>HYPERLINK("https://www.eliteprospects.com/player/622327/brendan-fitzgerald")</f>
        <v>https://www.eliteprospects.com/player/622327/brendan-fitzgerald</v>
      </c>
      <c r="K58" t="s">
        <v>27</v>
      </c>
      <c r="L58" t="s">
        <v>28</v>
      </c>
      <c r="M58" t="s">
        <v>1296</v>
      </c>
      <c r="N58">
        <v>3</v>
      </c>
      <c r="O58" t="s">
        <v>74</v>
      </c>
      <c r="P58">
        <v>0.11</v>
      </c>
      <c r="Q58" t="s">
        <v>245</v>
      </c>
      <c r="R58">
        <v>14.3</v>
      </c>
      <c r="S58">
        <v>42.9</v>
      </c>
      <c r="T58">
        <v>28.6</v>
      </c>
      <c r="U58">
        <v>0</v>
      </c>
      <c r="V58">
        <v>14.3</v>
      </c>
    </row>
    <row r="59" spans="1:22" x14ac:dyDescent="0.25">
      <c r="A59" t="s">
        <v>1357</v>
      </c>
      <c r="B59" t="s">
        <v>128</v>
      </c>
      <c r="C59">
        <v>20</v>
      </c>
      <c r="D59" t="s">
        <v>260</v>
      </c>
      <c r="E59" t="s">
        <v>32</v>
      </c>
      <c r="F59" t="s">
        <v>69</v>
      </c>
      <c r="G59">
        <v>0.55000000000000004</v>
      </c>
      <c r="H59" t="s">
        <v>39</v>
      </c>
      <c r="I59">
        <v>-1</v>
      </c>
      <c r="J59" t="str">
        <f>HYPERLINK("https://www.eliteprospects.com/player/337000/dalton-norris")</f>
        <v>https://www.eliteprospects.com/player/337000/dalton-norris</v>
      </c>
      <c r="K59" t="s">
        <v>27</v>
      </c>
      <c r="L59" t="s">
        <v>28</v>
      </c>
      <c r="M59" t="s">
        <v>1296</v>
      </c>
      <c r="N59">
        <v>4</v>
      </c>
      <c r="O59" t="s">
        <v>30</v>
      </c>
      <c r="P59">
        <v>0.11</v>
      </c>
      <c r="Q59" t="s">
        <v>245</v>
      </c>
      <c r="R59">
        <v>14.3</v>
      </c>
      <c r="S59">
        <v>42.9</v>
      </c>
      <c r="T59">
        <v>28.6</v>
      </c>
      <c r="U59">
        <v>0</v>
      </c>
      <c r="V59">
        <v>14.3</v>
      </c>
    </row>
    <row r="60" spans="1:22" x14ac:dyDescent="0.25">
      <c r="A60" t="s">
        <v>1358</v>
      </c>
      <c r="B60" t="s">
        <v>202</v>
      </c>
      <c r="C60">
        <v>22</v>
      </c>
      <c r="D60" t="s">
        <v>132</v>
      </c>
      <c r="E60" t="s">
        <v>69</v>
      </c>
      <c r="F60" t="s">
        <v>69</v>
      </c>
      <c r="G60">
        <v>0.5</v>
      </c>
      <c r="H60" t="s">
        <v>55</v>
      </c>
      <c r="I60">
        <v>5</v>
      </c>
      <c r="J60" t="str">
        <f>HYPERLINK("https://www.eliteprospects.com/player/588162/griffin-ludtke")</f>
        <v>https://www.eliteprospects.com/player/588162/griffin-ludtke</v>
      </c>
      <c r="K60" t="s">
        <v>27</v>
      </c>
      <c r="L60" t="s">
        <v>28</v>
      </c>
      <c r="M60" t="s">
        <v>1296</v>
      </c>
      <c r="N60">
        <v>4</v>
      </c>
      <c r="O60" t="s">
        <v>30</v>
      </c>
      <c r="P60">
        <v>0.1</v>
      </c>
      <c r="Q60" t="s">
        <v>1300</v>
      </c>
      <c r="R60">
        <v>37.5</v>
      </c>
      <c r="S60">
        <v>12.5</v>
      </c>
      <c r="T60">
        <v>12.5</v>
      </c>
      <c r="U60">
        <v>12.5</v>
      </c>
      <c r="V60">
        <v>25</v>
      </c>
    </row>
    <row r="61" spans="1:22" x14ac:dyDescent="0.25">
      <c r="A61" t="s">
        <v>1359</v>
      </c>
      <c r="B61" t="s">
        <v>59</v>
      </c>
      <c r="C61">
        <v>22</v>
      </c>
      <c r="D61" t="s">
        <v>132</v>
      </c>
      <c r="E61" t="s">
        <v>69</v>
      </c>
      <c r="F61" t="s">
        <v>69</v>
      </c>
      <c r="G61">
        <v>0.5</v>
      </c>
      <c r="H61" t="s">
        <v>33</v>
      </c>
      <c r="I61">
        <v>10</v>
      </c>
      <c r="J61" t="str">
        <f>HYPERLINK("https://www.eliteprospects.com/player/436384/brandon-chabrier")</f>
        <v>https://www.eliteprospects.com/player/436384/brandon-chabrier</v>
      </c>
      <c r="K61" t="s">
        <v>27</v>
      </c>
      <c r="L61" t="s">
        <v>28</v>
      </c>
      <c r="M61" t="s">
        <v>1296</v>
      </c>
      <c r="N61">
        <v>4</v>
      </c>
      <c r="O61" t="s">
        <v>30</v>
      </c>
      <c r="P61">
        <v>0.1</v>
      </c>
      <c r="Q61" t="s">
        <v>1309</v>
      </c>
      <c r="R61">
        <v>25</v>
      </c>
      <c r="S61">
        <v>25</v>
      </c>
      <c r="T61">
        <v>16.7</v>
      </c>
      <c r="U61">
        <v>8.3000000000000007</v>
      </c>
      <c r="V61">
        <v>25</v>
      </c>
    </row>
    <row r="62" spans="1:22" x14ac:dyDescent="0.25">
      <c r="A62" t="s">
        <v>1360</v>
      </c>
      <c r="B62" t="s">
        <v>121</v>
      </c>
      <c r="C62">
        <v>18</v>
      </c>
      <c r="D62" t="s">
        <v>96</v>
      </c>
      <c r="E62" t="s">
        <v>96</v>
      </c>
      <c r="F62" t="s">
        <v>32</v>
      </c>
      <c r="G62">
        <v>0.56000000000000005</v>
      </c>
      <c r="H62" t="s">
        <v>23</v>
      </c>
      <c r="I62">
        <v>0</v>
      </c>
      <c r="J62" t="str">
        <f>HYPERLINK("https://www.eliteprospects.com/player/639808/nicholas-bernardo")</f>
        <v>https://www.eliteprospects.com/player/639808/nicholas-bernardo</v>
      </c>
      <c r="K62" t="s">
        <v>27</v>
      </c>
      <c r="L62" t="s">
        <v>28</v>
      </c>
      <c r="M62" t="s">
        <v>1296</v>
      </c>
      <c r="N62">
        <v>2</v>
      </c>
      <c r="O62" t="s">
        <v>43</v>
      </c>
      <c r="P62">
        <v>0.11</v>
      </c>
      <c r="Q62" t="s">
        <v>245</v>
      </c>
      <c r="R62">
        <v>14.3</v>
      </c>
      <c r="S62">
        <v>42.9</v>
      </c>
      <c r="T62">
        <v>28.6</v>
      </c>
      <c r="U62">
        <v>0</v>
      </c>
      <c r="V62">
        <v>14.3</v>
      </c>
    </row>
    <row r="63" spans="1:22" x14ac:dyDescent="0.25">
      <c r="A63" t="s">
        <v>1361</v>
      </c>
      <c r="B63" t="s">
        <v>37</v>
      </c>
      <c r="C63">
        <v>21</v>
      </c>
      <c r="D63" t="s">
        <v>96</v>
      </c>
      <c r="E63" t="s">
        <v>96</v>
      </c>
      <c r="F63" t="s">
        <v>32</v>
      </c>
      <c r="G63">
        <v>0.48</v>
      </c>
      <c r="H63" t="s">
        <v>79</v>
      </c>
      <c r="I63">
        <v>0</v>
      </c>
      <c r="J63" t="str">
        <f>HYPERLINK("https://www.eliteprospects.com/player/556516/grayden-siepmann")</f>
        <v>https://www.eliteprospects.com/player/556516/grayden-siepmann</v>
      </c>
      <c r="K63" t="s">
        <v>27</v>
      </c>
      <c r="L63" t="s">
        <v>28</v>
      </c>
      <c r="M63" t="s">
        <v>1296</v>
      </c>
      <c r="N63">
        <v>6</v>
      </c>
      <c r="O63" t="s">
        <v>193</v>
      </c>
      <c r="P63">
        <v>0.09</v>
      </c>
      <c r="Q63" t="s">
        <v>245</v>
      </c>
      <c r="R63">
        <v>14.3</v>
      </c>
      <c r="S63">
        <v>42.9</v>
      </c>
      <c r="T63">
        <v>28.6</v>
      </c>
      <c r="U63">
        <v>0</v>
      </c>
      <c r="V63">
        <v>14.3</v>
      </c>
    </row>
    <row r="64" spans="1:22" x14ac:dyDescent="0.25">
      <c r="A64" t="s">
        <v>1362</v>
      </c>
      <c r="B64" t="s">
        <v>106</v>
      </c>
      <c r="C64">
        <v>21</v>
      </c>
      <c r="D64" t="s">
        <v>96</v>
      </c>
      <c r="E64" t="s">
        <v>96</v>
      </c>
      <c r="F64" t="s">
        <v>32</v>
      </c>
      <c r="G64">
        <v>0.48</v>
      </c>
      <c r="H64" t="s">
        <v>57</v>
      </c>
      <c r="I64">
        <v>-4</v>
      </c>
      <c r="J64" t="str">
        <f>HYPERLINK("https://www.eliteprospects.com/player/692443/tate-taylor")</f>
        <v>https://www.eliteprospects.com/player/692443/tate-taylor</v>
      </c>
      <c r="K64" t="s">
        <v>27</v>
      </c>
      <c r="L64" t="s">
        <v>28</v>
      </c>
      <c r="M64" t="s">
        <v>1296</v>
      </c>
      <c r="N64">
        <v>2</v>
      </c>
      <c r="O64" t="s">
        <v>43</v>
      </c>
      <c r="P64">
        <v>0.09</v>
      </c>
      <c r="Q64" t="s">
        <v>1325</v>
      </c>
      <c r="R64">
        <v>37.5</v>
      </c>
      <c r="S64">
        <v>25</v>
      </c>
      <c r="T64">
        <v>37.5</v>
      </c>
      <c r="U64">
        <v>0</v>
      </c>
      <c r="V64">
        <v>0</v>
      </c>
    </row>
    <row r="65" spans="1:22" x14ac:dyDescent="0.25">
      <c r="A65" t="s">
        <v>1363</v>
      </c>
      <c r="B65" t="s">
        <v>202</v>
      </c>
      <c r="C65">
        <v>22</v>
      </c>
      <c r="D65" t="s">
        <v>96</v>
      </c>
      <c r="E65" t="s">
        <v>96</v>
      </c>
      <c r="F65" t="s">
        <v>32</v>
      </c>
      <c r="G65">
        <v>0.45</v>
      </c>
      <c r="H65" t="s">
        <v>38</v>
      </c>
      <c r="I65">
        <v>-2</v>
      </c>
      <c r="J65" t="str">
        <f>HYPERLINK("https://www.eliteprospects.com/player/476026/marc-lajoie")</f>
        <v>https://www.eliteprospects.com/player/476026/marc-lajoie</v>
      </c>
      <c r="K65" t="s">
        <v>27</v>
      </c>
      <c r="L65" t="s">
        <v>28</v>
      </c>
      <c r="M65" t="s">
        <v>1296</v>
      </c>
      <c r="N65">
        <v>6</v>
      </c>
      <c r="O65" t="s">
        <v>193</v>
      </c>
      <c r="P65">
        <v>0.09</v>
      </c>
      <c r="Q65" t="s">
        <v>245</v>
      </c>
      <c r="R65">
        <v>14.3</v>
      </c>
      <c r="S65">
        <v>42.9</v>
      </c>
      <c r="T65">
        <v>28.6</v>
      </c>
      <c r="U65">
        <v>0</v>
      </c>
      <c r="V65">
        <v>14.3</v>
      </c>
    </row>
    <row r="66" spans="1:22" x14ac:dyDescent="0.25">
      <c r="A66" t="s">
        <v>1364</v>
      </c>
      <c r="B66" t="s">
        <v>83</v>
      </c>
      <c r="C66">
        <v>17</v>
      </c>
      <c r="D66" t="s">
        <v>66</v>
      </c>
      <c r="E66" t="s">
        <v>57</v>
      </c>
      <c r="F66" t="s">
        <v>32</v>
      </c>
      <c r="G66">
        <v>0.59</v>
      </c>
      <c r="H66" t="s">
        <v>32</v>
      </c>
      <c r="I66">
        <v>18</v>
      </c>
      <c r="J66" t="str">
        <f>HYPERLINK("https://www.eliteprospects.com/player/553204/colin-grable")</f>
        <v>https://www.eliteprospects.com/player/553204/colin-grable</v>
      </c>
      <c r="K66" t="s">
        <v>27</v>
      </c>
      <c r="L66" t="s">
        <v>28</v>
      </c>
      <c r="M66" t="s">
        <v>1296</v>
      </c>
      <c r="N66">
        <v>2</v>
      </c>
      <c r="O66" t="s">
        <v>43</v>
      </c>
      <c r="P66">
        <v>0.11</v>
      </c>
      <c r="Q66" t="s">
        <v>1309</v>
      </c>
      <c r="R66">
        <v>25</v>
      </c>
      <c r="S66">
        <v>25</v>
      </c>
      <c r="T66">
        <v>16.7</v>
      </c>
      <c r="U66">
        <v>8.3000000000000007</v>
      </c>
      <c r="V66">
        <v>25</v>
      </c>
    </row>
    <row r="67" spans="1:22" x14ac:dyDescent="0.25">
      <c r="A67" t="s">
        <v>1365</v>
      </c>
      <c r="B67" t="s">
        <v>238</v>
      </c>
      <c r="C67">
        <v>21</v>
      </c>
      <c r="D67" t="s">
        <v>66</v>
      </c>
      <c r="E67" t="s">
        <v>57</v>
      </c>
      <c r="F67" t="s">
        <v>32</v>
      </c>
      <c r="G67">
        <v>0.48</v>
      </c>
      <c r="H67" t="s">
        <v>26</v>
      </c>
      <c r="I67">
        <v>-13</v>
      </c>
      <c r="J67" t="str">
        <f>HYPERLINK("https://www.eliteprospects.com/player/640301/kazimier-sobieski")</f>
        <v>https://www.eliteprospects.com/player/640301/kazimier-sobieski</v>
      </c>
      <c r="K67" t="s">
        <v>27</v>
      </c>
      <c r="L67" t="s">
        <v>28</v>
      </c>
      <c r="M67" t="s">
        <v>1296</v>
      </c>
      <c r="N67">
        <v>2</v>
      </c>
      <c r="O67" t="s">
        <v>43</v>
      </c>
      <c r="P67">
        <v>0.09</v>
      </c>
      <c r="Q67" t="s">
        <v>1325</v>
      </c>
      <c r="R67">
        <v>37.5</v>
      </c>
      <c r="S67">
        <v>25</v>
      </c>
      <c r="T67">
        <v>37.5</v>
      </c>
      <c r="U67">
        <v>0</v>
      </c>
      <c r="V67">
        <v>0</v>
      </c>
    </row>
    <row r="68" spans="1:22" x14ac:dyDescent="0.25">
      <c r="A68" t="s">
        <v>1366</v>
      </c>
      <c r="B68" t="s">
        <v>139</v>
      </c>
      <c r="C68">
        <v>14</v>
      </c>
      <c r="D68" t="s">
        <v>140</v>
      </c>
      <c r="E68" t="s">
        <v>78</v>
      </c>
      <c r="F68" t="s">
        <v>32</v>
      </c>
      <c r="G68">
        <v>0.71</v>
      </c>
      <c r="H68" t="s">
        <v>26</v>
      </c>
      <c r="I68">
        <v>4</v>
      </c>
      <c r="J68" t="str">
        <f>HYPERLINK("https://www.eliteprospects.com/player/807168/luke-osburn")</f>
        <v>https://www.eliteprospects.com/player/807168/luke-osburn</v>
      </c>
      <c r="K68" t="s">
        <v>27</v>
      </c>
      <c r="L68" t="s">
        <v>28</v>
      </c>
      <c r="M68" t="s">
        <v>1296</v>
      </c>
      <c r="N68">
        <v>1</v>
      </c>
      <c r="O68" t="s">
        <v>71</v>
      </c>
      <c r="P68">
        <v>0.14000000000000001</v>
      </c>
      <c r="Q68" t="s">
        <v>1309</v>
      </c>
      <c r="R68">
        <v>10</v>
      </c>
      <c r="S68">
        <v>10</v>
      </c>
      <c r="T68">
        <v>20</v>
      </c>
      <c r="U68">
        <v>20</v>
      </c>
      <c r="V68">
        <v>40</v>
      </c>
    </row>
    <row r="69" spans="1:22" x14ac:dyDescent="0.25">
      <c r="A69" t="s">
        <v>1367</v>
      </c>
      <c r="B69" t="s">
        <v>139</v>
      </c>
      <c r="C69">
        <v>17</v>
      </c>
      <c r="D69" t="s">
        <v>140</v>
      </c>
      <c r="E69" t="s">
        <v>78</v>
      </c>
      <c r="F69" t="s">
        <v>32</v>
      </c>
      <c r="G69">
        <v>0.59</v>
      </c>
      <c r="H69" t="s">
        <v>66</v>
      </c>
      <c r="I69">
        <v>9</v>
      </c>
      <c r="J69" t="str">
        <f>HYPERLINK("https://www.eliteprospects.com/player/616256/joe-palodichuk")</f>
        <v>https://www.eliteprospects.com/player/616256/joe-palodichuk</v>
      </c>
      <c r="K69" t="s">
        <v>27</v>
      </c>
      <c r="L69" t="s">
        <v>28</v>
      </c>
      <c r="M69" t="s">
        <v>1296</v>
      </c>
      <c r="N69">
        <v>3</v>
      </c>
      <c r="O69" t="s">
        <v>74</v>
      </c>
      <c r="P69">
        <v>0.11</v>
      </c>
      <c r="Q69" t="s">
        <v>1309</v>
      </c>
      <c r="R69">
        <v>25</v>
      </c>
      <c r="S69">
        <v>25</v>
      </c>
      <c r="T69">
        <v>16.7</v>
      </c>
      <c r="U69">
        <v>8.3000000000000007</v>
      </c>
      <c r="V69">
        <v>25</v>
      </c>
    </row>
    <row r="70" spans="1:22" x14ac:dyDescent="0.25">
      <c r="A70" t="s">
        <v>1368</v>
      </c>
      <c r="B70" t="s">
        <v>234</v>
      </c>
      <c r="C70">
        <v>17</v>
      </c>
      <c r="D70" t="s">
        <v>140</v>
      </c>
      <c r="E70" t="s">
        <v>78</v>
      </c>
      <c r="F70" t="s">
        <v>32</v>
      </c>
      <c r="G70">
        <v>0.59</v>
      </c>
      <c r="H70" t="s">
        <v>39</v>
      </c>
      <c r="I70">
        <v>-5</v>
      </c>
      <c r="J70" t="str">
        <f>HYPERLINK("https://www.eliteprospects.com/player/535645/matthew-desiderio")</f>
        <v>https://www.eliteprospects.com/player/535645/matthew-desiderio</v>
      </c>
      <c r="K70" t="s">
        <v>27</v>
      </c>
      <c r="L70" t="s">
        <v>28</v>
      </c>
      <c r="M70" t="s">
        <v>1296</v>
      </c>
      <c r="N70">
        <v>1</v>
      </c>
      <c r="O70" t="s">
        <v>71</v>
      </c>
      <c r="P70">
        <v>0.11</v>
      </c>
      <c r="Q70" t="s">
        <v>1325</v>
      </c>
      <c r="R70">
        <v>37.5</v>
      </c>
      <c r="S70">
        <v>25</v>
      </c>
      <c r="T70">
        <v>37.5</v>
      </c>
      <c r="U70">
        <v>0</v>
      </c>
      <c r="V70">
        <v>0</v>
      </c>
    </row>
    <row r="71" spans="1:22" x14ac:dyDescent="0.25">
      <c r="A71" t="s">
        <v>1369</v>
      </c>
      <c r="B71" t="s">
        <v>177</v>
      </c>
      <c r="C71">
        <v>19</v>
      </c>
      <c r="D71" t="s">
        <v>140</v>
      </c>
      <c r="E71" t="s">
        <v>78</v>
      </c>
      <c r="F71" t="s">
        <v>32</v>
      </c>
      <c r="G71">
        <v>0.53</v>
      </c>
      <c r="H71" t="s">
        <v>84</v>
      </c>
      <c r="I71">
        <v>8</v>
      </c>
      <c r="J71" t="str">
        <f>HYPERLINK("https://www.eliteprospects.com/player/325955/lane-brockhoff")</f>
        <v>https://www.eliteprospects.com/player/325955/lane-brockhoff</v>
      </c>
      <c r="K71" t="s">
        <v>27</v>
      </c>
      <c r="L71" t="s">
        <v>28</v>
      </c>
      <c r="M71" t="s">
        <v>1296</v>
      </c>
      <c r="N71">
        <v>4</v>
      </c>
      <c r="O71" t="s">
        <v>30</v>
      </c>
      <c r="P71">
        <v>0.1</v>
      </c>
      <c r="Q71" t="s">
        <v>1309</v>
      </c>
      <c r="R71">
        <v>25</v>
      </c>
      <c r="S71">
        <v>25</v>
      </c>
      <c r="T71">
        <v>16.7</v>
      </c>
      <c r="U71">
        <v>8.3000000000000007</v>
      </c>
      <c r="V71">
        <v>25</v>
      </c>
    </row>
    <row r="72" spans="1:22" x14ac:dyDescent="0.25">
      <c r="A72" t="s">
        <v>1370</v>
      </c>
      <c r="B72" t="s">
        <v>73</v>
      </c>
      <c r="C72">
        <v>22</v>
      </c>
      <c r="D72" t="s">
        <v>140</v>
      </c>
      <c r="E72" t="s">
        <v>78</v>
      </c>
      <c r="F72" t="s">
        <v>32</v>
      </c>
      <c r="G72">
        <v>0.45</v>
      </c>
      <c r="H72" t="s">
        <v>79</v>
      </c>
      <c r="I72">
        <v>2</v>
      </c>
      <c r="J72" t="str">
        <f>HYPERLINK("https://www.eliteprospects.com/player/603702/finn-loftus")</f>
        <v>https://www.eliteprospects.com/player/603702/finn-loftus</v>
      </c>
      <c r="K72" t="s">
        <v>27</v>
      </c>
      <c r="L72" t="s">
        <v>28</v>
      </c>
      <c r="M72" t="s">
        <v>1296</v>
      </c>
      <c r="N72">
        <v>2</v>
      </c>
      <c r="O72" t="s">
        <v>43</v>
      </c>
      <c r="P72">
        <v>0.09</v>
      </c>
      <c r="Q72" t="s">
        <v>1325</v>
      </c>
      <c r="R72">
        <v>22.2</v>
      </c>
      <c r="S72">
        <v>11.1</v>
      </c>
      <c r="T72">
        <v>44.4</v>
      </c>
      <c r="U72">
        <v>0</v>
      </c>
      <c r="V72">
        <v>22.2</v>
      </c>
    </row>
    <row r="73" spans="1:22" x14ac:dyDescent="0.25">
      <c r="A73" t="s">
        <v>1371</v>
      </c>
      <c r="B73" t="s">
        <v>148</v>
      </c>
      <c r="C73">
        <v>23</v>
      </c>
      <c r="D73" t="s">
        <v>140</v>
      </c>
      <c r="E73" t="s">
        <v>78</v>
      </c>
      <c r="F73" t="s">
        <v>32</v>
      </c>
      <c r="G73">
        <v>0.43</v>
      </c>
      <c r="H73" t="s">
        <v>125</v>
      </c>
      <c r="I73">
        <v>3</v>
      </c>
      <c r="J73" t="str">
        <f>HYPERLINK("https://www.eliteprospects.com/player/499372/hayden-hennen")</f>
        <v>https://www.eliteprospects.com/player/499372/hayden-hennen</v>
      </c>
      <c r="K73" t="s">
        <v>27</v>
      </c>
      <c r="L73" t="s">
        <v>28</v>
      </c>
      <c r="M73" t="s">
        <v>1296</v>
      </c>
      <c r="N73">
        <v>3</v>
      </c>
      <c r="O73" t="s">
        <v>74</v>
      </c>
      <c r="P73">
        <v>0.08</v>
      </c>
      <c r="Q73" t="s">
        <v>1325</v>
      </c>
      <c r="R73">
        <v>33.299999999999997</v>
      </c>
      <c r="S73">
        <v>16.7</v>
      </c>
      <c r="T73">
        <v>33.299999999999997</v>
      </c>
      <c r="U73">
        <v>16.7</v>
      </c>
      <c r="V73">
        <v>0</v>
      </c>
    </row>
    <row r="74" spans="1:22" x14ac:dyDescent="0.25">
      <c r="A74" t="s">
        <v>1372</v>
      </c>
      <c r="B74" t="s">
        <v>44</v>
      </c>
      <c r="C74">
        <v>24</v>
      </c>
      <c r="D74" t="s">
        <v>140</v>
      </c>
      <c r="E74" t="s">
        <v>78</v>
      </c>
      <c r="F74" t="s">
        <v>32</v>
      </c>
      <c r="G74">
        <v>0.42</v>
      </c>
      <c r="H74" t="s">
        <v>79</v>
      </c>
      <c r="I74">
        <v>-2</v>
      </c>
      <c r="J74" t="str">
        <f>HYPERLINK("https://www.eliteprospects.com/player/603574/reid-andresen")</f>
        <v>https://www.eliteprospects.com/player/603574/reid-andresen</v>
      </c>
      <c r="K74" t="s">
        <v>27</v>
      </c>
      <c r="L74" t="s">
        <v>28</v>
      </c>
      <c r="M74" t="s">
        <v>1296</v>
      </c>
      <c r="N74">
        <v>6</v>
      </c>
      <c r="O74" t="s">
        <v>193</v>
      </c>
      <c r="P74">
        <v>0.08</v>
      </c>
      <c r="Q74" t="s">
        <v>1300</v>
      </c>
      <c r="R74">
        <v>33.299999999999997</v>
      </c>
      <c r="S74">
        <v>22.2</v>
      </c>
      <c r="T74">
        <v>22.2</v>
      </c>
      <c r="U74">
        <v>11.1</v>
      </c>
      <c r="V74">
        <v>11.1</v>
      </c>
    </row>
    <row r="75" spans="1:22" x14ac:dyDescent="0.25">
      <c r="A75" t="s">
        <v>1373</v>
      </c>
      <c r="B75" t="s">
        <v>177</v>
      </c>
      <c r="C75">
        <v>17</v>
      </c>
      <c r="D75" t="s">
        <v>79</v>
      </c>
      <c r="E75" t="s">
        <v>26</v>
      </c>
      <c r="F75" t="s">
        <v>32</v>
      </c>
      <c r="G75">
        <v>0.59</v>
      </c>
      <c r="H75" t="s">
        <v>79</v>
      </c>
      <c r="I75">
        <v>-3</v>
      </c>
      <c r="J75" t="str">
        <f>HYPERLINK("https://www.eliteprospects.com/player/538400/nathan-oickle")</f>
        <v>https://www.eliteprospects.com/player/538400/nathan-oickle</v>
      </c>
      <c r="K75" t="s">
        <v>27</v>
      </c>
      <c r="L75" t="s">
        <v>28</v>
      </c>
      <c r="M75" t="s">
        <v>1296</v>
      </c>
      <c r="N75">
        <v>2</v>
      </c>
      <c r="O75" t="s">
        <v>43</v>
      </c>
      <c r="P75">
        <v>0.11</v>
      </c>
      <c r="Q75" t="s">
        <v>1325</v>
      </c>
      <c r="R75">
        <v>37.5</v>
      </c>
      <c r="S75">
        <v>25</v>
      </c>
      <c r="T75">
        <v>37.5</v>
      </c>
      <c r="U75">
        <v>0</v>
      </c>
      <c r="V75">
        <v>0</v>
      </c>
    </row>
    <row r="76" spans="1:22" x14ac:dyDescent="0.25">
      <c r="A76" t="s">
        <v>1374</v>
      </c>
      <c r="B76" t="s">
        <v>195</v>
      </c>
      <c r="C76">
        <v>20</v>
      </c>
      <c r="D76" t="s">
        <v>79</v>
      </c>
      <c r="E76" t="s">
        <v>26</v>
      </c>
      <c r="F76" t="s">
        <v>32</v>
      </c>
      <c r="G76">
        <v>0.5</v>
      </c>
      <c r="H76" t="s">
        <v>47</v>
      </c>
      <c r="I76">
        <v>7</v>
      </c>
      <c r="J76" t="str">
        <f>HYPERLINK("https://www.eliteprospects.com/player/685705/gavin-mccarthy")</f>
        <v>https://www.eliteprospects.com/player/685705/gavin-mccarthy</v>
      </c>
      <c r="K76" t="s">
        <v>27</v>
      </c>
      <c r="L76" t="s">
        <v>28</v>
      </c>
      <c r="M76" t="s">
        <v>1296</v>
      </c>
      <c r="N76">
        <v>3</v>
      </c>
      <c r="O76" t="s">
        <v>74</v>
      </c>
      <c r="P76">
        <v>0.1</v>
      </c>
      <c r="Q76" t="s">
        <v>1300</v>
      </c>
      <c r="R76">
        <v>37.5</v>
      </c>
      <c r="S76">
        <v>12.5</v>
      </c>
      <c r="T76">
        <v>12.5</v>
      </c>
      <c r="U76">
        <v>12.5</v>
      </c>
      <c r="V76">
        <v>25</v>
      </c>
    </row>
    <row r="77" spans="1:22" x14ac:dyDescent="0.25">
      <c r="A77" t="s">
        <v>1375</v>
      </c>
      <c r="B77" t="s">
        <v>171</v>
      </c>
      <c r="C77">
        <v>21</v>
      </c>
      <c r="D77" t="s">
        <v>79</v>
      </c>
      <c r="E77" t="s">
        <v>26</v>
      </c>
      <c r="F77" t="s">
        <v>32</v>
      </c>
      <c r="G77">
        <v>0.48</v>
      </c>
      <c r="H77" t="s">
        <v>66</v>
      </c>
      <c r="I77">
        <v>-3</v>
      </c>
      <c r="J77" t="str">
        <f>HYPERLINK("https://www.eliteprospects.com/player/473038/t.j.-schweighardt")</f>
        <v>https://www.eliteprospects.com/player/473038/t.j.-schweighardt</v>
      </c>
      <c r="K77" t="s">
        <v>27</v>
      </c>
      <c r="L77" t="s">
        <v>28</v>
      </c>
      <c r="M77" t="s">
        <v>1296</v>
      </c>
      <c r="N77">
        <v>4</v>
      </c>
      <c r="O77" t="s">
        <v>30</v>
      </c>
      <c r="P77">
        <v>0.09</v>
      </c>
      <c r="Q77" t="s">
        <v>1325</v>
      </c>
      <c r="R77">
        <v>37.5</v>
      </c>
      <c r="S77">
        <v>25</v>
      </c>
      <c r="T77">
        <v>37.5</v>
      </c>
      <c r="U77">
        <v>0</v>
      </c>
      <c r="V77">
        <v>0</v>
      </c>
    </row>
    <row r="78" spans="1:22" x14ac:dyDescent="0.25">
      <c r="A78" t="s">
        <v>1376</v>
      </c>
      <c r="B78" t="s">
        <v>171</v>
      </c>
      <c r="C78">
        <v>21</v>
      </c>
      <c r="D78" t="s">
        <v>79</v>
      </c>
      <c r="E78" t="s">
        <v>26</v>
      </c>
      <c r="F78" t="s">
        <v>32</v>
      </c>
      <c r="G78">
        <v>0.48</v>
      </c>
      <c r="H78" t="s">
        <v>46</v>
      </c>
      <c r="I78">
        <v>-2</v>
      </c>
      <c r="J78" t="str">
        <f>HYPERLINK("https://www.eliteprospects.com/player/641137/luke-shipley")</f>
        <v>https://www.eliteprospects.com/player/641137/luke-shipley</v>
      </c>
      <c r="K78" t="s">
        <v>27</v>
      </c>
      <c r="L78" t="s">
        <v>28</v>
      </c>
      <c r="M78" t="s">
        <v>1296</v>
      </c>
      <c r="N78">
        <v>6</v>
      </c>
      <c r="O78" t="s">
        <v>193</v>
      </c>
      <c r="P78">
        <v>0.09</v>
      </c>
      <c r="Q78" t="s">
        <v>245</v>
      </c>
      <c r="R78">
        <v>14.3</v>
      </c>
      <c r="S78">
        <v>42.9</v>
      </c>
      <c r="T78">
        <v>28.6</v>
      </c>
      <c r="U78">
        <v>0</v>
      </c>
      <c r="V78">
        <v>14.3</v>
      </c>
    </row>
    <row r="79" spans="1:22" x14ac:dyDescent="0.25">
      <c r="A79" t="s">
        <v>1377</v>
      </c>
      <c r="B79" t="s">
        <v>150</v>
      </c>
      <c r="C79">
        <v>19</v>
      </c>
      <c r="D79" t="s">
        <v>260</v>
      </c>
      <c r="E79" t="s">
        <v>45</v>
      </c>
      <c r="F79" t="s">
        <v>32</v>
      </c>
      <c r="G79">
        <v>0.53</v>
      </c>
      <c r="H79" t="s">
        <v>61</v>
      </c>
      <c r="I79">
        <v>-5</v>
      </c>
      <c r="J79" t="str">
        <f>HYPERLINK("https://www.eliteprospects.com/player/658972/broten-sabo")</f>
        <v>https://www.eliteprospects.com/player/658972/broten-sabo</v>
      </c>
      <c r="K79" t="s">
        <v>27</v>
      </c>
      <c r="L79" t="s">
        <v>28</v>
      </c>
      <c r="M79" t="s">
        <v>1296</v>
      </c>
      <c r="N79">
        <v>3</v>
      </c>
      <c r="O79" t="s">
        <v>74</v>
      </c>
      <c r="P79">
        <v>0.1</v>
      </c>
      <c r="Q79" t="s">
        <v>1325</v>
      </c>
      <c r="R79">
        <v>37.5</v>
      </c>
      <c r="S79">
        <v>25</v>
      </c>
      <c r="T79">
        <v>37.5</v>
      </c>
      <c r="U79">
        <v>0</v>
      </c>
      <c r="V79">
        <v>0</v>
      </c>
    </row>
    <row r="80" spans="1:22" x14ac:dyDescent="0.25">
      <c r="A80" t="s">
        <v>1378</v>
      </c>
      <c r="B80" t="s">
        <v>95</v>
      </c>
      <c r="C80">
        <v>20</v>
      </c>
      <c r="D80" t="s">
        <v>260</v>
      </c>
      <c r="E80" t="s">
        <v>45</v>
      </c>
      <c r="F80" t="s">
        <v>32</v>
      </c>
      <c r="G80">
        <v>0.5</v>
      </c>
      <c r="H80" t="s">
        <v>39</v>
      </c>
      <c r="I80">
        <v>12</v>
      </c>
      <c r="J80" t="str">
        <f>HYPERLINK("https://www.eliteprospects.com/player/588623/theo-wallberg")</f>
        <v>https://www.eliteprospects.com/player/588623/theo-wallberg</v>
      </c>
      <c r="K80" t="s">
        <v>27</v>
      </c>
      <c r="L80" t="s">
        <v>28</v>
      </c>
      <c r="M80" t="s">
        <v>1296</v>
      </c>
      <c r="N80">
        <v>3</v>
      </c>
      <c r="O80" t="s">
        <v>74</v>
      </c>
      <c r="P80">
        <v>0.1</v>
      </c>
      <c r="Q80" t="s">
        <v>1309</v>
      </c>
      <c r="R80">
        <v>25</v>
      </c>
      <c r="S80">
        <v>25</v>
      </c>
      <c r="T80">
        <v>16.7</v>
      </c>
      <c r="U80">
        <v>8.3000000000000007</v>
      </c>
      <c r="V80">
        <v>25</v>
      </c>
    </row>
    <row r="81" spans="1:22" x14ac:dyDescent="0.25">
      <c r="A81" t="s">
        <v>1379</v>
      </c>
      <c r="B81" t="s">
        <v>146</v>
      </c>
      <c r="C81">
        <v>22</v>
      </c>
      <c r="D81" t="s">
        <v>260</v>
      </c>
      <c r="E81" t="s">
        <v>45</v>
      </c>
      <c r="F81" t="s">
        <v>32</v>
      </c>
      <c r="G81">
        <v>0.45</v>
      </c>
      <c r="H81" t="s">
        <v>66</v>
      </c>
      <c r="I81">
        <v>-8</v>
      </c>
      <c r="J81" t="str">
        <f>HYPERLINK("https://www.eliteprospects.com/player/497327/evan-bushy")</f>
        <v>https://www.eliteprospects.com/player/497327/evan-bushy</v>
      </c>
      <c r="K81" t="s">
        <v>27</v>
      </c>
      <c r="L81" t="s">
        <v>28</v>
      </c>
      <c r="M81" t="s">
        <v>1296</v>
      </c>
      <c r="N81">
        <v>3</v>
      </c>
      <c r="O81" t="s">
        <v>74</v>
      </c>
      <c r="P81">
        <v>0.09</v>
      </c>
      <c r="Q81" t="s">
        <v>1325</v>
      </c>
      <c r="R81">
        <v>37.5</v>
      </c>
      <c r="S81">
        <v>25</v>
      </c>
      <c r="T81">
        <v>37.5</v>
      </c>
      <c r="U81">
        <v>0</v>
      </c>
      <c r="V81">
        <v>0</v>
      </c>
    </row>
    <row r="82" spans="1:22" x14ac:dyDescent="0.25">
      <c r="A82" t="s">
        <v>1380</v>
      </c>
      <c r="B82" t="s">
        <v>50</v>
      </c>
      <c r="C82">
        <v>22</v>
      </c>
      <c r="D82" t="s">
        <v>260</v>
      </c>
      <c r="E82" t="s">
        <v>45</v>
      </c>
      <c r="F82" t="s">
        <v>32</v>
      </c>
      <c r="G82">
        <v>0.45</v>
      </c>
      <c r="H82" t="s">
        <v>26</v>
      </c>
      <c r="I82">
        <v>20</v>
      </c>
      <c r="J82" t="str">
        <f>HYPERLINK("https://www.eliteprospects.com/player/577011/asher-barnett")</f>
        <v>https://www.eliteprospects.com/player/577011/asher-barnett</v>
      </c>
      <c r="K82" t="s">
        <v>27</v>
      </c>
      <c r="L82" t="s">
        <v>28</v>
      </c>
      <c r="M82" t="s">
        <v>1296</v>
      </c>
      <c r="N82">
        <v>1</v>
      </c>
      <c r="O82" t="s">
        <v>71</v>
      </c>
      <c r="P82">
        <v>0.09</v>
      </c>
      <c r="Q82" t="s">
        <v>1309</v>
      </c>
      <c r="R82">
        <v>25</v>
      </c>
      <c r="S82">
        <v>25</v>
      </c>
      <c r="T82">
        <v>16.7</v>
      </c>
      <c r="U82">
        <v>8.3000000000000007</v>
      </c>
      <c r="V82">
        <v>25</v>
      </c>
    </row>
    <row r="83" spans="1:22" x14ac:dyDescent="0.25">
      <c r="A83" t="s">
        <v>1381</v>
      </c>
      <c r="B83" t="s">
        <v>73</v>
      </c>
      <c r="C83">
        <v>22</v>
      </c>
      <c r="D83" t="s">
        <v>260</v>
      </c>
      <c r="E83" t="s">
        <v>45</v>
      </c>
      <c r="F83" t="s">
        <v>32</v>
      </c>
      <c r="G83">
        <v>0.45</v>
      </c>
      <c r="H83" t="s">
        <v>26</v>
      </c>
      <c r="I83">
        <v>0</v>
      </c>
      <c r="J83" t="str">
        <f>HYPERLINK("https://www.eliteprospects.com/player/600494/cooper-wylie")</f>
        <v>https://www.eliteprospects.com/player/600494/cooper-wylie</v>
      </c>
      <c r="K83" t="s">
        <v>27</v>
      </c>
      <c r="L83" t="s">
        <v>28</v>
      </c>
      <c r="M83" t="s">
        <v>1296</v>
      </c>
      <c r="N83">
        <v>4</v>
      </c>
      <c r="O83" t="s">
        <v>30</v>
      </c>
      <c r="P83">
        <v>0.09</v>
      </c>
      <c r="Q83" t="s">
        <v>245</v>
      </c>
      <c r="R83">
        <v>14.3</v>
      </c>
      <c r="S83">
        <v>42.9</v>
      </c>
      <c r="T83">
        <v>28.6</v>
      </c>
      <c r="U83">
        <v>0</v>
      </c>
      <c r="V83">
        <v>14.3</v>
      </c>
    </row>
    <row r="84" spans="1:22" x14ac:dyDescent="0.25">
      <c r="A84" t="s">
        <v>1382</v>
      </c>
      <c r="B84" t="s">
        <v>148</v>
      </c>
      <c r="C84">
        <v>23</v>
      </c>
      <c r="D84" t="s">
        <v>260</v>
      </c>
      <c r="E84" t="s">
        <v>45</v>
      </c>
      <c r="F84" t="s">
        <v>32</v>
      </c>
      <c r="G84">
        <v>0.43</v>
      </c>
      <c r="H84" t="s">
        <v>32</v>
      </c>
      <c r="I84">
        <v>3</v>
      </c>
      <c r="J84" t="str">
        <f>HYPERLINK("https://www.eliteprospects.com/player/623774/easton-young")</f>
        <v>https://www.eliteprospects.com/player/623774/easton-young</v>
      </c>
      <c r="K84" t="s">
        <v>27</v>
      </c>
      <c r="L84" t="s">
        <v>28</v>
      </c>
      <c r="M84" t="s">
        <v>1296</v>
      </c>
      <c r="N84">
        <v>2</v>
      </c>
      <c r="O84" t="s">
        <v>43</v>
      </c>
      <c r="P84">
        <v>0.08</v>
      </c>
      <c r="Q84" t="s">
        <v>1325</v>
      </c>
      <c r="R84">
        <v>33.299999999999997</v>
      </c>
      <c r="S84">
        <v>16.7</v>
      </c>
      <c r="T84">
        <v>33.299999999999997</v>
      </c>
      <c r="U84">
        <v>16.7</v>
      </c>
      <c r="V84">
        <v>0</v>
      </c>
    </row>
    <row r="85" spans="1:22" x14ac:dyDescent="0.25">
      <c r="A85" t="s">
        <v>1383</v>
      </c>
      <c r="B85" t="s">
        <v>85</v>
      </c>
      <c r="C85">
        <v>16</v>
      </c>
      <c r="D85" t="s">
        <v>132</v>
      </c>
      <c r="E85" t="s">
        <v>32</v>
      </c>
      <c r="F85" t="s">
        <v>32</v>
      </c>
      <c r="G85">
        <v>0.63</v>
      </c>
      <c r="H85" t="s">
        <v>66</v>
      </c>
      <c r="I85">
        <v>8</v>
      </c>
      <c r="J85" t="str">
        <f>HYPERLINK("https://www.eliteprospects.com/player/582587/kai-greaves")</f>
        <v>https://www.eliteprospects.com/player/582587/kai-greaves</v>
      </c>
      <c r="K85" t="s">
        <v>27</v>
      </c>
      <c r="L85" t="s">
        <v>28</v>
      </c>
      <c r="M85" t="s">
        <v>1296</v>
      </c>
      <c r="N85">
        <v>2</v>
      </c>
      <c r="O85" t="s">
        <v>43</v>
      </c>
      <c r="P85">
        <v>0.12</v>
      </c>
      <c r="Q85" t="s">
        <v>1300</v>
      </c>
      <c r="R85">
        <v>42.9</v>
      </c>
      <c r="S85">
        <v>14.3</v>
      </c>
      <c r="T85">
        <v>7.1</v>
      </c>
      <c r="U85">
        <v>7.1</v>
      </c>
      <c r="V85">
        <v>28.6</v>
      </c>
    </row>
    <row r="86" spans="1:22" x14ac:dyDescent="0.25">
      <c r="A86" t="s">
        <v>1384</v>
      </c>
      <c r="B86" t="s">
        <v>205</v>
      </c>
      <c r="C86">
        <v>22</v>
      </c>
      <c r="D86" t="s">
        <v>132</v>
      </c>
      <c r="E86" t="s">
        <v>32</v>
      </c>
      <c r="F86" t="s">
        <v>32</v>
      </c>
      <c r="G86">
        <v>0.45</v>
      </c>
      <c r="H86" t="s">
        <v>47</v>
      </c>
      <c r="I86">
        <v>4</v>
      </c>
      <c r="J86" t="str">
        <f>HYPERLINK("https://www.eliteprospects.com/player/539096/tristan-allen")</f>
        <v>https://www.eliteprospects.com/player/539096/tristan-allen</v>
      </c>
      <c r="K86" t="s">
        <v>27</v>
      </c>
      <c r="L86" t="s">
        <v>28</v>
      </c>
      <c r="M86" t="s">
        <v>1296</v>
      </c>
      <c r="N86">
        <v>2</v>
      </c>
      <c r="O86" t="s">
        <v>43</v>
      </c>
      <c r="P86">
        <v>0.09</v>
      </c>
      <c r="Q86" t="s">
        <v>1300</v>
      </c>
      <c r="R86">
        <v>37.5</v>
      </c>
      <c r="S86">
        <v>12.5</v>
      </c>
      <c r="T86">
        <v>12.5</v>
      </c>
      <c r="U86">
        <v>12.5</v>
      </c>
      <c r="V86">
        <v>25</v>
      </c>
    </row>
    <row r="87" spans="1:22" x14ac:dyDescent="0.25">
      <c r="A87" t="s">
        <v>1385</v>
      </c>
      <c r="B87" t="s">
        <v>189</v>
      </c>
      <c r="C87">
        <v>24</v>
      </c>
      <c r="D87" t="s">
        <v>132</v>
      </c>
      <c r="E87" t="s">
        <v>32</v>
      </c>
      <c r="F87" t="s">
        <v>32</v>
      </c>
      <c r="G87">
        <v>0.42</v>
      </c>
      <c r="H87" t="s">
        <v>66</v>
      </c>
      <c r="I87">
        <v>-7</v>
      </c>
      <c r="J87" t="str">
        <f>HYPERLINK("https://www.eliteprospects.com/player/619179/christopher-lie")</f>
        <v>https://www.eliteprospects.com/player/619179/christopher-lie</v>
      </c>
      <c r="K87" t="s">
        <v>27</v>
      </c>
      <c r="L87" t="s">
        <v>28</v>
      </c>
      <c r="M87" t="s">
        <v>1296</v>
      </c>
      <c r="N87">
        <v>2</v>
      </c>
      <c r="O87" t="s">
        <v>43</v>
      </c>
      <c r="P87">
        <v>0.08</v>
      </c>
      <c r="Q87" t="s">
        <v>245</v>
      </c>
      <c r="R87">
        <v>0</v>
      </c>
      <c r="S87">
        <v>44.4</v>
      </c>
      <c r="T87">
        <v>33.299999999999997</v>
      </c>
      <c r="U87">
        <v>0</v>
      </c>
      <c r="V87">
        <v>22.2</v>
      </c>
    </row>
    <row r="88" spans="1:22" x14ac:dyDescent="0.25">
      <c r="A88" t="s">
        <v>1386</v>
      </c>
      <c r="B88" t="s">
        <v>114</v>
      </c>
      <c r="C88">
        <v>18</v>
      </c>
      <c r="D88" t="s">
        <v>96</v>
      </c>
      <c r="E88" t="s">
        <v>66</v>
      </c>
      <c r="F88" t="s">
        <v>45</v>
      </c>
      <c r="G88">
        <v>0.5</v>
      </c>
      <c r="H88" t="s">
        <v>79</v>
      </c>
      <c r="I88">
        <v>4</v>
      </c>
      <c r="J88" t="str">
        <f>HYPERLINK("https://www.eliteprospects.com/player/417298/michael-bevilacqua")</f>
        <v>https://www.eliteprospects.com/player/417298/michael-bevilacqua</v>
      </c>
      <c r="K88" t="s">
        <v>27</v>
      </c>
      <c r="L88" t="s">
        <v>28</v>
      </c>
      <c r="M88" t="s">
        <v>1296</v>
      </c>
      <c r="N88">
        <v>6</v>
      </c>
      <c r="O88" t="s">
        <v>1387</v>
      </c>
      <c r="P88">
        <v>0.1</v>
      </c>
      <c r="Q88" t="s">
        <v>1300</v>
      </c>
      <c r="R88">
        <v>37.5</v>
      </c>
      <c r="S88">
        <v>12.5</v>
      </c>
      <c r="T88">
        <v>12.5</v>
      </c>
      <c r="U88">
        <v>12.5</v>
      </c>
      <c r="V88">
        <v>25</v>
      </c>
    </row>
    <row r="89" spans="1:22" x14ac:dyDescent="0.25">
      <c r="A89" t="s">
        <v>1388</v>
      </c>
      <c r="B89" t="s">
        <v>312</v>
      </c>
      <c r="C89">
        <v>18</v>
      </c>
      <c r="D89" t="s">
        <v>66</v>
      </c>
      <c r="E89" t="s">
        <v>96</v>
      </c>
      <c r="F89" t="s">
        <v>45</v>
      </c>
      <c r="G89">
        <v>0.5</v>
      </c>
      <c r="H89" t="s">
        <v>39</v>
      </c>
      <c r="I89">
        <v>-15</v>
      </c>
      <c r="J89" t="str">
        <f>HYPERLINK("https://www.eliteprospects.com/player/420054/joey-potter")</f>
        <v>https://www.eliteprospects.com/player/420054/joey-potter</v>
      </c>
      <c r="K89" t="s">
        <v>27</v>
      </c>
      <c r="L89" t="s">
        <v>28</v>
      </c>
      <c r="M89" t="s">
        <v>1296</v>
      </c>
      <c r="N89">
        <v>3</v>
      </c>
      <c r="O89" t="s">
        <v>74</v>
      </c>
      <c r="P89">
        <v>0.1</v>
      </c>
      <c r="Q89" t="s">
        <v>1325</v>
      </c>
      <c r="R89">
        <v>37.5</v>
      </c>
      <c r="S89">
        <v>25</v>
      </c>
      <c r="T89">
        <v>37.5</v>
      </c>
      <c r="U89">
        <v>0</v>
      </c>
      <c r="V89">
        <v>0</v>
      </c>
    </row>
    <row r="90" spans="1:22" x14ac:dyDescent="0.25">
      <c r="A90" t="s">
        <v>1389</v>
      </c>
      <c r="B90" t="s">
        <v>80</v>
      </c>
      <c r="C90">
        <v>20</v>
      </c>
      <c r="D90" t="s">
        <v>66</v>
      </c>
      <c r="E90" t="s">
        <v>96</v>
      </c>
      <c r="F90" t="s">
        <v>45</v>
      </c>
      <c r="G90">
        <v>0.45</v>
      </c>
      <c r="H90" t="s">
        <v>25</v>
      </c>
      <c r="I90">
        <v>7</v>
      </c>
      <c r="J90" t="str">
        <f>HYPERLINK("https://www.eliteprospects.com/player/397847/jarod-crespo")</f>
        <v>https://www.eliteprospects.com/player/397847/jarod-crespo</v>
      </c>
      <c r="K90" t="s">
        <v>27</v>
      </c>
      <c r="L90" t="s">
        <v>28</v>
      </c>
      <c r="M90" t="s">
        <v>1296</v>
      </c>
      <c r="N90">
        <v>4</v>
      </c>
      <c r="O90" t="s">
        <v>30</v>
      </c>
      <c r="P90">
        <v>0.09</v>
      </c>
      <c r="Q90" t="s">
        <v>1300</v>
      </c>
      <c r="R90">
        <v>37.5</v>
      </c>
      <c r="S90">
        <v>12.5</v>
      </c>
      <c r="T90">
        <v>12.5</v>
      </c>
      <c r="U90">
        <v>12.5</v>
      </c>
      <c r="V90">
        <v>25</v>
      </c>
    </row>
    <row r="91" spans="1:22" x14ac:dyDescent="0.25">
      <c r="A91" t="s">
        <v>1390</v>
      </c>
      <c r="B91" t="s">
        <v>139</v>
      </c>
      <c r="C91">
        <v>17</v>
      </c>
      <c r="D91" t="s">
        <v>140</v>
      </c>
      <c r="E91" t="s">
        <v>57</v>
      </c>
      <c r="F91" t="s">
        <v>45</v>
      </c>
      <c r="G91">
        <v>0.53</v>
      </c>
      <c r="H91" t="s">
        <v>32</v>
      </c>
      <c r="I91">
        <v>9</v>
      </c>
      <c r="J91" t="str">
        <f>HYPERLINK("https://www.eliteprospects.com/player/703251/logan-hensler")</f>
        <v>https://www.eliteprospects.com/player/703251/logan-hensler</v>
      </c>
      <c r="K91" t="s">
        <v>27</v>
      </c>
      <c r="L91" t="s">
        <v>28</v>
      </c>
      <c r="M91" t="s">
        <v>1296</v>
      </c>
      <c r="N91">
        <v>2</v>
      </c>
      <c r="O91" t="s">
        <v>43</v>
      </c>
      <c r="P91">
        <v>0.1</v>
      </c>
      <c r="Q91" t="s">
        <v>1309</v>
      </c>
      <c r="R91">
        <v>25</v>
      </c>
      <c r="S91">
        <v>25</v>
      </c>
      <c r="T91">
        <v>16.7</v>
      </c>
      <c r="U91">
        <v>8.3000000000000007</v>
      </c>
      <c r="V91">
        <v>25</v>
      </c>
    </row>
    <row r="92" spans="1:22" x14ac:dyDescent="0.25">
      <c r="A92" t="s">
        <v>1391</v>
      </c>
      <c r="B92" t="s">
        <v>224</v>
      </c>
      <c r="C92">
        <v>18</v>
      </c>
      <c r="D92" t="s">
        <v>140</v>
      </c>
      <c r="E92" t="s">
        <v>57</v>
      </c>
      <c r="F92" t="s">
        <v>45</v>
      </c>
      <c r="G92">
        <v>0.5</v>
      </c>
      <c r="H92" t="s">
        <v>66</v>
      </c>
      <c r="I92">
        <v>-10</v>
      </c>
      <c r="J92" t="str">
        <f>HYPERLINK("https://www.eliteprospects.com/player/504014/michael-craig")</f>
        <v>https://www.eliteprospects.com/player/504014/michael-craig</v>
      </c>
      <c r="K92" t="s">
        <v>27</v>
      </c>
      <c r="L92" t="s">
        <v>28</v>
      </c>
      <c r="M92" t="s">
        <v>1296</v>
      </c>
      <c r="N92">
        <v>3</v>
      </c>
      <c r="O92" t="s">
        <v>74</v>
      </c>
      <c r="P92">
        <v>0.1</v>
      </c>
      <c r="Q92" t="s">
        <v>1325</v>
      </c>
      <c r="R92">
        <v>37.5</v>
      </c>
      <c r="S92">
        <v>25</v>
      </c>
      <c r="T92">
        <v>37.5</v>
      </c>
      <c r="U92">
        <v>0</v>
      </c>
      <c r="V92">
        <v>0</v>
      </c>
    </row>
    <row r="93" spans="1:22" x14ac:dyDescent="0.25">
      <c r="A93" t="s">
        <v>1392</v>
      </c>
      <c r="B93" t="s">
        <v>288</v>
      </c>
      <c r="C93">
        <v>19</v>
      </c>
      <c r="D93" t="s">
        <v>140</v>
      </c>
      <c r="E93" t="s">
        <v>57</v>
      </c>
      <c r="F93" t="s">
        <v>45</v>
      </c>
      <c r="G93">
        <v>0.47</v>
      </c>
      <c r="H93" t="s">
        <v>79</v>
      </c>
      <c r="I93">
        <v>-4</v>
      </c>
      <c r="J93" t="str">
        <f>HYPERLINK("https://www.eliteprospects.com/player/473495/sebastian-tornqvist")</f>
        <v>https://www.eliteprospects.com/player/473495/sebastian-tornqvist</v>
      </c>
      <c r="K93" t="s">
        <v>27</v>
      </c>
      <c r="L93" t="s">
        <v>28</v>
      </c>
      <c r="M93" t="s">
        <v>1296</v>
      </c>
      <c r="N93">
        <v>3</v>
      </c>
      <c r="O93" t="s">
        <v>74</v>
      </c>
      <c r="P93">
        <v>0.09</v>
      </c>
      <c r="Q93" t="s">
        <v>1325</v>
      </c>
      <c r="R93">
        <v>37.5</v>
      </c>
      <c r="S93">
        <v>25</v>
      </c>
      <c r="T93">
        <v>37.5</v>
      </c>
      <c r="U93">
        <v>0</v>
      </c>
      <c r="V93">
        <v>0</v>
      </c>
    </row>
    <row r="94" spans="1:22" x14ac:dyDescent="0.25">
      <c r="A94" t="s">
        <v>1393</v>
      </c>
      <c r="B94" t="s">
        <v>50</v>
      </c>
      <c r="C94">
        <v>22</v>
      </c>
      <c r="D94" t="s">
        <v>140</v>
      </c>
      <c r="E94" t="s">
        <v>57</v>
      </c>
      <c r="F94" t="s">
        <v>45</v>
      </c>
      <c r="G94">
        <v>0.41</v>
      </c>
      <c r="H94" t="s">
        <v>66</v>
      </c>
      <c r="I94">
        <v>18</v>
      </c>
      <c r="J94" t="str">
        <f>HYPERLINK("https://www.eliteprospects.com/player/582775/luca-fantilli")</f>
        <v>https://www.eliteprospects.com/player/582775/luca-fantilli</v>
      </c>
      <c r="K94" t="s">
        <v>27</v>
      </c>
      <c r="L94" t="s">
        <v>28</v>
      </c>
      <c r="M94" t="s">
        <v>1296</v>
      </c>
      <c r="N94">
        <v>4</v>
      </c>
      <c r="O94" t="s">
        <v>30</v>
      </c>
      <c r="P94">
        <v>0.08</v>
      </c>
      <c r="Q94" t="s">
        <v>1325</v>
      </c>
      <c r="R94">
        <v>44.4</v>
      </c>
      <c r="S94">
        <v>11.1</v>
      </c>
      <c r="T94">
        <v>44.4</v>
      </c>
      <c r="U94">
        <v>0</v>
      </c>
      <c r="V94">
        <v>0</v>
      </c>
    </row>
    <row r="95" spans="1:22" x14ac:dyDescent="0.25">
      <c r="A95" t="s">
        <v>1394</v>
      </c>
      <c r="B95" t="s">
        <v>68</v>
      </c>
      <c r="C95">
        <v>22</v>
      </c>
      <c r="D95" t="s">
        <v>140</v>
      </c>
      <c r="E95" t="s">
        <v>57</v>
      </c>
      <c r="F95" t="s">
        <v>45</v>
      </c>
      <c r="G95">
        <v>0.41</v>
      </c>
      <c r="H95" t="s">
        <v>26</v>
      </c>
      <c r="I95">
        <v>6</v>
      </c>
      <c r="J95" t="str">
        <f>HYPERLINK("https://www.eliteprospects.com/player/477345/graham-sward")</f>
        <v>https://www.eliteprospects.com/player/477345/graham-sward</v>
      </c>
      <c r="K95" t="s">
        <v>27</v>
      </c>
      <c r="L95" t="s">
        <v>28</v>
      </c>
      <c r="M95" t="s">
        <v>1296</v>
      </c>
      <c r="N95">
        <v>6</v>
      </c>
      <c r="O95" t="s">
        <v>193</v>
      </c>
      <c r="P95">
        <v>0.08</v>
      </c>
      <c r="Q95" t="s">
        <v>1300</v>
      </c>
      <c r="R95">
        <v>42.9</v>
      </c>
      <c r="S95">
        <v>28.6</v>
      </c>
      <c r="T95">
        <v>28.6</v>
      </c>
      <c r="U95">
        <v>0</v>
      </c>
      <c r="V95">
        <v>0</v>
      </c>
    </row>
    <row r="96" spans="1:22" x14ac:dyDescent="0.25">
      <c r="A96" t="s">
        <v>1395</v>
      </c>
      <c r="B96" t="s">
        <v>131</v>
      </c>
      <c r="C96">
        <v>22</v>
      </c>
      <c r="D96" t="s">
        <v>140</v>
      </c>
      <c r="E96" t="s">
        <v>57</v>
      </c>
      <c r="F96" t="s">
        <v>45</v>
      </c>
      <c r="G96">
        <v>0.41</v>
      </c>
      <c r="H96" t="s">
        <v>24</v>
      </c>
      <c r="I96">
        <v>-4</v>
      </c>
      <c r="J96" t="str">
        <f>HYPERLINK("https://www.eliteprospects.com/player/543780/jude-brower")</f>
        <v>https://www.eliteprospects.com/player/543780/jude-brower</v>
      </c>
      <c r="K96" t="s">
        <v>27</v>
      </c>
      <c r="L96" t="s">
        <v>28</v>
      </c>
      <c r="M96" t="s">
        <v>1296</v>
      </c>
      <c r="N96">
        <v>4</v>
      </c>
      <c r="O96" t="s">
        <v>30</v>
      </c>
      <c r="P96">
        <v>0.08</v>
      </c>
      <c r="Q96" t="s">
        <v>245</v>
      </c>
      <c r="R96">
        <v>0</v>
      </c>
      <c r="S96">
        <v>44.4</v>
      </c>
      <c r="T96">
        <v>33.299999999999997</v>
      </c>
      <c r="U96">
        <v>0</v>
      </c>
      <c r="V96">
        <v>22.2</v>
      </c>
    </row>
    <row r="97" spans="1:22" x14ac:dyDescent="0.25">
      <c r="A97" t="s">
        <v>1396</v>
      </c>
      <c r="B97" t="s">
        <v>120</v>
      </c>
      <c r="C97">
        <v>18</v>
      </c>
      <c r="D97" t="s">
        <v>79</v>
      </c>
      <c r="E97" t="s">
        <v>78</v>
      </c>
      <c r="F97" t="s">
        <v>45</v>
      </c>
      <c r="G97">
        <v>0.5</v>
      </c>
      <c r="H97" t="s">
        <v>269</v>
      </c>
      <c r="I97">
        <v>1</v>
      </c>
      <c r="J97" t="str">
        <f>HYPERLINK("https://www.eliteprospects.com/player/551973/lukas-gustafsson")</f>
        <v>https://www.eliteprospects.com/player/551973/lukas-gustafsson</v>
      </c>
      <c r="K97" t="s">
        <v>27</v>
      </c>
      <c r="L97" t="s">
        <v>28</v>
      </c>
      <c r="M97" t="s">
        <v>1296</v>
      </c>
      <c r="N97">
        <v>4</v>
      </c>
      <c r="O97" t="s">
        <v>30</v>
      </c>
      <c r="P97">
        <v>0.1</v>
      </c>
      <c r="Q97" t="s">
        <v>1325</v>
      </c>
      <c r="R97">
        <v>22.2</v>
      </c>
      <c r="S97">
        <v>11.1</v>
      </c>
      <c r="T97">
        <v>44.4</v>
      </c>
      <c r="U97">
        <v>0</v>
      </c>
      <c r="V97">
        <v>22.2</v>
      </c>
    </row>
    <row r="98" spans="1:22" x14ac:dyDescent="0.25">
      <c r="A98" t="s">
        <v>1397</v>
      </c>
      <c r="B98" t="s">
        <v>158</v>
      </c>
      <c r="C98">
        <v>19</v>
      </c>
      <c r="D98" t="s">
        <v>79</v>
      </c>
      <c r="E98" t="s">
        <v>78</v>
      </c>
      <c r="F98" t="s">
        <v>45</v>
      </c>
      <c r="G98">
        <v>0.47</v>
      </c>
      <c r="H98" t="s">
        <v>132</v>
      </c>
      <c r="I98">
        <v>-4</v>
      </c>
      <c r="J98" t="str">
        <f>HYPERLINK("https://www.eliteprospects.com/player/512126/nathan-rickey")</f>
        <v>https://www.eliteprospects.com/player/512126/nathan-rickey</v>
      </c>
      <c r="K98" t="s">
        <v>27</v>
      </c>
      <c r="L98" t="s">
        <v>28</v>
      </c>
      <c r="M98" t="s">
        <v>1296</v>
      </c>
      <c r="N98">
        <v>2</v>
      </c>
      <c r="O98" t="s">
        <v>43</v>
      </c>
      <c r="P98">
        <v>0.09</v>
      </c>
      <c r="Q98" t="s">
        <v>1325</v>
      </c>
      <c r="R98">
        <v>37.5</v>
      </c>
      <c r="S98">
        <v>25</v>
      </c>
      <c r="T98">
        <v>37.5</v>
      </c>
      <c r="U98">
        <v>0</v>
      </c>
      <c r="V98">
        <v>0</v>
      </c>
    </row>
    <row r="99" spans="1:22" x14ac:dyDescent="0.25">
      <c r="A99" t="s">
        <v>1398</v>
      </c>
      <c r="B99" t="s">
        <v>128</v>
      </c>
      <c r="C99">
        <v>20</v>
      </c>
      <c r="D99" t="s">
        <v>79</v>
      </c>
      <c r="E99" t="s">
        <v>78</v>
      </c>
      <c r="F99" t="s">
        <v>45</v>
      </c>
      <c r="G99">
        <v>0.45</v>
      </c>
      <c r="H99" t="s">
        <v>57</v>
      </c>
      <c r="I99">
        <v>1</v>
      </c>
      <c r="J99" t="str">
        <f>HYPERLINK("https://www.eliteprospects.com/player/715347/brayden-crampton")</f>
        <v>https://www.eliteprospects.com/player/715347/brayden-crampton</v>
      </c>
      <c r="K99" t="s">
        <v>27</v>
      </c>
      <c r="L99" t="s">
        <v>28</v>
      </c>
      <c r="M99" t="s">
        <v>1296</v>
      </c>
      <c r="N99">
        <v>5</v>
      </c>
      <c r="O99" t="s">
        <v>152</v>
      </c>
      <c r="P99">
        <v>0.09</v>
      </c>
      <c r="Q99" t="s">
        <v>1325</v>
      </c>
      <c r="R99">
        <v>22.2</v>
      </c>
      <c r="S99">
        <v>11.1</v>
      </c>
      <c r="T99">
        <v>44.4</v>
      </c>
      <c r="U99">
        <v>0</v>
      </c>
      <c r="V99">
        <v>22.2</v>
      </c>
    </row>
    <row r="100" spans="1:22" x14ac:dyDescent="0.25">
      <c r="A100" t="s">
        <v>1399</v>
      </c>
      <c r="B100" t="s">
        <v>163</v>
      </c>
      <c r="C100">
        <v>20</v>
      </c>
      <c r="D100" t="s">
        <v>79</v>
      </c>
      <c r="E100" t="s">
        <v>78</v>
      </c>
      <c r="F100" t="s">
        <v>45</v>
      </c>
      <c r="G100">
        <v>0.45</v>
      </c>
      <c r="H100" t="s">
        <v>23</v>
      </c>
      <c r="I100">
        <v>5</v>
      </c>
      <c r="J100" t="str">
        <f>HYPERLINK("https://www.eliteprospects.com/player/603753/andrew-centrella")</f>
        <v>https://www.eliteprospects.com/player/603753/andrew-centrella</v>
      </c>
      <c r="K100" t="s">
        <v>27</v>
      </c>
      <c r="L100" t="s">
        <v>28</v>
      </c>
      <c r="M100" t="s">
        <v>1296</v>
      </c>
      <c r="N100">
        <v>3</v>
      </c>
      <c r="O100" t="s">
        <v>74</v>
      </c>
      <c r="P100">
        <v>0.09</v>
      </c>
      <c r="Q100" t="s">
        <v>1300</v>
      </c>
      <c r="R100">
        <v>37.5</v>
      </c>
      <c r="S100">
        <v>12.5</v>
      </c>
      <c r="T100">
        <v>12.5</v>
      </c>
      <c r="U100">
        <v>12.5</v>
      </c>
      <c r="V100">
        <v>25</v>
      </c>
    </row>
    <row r="101" spans="1:22" x14ac:dyDescent="0.25">
      <c r="A101" t="s">
        <v>1400</v>
      </c>
      <c r="B101" t="s">
        <v>180</v>
      </c>
      <c r="C101">
        <v>20</v>
      </c>
      <c r="D101" t="s">
        <v>79</v>
      </c>
      <c r="E101" t="s">
        <v>78</v>
      </c>
      <c r="F101" t="s">
        <v>45</v>
      </c>
      <c r="G101">
        <v>0.45</v>
      </c>
      <c r="H101" t="s">
        <v>46</v>
      </c>
      <c r="I101">
        <v>-11</v>
      </c>
      <c r="J101" t="str">
        <f>HYPERLINK("https://www.eliteprospects.com/player/346981/axel-kumlin")</f>
        <v>https://www.eliteprospects.com/player/346981/axel-kumlin</v>
      </c>
      <c r="K101" t="s">
        <v>27</v>
      </c>
      <c r="L101" t="s">
        <v>28</v>
      </c>
      <c r="M101" t="s">
        <v>1296</v>
      </c>
      <c r="N101">
        <v>4</v>
      </c>
      <c r="O101" t="s">
        <v>30</v>
      </c>
      <c r="P101">
        <v>0.09</v>
      </c>
      <c r="Q101" t="s">
        <v>1325</v>
      </c>
      <c r="R101">
        <v>37.5</v>
      </c>
      <c r="S101">
        <v>25</v>
      </c>
      <c r="T101">
        <v>37.5</v>
      </c>
      <c r="U101">
        <v>0</v>
      </c>
      <c r="V101">
        <v>0</v>
      </c>
    </row>
    <row r="102" spans="1:22" x14ac:dyDescent="0.25">
      <c r="A102" t="s">
        <v>1401</v>
      </c>
      <c r="B102" t="s">
        <v>59</v>
      </c>
      <c r="C102">
        <v>22</v>
      </c>
      <c r="D102" t="s">
        <v>79</v>
      </c>
      <c r="E102" t="s">
        <v>78</v>
      </c>
      <c r="F102" t="s">
        <v>45</v>
      </c>
      <c r="G102">
        <v>0.41</v>
      </c>
      <c r="H102" t="s">
        <v>38</v>
      </c>
      <c r="I102">
        <v>4</v>
      </c>
      <c r="J102" t="str">
        <f>HYPERLINK("https://www.eliteprospects.com/player/481501/frank-djurasevic")</f>
        <v>https://www.eliteprospects.com/player/481501/frank-djurasevic</v>
      </c>
      <c r="K102" t="s">
        <v>27</v>
      </c>
      <c r="L102" t="s">
        <v>28</v>
      </c>
      <c r="M102" t="s">
        <v>1296</v>
      </c>
      <c r="N102">
        <v>3</v>
      </c>
      <c r="O102" t="s">
        <v>74</v>
      </c>
      <c r="P102">
        <v>0.08</v>
      </c>
      <c r="Q102" t="s">
        <v>1300</v>
      </c>
      <c r="R102">
        <v>42.9</v>
      </c>
      <c r="S102">
        <v>28.6</v>
      </c>
      <c r="T102">
        <v>28.6</v>
      </c>
      <c r="U102">
        <v>0</v>
      </c>
      <c r="V102">
        <v>0</v>
      </c>
    </row>
    <row r="103" spans="1:22" x14ac:dyDescent="0.25">
      <c r="A103" t="s">
        <v>1402</v>
      </c>
      <c r="B103" t="s">
        <v>22</v>
      </c>
      <c r="C103">
        <v>23</v>
      </c>
      <c r="D103" t="s">
        <v>79</v>
      </c>
      <c r="E103" t="s">
        <v>78</v>
      </c>
      <c r="F103" t="s">
        <v>45</v>
      </c>
      <c r="G103">
        <v>0.39</v>
      </c>
      <c r="H103" t="s">
        <v>57</v>
      </c>
      <c r="I103">
        <v>-5</v>
      </c>
      <c r="J103" t="str">
        <f>HYPERLINK("https://www.eliteprospects.com/player/535603/justin-kipkie")</f>
        <v>https://www.eliteprospects.com/player/535603/justin-kipkie</v>
      </c>
      <c r="K103" t="s">
        <v>27</v>
      </c>
      <c r="L103" t="s">
        <v>28</v>
      </c>
      <c r="M103" t="s">
        <v>1296</v>
      </c>
      <c r="N103">
        <v>5</v>
      </c>
      <c r="O103" t="s">
        <v>152</v>
      </c>
      <c r="P103">
        <v>0.08</v>
      </c>
      <c r="Q103" t="s">
        <v>245</v>
      </c>
      <c r="R103">
        <v>0</v>
      </c>
      <c r="S103">
        <v>44.4</v>
      </c>
      <c r="T103">
        <v>33.299999999999997</v>
      </c>
      <c r="U103">
        <v>0</v>
      </c>
      <c r="V103">
        <v>22.2</v>
      </c>
    </row>
    <row r="104" spans="1:22" x14ac:dyDescent="0.25">
      <c r="A104" t="s">
        <v>1403</v>
      </c>
      <c r="B104" t="s">
        <v>200</v>
      </c>
      <c r="C104">
        <v>15</v>
      </c>
      <c r="D104" t="s">
        <v>260</v>
      </c>
      <c r="E104" t="s">
        <v>26</v>
      </c>
      <c r="F104" t="s">
        <v>45</v>
      </c>
      <c r="G104">
        <v>0.6</v>
      </c>
      <c r="H104" t="s">
        <v>47</v>
      </c>
      <c r="I104">
        <v>10</v>
      </c>
      <c r="J104" t="str">
        <f>HYPERLINK("https://www.eliteprospects.com/player/626551/george-fegaras")</f>
        <v>https://www.eliteprospects.com/player/626551/george-fegaras</v>
      </c>
      <c r="K104" t="s">
        <v>27</v>
      </c>
      <c r="L104" t="s">
        <v>28</v>
      </c>
      <c r="M104" t="s">
        <v>1296</v>
      </c>
      <c r="N104">
        <v>3</v>
      </c>
      <c r="O104" t="s">
        <v>74</v>
      </c>
      <c r="P104">
        <v>0.12</v>
      </c>
      <c r="Q104" t="s">
        <v>1300</v>
      </c>
      <c r="R104">
        <v>42.9</v>
      </c>
      <c r="S104">
        <v>14.3</v>
      </c>
      <c r="T104">
        <v>7.1</v>
      </c>
      <c r="U104">
        <v>7.1</v>
      </c>
      <c r="V104">
        <v>28.6</v>
      </c>
    </row>
    <row r="105" spans="1:22" x14ac:dyDescent="0.25">
      <c r="A105" t="s">
        <v>1404</v>
      </c>
      <c r="B105" t="s">
        <v>162</v>
      </c>
      <c r="C105">
        <v>20</v>
      </c>
      <c r="D105" t="s">
        <v>260</v>
      </c>
      <c r="E105" t="s">
        <v>26</v>
      </c>
      <c r="F105" t="s">
        <v>45</v>
      </c>
      <c r="G105">
        <v>0.45</v>
      </c>
      <c r="H105" t="s">
        <v>39</v>
      </c>
      <c r="I105">
        <v>2</v>
      </c>
      <c r="J105" t="str">
        <f>HYPERLINK("https://www.eliteprospects.com/player/551342/john-dalton")</f>
        <v>https://www.eliteprospects.com/player/551342/john-dalton</v>
      </c>
      <c r="K105" t="s">
        <v>27</v>
      </c>
      <c r="L105" t="s">
        <v>28</v>
      </c>
      <c r="M105" t="s">
        <v>1296</v>
      </c>
      <c r="N105">
        <v>3</v>
      </c>
      <c r="O105" t="s">
        <v>74</v>
      </c>
      <c r="P105">
        <v>0.09</v>
      </c>
      <c r="Q105" t="s">
        <v>1325</v>
      </c>
      <c r="R105">
        <v>22.2</v>
      </c>
      <c r="S105">
        <v>11.1</v>
      </c>
      <c r="T105">
        <v>44.4</v>
      </c>
      <c r="U105">
        <v>0</v>
      </c>
      <c r="V105">
        <v>22.2</v>
      </c>
    </row>
    <row r="106" spans="1:22" x14ac:dyDescent="0.25">
      <c r="A106" t="s">
        <v>1405</v>
      </c>
      <c r="B106" t="s">
        <v>205</v>
      </c>
      <c r="C106">
        <v>21</v>
      </c>
      <c r="D106" t="s">
        <v>260</v>
      </c>
      <c r="E106" t="s">
        <v>26</v>
      </c>
      <c r="F106" t="s">
        <v>45</v>
      </c>
      <c r="G106">
        <v>0.43</v>
      </c>
      <c r="H106" t="s">
        <v>57</v>
      </c>
      <c r="I106">
        <v>-1</v>
      </c>
      <c r="J106" t="str">
        <f>HYPERLINK("https://www.eliteprospects.com/player/201845/crossley-stewart")</f>
        <v>https://www.eliteprospects.com/player/201845/crossley-stewart</v>
      </c>
      <c r="K106" t="s">
        <v>27</v>
      </c>
      <c r="L106" t="s">
        <v>28</v>
      </c>
      <c r="M106" t="s">
        <v>1296</v>
      </c>
      <c r="N106">
        <v>3</v>
      </c>
      <c r="O106" t="s">
        <v>74</v>
      </c>
      <c r="P106">
        <v>0.08</v>
      </c>
      <c r="Q106" t="s">
        <v>1300</v>
      </c>
      <c r="R106">
        <v>33.299999999999997</v>
      </c>
      <c r="S106">
        <v>22.2</v>
      </c>
      <c r="T106">
        <v>22.2</v>
      </c>
      <c r="U106">
        <v>11.1</v>
      </c>
      <c r="V106">
        <v>11.1</v>
      </c>
    </row>
    <row r="107" spans="1:22" x14ac:dyDescent="0.25">
      <c r="A107" t="s">
        <v>1406</v>
      </c>
      <c r="B107" t="s">
        <v>50</v>
      </c>
      <c r="C107">
        <v>10</v>
      </c>
      <c r="D107" t="s">
        <v>132</v>
      </c>
      <c r="E107" t="s">
        <v>45</v>
      </c>
      <c r="F107" t="s">
        <v>45</v>
      </c>
      <c r="G107">
        <v>0.9</v>
      </c>
      <c r="H107" t="s">
        <v>57</v>
      </c>
      <c r="I107">
        <v>5</v>
      </c>
      <c r="J107" t="str">
        <f>HYPERLINK("https://www.eliteprospects.com/player/577193/henry-mews")</f>
        <v>https://www.eliteprospects.com/player/577193/henry-mews</v>
      </c>
      <c r="K107" t="s">
        <v>27</v>
      </c>
      <c r="L107" t="s">
        <v>28</v>
      </c>
      <c r="M107" t="s">
        <v>1296</v>
      </c>
      <c r="N107">
        <v>4</v>
      </c>
      <c r="O107" t="s">
        <v>100</v>
      </c>
      <c r="P107">
        <v>0.17</v>
      </c>
      <c r="Q107" t="s">
        <v>1300</v>
      </c>
      <c r="R107">
        <v>42.9</v>
      </c>
      <c r="S107">
        <v>14.3</v>
      </c>
      <c r="T107">
        <v>7.1</v>
      </c>
      <c r="U107">
        <v>7.1</v>
      </c>
      <c r="V107">
        <v>28.6</v>
      </c>
    </row>
    <row r="108" spans="1:22" x14ac:dyDescent="0.25">
      <c r="A108" t="s">
        <v>1407</v>
      </c>
      <c r="B108" t="s">
        <v>120</v>
      </c>
      <c r="C108">
        <v>16</v>
      </c>
      <c r="D108" t="s">
        <v>132</v>
      </c>
      <c r="E108" t="s">
        <v>45</v>
      </c>
      <c r="F108" t="s">
        <v>45</v>
      </c>
      <c r="G108">
        <v>0.56000000000000005</v>
      </c>
      <c r="H108" t="s">
        <v>66</v>
      </c>
      <c r="I108">
        <v>13</v>
      </c>
      <c r="J108" t="str">
        <f>HYPERLINK("https://www.eliteprospects.com/player/690461/luka-radivojevic")</f>
        <v>https://www.eliteprospects.com/player/690461/luka-radivojevic</v>
      </c>
      <c r="K108" t="s">
        <v>27</v>
      </c>
      <c r="L108" t="s">
        <v>28</v>
      </c>
      <c r="M108" t="s">
        <v>1296</v>
      </c>
      <c r="N108">
        <v>1</v>
      </c>
      <c r="O108" t="s">
        <v>71</v>
      </c>
      <c r="P108">
        <v>0.11</v>
      </c>
      <c r="Q108" t="s">
        <v>1309</v>
      </c>
      <c r="R108">
        <v>25</v>
      </c>
      <c r="S108">
        <v>25</v>
      </c>
      <c r="T108">
        <v>16.7</v>
      </c>
      <c r="U108">
        <v>8.3000000000000007</v>
      </c>
      <c r="V108">
        <v>25</v>
      </c>
    </row>
    <row r="109" spans="1:22" x14ac:dyDescent="0.25">
      <c r="A109" t="s">
        <v>1408</v>
      </c>
      <c r="B109" t="s">
        <v>50</v>
      </c>
      <c r="C109">
        <v>22</v>
      </c>
      <c r="D109" t="s">
        <v>132</v>
      </c>
      <c r="E109" t="s">
        <v>45</v>
      </c>
      <c r="F109" t="s">
        <v>45</v>
      </c>
      <c r="G109">
        <v>0.41</v>
      </c>
      <c r="H109" t="s">
        <v>564</v>
      </c>
      <c r="I109">
        <v>19</v>
      </c>
      <c r="J109" t="str">
        <f>HYPERLINK("https://www.eliteprospects.com/player/512172/tyler-duke")</f>
        <v>https://www.eliteprospects.com/player/512172/tyler-duke</v>
      </c>
      <c r="K109" t="s">
        <v>27</v>
      </c>
      <c r="L109" t="s">
        <v>28</v>
      </c>
      <c r="M109" t="s">
        <v>1296</v>
      </c>
      <c r="N109">
        <v>4</v>
      </c>
      <c r="O109" t="s">
        <v>30</v>
      </c>
      <c r="P109">
        <v>0.08</v>
      </c>
      <c r="Q109" t="s">
        <v>1325</v>
      </c>
      <c r="R109">
        <v>44.4</v>
      </c>
      <c r="S109">
        <v>11.1</v>
      </c>
      <c r="T109">
        <v>44.4</v>
      </c>
      <c r="U109">
        <v>0</v>
      </c>
      <c r="V109">
        <v>0</v>
      </c>
    </row>
    <row r="110" spans="1:22" x14ac:dyDescent="0.25">
      <c r="A110" t="s">
        <v>1409</v>
      </c>
      <c r="B110" t="s">
        <v>44</v>
      </c>
      <c r="C110">
        <v>24</v>
      </c>
      <c r="D110" t="s">
        <v>140</v>
      </c>
      <c r="E110" t="s">
        <v>96</v>
      </c>
      <c r="F110" t="s">
        <v>26</v>
      </c>
      <c r="G110">
        <v>0.33</v>
      </c>
      <c r="H110" t="s">
        <v>23</v>
      </c>
      <c r="I110">
        <v>13</v>
      </c>
      <c r="J110" t="str">
        <f>HYPERLINK("https://www.eliteprospects.com/player/562925/tyler-miller")</f>
        <v>https://www.eliteprospects.com/player/562925/tyler-miller</v>
      </c>
      <c r="K110" t="s">
        <v>27</v>
      </c>
      <c r="L110" t="s">
        <v>28</v>
      </c>
      <c r="M110" t="s">
        <v>1296</v>
      </c>
      <c r="N110">
        <v>2</v>
      </c>
      <c r="O110" t="s">
        <v>43</v>
      </c>
      <c r="P110">
        <v>0.06</v>
      </c>
      <c r="Q110" t="s">
        <v>1309</v>
      </c>
      <c r="R110">
        <v>14.3</v>
      </c>
      <c r="S110">
        <v>28.6</v>
      </c>
      <c r="T110">
        <v>28.6</v>
      </c>
      <c r="U110">
        <v>0</v>
      </c>
      <c r="V110">
        <v>28.6</v>
      </c>
    </row>
    <row r="111" spans="1:22" x14ac:dyDescent="0.25">
      <c r="A111" t="s">
        <v>1410</v>
      </c>
      <c r="B111" t="s">
        <v>165</v>
      </c>
      <c r="C111">
        <v>18</v>
      </c>
      <c r="D111" t="s">
        <v>79</v>
      </c>
      <c r="E111" t="s">
        <v>57</v>
      </c>
      <c r="F111" t="s">
        <v>26</v>
      </c>
      <c r="G111">
        <v>0.44</v>
      </c>
      <c r="H111" t="s">
        <v>66</v>
      </c>
      <c r="I111">
        <v>-1</v>
      </c>
      <c r="J111" t="str">
        <f>HYPERLINK("https://www.eliteprospects.com/player/505291/joshua-niedermayer")</f>
        <v>https://www.eliteprospects.com/player/505291/joshua-niedermayer</v>
      </c>
      <c r="K111" t="s">
        <v>27</v>
      </c>
      <c r="L111" t="s">
        <v>28</v>
      </c>
      <c r="M111" t="s">
        <v>1296</v>
      </c>
      <c r="N111">
        <v>2</v>
      </c>
      <c r="O111" t="s">
        <v>43</v>
      </c>
      <c r="P111">
        <v>0.09</v>
      </c>
      <c r="Q111" t="s">
        <v>245</v>
      </c>
      <c r="R111">
        <v>14.3</v>
      </c>
      <c r="S111">
        <v>42.9</v>
      </c>
      <c r="T111">
        <v>28.6</v>
      </c>
      <c r="U111">
        <v>0</v>
      </c>
      <c r="V111">
        <v>14.3</v>
      </c>
    </row>
    <row r="112" spans="1:22" x14ac:dyDescent="0.25">
      <c r="A112" t="s">
        <v>1411</v>
      </c>
      <c r="B112" t="s">
        <v>59</v>
      </c>
      <c r="C112">
        <v>18</v>
      </c>
      <c r="D112" t="s">
        <v>79</v>
      </c>
      <c r="E112" t="s">
        <v>57</v>
      </c>
      <c r="F112" t="s">
        <v>26</v>
      </c>
      <c r="G112">
        <v>0.44</v>
      </c>
      <c r="H112" t="s">
        <v>38</v>
      </c>
      <c r="I112">
        <v>10</v>
      </c>
      <c r="J112" t="str">
        <f>HYPERLINK("https://www.eliteprospects.com/player/485737/jeremy-langlois")</f>
        <v>https://www.eliteprospects.com/player/485737/jeremy-langlois</v>
      </c>
      <c r="K112" t="s">
        <v>27</v>
      </c>
      <c r="L112" t="s">
        <v>28</v>
      </c>
      <c r="M112" t="s">
        <v>1296</v>
      </c>
      <c r="N112">
        <v>6</v>
      </c>
      <c r="O112" t="s">
        <v>99</v>
      </c>
      <c r="P112">
        <v>0.09</v>
      </c>
      <c r="Q112" t="s">
        <v>1309</v>
      </c>
      <c r="R112">
        <v>25</v>
      </c>
      <c r="S112">
        <v>25</v>
      </c>
      <c r="T112">
        <v>16.7</v>
      </c>
      <c r="U112">
        <v>8.3000000000000007</v>
      </c>
      <c r="V112">
        <v>25</v>
      </c>
    </row>
    <row r="113" spans="1:22" x14ac:dyDescent="0.25">
      <c r="A113" t="s">
        <v>1412</v>
      </c>
      <c r="B113" t="s">
        <v>161</v>
      </c>
      <c r="C113">
        <v>20</v>
      </c>
      <c r="D113" t="s">
        <v>79</v>
      </c>
      <c r="E113" t="s">
        <v>57</v>
      </c>
      <c r="F113" t="s">
        <v>26</v>
      </c>
      <c r="G113">
        <v>0.4</v>
      </c>
      <c r="H113" t="s">
        <v>39</v>
      </c>
      <c r="I113">
        <v>-3</v>
      </c>
      <c r="J113" t="str">
        <f>HYPERLINK("https://www.eliteprospects.com/player/671535/colton-roberts")</f>
        <v>https://www.eliteprospects.com/player/671535/colton-roberts</v>
      </c>
      <c r="K113" t="s">
        <v>27</v>
      </c>
      <c r="L113" t="s">
        <v>28</v>
      </c>
      <c r="M113" t="s">
        <v>1296</v>
      </c>
      <c r="N113">
        <v>5</v>
      </c>
      <c r="O113" t="s">
        <v>152</v>
      </c>
      <c r="P113">
        <v>0.08</v>
      </c>
      <c r="Q113" t="s">
        <v>245</v>
      </c>
      <c r="R113">
        <v>0</v>
      </c>
      <c r="S113">
        <v>44.4</v>
      </c>
      <c r="T113">
        <v>33.299999999999997</v>
      </c>
      <c r="U113">
        <v>0</v>
      </c>
      <c r="V113">
        <v>22.2</v>
      </c>
    </row>
    <row r="114" spans="1:22" x14ac:dyDescent="0.25">
      <c r="A114" t="s">
        <v>1413</v>
      </c>
      <c r="B114" t="s">
        <v>106</v>
      </c>
      <c r="C114">
        <v>22</v>
      </c>
      <c r="D114" t="s">
        <v>79</v>
      </c>
      <c r="E114" t="s">
        <v>57</v>
      </c>
      <c r="F114" t="s">
        <v>26</v>
      </c>
      <c r="G114">
        <v>0.36</v>
      </c>
      <c r="H114" t="s">
        <v>55</v>
      </c>
      <c r="I114">
        <v>-2</v>
      </c>
      <c r="J114" t="str">
        <f>HYPERLINK("https://www.eliteprospects.com/player/623765/tristan-sarsland")</f>
        <v>https://www.eliteprospects.com/player/623765/tristan-sarsland</v>
      </c>
      <c r="K114" t="s">
        <v>27</v>
      </c>
      <c r="L114" t="s">
        <v>28</v>
      </c>
      <c r="M114" t="s">
        <v>1296</v>
      </c>
      <c r="N114">
        <v>4</v>
      </c>
      <c r="O114" t="s">
        <v>30</v>
      </c>
      <c r="P114">
        <v>7.0000000000000007E-2</v>
      </c>
      <c r="Q114" t="s">
        <v>1300</v>
      </c>
      <c r="R114">
        <v>33.299999999999997</v>
      </c>
      <c r="S114">
        <v>22.2</v>
      </c>
      <c r="T114">
        <v>22.2</v>
      </c>
      <c r="U114">
        <v>11.1</v>
      </c>
      <c r="V114">
        <v>11.1</v>
      </c>
    </row>
    <row r="115" spans="1:22" x14ac:dyDescent="0.25">
      <c r="A115" t="s">
        <v>1414</v>
      </c>
      <c r="B115" t="s">
        <v>202</v>
      </c>
      <c r="C115">
        <v>22</v>
      </c>
      <c r="D115" t="s">
        <v>79</v>
      </c>
      <c r="E115" t="s">
        <v>57</v>
      </c>
      <c r="F115" t="s">
        <v>26</v>
      </c>
      <c r="G115">
        <v>0.36</v>
      </c>
      <c r="H115" t="s">
        <v>33</v>
      </c>
      <c r="I115">
        <v>-4</v>
      </c>
      <c r="J115" t="str">
        <f>HYPERLINK("https://www.eliteprospects.com/player/526087/spencer-sova")</f>
        <v>https://www.eliteprospects.com/player/526087/spencer-sova</v>
      </c>
      <c r="K115" t="s">
        <v>27</v>
      </c>
      <c r="L115" t="s">
        <v>28</v>
      </c>
      <c r="M115" t="s">
        <v>1296</v>
      </c>
      <c r="N115">
        <v>5</v>
      </c>
      <c r="O115" t="s">
        <v>147</v>
      </c>
      <c r="P115">
        <v>7.0000000000000007E-2</v>
      </c>
      <c r="Q115" t="s">
        <v>245</v>
      </c>
      <c r="R115">
        <v>0</v>
      </c>
      <c r="S115">
        <v>44.4</v>
      </c>
      <c r="T115">
        <v>33.299999999999997</v>
      </c>
      <c r="U115">
        <v>0</v>
      </c>
      <c r="V115">
        <v>22.2</v>
      </c>
    </row>
    <row r="116" spans="1:22" x14ac:dyDescent="0.25">
      <c r="A116" t="s">
        <v>1415</v>
      </c>
      <c r="B116" t="s">
        <v>106</v>
      </c>
      <c r="C116">
        <v>22</v>
      </c>
      <c r="D116" t="s">
        <v>79</v>
      </c>
      <c r="E116" t="s">
        <v>57</v>
      </c>
      <c r="F116" t="s">
        <v>26</v>
      </c>
      <c r="G116">
        <v>0.36</v>
      </c>
      <c r="H116" t="s">
        <v>40</v>
      </c>
      <c r="I116">
        <v>-4</v>
      </c>
      <c r="J116" t="str">
        <f>HYPERLINK("https://www.eliteprospects.com/player/559022/ty-brassington")</f>
        <v>https://www.eliteprospects.com/player/559022/ty-brassington</v>
      </c>
      <c r="K116" t="s">
        <v>27</v>
      </c>
      <c r="L116" t="s">
        <v>28</v>
      </c>
      <c r="M116" t="s">
        <v>1296</v>
      </c>
      <c r="N116">
        <v>2</v>
      </c>
      <c r="O116" t="s">
        <v>43</v>
      </c>
      <c r="P116">
        <v>7.0000000000000007E-2</v>
      </c>
      <c r="Q116" t="s">
        <v>245</v>
      </c>
      <c r="R116">
        <v>0</v>
      </c>
      <c r="S116">
        <v>44.4</v>
      </c>
      <c r="T116">
        <v>33.299999999999997</v>
      </c>
      <c r="U116">
        <v>0</v>
      </c>
      <c r="V116">
        <v>22.2</v>
      </c>
    </row>
    <row r="117" spans="1:22" x14ac:dyDescent="0.25">
      <c r="A117" t="s">
        <v>1416</v>
      </c>
      <c r="B117" t="s">
        <v>121</v>
      </c>
      <c r="C117">
        <v>18</v>
      </c>
      <c r="D117" t="s">
        <v>260</v>
      </c>
      <c r="E117" t="s">
        <v>78</v>
      </c>
      <c r="F117" t="s">
        <v>26</v>
      </c>
      <c r="G117">
        <v>0.44</v>
      </c>
      <c r="H117" t="s">
        <v>32</v>
      </c>
      <c r="I117">
        <v>0</v>
      </c>
      <c r="J117" t="str">
        <f>HYPERLINK("https://www.eliteprospects.com/player/296824/trevor-griebel")</f>
        <v>https://www.eliteprospects.com/player/296824/trevor-griebel</v>
      </c>
      <c r="K117" t="s">
        <v>27</v>
      </c>
      <c r="L117" t="s">
        <v>28</v>
      </c>
      <c r="M117" t="s">
        <v>1417</v>
      </c>
      <c r="N117">
        <v>4</v>
      </c>
      <c r="O117" t="s">
        <v>30</v>
      </c>
      <c r="P117">
        <v>0.09</v>
      </c>
      <c r="Q117" t="s">
        <v>245</v>
      </c>
      <c r="R117">
        <v>14.3</v>
      </c>
      <c r="S117">
        <v>42.9</v>
      </c>
      <c r="T117">
        <v>28.6</v>
      </c>
      <c r="U117">
        <v>0</v>
      </c>
      <c r="V117">
        <v>14.3</v>
      </c>
    </row>
    <row r="118" spans="1:22" x14ac:dyDescent="0.25">
      <c r="A118" t="s">
        <v>1418</v>
      </c>
      <c r="B118" t="s">
        <v>86</v>
      </c>
      <c r="C118">
        <v>20</v>
      </c>
      <c r="D118" t="s">
        <v>260</v>
      </c>
      <c r="E118" t="s">
        <v>78</v>
      </c>
      <c r="F118" t="s">
        <v>26</v>
      </c>
      <c r="G118">
        <v>0.4</v>
      </c>
      <c r="H118" t="s">
        <v>26</v>
      </c>
      <c r="I118">
        <v>12</v>
      </c>
      <c r="J118" t="str">
        <f>HYPERLINK("https://www.eliteprospects.com/player/595301/maxim-strbak")</f>
        <v>https://www.eliteprospects.com/player/595301/maxim-strbak</v>
      </c>
      <c r="K118" t="s">
        <v>27</v>
      </c>
      <c r="L118" t="s">
        <v>28</v>
      </c>
      <c r="M118" t="s">
        <v>1296</v>
      </c>
      <c r="N118">
        <v>3</v>
      </c>
      <c r="O118" t="s">
        <v>74</v>
      </c>
      <c r="P118">
        <v>0.08</v>
      </c>
      <c r="Q118" t="s">
        <v>1325</v>
      </c>
      <c r="R118">
        <v>44.4</v>
      </c>
      <c r="S118">
        <v>11.1</v>
      </c>
      <c r="T118">
        <v>44.4</v>
      </c>
      <c r="U118">
        <v>0</v>
      </c>
      <c r="V118">
        <v>0</v>
      </c>
    </row>
    <row r="119" spans="1:22" x14ac:dyDescent="0.25">
      <c r="A119" t="s">
        <v>1419</v>
      </c>
      <c r="B119" t="s">
        <v>124</v>
      </c>
      <c r="C119">
        <v>20</v>
      </c>
      <c r="D119" t="s">
        <v>260</v>
      </c>
      <c r="E119" t="s">
        <v>78</v>
      </c>
      <c r="F119" t="s">
        <v>26</v>
      </c>
      <c r="G119">
        <v>0.4</v>
      </c>
      <c r="H119" t="s">
        <v>32</v>
      </c>
      <c r="I119">
        <v>4</v>
      </c>
      <c r="J119" t="str">
        <f>HYPERLINK("https://www.eliteprospects.com/player/568966/ryder-thompson")</f>
        <v>https://www.eliteprospects.com/player/568966/ryder-thompson</v>
      </c>
      <c r="K119" t="s">
        <v>27</v>
      </c>
      <c r="L119" t="s">
        <v>28</v>
      </c>
      <c r="M119" t="s">
        <v>1296</v>
      </c>
      <c r="N119">
        <v>7</v>
      </c>
      <c r="O119" t="s">
        <v>250</v>
      </c>
      <c r="P119">
        <v>0.08</v>
      </c>
      <c r="Q119" t="s">
        <v>1300</v>
      </c>
      <c r="R119">
        <v>42.9</v>
      </c>
      <c r="S119">
        <v>28.6</v>
      </c>
      <c r="T119">
        <v>28.6</v>
      </c>
      <c r="U119">
        <v>0</v>
      </c>
      <c r="V119">
        <v>0</v>
      </c>
    </row>
    <row r="120" spans="1:22" x14ac:dyDescent="0.25">
      <c r="A120" t="s">
        <v>1420</v>
      </c>
      <c r="B120" t="s">
        <v>86</v>
      </c>
      <c r="C120">
        <v>20</v>
      </c>
      <c r="D120" t="s">
        <v>260</v>
      </c>
      <c r="E120" t="s">
        <v>78</v>
      </c>
      <c r="F120" t="s">
        <v>26</v>
      </c>
      <c r="G120">
        <v>0.4</v>
      </c>
      <c r="H120" t="s">
        <v>32</v>
      </c>
      <c r="I120">
        <v>15</v>
      </c>
      <c r="J120" t="str">
        <f>HYPERLINK("https://www.eliteprospects.com/player/634896/colin-ralph")</f>
        <v>https://www.eliteprospects.com/player/634896/colin-ralph</v>
      </c>
      <c r="K120" t="s">
        <v>27</v>
      </c>
      <c r="L120" t="s">
        <v>28</v>
      </c>
      <c r="M120" t="s">
        <v>1296</v>
      </c>
      <c r="N120">
        <v>2</v>
      </c>
      <c r="O120" t="s">
        <v>43</v>
      </c>
      <c r="P120">
        <v>0.08</v>
      </c>
      <c r="Q120" t="s">
        <v>1325</v>
      </c>
      <c r="R120">
        <v>44.4</v>
      </c>
      <c r="S120">
        <v>11.1</v>
      </c>
      <c r="T120">
        <v>44.4</v>
      </c>
      <c r="U120">
        <v>0</v>
      </c>
      <c r="V120">
        <v>0</v>
      </c>
    </row>
    <row r="121" spans="1:22" x14ac:dyDescent="0.25">
      <c r="A121" t="s">
        <v>1421</v>
      </c>
      <c r="B121" t="s">
        <v>145</v>
      </c>
      <c r="C121">
        <v>21</v>
      </c>
      <c r="D121" t="s">
        <v>260</v>
      </c>
      <c r="E121" t="s">
        <v>78</v>
      </c>
      <c r="F121" t="s">
        <v>26</v>
      </c>
      <c r="G121">
        <v>0.38</v>
      </c>
      <c r="H121" t="s">
        <v>32</v>
      </c>
      <c r="I121">
        <v>1</v>
      </c>
      <c r="J121" t="str">
        <f>HYPERLINK("https://www.eliteprospects.com/player/571957/garrett-brown")</f>
        <v>https://www.eliteprospects.com/player/571957/garrett-brown</v>
      </c>
      <c r="K121" t="s">
        <v>27</v>
      </c>
      <c r="L121" t="s">
        <v>28</v>
      </c>
      <c r="M121" t="s">
        <v>1296</v>
      </c>
      <c r="N121">
        <v>3</v>
      </c>
      <c r="O121" t="s">
        <v>74</v>
      </c>
      <c r="P121">
        <v>7.0000000000000007E-2</v>
      </c>
      <c r="Q121" t="s">
        <v>1325</v>
      </c>
      <c r="R121">
        <v>33.299999999999997</v>
      </c>
      <c r="S121">
        <v>16.7</v>
      </c>
      <c r="T121">
        <v>33.299999999999997</v>
      </c>
      <c r="U121">
        <v>16.7</v>
      </c>
      <c r="V121">
        <v>0</v>
      </c>
    </row>
    <row r="122" spans="1:22" x14ac:dyDescent="0.25">
      <c r="A122" t="s">
        <v>1422</v>
      </c>
      <c r="B122" t="s">
        <v>161</v>
      </c>
      <c r="C122">
        <v>22</v>
      </c>
      <c r="D122" t="s">
        <v>260</v>
      </c>
      <c r="E122" t="s">
        <v>78</v>
      </c>
      <c r="F122" t="s">
        <v>26</v>
      </c>
      <c r="G122">
        <v>0.36</v>
      </c>
      <c r="H122" t="s">
        <v>55</v>
      </c>
      <c r="I122">
        <v>0</v>
      </c>
      <c r="J122" t="str">
        <f>HYPERLINK("https://www.eliteprospects.com/player/702620/fisher-scott")</f>
        <v>https://www.eliteprospects.com/player/702620/fisher-scott</v>
      </c>
      <c r="K122" t="s">
        <v>27</v>
      </c>
      <c r="L122" t="s">
        <v>28</v>
      </c>
      <c r="M122" t="s">
        <v>1296</v>
      </c>
      <c r="N122">
        <v>2</v>
      </c>
      <c r="O122" t="s">
        <v>43</v>
      </c>
      <c r="P122">
        <v>7.0000000000000007E-2</v>
      </c>
      <c r="Q122" t="s">
        <v>1300</v>
      </c>
      <c r="R122">
        <v>33.299999999999997</v>
      </c>
      <c r="S122">
        <v>22.2</v>
      </c>
      <c r="T122">
        <v>22.2</v>
      </c>
      <c r="U122">
        <v>11.1</v>
      </c>
      <c r="V122">
        <v>11.1</v>
      </c>
    </row>
    <row r="123" spans="1:22" x14ac:dyDescent="0.25">
      <c r="A123" t="s">
        <v>1423</v>
      </c>
      <c r="B123" t="s">
        <v>44</v>
      </c>
      <c r="C123">
        <v>24</v>
      </c>
      <c r="D123" t="s">
        <v>260</v>
      </c>
      <c r="E123" t="s">
        <v>78</v>
      </c>
      <c r="F123" t="s">
        <v>26</v>
      </c>
      <c r="G123">
        <v>0.33</v>
      </c>
      <c r="H123" t="s">
        <v>55</v>
      </c>
      <c r="I123">
        <v>3</v>
      </c>
      <c r="J123" t="str">
        <f>HYPERLINK("https://www.eliteprospects.com/player/587803/joe-prouty")</f>
        <v>https://www.eliteprospects.com/player/587803/joe-prouty</v>
      </c>
      <c r="K123" t="s">
        <v>27</v>
      </c>
      <c r="L123" t="s">
        <v>28</v>
      </c>
      <c r="M123" t="s">
        <v>1296</v>
      </c>
      <c r="N123">
        <v>4</v>
      </c>
      <c r="O123" t="s">
        <v>30</v>
      </c>
      <c r="P123">
        <v>0.06</v>
      </c>
      <c r="Q123" t="s">
        <v>1300</v>
      </c>
      <c r="R123">
        <v>57.1</v>
      </c>
      <c r="S123">
        <v>28.6</v>
      </c>
      <c r="T123">
        <v>0</v>
      </c>
      <c r="U123">
        <v>14.3</v>
      </c>
      <c r="V123">
        <v>0</v>
      </c>
    </row>
    <row r="124" spans="1:22" x14ac:dyDescent="0.25">
      <c r="A124" t="s">
        <v>1424</v>
      </c>
      <c r="B124" t="s">
        <v>200</v>
      </c>
      <c r="C124">
        <v>15</v>
      </c>
      <c r="D124" t="s">
        <v>132</v>
      </c>
      <c r="E124" t="s">
        <v>26</v>
      </c>
      <c r="F124" t="s">
        <v>26</v>
      </c>
      <c r="G124">
        <v>0.53</v>
      </c>
      <c r="H124" t="s">
        <v>26</v>
      </c>
      <c r="I124">
        <v>-1</v>
      </c>
      <c r="J124" t="str">
        <f>HYPERLINK("https://www.eliteprospects.com/player/535577/hoyt-stanley")</f>
        <v>https://www.eliteprospects.com/player/535577/hoyt-stanley</v>
      </c>
      <c r="K124" t="s">
        <v>27</v>
      </c>
      <c r="L124" t="s">
        <v>28</v>
      </c>
      <c r="M124" t="s">
        <v>1296</v>
      </c>
      <c r="N124">
        <v>3</v>
      </c>
      <c r="O124" t="s">
        <v>74</v>
      </c>
      <c r="P124">
        <v>0.1</v>
      </c>
      <c r="Q124" t="s">
        <v>245</v>
      </c>
      <c r="R124">
        <v>14.3</v>
      </c>
      <c r="S124">
        <v>42.9</v>
      </c>
      <c r="T124">
        <v>28.6</v>
      </c>
      <c r="U124">
        <v>0</v>
      </c>
      <c r="V124">
        <v>14.3</v>
      </c>
    </row>
    <row r="125" spans="1:22" x14ac:dyDescent="0.25">
      <c r="A125" t="s">
        <v>1425</v>
      </c>
      <c r="B125" t="s">
        <v>101</v>
      </c>
      <c r="C125">
        <v>19</v>
      </c>
      <c r="D125" t="s">
        <v>132</v>
      </c>
      <c r="E125" t="s">
        <v>26</v>
      </c>
      <c r="F125" t="s">
        <v>26</v>
      </c>
      <c r="G125">
        <v>0.42</v>
      </c>
      <c r="H125" t="s">
        <v>32</v>
      </c>
      <c r="I125">
        <v>4</v>
      </c>
      <c r="J125" t="str">
        <f>HYPERLINK("https://www.eliteprospects.com/player/410642/dylan-finlay")</f>
        <v>https://www.eliteprospects.com/player/410642/dylan-finlay</v>
      </c>
      <c r="K125" t="s">
        <v>27</v>
      </c>
      <c r="L125" t="s">
        <v>28</v>
      </c>
      <c r="M125" t="s">
        <v>1296</v>
      </c>
      <c r="N125">
        <v>4</v>
      </c>
      <c r="O125" t="s">
        <v>30</v>
      </c>
      <c r="P125">
        <v>0.08</v>
      </c>
      <c r="Q125" t="s">
        <v>1300</v>
      </c>
      <c r="R125">
        <v>42.9</v>
      </c>
      <c r="S125">
        <v>28.6</v>
      </c>
      <c r="T125">
        <v>28.6</v>
      </c>
      <c r="U125">
        <v>0</v>
      </c>
      <c r="V125">
        <v>0</v>
      </c>
    </row>
    <row r="126" spans="1:22" x14ac:dyDescent="0.25">
      <c r="A126" t="s">
        <v>1426</v>
      </c>
      <c r="B126" t="s">
        <v>114</v>
      </c>
      <c r="C126">
        <v>20</v>
      </c>
      <c r="D126" t="s">
        <v>132</v>
      </c>
      <c r="E126" t="s">
        <v>26</v>
      </c>
      <c r="F126" t="s">
        <v>26</v>
      </c>
      <c r="G126">
        <v>0.4</v>
      </c>
      <c r="H126" t="s">
        <v>32</v>
      </c>
      <c r="I126">
        <v>-5</v>
      </c>
      <c r="J126" t="str">
        <f>HYPERLINK("https://www.eliteprospects.com/player/616252/ethan-elias")</f>
        <v>https://www.eliteprospects.com/player/616252/ethan-elias</v>
      </c>
      <c r="K126" t="s">
        <v>27</v>
      </c>
      <c r="L126" t="s">
        <v>28</v>
      </c>
      <c r="M126" t="s">
        <v>1296</v>
      </c>
      <c r="N126">
        <v>2</v>
      </c>
      <c r="O126" t="s">
        <v>43</v>
      </c>
      <c r="P126">
        <v>0.08</v>
      </c>
      <c r="Q126" t="s">
        <v>245</v>
      </c>
      <c r="R126">
        <v>0</v>
      </c>
      <c r="S126">
        <v>44.4</v>
      </c>
      <c r="T126">
        <v>33.299999999999997</v>
      </c>
      <c r="U126">
        <v>0</v>
      </c>
      <c r="V126">
        <v>22.2</v>
      </c>
    </row>
    <row r="127" spans="1:22" x14ac:dyDescent="0.25">
      <c r="A127" t="s">
        <v>1427</v>
      </c>
      <c r="B127" t="s">
        <v>184</v>
      </c>
      <c r="C127">
        <v>21</v>
      </c>
      <c r="D127" t="s">
        <v>132</v>
      </c>
      <c r="E127" t="s">
        <v>26</v>
      </c>
      <c r="F127" t="s">
        <v>26</v>
      </c>
      <c r="G127">
        <v>0.38</v>
      </c>
      <c r="H127" t="s">
        <v>57</v>
      </c>
      <c r="I127">
        <v>13</v>
      </c>
      <c r="J127" t="str">
        <f>HYPERLINK("https://www.eliteprospects.com/player/535572/kai-janviriya")</f>
        <v>https://www.eliteprospects.com/player/535572/kai-janviriya</v>
      </c>
      <c r="K127" t="s">
        <v>27</v>
      </c>
      <c r="L127" t="s">
        <v>28</v>
      </c>
      <c r="M127" t="s">
        <v>1296</v>
      </c>
      <c r="N127">
        <v>2</v>
      </c>
      <c r="O127" t="s">
        <v>43</v>
      </c>
      <c r="P127">
        <v>7.0000000000000007E-2</v>
      </c>
      <c r="Q127" t="s">
        <v>1325</v>
      </c>
      <c r="R127">
        <v>44.4</v>
      </c>
      <c r="S127">
        <v>11.1</v>
      </c>
      <c r="T127">
        <v>44.4</v>
      </c>
      <c r="U127">
        <v>0</v>
      </c>
      <c r="V127">
        <v>0</v>
      </c>
    </row>
    <row r="128" spans="1:22" x14ac:dyDescent="0.25">
      <c r="A128" t="s">
        <v>1428</v>
      </c>
      <c r="B128" t="s">
        <v>121</v>
      </c>
      <c r="C128">
        <v>21</v>
      </c>
      <c r="D128" t="s">
        <v>132</v>
      </c>
      <c r="E128" t="s">
        <v>26</v>
      </c>
      <c r="F128" t="s">
        <v>26</v>
      </c>
      <c r="G128">
        <v>0.38</v>
      </c>
      <c r="H128" t="s">
        <v>39</v>
      </c>
      <c r="I128">
        <v>-1</v>
      </c>
      <c r="J128" t="str">
        <f>HYPERLINK("https://www.eliteprospects.com/player/558797/trenton-powell")</f>
        <v>https://www.eliteprospects.com/player/558797/trenton-powell</v>
      </c>
      <c r="K128" t="s">
        <v>27</v>
      </c>
      <c r="L128" t="s">
        <v>28</v>
      </c>
      <c r="M128" t="s">
        <v>1296</v>
      </c>
      <c r="N128">
        <v>2</v>
      </c>
      <c r="O128" t="s">
        <v>43</v>
      </c>
      <c r="P128">
        <v>7.0000000000000007E-2</v>
      </c>
      <c r="Q128" t="s">
        <v>1300</v>
      </c>
      <c r="R128">
        <v>33.299999999999997</v>
      </c>
      <c r="S128">
        <v>22.2</v>
      </c>
      <c r="T128">
        <v>22.2</v>
      </c>
      <c r="U128">
        <v>11.1</v>
      </c>
      <c r="V128">
        <v>11.1</v>
      </c>
    </row>
    <row r="129" spans="1:22" x14ac:dyDescent="0.25">
      <c r="A129" t="s">
        <v>1429</v>
      </c>
      <c r="B129" t="s">
        <v>64</v>
      </c>
      <c r="C129">
        <v>22</v>
      </c>
      <c r="D129" t="s">
        <v>96</v>
      </c>
      <c r="E129" t="s">
        <v>79</v>
      </c>
      <c r="F129" t="s">
        <v>78</v>
      </c>
      <c r="G129">
        <v>0.32</v>
      </c>
      <c r="H129" t="s">
        <v>57</v>
      </c>
      <c r="I129">
        <v>11</v>
      </c>
      <c r="J129" t="str">
        <f>HYPERLINK("https://www.eliteprospects.com/player/676848/hayes-hundley")</f>
        <v>https://www.eliteprospects.com/player/676848/hayes-hundley</v>
      </c>
      <c r="K129" t="s">
        <v>27</v>
      </c>
      <c r="L129" t="s">
        <v>28</v>
      </c>
      <c r="M129" t="s">
        <v>1296</v>
      </c>
      <c r="N129">
        <v>1</v>
      </c>
      <c r="O129" t="s">
        <v>71</v>
      </c>
      <c r="P129">
        <v>0.06</v>
      </c>
      <c r="Q129" t="s">
        <v>1309</v>
      </c>
      <c r="R129">
        <v>14.3</v>
      </c>
      <c r="S129">
        <v>28.6</v>
      </c>
      <c r="T129">
        <v>28.6</v>
      </c>
      <c r="U129">
        <v>0</v>
      </c>
      <c r="V129">
        <v>28.6</v>
      </c>
    </row>
    <row r="130" spans="1:22" x14ac:dyDescent="0.25">
      <c r="A130" t="s">
        <v>1430</v>
      </c>
      <c r="B130" t="s">
        <v>90</v>
      </c>
      <c r="C130">
        <v>20</v>
      </c>
      <c r="D130" t="s">
        <v>66</v>
      </c>
      <c r="E130" t="s">
        <v>140</v>
      </c>
      <c r="F130" t="s">
        <v>78</v>
      </c>
      <c r="G130">
        <v>0.35</v>
      </c>
      <c r="H130" t="s">
        <v>57</v>
      </c>
      <c r="I130">
        <v>3</v>
      </c>
      <c r="J130" t="str">
        <f>HYPERLINK("https://www.eliteprospects.com/player/382759/noah-ellis")</f>
        <v>https://www.eliteprospects.com/player/382759/noah-ellis</v>
      </c>
      <c r="K130" t="s">
        <v>27</v>
      </c>
      <c r="L130" t="s">
        <v>28</v>
      </c>
      <c r="M130" t="s">
        <v>1296</v>
      </c>
      <c r="N130">
        <v>4</v>
      </c>
      <c r="O130" t="s">
        <v>30</v>
      </c>
      <c r="P130">
        <v>7.0000000000000007E-2</v>
      </c>
      <c r="Q130" t="s">
        <v>1325</v>
      </c>
      <c r="R130">
        <v>33.299999999999997</v>
      </c>
      <c r="S130">
        <v>16.7</v>
      </c>
      <c r="T130">
        <v>33.299999999999997</v>
      </c>
      <c r="U130">
        <v>16.7</v>
      </c>
      <c r="V130">
        <v>0</v>
      </c>
    </row>
    <row r="131" spans="1:22" x14ac:dyDescent="0.25">
      <c r="A131" t="s">
        <v>1431</v>
      </c>
      <c r="B131" t="s">
        <v>180</v>
      </c>
      <c r="C131">
        <v>19</v>
      </c>
      <c r="D131" t="s">
        <v>140</v>
      </c>
      <c r="E131" t="s">
        <v>66</v>
      </c>
      <c r="F131" t="s">
        <v>78</v>
      </c>
      <c r="G131">
        <v>0.37</v>
      </c>
      <c r="H131" t="s">
        <v>47</v>
      </c>
      <c r="I131">
        <v>-12</v>
      </c>
      <c r="J131" t="str">
        <f>HYPERLINK("https://www.eliteprospects.com/player/570755/michael-mastrodomenico")</f>
        <v>https://www.eliteprospects.com/player/570755/michael-mastrodomenico</v>
      </c>
      <c r="K131" t="s">
        <v>27</v>
      </c>
      <c r="L131" t="s">
        <v>28</v>
      </c>
      <c r="M131" t="s">
        <v>1296</v>
      </c>
      <c r="N131">
        <v>4</v>
      </c>
      <c r="O131" t="s">
        <v>30</v>
      </c>
      <c r="P131">
        <v>7.0000000000000007E-2</v>
      </c>
      <c r="Q131" t="s">
        <v>245</v>
      </c>
      <c r="R131">
        <v>0</v>
      </c>
      <c r="S131">
        <v>44.4</v>
      </c>
      <c r="T131">
        <v>33.299999999999997</v>
      </c>
      <c r="U131">
        <v>0</v>
      </c>
      <c r="V131">
        <v>22.2</v>
      </c>
    </row>
    <row r="132" spans="1:22" x14ac:dyDescent="0.25">
      <c r="A132" t="s">
        <v>1432</v>
      </c>
      <c r="B132" t="s">
        <v>44</v>
      </c>
      <c r="C132">
        <v>24</v>
      </c>
      <c r="D132" t="s">
        <v>140</v>
      </c>
      <c r="E132" t="s">
        <v>66</v>
      </c>
      <c r="F132" t="s">
        <v>78</v>
      </c>
      <c r="G132">
        <v>0.28999999999999998</v>
      </c>
      <c r="H132" t="s">
        <v>26</v>
      </c>
      <c r="I132">
        <v>5</v>
      </c>
      <c r="J132" t="str">
        <f>HYPERLINK("https://www.eliteprospects.com/player/569257/kalem-parker")</f>
        <v>https://www.eliteprospects.com/player/569257/kalem-parker</v>
      </c>
      <c r="K132" t="s">
        <v>27</v>
      </c>
      <c r="L132" t="s">
        <v>28</v>
      </c>
      <c r="M132" t="s">
        <v>1296</v>
      </c>
      <c r="N132">
        <v>6</v>
      </c>
      <c r="O132" t="s">
        <v>193</v>
      </c>
      <c r="P132">
        <v>0.06</v>
      </c>
      <c r="Q132" t="s">
        <v>1325</v>
      </c>
      <c r="R132">
        <v>18.2</v>
      </c>
      <c r="S132">
        <v>9.1</v>
      </c>
      <c r="T132">
        <v>63.6</v>
      </c>
      <c r="U132">
        <v>0</v>
      </c>
      <c r="V132">
        <v>9.1</v>
      </c>
    </row>
    <row r="133" spans="1:22" x14ac:dyDescent="0.25">
      <c r="A133" t="s">
        <v>1433</v>
      </c>
      <c r="B133" t="s">
        <v>189</v>
      </c>
      <c r="C133">
        <v>24</v>
      </c>
      <c r="D133" t="s">
        <v>140</v>
      </c>
      <c r="E133" t="s">
        <v>66</v>
      </c>
      <c r="F133" t="s">
        <v>78</v>
      </c>
      <c r="G133">
        <v>0.28999999999999998</v>
      </c>
      <c r="H133" t="s">
        <v>32</v>
      </c>
      <c r="I133">
        <v>-14</v>
      </c>
      <c r="J133" t="str">
        <f>HYPERLINK("https://www.eliteprospects.com/player/417574/jack-mesic")</f>
        <v>https://www.eliteprospects.com/player/417574/jack-mesic</v>
      </c>
      <c r="K133" t="s">
        <v>27</v>
      </c>
      <c r="L133" t="s">
        <v>28</v>
      </c>
      <c r="M133" t="s">
        <v>1296</v>
      </c>
      <c r="N133">
        <v>3</v>
      </c>
      <c r="O133" t="s">
        <v>74</v>
      </c>
      <c r="P133">
        <v>0.06</v>
      </c>
      <c r="Q133" t="s">
        <v>1309</v>
      </c>
      <c r="R133">
        <v>0</v>
      </c>
      <c r="S133">
        <v>20</v>
      </c>
      <c r="T133">
        <v>40</v>
      </c>
      <c r="U133">
        <v>0</v>
      </c>
      <c r="V133">
        <v>40</v>
      </c>
    </row>
    <row r="134" spans="1:22" x14ac:dyDescent="0.25">
      <c r="A134" t="s">
        <v>1434</v>
      </c>
      <c r="B134" t="s">
        <v>167</v>
      </c>
      <c r="C134">
        <v>14</v>
      </c>
      <c r="D134" t="s">
        <v>79</v>
      </c>
      <c r="E134" t="s">
        <v>96</v>
      </c>
      <c r="F134" t="s">
        <v>78</v>
      </c>
      <c r="G134">
        <v>0.5</v>
      </c>
      <c r="H134" t="s">
        <v>32</v>
      </c>
      <c r="I134">
        <v>0</v>
      </c>
      <c r="J134" t="str">
        <f>HYPERLINK("https://www.eliteprospects.com/player/655345/ryan-healey")</f>
        <v>https://www.eliteprospects.com/player/655345/ryan-healey</v>
      </c>
      <c r="K134" t="s">
        <v>27</v>
      </c>
      <c r="L134" t="s">
        <v>28</v>
      </c>
      <c r="M134" t="s">
        <v>1296</v>
      </c>
      <c r="N134">
        <v>4</v>
      </c>
      <c r="O134" t="s">
        <v>30</v>
      </c>
      <c r="P134">
        <v>0.1</v>
      </c>
      <c r="Q134" t="s">
        <v>245</v>
      </c>
      <c r="R134">
        <v>14.3</v>
      </c>
      <c r="S134">
        <v>42.9</v>
      </c>
      <c r="T134">
        <v>28.6</v>
      </c>
      <c r="U134">
        <v>0</v>
      </c>
      <c r="V134">
        <v>14.3</v>
      </c>
    </row>
    <row r="135" spans="1:22" x14ac:dyDescent="0.25">
      <c r="A135" t="s">
        <v>1435</v>
      </c>
      <c r="B135" t="s">
        <v>68</v>
      </c>
      <c r="C135">
        <v>15</v>
      </c>
      <c r="D135" t="s">
        <v>79</v>
      </c>
      <c r="E135" t="s">
        <v>96</v>
      </c>
      <c r="F135" t="s">
        <v>78</v>
      </c>
      <c r="G135">
        <v>0.47</v>
      </c>
      <c r="H135" t="s">
        <v>66</v>
      </c>
      <c r="I135">
        <v>8</v>
      </c>
      <c r="J135" t="str">
        <f>HYPERLINK("https://www.eliteprospects.com/player/477380/braden-blace")</f>
        <v>https://www.eliteprospects.com/player/477380/braden-blace</v>
      </c>
      <c r="K135" t="s">
        <v>27</v>
      </c>
      <c r="L135" t="s">
        <v>28</v>
      </c>
      <c r="M135" t="s">
        <v>1296</v>
      </c>
      <c r="N135">
        <v>2</v>
      </c>
      <c r="O135" t="s">
        <v>43</v>
      </c>
      <c r="P135">
        <v>0.09</v>
      </c>
      <c r="Q135" t="s">
        <v>1309</v>
      </c>
      <c r="R135">
        <v>25</v>
      </c>
      <c r="S135">
        <v>25</v>
      </c>
      <c r="T135">
        <v>16.7</v>
      </c>
      <c r="U135">
        <v>8.3000000000000007</v>
      </c>
      <c r="V135">
        <v>25</v>
      </c>
    </row>
    <row r="136" spans="1:22" x14ac:dyDescent="0.25">
      <c r="A136" t="s">
        <v>1436</v>
      </c>
      <c r="B136" t="s">
        <v>163</v>
      </c>
      <c r="C136">
        <v>15</v>
      </c>
      <c r="D136" t="s">
        <v>79</v>
      </c>
      <c r="E136" t="s">
        <v>96</v>
      </c>
      <c r="F136" t="s">
        <v>78</v>
      </c>
      <c r="G136">
        <v>0.47</v>
      </c>
      <c r="H136" t="s">
        <v>32</v>
      </c>
      <c r="I136">
        <v>2</v>
      </c>
      <c r="J136" t="str">
        <f>HYPERLINK("https://www.eliteprospects.com/player/295024/kale-mccallum")</f>
        <v>https://www.eliteprospects.com/player/295024/kale-mccallum</v>
      </c>
      <c r="K136" t="s">
        <v>27</v>
      </c>
      <c r="L136" t="s">
        <v>28</v>
      </c>
      <c r="M136" t="s">
        <v>1296</v>
      </c>
      <c r="N136">
        <v>7</v>
      </c>
      <c r="O136" t="s">
        <v>1437</v>
      </c>
      <c r="P136">
        <v>0.09</v>
      </c>
      <c r="Q136" t="s">
        <v>1325</v>
      </c>
      <c r="R136">
        <v>22.2</v>
      </c>
      <c r="S136">
        <v>11.1</v>
      </c>
      <c r="T136">
        <v>44.4</v>
      </c>
      <c r="U136">
        <v>0</v>
      </c>
      <c r="V136">
        <v>22.2</v>
      </c>
    </row>
    <row r="137" spans="1:22" x14ac:dyDescent="0.25">
      <c r="A137" t="s">
        <v>1438</v>
      </c>
      <c r="B137" t="s">
        <v>222</v>
      </c>
      <c r="C137">
        <v>16</v>
      </c>
      <c r="D137" t="s">
        <v>79</v>
      </c>
      <c r="E137" t="s">
        <v>96</v>
      </c>
      <c r="F137" t="s">
        <v>78</v>
      </c>
      <c r="G137">
        <v>0.44</v>
      </c>
      <c r="H137" t="s">
        <v>39</v>
      </c>
      <c r="I137">
        <v>2</v>
      </c>
      <c r="J137" t="str">
        <f>HYPERLINK("https://www.eliteprospects.com/player/506237/rhys-bentham")</f>
        <v>https://www.eliteprospects.com/player/506237/rhys-bentham</v>
      </c>
      <c r="K137" t="s">
        <v>27</v>
      </c>
      <c r="L137" t="s">
        <v>28</v>
      </c>
      <c r="M137" t="s">
        <v>1296</v>
      </c>
      <c r="N137">
        <v>3</v>
      </c>
      <c r="O137" t="s">
        <v>74</v>
      </c>
      <c r="P137">
        <v>0.09</v>
      </c>
      <c r="Q137" t="s">
        <v>1325</v>
      </c>
      <c r="R137">
        <v>22.2</v>
      </c>
      <c r="S137">
        <v>11.1</v>
      </c>
      <c r="T137">
        <v>44.4</v>
      </c>
      <c r="U137">
        <v>0</v>
      </c>
      <c r="V137">
        <v>22.2</v>
      </c>
    </row>
    <row r="138" spans="1:22" x14ac:dyDescent="0.25">
      <c r="A138" t="s">
        <v>1439</v>
      </c>
      <c r="B138" t="s">
        <v>165</v>
      </c>
      <c r="C138">
        <v>18</v>
      </c>
      <c r="D138" t="s">
        <v>79</v>
      </c>
      <c r="E138" t="s">
        <v>96</v>
      </c>
      <c r="F138" t="s">
        <v>78</v>
      </c>
      <c r="G138">
        <v>0.39</v>
      </c>
      <c r="H138" t="s">
        <v>79</v>
      </c>
      <c r="I138">
        <v>-9</v>
      </c>
      <c r="J138" t="str">
        <f>HYPERLINK("https://www.eliteprospects.com/player/715322/brett-merner")</f>
        <v>https://www.eliteprospects.com/player/715322/brett-merner</v>
      </c>
      <c r="K138" t="s">
        <v>27</v>
      </c>
      <c r="L138" t="s">
        <v>28</v>
      </c>
      <c r="M138" t="s">
        <v>1296</v>
      </c>
      <c r="N138">
        <v>2</v>
      </c>
      <c r="O138" t="s">
        <v>43</v>
      </c>
      <c r="P138">
        <v>0.08</v>
      </c>
      <c r="Q138" t="s">
        <v>245</v>
      </c>
      <c r="R138">
        <v>0</v>
      </c>
      <c r="S138">
        <v>44.4</v>
      </c>
      <c r="T138">
        <v>33.299999999999997</v>
      </c>
      <c r="U138">
        <v>0</v>
      </c>
      <c r="V138">
        <v>22.2</v>
      </c>
    </row>
    <row r="139" spans="1:22" x14ac:dyDescent="0.25">
      <c r="A139" t="s">
        <v>1440</v>
      </c>
      <c r="B139" t="s">
        <v>127</v>
      </c>
      <c r="C139">
        <v>19</v>
      </c>
      <c r="D139" t="s">
        <v>79</v>
      </c>
      <c r="E139" t="s">
        <v>96</v>
      </c>
      <c r="F139" t="s">
        <v>78</v>
      </c>
      <c r="G139">
        <v>0.37</v>
      </c>
      <c r="H139" t="s">
        <v>66</v>
      </c>
      <c r="I139">
        <v>7</v>
      </c>
      <c r="J139" t="str">
        <f>HYPERLINK("https://www.eliteprospects.com/player/711643/dax-williams")</f>
        <v>https://www.eliteprospects.com/player/711643/dax-williams</v>
      </c>
      <c r="K139" t="s">
        <v>27</v>
      </c>
      <c r="L139" t="s">
        <v>28</v>
      </c>
      <c r="M139" t="s">
        <v>1296</v>
      </c>
      <c r="N139">
        <v>5</v>
      </c>
      <c r="O139" t="s">
        <v>152</v>
      </c>
      <c r="P139">
        <v>7.0000000000000007E-2</v>
      </c>
      <c r="Q139" t="s">
        <v>1300</v>
      </c>
      <c r="R139">
        <v>42.9</v>
      </c>
      <c r="S139">
        <v>28.6</v>
      </c>
      <c r="T139">
        <v>28.6</v>
      </c>
      <c r="U139">
        <v>0</v>
      </c>
      <c r="V139">
        <v>0</v>
      </c>
    </row>
    <row r="140" spans="1:22" x14ac:dyDescent="0.25">
      <c r="A140" t="s">
        <v>1441</v>
      </c>
      <c r="B140" t="s">
        <v>202</v>
      </c>
      <c r="C140">
        <v>19</v>
      </c>
      <c r="D140" t="s">
        <v>79</v>
      </c>
      <c r="E140" t="s">
        <v>96</v>
      </c>
      <c r="F140" t="s">
        <v>78</v>
      </c>
      <c r="G140">
        <v>0.37</v>
      </c>
      <c r="H140" t="s">
        <v>32</v>
      </c>
      <c r="I140">
        <v>-4</v>
      </c>
      <c r="J140" t="str">
        <f>HYPERLINK("https://www.eliteprospects.com/player/201798/aidan-de-la-gorgendiere")</f>
        <v>https://www.eliteprospects.com/player/201798/aidan-de-la-gorgendiere</v>
      </c>
      <c r="K140" t="s">
        <v>27</v>
      </c>
      <c r="L140" t="s">
        <v>28</v>
      </c>
      <c r="M140" t="s">
        <v>1296</v>
      </c>
      <c r="N140">
        <v>6</v>
      </c>
      <c r="O140" t="s">
        <v>263</v>
      </c>
      <c r="P140">
        <v>7.0000000000000007E-2</v>
      </c>
      <c r="Q140" t="s">
        <v>245</v>
      </c>
      <c r="R140">
        <v>0</v>
      </c>
      <c r="S140">
        <v>44.4</v>
      </c>
      <c r="T140">
        <v>33.299999999999997</v>
      </c>
      <c r="U140">
        <v>0</v>
      </c>
      <c r="V140">
        <v>22.2</v>
      </c>
    </row>
    <row r="141" spans="1:22" x14ac:dyDescent="0.25">
      <c r="A141" t="s">
        <v>1442</v>
      </c>
      <c r="B141" t="s">
        <v>90</v>
      </c>
      <c r="C141">
        <v>20</v>
      </c>
      <c r="D141" t="s">
        <v>79</v>
      </c>
      <c r="E141" t="s">
        <v>96</v>
      </c>
      <c r="F141" t="s">
        <v>78</v>
      </c>
      <c r="G141">
        <v>0.35</v>
      </c>
      <c r="H141" t="s">
        <v>57</v>
      </c>
      <c r="I141">
        <v>-1</v>
      </c>
      <c r="J141" t="str">
        <f>HYPERLINK("https://www.eliteprospects.com/player/375499/john-driscoll")</f>
        <v>https://www.eliteprospects.com/player/375499/john-driscoll</v>
      </c>
      <c r="K141" t="s">
        <v>27</v>
      </c>
      <c r="L141" t="s">
        <v>28</v>
      </c>
      <c r="M141" t="s">
        <v>1296</v>
      </c>
      <c r="N141">
        <v>4</v>
      </c>
      <c r="O141" t="s">
        <v>30</v>
      </c>
      <c r="P141">
        <v>7.0000000000000007E-2</v>
      </c>
      <c r="Q141" t="s">
        <v>1300</v>
      </c>
      <c r="R141">
        <v>33.299999999999997</v>
      </c>
      <c r="S141">
        <v>22.2</v>
      </c>
      <c r="T141">
        <v>22.2</v>
      </c>
      <c r="U141">
        <v>11.1</v>
      </c>
      <c r="V141">
        <v>11.1</v>
      </c>
    </row>
    <row r="142" spans="1:22" x14ac:dyDescent="0.25">
      <c r="A142" t="s">
        <v>1443</v>
      </c>
      <c r="B142" t="s">
        <v>238</v>
      </c>
      <c r="C142">
        <v>20</v>
      </c>
      <c r="D142" t="s">
        <v>79</v>
      </c>
      <c r="E142" t="s">
        <v>96</v>
      </c>
      <c r="F142" t="s">
        <v>78</v>
      </c>
      <c r="G142">
        <v>0.35</v>
      </c>
      <c r="H142" t="s">
        <v>57</v>
      </c>
      <c r="I142">
        <v>-8</v>
      </c>
      <c r="J142" t="str">
        <f>HYPERLINK("https://www.eliteprospects.com/player/718106/thomas-klassek")</f>
        <v>https://www.eliteprospects.com/player/718106/thomas-klassek</v>
      </c>
      <c r="K142" t="s">
        <v>27</v>
      </c>
      <c r="L142" t="s">
        <v>28</v>
      </c>
      <c r="M142" t="s">
        <v>1296</v>
      </c>
      <c r="N142">
        <v>1</v>
      </c>
      <c r="O142" t="s">
        <v>71</v>
      </c>
      <c r="P142">
        <v>7.0000000000000007E-2</v>
      </c>
      <c r="Q142" t="s">
        <v>245</v>
      </c>
      <c r="R142">
        <v>0</v>
      </c>
      <c r="S142">
        <v>44.4</v>
      </c>
      <c r="T142">
        <v>33.299999999999997</v>
      </c>
      <c r="U142">
        <v>0</v>
      </c>
      <c r="V142">
        <v>22.2</v>
      </c>
    </row>
    <row r="143" spans="1:22" x14ac:dyDescent="0.25">
      <c r="A143" t="s">
        <v>1444</v>
      </c>
      <c r="B143" t="s">
        <v>180</v>
      </c>
      <c r="C143">
        <v>20</v>
      </c>
      <c r="D143" t="s">
        <v>79</v>
      </c>
      <c r="E143" t="s">
        <v>96</v>
      </c>
      <c r="F143" t="s">
        <v>78</v>
      </c>
      <c r="G143">
        <v>0.35</v>
      </c>
      <c r="H143" t="s">
        <v>32</v>
      </c>
      <c r="I143">
        <v>-8</v>
      </c>
      <c r="J143" t="str">
        <f>HYPERLINK("https://www.eliteprospects.com/player/616257/henry-nelson")</f>
        <v>https://www.eliteprospects.com/player/616257/henry-nelson</v>
      </c>
      <c r="K143" t="s">
        <v>27</v>
      </c>
      <c r="L143" t="s">
        <v>28</v>
      </c>
      <c r="M143" t="s">
        <v>1296</v>
      </c>
      <c r="N143">
        <v>3</v>
      </c>
      <c r="O143" t="s">
        <v>74</v>
      </c>
      <c r="P143">
        <v>7.0000000000000007E-2</v>
      </c>
      <c r="Q143" t="s">
        <v>245</v>
      </c>
      <c r="R143">
        <v>0</v>
      </c>
      <c r="S143">
        <v>44.4</v>
      </c>
      <c r="T143">
        <v>33.299999999999997</v>
      </c>
      <c r="U143">
        <v>0</v>
      </c>
      <c r="V143">
        <v>22.2</v>
      </c>
    </row>
    <row r="144" spans="1:22" x14ac:dyDescent="0.25">
      <c r="A144" t="s">
        <v>1445</v>
      </c>
      <c r="B144" t="s">
        <v>95</v>
      </c>
      <c r="C144">
        <v>21</v>
      </c>
      <c r="D144" t="s">
        <v>79</v>
      </c>
      <c r="E144" t="s">
        <v>96</v>
      </c>
      <c r="F144" t="s">
        <v>78</v>
      </c>
      <c r="G144">
        <v>0.33</v>
      </c>
      <c r="H144" t="s">
        <v>57</v>
      </c>
      <c r="I144">
        <v>7</v>
      </c>
      <c r="J144" t="str">
        <f>HYPERLINK("https://www.eliteprospects.com/player/488006/zach-bookman")</f>
        <v>https://www.eliteprospects.com/player/488006/zach-bookman</v>
      </c>
      <c r="K144" t="s">
        <v>27</v>
      </c>
      <c r="L144" t="s">
        <v>28</v>
      </c>
      <c r="M144" t="s">
        <v>1296</v>
      </c>
      <c r="N144">
        <v>4</v>
      </c>
      <c r="O144" t="s">
        <v>30</v>
      </c>
      <c r="P144">
        <v>0.06</v>
      </c>
      <c r="Q144" t="s">
        <v>1325</v>
      </c>
      <c r="R144">
        <v>18.2</v>
      </c>
      <c r="S144">
        <v>9.1</v>
      </c>
      <c r="T144">
        <v>63.6</v>
      </c>
      <c r="U144">
        <v>0</v>
      </c>
      <c r="V144">
        <v>9.1</v>
      </c>
    </row>
    <row r="145" spans="1:22" x14ac:dyDescent="0.25">
      <c r="A145" t="s">
        <v>1446</v>
      </c>
      <c r="B145" t="s">
        <v>131</v>
      </c>
      <c r="C145">
        <v>23</v>
      </c>
      <c r="D145" t="s">
        <v>79</v>
      </c>
      <c r="E145" t="s">
        <v>96</v>
      </c>
      <c r="F145" t="s">
        <v>78</v>
      </c>
      <c r="G145">
        <v>0.3</v>
      </c>
      <c r="H145" t="s">
        <v>46</v>
      </c>
      <c r="I145">
        <v>6</v>
      </c>
      <c r="J145" t="str">
        <f>HYPERLINK("https://www.eliteprospects.com/player/364220/owen-nolan")</f>
        <v>https://www.eliteprospects.com/player/364220/owen-nolan</v>
      </c>
      <c r="K145" t="s">
        <v>27</v>
      </c>
      <c r="L145" t="s">
        <v>28</v>
      </c>
      <c r="M145" t="s">
        <v>1296</v>
      </c>
      <c r="N145">
        <v>4</v>
      </c>
      <c r="O145" t="s">
        <v>30</v>
      </c>
      <c r="P145">
        <v>0.06</v>
      </c>
      <c r="Q145" t="s">
        <v>1325</v>
      </c>
      <c r="R145">
        <v>18.2</v>
      </c>
      <c r="S145">
        <v>9.1</v>
      </c>
      <c r="T145">
        <v>63.6</v>
      </c>
      <c r="U145">
        <v>0</v>
      </c>
      <c r="V145">
        <v>9.1</v>
      </c>
    </row>
    <row r="146" spans="1:22" x14ac:dyDescent="0.25">
      <c r="A146" t="s">
        <v>1447</v>
      </c>
      <c r="B146" t="s">
        <v>98</v>
      </c>
      <c r="C146">
        <v>19</v>
      </c>
      <c r="D146" t="s">
        <v>260</v>
      </c>
      <c r="E146" t="s">
        <v>57</v>
      </c>
      <c r="F146" t="s">
        <v>78</v>
      </c>
      <c r="G146">
        <v>0.37</v>
      </c>
      <c r="H146" t="s">
        <v>26</v>
      </c>
      <c r="I146">
        <v>2</v>
      </c>
      <c r="J146" t="str">
        <f>HYPERLINK("https://www.eliteprospects.com/player/597647/will-felicio")</f>
        <v>https://www.eliteprospects.com/player/597647/will-felicio</v>
      </c>
      <c r="K146" t="s">
        <v>27</v>
      </c>
      <c r="L146" t="s">
        <v>28</v>
      </c>
      <c r="M146" t="s">
        <v>1296</v>
      </c>
      <c r="N146">
        <v>2</v>
      </c>
      <c r="O146" t="s">
        <v>43</v>
      </c>
      <c r="P146">
        <v>7.0000000000000007E-2</v>
      </c>
      <c r="Q146" t="s">
        <v>1325</v>
      </c>
      <c r="R146">
        <v>33.299999999999997</v>
      </c>
      <c r="S146">
        <v>16.7</v>
      </c>
      <c r="T146">
        <v>33.299999999999997</v>
      </c>
      <c r="U146">
        <v>16.7</v>
      </c>
      <c r="V146">
        <v>0</v>
      </c>
    </row>
    <row r="147" spans="1:22" x14ac:dyDescent="0.25">
      <c r="A147" t="s">
        <v>1448</v>
      </c>
      <c r="B147" t="s">
        <v>86</v>
      </c>
      <c r="C147">
        <v>19</v>
      </c>
      <c r="D147" t="s">
        <v>260</v>
      </c>
      <c r="E147" t="s">
        <v>57</v>
      </c>
      <c r="F147" t="s">
        <v>78</v>
      </c>
      <c r="G147">
        <v>0.37</v>
      </c>
      <c r="H147" t="s">
        <v>136</v>
      </c>
      <c r="I147">
        <v>9</v>
      </c>
      <c r="J147" t="str">
        <f>HYPERLINK("https://www.eliteprospects.com/player/554907/patrick-geary")</f>
        <v>https://www.eliteprospects.com/player/554907/patrick-geary</v>
      </c>
      <c r="K147" t="s">
        <v>27</v>
      </c>
      <c r="L147" t="s">
        <v>28</v>
      </c>
      <c r="M147" t="s">
        <v>1296</v>
      </c>
      <c r="N147">
        <v>3</v>
      </c>
      <c r="O147" t="s">
        <v>74</v>
      </c>
      <c r="P147">
        <v>7.0000000000000007E-2</v>
      </c>
      <c r="Q147" t="s">
        <v>1325</v>
      </c>
      <c r="R147">
        <v>44.4</v>
      </c>
      <c r="S147">
        <v>11.1</v>
      </c>
      <c r="T147">
        <v>44.4</v>
      </c>
      <c r="U147">
        <v>0</v>
      </c>
      <c r="V147">
        <v>0</v>
      </c>
    </row>
    <row r="148" spans="1:22" x14ac:dyDescent="0.25">
      <c r="A148" t="s">
        <v>1449</v>
      </c>
      <c r="B148" t="s">
        <v>127</v>
      </c>
      <c r="C148">
        <v>20</v>
      </c>
      <c r="D148" t="s">
        <v>260</v>
      </c>
      <c r="E148" t="s">
        <v>57</v>
      </c>
      <c r="F148" t="s">
        <v>78</v>
      </c>
      <c r="G148">
        <v>0.35</v>
      </c>
      <c r="H148" t="s">
        <v>53</v>
      </c>
      <c r="I148">
        <v>7</v>
      </c>
      <c r="J148" t="str">
        <f>HYPERLINK("https://www.eliteprospects.com/player/525667/owain-johnston")</f>
        <v>https://www.eliteprospects.com/player/525667/owain-johnston</v>
      </c>
      <c r="K148" t="s">
        <v>27</v>
      </c>
      <c r="L148" t="s">
        <v>28</v>
      </c>
      <c r="M148" t="s">
        <v>1296</v>
      </c>
      <c r="N148">
        <v>4</v>
      </c>
      <c r="O148" t="s">
        <v>100</v>
      </c>
      <c r="P148">
        <v>7.0000000000000007E-2</v>
      </c>
      <c r="Q148" t="s">
        <v>1300</v>
      </c>
      <c r="R148">
        <v>42.9</v>
      </c>
      <c r="S148">
        <v>28.6</v>
      </c>
      <c r="T148">
        <v>28.6</v>
      </c>
      <c r="U148">
        <v>0</v>
      </c>
      <c r="V148">
        <v>0</v>
      </c>
    </row>
    <row r="149" spans="1:22" x14ac:dyDescent="0.25">
      <c r="A149" t="s">
        <v>1450</v>
      </c>
      <c r="B149" t="s">
        <v>113</v>
      </c>
      <c r="C149">
        <v>23</v>
      </c>
      <c r="D149" t="s">
        <v>260</v>
      </c>
      <c r="E149" t="s">
        <v>57</v>
      </c>
      <c r="F149" t="s">
        <v>78</v>
      </c>
      <c r="G149">
        <v>0.3</v>
      </c>
      <c r="H149" t="s">
        <v>40</v>
      </c>
      <c r="I149">
        <v>-2</v>
      </c>
      <c r="J149" t="str">
        <f>HYPERLINK("https://www.eliteprospects.com/player/588298/campbell-cichosz")</f>
        <v>https://www.eliteprospects.com/player/588298/campbell-cichosz</v>
      </c>
      <c r="K149" t="s">
        <v>27</v>
      </c>
      <c r="L149" t="s">
        <v>28</v>
      </c>
      <c r="M149" t="s">
        <v>1296</v>
      </c>
      <c r="N149">
        <v>4</v>
      </c>
      <c r="O149" t="s">
        <v>30</v>
      </c>
      <c r="P149">
        <v>0.06</v>
      </c>
      <c r="Q149" t="s">
        <v>1300</v>
      </c>
      <c r="R149">
        <v>37.5</v>
      </c>
      <c r="S149">
        <v>37.5</v>
      </c>
      <c r="T149">
        <v>0</v>
      </c>
      <c r="U149">
        <v>12.5</v>
      </c>
      <c r="V149">
        <v>12.5</v>
      </c>
    </row>
    <row r="150" spans="1:22" x14ac:dyDescent="0.25">
      <c r="A150" t="s">
        <v>1451</v>
      </c>
      <c r="B150" t="s">
        <v>95</v>
      </c>
      <c r="C150">
        <v>18</v>
      </c>
      <c r="D150" t="s">
        <v>132</v>
      </c>
      <c r="E150" t="s">
        <v>78</v>
      </c>
      <c r="F150" t="s">
        <v>78</v>
      </c>
      <c r="G150">
        <v>0.39</v>
      </c>
      <c r="H150" t="s">
        <v>26</v>
      </c>
      <c r="I150">
        <v>-1</v>
      </c>
      <c r="J150" t="str">
        <f>HYPERLINK("https://www.eliteprospects.com/player/567628/cole-crusberg-roseen")</f>
        <v>https://www.eliteprospects.com/player/567628/cole-crusberg-roseen</v>
      </c>
      <c r="K150" t="s">
        <v>27</v>
      </c>
      <c r="L150" t="s">
        <v>28</v>
      </c>
      <c r="M150" t="s">
        <v>1296</v>
      </c>
      <c r="N150">
        <v>3</v>
      </c>
      <c r="O150" t="s">
        <v>74</v>
      </c>
      <c r="P150">
        <v>0.08</v>
      </c>
      <c r="Q150" t="s">
        <v>1300</v>
      </c>
      <c r="R150">
        <v>33.299999999999997</v>
      </c>
      <c r="S150">
        <v>22.2</v>
      </c>
      <c r="T150">
        <v>22.2</v>
      </c>
      <c r="U150">
        <v>11.1</v>
      </c>
      <c r="V150">
        <v>11.1</v>
      </c>
    </row>
    <row r="151" spans="1:22" x14ac:dyDescent="0.25">
      <c r="A151" t="s">
        <v>1452</v>
      </c>
      <c r="B151" t="s">
        <v>80</v>
      </c>
      <c r="C151">
        <v>20</v>
      </c>
      <c r="D151" t="s">
        <v>132</v>
      </c>
      <c r="E151" t="s">
        <v>78</v>
      </c>
      <c r="F151" t="s">
        <v>78</v>
      </c>
      <c r="G151">
        <v>0.35</v>
      </c>
      <c r="H151" t="s">
        <v>57</v>
      </c>
      <c r="I151">
        <v>-1</v>
      </c>
      <c r="J151" t="str">
        <f>HYPERLINK("https://www.eliteprospects.com/player/201884/mac-gadowsky")</f>
        <v>https://www.eliteprospects.com/player/201884/mac-gadowsky</v>
      </c>
      <c r="K151" t="s">
        <v>27</v>
      </c>
      <c r="L151" t="s">
        <v>28</v>
      </c>
      <c r="M151" t="s">
        <v>1296</v>
      </c>
      <c r="N151">
        <v>3</v>
      </c>
      <c r="O151" t="s">
        <v>74</v>
      </c>
      <c r="P151">
        <v>7.0000000000000007E-2</v>
      </c>
      <c r="Q151" t="s">
        <v>1300</v>
      </c>
      <c r="R151">
        <v>33.299999999999997</v>
      </c>
      <c r="S151">
        <v>22.2</v>
      </c>
      <c r="T151">
        <v>22.2</v>
      </c>
      <c r="U151">
        <v>11.1</v>
      </c>
      <c r="V151">
        <v>11.1</v>
      </c>
    </row>
    <row r="152" spans="1:22" x14ac:dyDescent="0.25">
      <c r="A152" t="s">
        <v>1453</v>
      </c>
      <c r="B152" t="s">
        <v>98</v>
      </c>
      <c r="C152">
        <v>21</v>
      </c>
      <c r="D152" t="s">
        <v>132</v>
      </c>
      <c r="E152" t="s">
        <v>78</v>
      </c>
      <c r="F152" t="s">
        <v>78</v>
      </c>
      <c r="G152">
        <v>0.33</v>
      </c>
      <c r="H152" t="s">
        <v>55</v>
      </c>
      <c r="I152">
        <v>0</v>
      </c>
      <c r="J152" t="str">
        <f>HYPERLINK("https://www.eliteprospects.com/player/556254/carter-rose")</f>
        <v>https://www.eliteprospects.com/player/556254/carter-rose</v>
      </c>
      <c r="K152" t="s">
        <v>27</v>
      </c>
      <c r="L152" t="s">
        <v>28</v>
      </c>
      <c r="M152" t="s">
        <v>1296</v>
      </c>
      <c r="N152">
        <v>3</v>
      </c>
      <c r="O152" t="s">
        <v>74</v>
      </c>
      <c r="P152">
        <v>0.06</v>
      </c>
      <c r="Q152" t="s">
        <v>1300</v>
      </c>
      <c r="R152">
        <v>37.5</v>
      </c>
      <c r="S152">
        <v>37.5</v>
      </c>
      <c r="T152">
        <v>0</v>
      </c>
      <c r="U152">
        <v>12.5</v>
      </c>
      <c r="V152">
        <v>12.5</v>
      </c>
    </row>
    <row r="153" spans="1:22" x14ac:dyDescent="0.25">
      <c r="A153" t="s">
        <v>1454</v>
      </c>
      <c r="B153" t="s">
        <v>215</v>
      </c>
      <c r="C153">
        <v>24</v>
      </c>
      <c r="D153" t="s">
        <v>132</v>
      </c>
      <c r="E153" t="s">
        <v>78</v>
      </c>
      <c r="F153" t="s">
        <v>78</v>
      </c>
      <c r="G153">
        <v>0.28999999999999998</v>
      </c>
      <c r="H153" t="s">
        <v>26</v>
      </c>
      <c r="I153">
        <v>-10</v>
      </c>
      <c r="J153" t="str">
        <f>HYPERLINK("https://www.eliteprospects.com/player/351174/tynan-ewart")</f>
        <v>https://www.eliteprospects.com/player/351174/tynan-ewart</v>
      </c>
      <c r="K153" t="s">
        <v>27</v>
      </c>
      <c r="L153" t="s">
        <v>28</v>
      </c>
      <c r="M153" t="s">
        <v>1296</v>
      </c>
      <c r="N153">
        <v>3</v>
      </c>
      <c r="O153" t="s">
        <v>74</v>
      </c>
      <c r="P153">
        <v>0.06</v>
      </c>
      <c r="Q153" t="s">
        <v>1309</v>
      </c>
      <c r="R153">
        <v>0</v>
      </c>
      <c r="S153">
        <v>20</v>
      </c>
      <c r="T153">
        <v>40</v>
      </c>
      <c r="U153">
        <v>0</v>
      </c>
      <c r="V153">
        <v>40</v>
      </c>
    </row>
    <row r="154" spans="1:22" x14ac:dyDescent="0.25">
      <c r="A154" t="s">
        <v>1455</v>
      </c>
      <c r="B154" t="s">
        <v>161</v>
      </c>
      <c r="C154">
        <v>14</v>
      </c>
      <c r="D154" t="s">
        <v>96</v>
      </c>
      <c r="E154" t="s">
        <v>260</v>
      </c>
      <c r="F154" t="s">
        <v>57</v>
      </c>
      <c r="G154">
        <v>0.43</v>
      </c>
      <c r="H154" t="s">
        <v>57</v>
      </c>
      <c r="I154">
        <v>5</v>
      </c>
      <c r="J154" t="str">
        <f>HYPERLINK("https://www.eliteprospects.com/player/618648/philippe-blais-savoie")</f>
        <v>https://www.eliteprospects.com/player/618648/philippe-blais-savoie</v>
      </c>
      <c r="K154" t="s">
        <v>27</v>
      </c>
      <c r="L154" t="s">
        <v>28</v>
      </c>
      <c r="M154" t="s">
        <v>1296</v>
      </c>
      <c r="N154">
        <v>2</v>
      </c>
      <c r="O154" t="s">
        <v>43</v>
      </c>
      <c r="P154">
        <v>0.08</v>
      </c>
      <c r="Q154" t="s">
        <v>1300</v>
      </c>
      <c r="R154">
        <v>42.9</v>
      </c>
      <c r="S154">
        <v>28.6</v>
      </c>
      <c r="T154">
        <v>28.6</v>
      </c>
      <c r="U154">
        <v>0</v>
      </c>
      <c r="V154">
        <v>0</v>
      </c>
    </row>
    <row r="155" spans="1:22" x14ac:dyDescent="0.25">
      <c r="A155" t="s">
        <v>1456</v>
      </c>
      <c r="B155" t="s">
        <v>174</v>
      </c>
      <c r="C155">
        <v>19</v>
      </c>
      <c r="D155" t="s">
        <v>66</v>
      </c>
      <c r="E155" t="s">
        <v>79</v>
      </c>
      <c r="F155" t="s">
        <v>57</v>
      </c>
      <c r="G155">
        <v>0.32</v>
      </c>
      <c r="H155" t="s">
        <v>57</v>
      </c>
      <c r="I155">
        <v>5</v>
      </c>
      <c r="J155" t="str">
        <f>HYPERLINK("https://www.eliteprospects.com/player/776683/ryan-philbrick")</f>
        <v>https://www.eliteprospects.com/player/776683/ryan-philbrick</v>
      </c>
      <c r="K155" t="s">
        <v>27</v>
      </c>
      <c r="L155" t="s">
        <v>28</v>
      </c>
      <c r="M155" t="s">
        <v>1296</v>
      </c>
      <c r="N155">
        <v>1</v>
      </c>
      <c r="O155" t="s">
        <v>71</v>
      </c>
      <c r="P155">
        <v>0.06</v>
      </c>
      <c r="Q155" t="s">
        <v>1325</v>
      </c>
      <c r="R155">
        <v>18.2</v>
      </c>
      <c r="S155">
        <v>9.1</v>
      </c>
      <c r="T155">
        <v>63.6</v>
      </c>
      <c r="U155">
        <v>0</v>
      </c>
      <c r="V155">
        <v>9.1</v>
      </c>
    </row>
    <row r="156" spans="1:22" x14ac:dyDescent="0.25">
      <c r="A156" t="s">
        <v>1457</v>
      </c>
      <c r="B156" t="s">
        <v>162</v>
      </c>
      <c r="C156">
        <v>20</v>
      </c>
      <c r="D156" t="s">
        <v>140</v>
      </c>
      <c r="E156" t="s">
        <v>140</v>
      </c>
      <c r="F156" t="s">
        <v>57</v>
      </c>
      <c r="G156">
        <v>0.3</v>
      </c>
      <c r="H156" t="s">
        <v>57</v>
      </c>
      <c r="I156">
        <v>10</v>
      </c>
      <c r="J156" t="str">
        <f>HYPERLINK("https://www.eliteprospects.com/player/605379/colton-cameron")</f>
        <v>https://www.eliteprospects.com/player/605379/colton-cameron</v>
      </c>
      <c r="K156" t="s">
        <v>27</v>
      </c>
      <c r="L156" t="s">
        <v>28</v>
      </c>
      <c r="M156" t="s">
        <v>1296</v>
      </c>
      <c r="N156">
        <v>3</v>
      </c>
      <c r="O156" t="s">
        <v>74</v>
      </c>
      <c r="P156">
        <v>0.06</v>
      </c>
      <c r="Q156" t="s">
        <v>1309</v>
      </c>
      <c r="R156">
        <v>14.3</v>
      </c>
      <c r="S156">
        <v>28.6</v>
      </c>
      <c r="T156">
        <v>28.6</v>
      </c>
      <c r="U156">
        <v>0</v>
      </c>
      <c r="V156">
        <v>28.6</v>
      </c>
    </row>
    <row r="157" spans="1:22" x14ac:dyDescent="0.25">
      <c r="A157" t="s">
        <v>1458</v>
      </c>
      <c r="B157" t="s">
        <v>113</v>
      </c>
      <c r="C157">
        <v>21</v>
      </c>
      <c r="D157" t="s">
        <v>140</v>
      </c>
      <c r="E157" t="s">
        <v>140</v>
      </c>
      <c r="F157" t="s">
        <v>57</v>
      </c>
      <c r="G157">
        <v>0.28999999999999998</v>
      </c>
      <c r="H157" t="s">
        <v>66</v>
      </c>
      <c r="I157">
        <v>3</v>
      </c>
      <c r="J157" t="str">
        <f>HYPERLINK("https://www.eliteprospects.com/player/592077/jacob-conrad")</f>
        <v>https://www.eliteprospects.com/player/592077/jacob-conrad</v>
      </c>
      <c r="K157" t="s">
        <v>27</v>
      </c>
      <c r="L157" t="s">
        <v>28</v>
      </c>
      <c r="M157" t="s">
        <v>1296</v>
      </c>
      <c r="N157">
        <v>3</v>
      </c>
      <c r="O157" t="s">
        <v>74</v>
      </c>
      <c r="P157">
        <v>0.06</v>
      </c>
      <c r="Q157" t="s">
        <v>1300</v>
      </c>
      <c r="R157">
        <v>57.1</v>
      </c>
      <c r="S157">
        <v>28.6</v>
      </c>
      <c r="T157">
        <v>0</v>
      </c>
      <c r="U157">
        <v>14.3</v>
      </c>
      <c r="V157">
        <v>0</v>
      </c>
    </row>
    <row r="158" spans="1:22" x14ac:dyDescent="0.25">
      <c r="A158" t="s">
        <v>1459</v>
      </c>
      <c r="B158" t="s">
        <v>83</v>
      </c>
      <c r="C158">
        <v>14</v>
      </c>
      <c r="D158" t="s">
        <v>79</v>
      </c>
      <c r="E158" t="s">
        <v>66</v>
      </c>
      <c r="F158" t="s">
        <v>57</v>
      </c>
      <c r="G158">
        <v>0.43</v>
      </c>
      <c r="H158" t="s">
        <v>132</v>
      </c>
      <c r="I158">
        <v>4</v>
      </c>
      <c r="J158" t="str">
        <f>HYPERLINK("https://www.eliteprospects.com/player/597758/cooper-cleaves")</f>
        <v>https://www.eliteprospects.com/player/597758/cooper-cleaves</v>
      </c>
      <c r="K158" t="s">
        <v>27</v>
      </c>
      <c r="L158" t="s">
        <v>28</v>
      </c>
      <c r="M158" t="s">
        <v>1296</v>
      </c>
      <c r="N158">
        <v>1</v>
      </c>
      <c r="O158" t="s">
        <v>71</v>
      </c>
      <c r="P158">
        <v>0.08</v>
      </c>
      <c r="Q158" t="s">
        <v>1300</v>
      </c>
      <c r="R158">
        <v>42.9</v>
      </c>
      <c r="S158">
        <v>28.6</v>
      </c>
      <c r="T158">
        <v>28.6</v>
      </c>
      <c r="U158">
        <v>0</v>
      </c>
      <c r="V158">
        <v>0</v>
      </c>
    </row>
    <row r="159" spans="1:22" x14ac:dyDescent="0.25">
      <c r="A159" t="s">
        <v>1460</v>
      </c>
      <c r="B159" t="s">
        <v>134</v>
      </c>
      <c r="C159">
        <v>16</v>
      </c>
      <c r="D159" t="s">
        <v>79</v>
      </c>
      <c r="E159" t="s">
        <v>66</v>
      </c>
      <c r="F159" t="s">
        <v>57</v>
      </c>
      <c r="G159">
        <v>0.38</v>
      </c>
      <c r="H159" t="s">
        <v>39</v>
      </c>
      <c r="I159">
        <v>-3</v>
      </c>
      <c r="J159" t="str">
        <f>HYPERLINK("https://www.eliteprospects.com/player/577649/francois-james-buteau")</f>
        <v>https://www.eliteprospects.com/player/577649/francois-james-buteau</v>
      </c>
      <c r="K159" t="s">
        <v>27</v>
      </c>
      <c r="L159" t="s">
        <v>28</v>
      </c>
      <c r="M159" t="s">
        <v>1296</v>
      </c>
      <c r="N159">
        <v>6</v>
      </c>
      <c r="O159" t="s">
        <v>99</v>
      </c>
      <c r="P159">
        <v>7.0000000000000007E-2</v>
      </c>
      <c r="Q159" t="s">
        <v>245</v>
      </c>
      <c r="R159">
        <v>0</v>
      </c>
      <c r="S159">
        <v>44.4</v>
      </c>
      <c r="T159">
        <v>33.299999999999997</v>
      </c>
      <c r="U159">
        <v>0</v>
      </c>
      <c r="V159">
        <v>22.2</v>
      </c>
    </row>
    <row r="160" spans="1:22" x14ac:dyDescent="0.25">
      <c r="A160" t="s">
        <v>1461</v>
      </c>
      <c r="B160" t="s">
        <v>288</v>
      </c>
      <c r="C160">
        <v>19</v>
      </c>
      <c r="D160" t="s">
        <v>79</v>
      </c>
      <c r="E160" t="s">
        <v>66</v>
      </c>
      <c r="F160" t="s">
        <v>57</v>
      </c>
      <c r="G160">
        <v>0.32</v>
      </c>
      <c r="H160" t="s">
        <v>79</v>
      </c>
      <c r="I160">
        <v>-5</v>
      </c>
      <c r="J160" t="str">
        <f>HYPERLINK("https://www.eliteprospects.com/player/738927/jax-wismer")</f>
        <v>https://www.eliteprospects.com/player/738927/jax-wismer</v>
      </c>
      <c r="K160" t="s">
        <v>27</v>
      </c>
      <c r="L160" t="s">
        <v>28</v>
      </c>
      <c r="M160" t="s">
        <v>1296</v>
      </c>
      <c r="N160">
        <v>2</v>
      </c>
      <c r="O160" t="s">
        <v>43</v>
      </c>
      <c r="P160">
        <v>0.06</v>
      </c>
      <c r="Q160" t="s">
        <v>1309</v>
      </c>
      <c r="R160">
        <v>0</v>
      </c>
      <c r="S160">
        <v>20</v>
      </c>
      <c r="T160">
        <v>40</v>
      </c>
      <c r="U160">
        <v>0</v>
      </c>
      <c r="V160">
        <v>40</v>
      </c>
    </row>
    <row r="161" spans="1:22" x14ac:dyDescent="0.25">
      <c r="A161" t="s">
        <v>1462</v>
      </c>
      <c r="B161" t="s">
        <v>195</v>
      </c>
      <c r="C161">
        <v>19</v>
      </c>
      <c r="D161" t="s">
        <v>79</v>
      </c>
      <c r="E161" t="s">
        <v>66</v>
      </c>
      <c r="F161" t="s">
        <v>57</v>
      </c>
      <c r="G161">
        <v>0.32</v>
      </c>
      <c r="H161" t="s">
        <v>32</v>
      </c>
      <c r="I161">
        <v>-10</v>
      </c>
      <c r="J161" t="str">
        <f>HYPERLINK("https://www.eliteprospects.com/player/871078/sascha-boumedienne")</f>
        <v>https://www.eliteprospects.com/player/871078/sascha-boumedienne</v>
      </c>
      <c r="K161" t="s">
        <v>27</v>
      </c>
      <c r="L161" t="s">
        <v>28</v>
      </c>
      <c r="M161" t="s">
        <v>1296</v>
      </c>
      <c r="N161">
        <v>2</v>
      </c>
      <c r="O161" t="s">
        <v>43</v>
      </c>
      <c r="P161">
        <v>0.06</v>
      </c>
      <c r="Q161" t="s">
        <v>1309</v>
      </c>
      <c r="R161">
        <v>0</v>
      </c>
      <c r="S161">
        <v>20</v>
      </c>
      <c r="T161">
        <v>40</v>
      </c>
      <c r="U161">
        <v>0</v>
      </c>
      <c r="V161">
        <v>40</v>
      </c>
    </row>
    <row r="162" spans="1:22" x14ac:dyDescent="0.25">
      <c r="A162" t="s">
        <v>1463</v>
      </c>
      <c r="B162" t="s">
        <v>150</v>
      </c>
      <c r="C162">
        <v>20</v>
      </c>
      <c r="D162" t="s">
        <v>79</v>
      </c>
      <c r="E162" t="s">
        <v>66</v>
      </c>
      <c r="F162" t="s">
        <v>57</v>
      </c>
      <c r="G162">
        <v>0.3</v>
      </c>
      <c r="H162" t="s">
        <v>66</v>
      </c>
      <c r="I162">
        <v>5</v>
      </c>
      <c r="J162" t="str">
        <f>HYPERLINK("https://www.eliteprospects.com/player/566359/nathan-mcbrayer")</f>
        <v>https://www.eliteprospects.com/player/566359/nathan-mcbrayer</v>
      </c>
      <c r="K162" t="s">
        <v>27</v>
      </c>
      <c r="L162" t="s">
        <v>28</v>
      </c>
      <c r="M162" t="s">
        <v>1296</v>
      </c>
      <c r="N162">
        <v>3</v>
      </c>
      <c r="O162" t="s">
        <v>74</v>
      </c>
      <c r="P162">
        <v>0.06</v>
      </c>
      <c r="Q162" t="s">
        <v>1325</v>
      </c>
      <c r="R162">
        <v>18.2</v>
      </c>
      <c r="S162">
        <v>9.1</v>
      </c>
      <c r="T162">
        <v>63.6</v>
      </c>
      <c r="U162">
        <v>0</v>
      </c>
      <c r="V162">
        <v>9.1</v>
      </c>
    </row>
    <row r="163" spans="1:22" x14ac:dyDescent="0.25">
      <c r="A163" t="s">
        <v>1464</v>
      </c>
      <c r="B163" t="s">
        <v>103</v>
      </c>
      <c r="C163">
        <v>20</v>
      </c>
      <c r="D163" t="s">
        <v>79</v>
      </c>
      <c r="E163" t="s">
        <v>66</v>
      </c>
      <c r="F163" t="s">
        <v>57</v>
      </c>
      <c r="G163">
        <v>0.3</v>
      </c>
      <c r="H163" t="s">
        <v>66</v>
      </c>
      <c r="I163">
        <v>-3</v>
      </c>
      <c r="J163" t="str">
        <f>HYPERLINK("https://www.eliteprospects.com/player/603427/larry-keenan")</f>
        <v>https://www.eliteprospects.com/player/603427/larry-keenan</v>
      </c>
      <c r="K163" t="s">
        <v>27</v>
      </c>
      <c r="L163" t="s">
        <v>28</v>
      </c>
      <c r="M163" t="s">
        <v>1296</v>
      </c>
      <c r="N163">
        <v>2</v>
      </c>
      <c r="O163" t="s">
        <v>43</v>
      </c>
      <c r="P163">
        <v>0.06</v>
      </c>
      <c r="Q163" t="s">
        <v>1309</v>
      </c>
      <c r="R163">
        <v>0</v>
      </c>
      <c r="S163">
        <v>20</v>
      </c>
      <c r="T163">
        <v>40</v>
      </c>
      <c r="U163">
        <v>0</v>
      </c>
      <c r="V163">
        <v>40</v>
      </c>
    </row>
    <row r="164" spans="1:22" x14ac:dyDescent="0.25">
      <c r="A164" t="s">
        <v>1465</v>
      </c>
      <c r="B164" t="s">
        <v>224</v>
      </c>
      <c r="C164">
        <v>20</v>
      </c>
      <c r="D164" t="s">
        <v>79</v>
      </c>
      <c r="E164" t="s">
        <v>66</v>
      </c>
      <c r="F164" t="s">
        <v>57</v>
      </c>
      <c r="G164">
        <v>0.3</v>
      </c>
      <c r="H164" t="s">
        <v>57</v>
      </c>
      <c r="I164">
        <v>-10</v>
      </c>
      <c r="J164" t="str">
        <f>HYPERLINK("https://www.eliteprospects.com/player/566428/dominic-elliott")</f>
        <v>https://www.eliteprospects.com/player/566428/dominic-elliott</v>
      </c>
      <c r="K164" t="s">
        <v>27</v>
      </c>
      <c r="L164" t="s">
        <v>28</v>
      </c>
      <c r="M164" t="s">
        <v>1296</v>
      </c>
      <c r="N164">
        <v>2</v>
      </c>
      <c r="O164" t="s">
        <v>43</v>
      </c>
      <c r="P164">
        <v>0.06</v>
      </c>
      <c r="Q164" t="s">
        <v>1309</v>
      </c>
      <c r="R164">
        <v>0</v>
      </c>
      <c r="S164">
        <v>20</v>
      </c>
      <c r="T164">
        <v>40</v>
      </c>
      <c r="U164">
        <v>0</v>
      </c>
      <c r="V164">
        <v>40</v>
      </c>
    </row>
    <row r="165" spans="1:22" x14ac:dyDescent="0.25">
      <c r="A165" t="s">
        <v>1466</v>
      </c>
      <c r="B165" t="s">
        <v>116</v>
      </c>
      <c r="C165">
        <v>21</v>
      </c>
      <c r="D165" t="s">
        <v>79</v>
      </c>
      <c r="E165" t="s">
        <v>66</v>
      </c>
      <c r="F165" t="s">
        <v>57</v>
      </c>
      <c r="G165">
        <v>0.28999999999999998</v>
      </c>
      <c r="H165" t="s">
        <v>66</v>
      </c>
      <c r="I165">
        <v>-13</v>
      </c>
      <c r="J165" t="str">
        <f>HYPERLINK("https://www.eliteprospects.com/player/651908/sam-frandina")</f>
        <v>https://www.eliteprospects.com/player/651908/sam-frandina</v>
      </c>
      <c r="K165" t="s">
        <v>27</v>
      </c>
      <c r="L165" t="s">
        <v>28</v>
      </c>
      <c r="M165" t="s">
        <v>1296</v>
      </c>
      <c r="N165">
        <v>1</v>
      </c>
      <c r="O165" t="s">
        <v>71</v>
      </c>
      <c r="P165">
        <v>0.06</v>
      </c>
      <c r="Q165" t="s">
        <v>1309</v>
      </c>
      <c r="R165">
        <v>0</v>
      </c>
      <c r="S165">
        <v>20</v>
      </c>
      <c r="T165">
        <v>40</v>
      </c>
      <c r="U165">
        <v>0</v>
      </c>
      <c r="V165">
        <v>40</v>
      </c>
    </row>
    <row r="166" spans="1:22" x14ac:dyDescent="0.25">
      <c r="A166" t="s">
        <v>1467</v>
      </c>
      <c r="B166" t="s">
        <v>202</v>
      </c>
      <c r="C166">
        <v>22</v>
      </c>
      <c r="D166" t="s">
        <v>79</v>
      </c>
      <c r="E166" t="s">
        <v>66</v>
      </c>
      <c r="F166" t="s">
        <v>57</v>
      </c>
      <c r="G166">
        <v>0.27</v>
      </c>
      <c r="H166" t="s">
        <v>57</v>
      </c>
      <c r="I166">
        <v>1</v>
      </c>
      <c r="J166" t="str">
        <f>HYPERLINK("https://www.eliteprospects.com/player/551335/jacob-guevin")</f>
        <v>https://www.eliteprospects.com/player/551335/jacob-guevin</v>
      </c>
      <c r="K166" t="s">
        <v>27</v>
      </c>
      <c r="L166" t="s">
        <v>28</v>
      </c>
      <c r="M166" t="s">
        <v>1296</v>
      </c>
      <c r="N166">
        <v>4</v>
      </c>
      <c r="O166" t="s">
        <v>30</v>
      </c>
      <c r="P166">
        <v>0.05</v>
      </c>
      <c r="Q166" t="s">
        <v>1300</v>
      </c>
      <c r="R166">
        <v>57.1</v>
      </c>
      <c r="S166">
        <v>28.6</v>
      </c>
      <c r="T166">
        <v>0</v>
      </c>
      <c r="U166">
        <v>14.3</v>
      </c>
      <c r="V166">
        <v>0</v>
      </c>
    </row>
    <row r="167" spans="1:22" x14ac:dyDescent="0.25">
      <c r="A167" t="s">
        <v>1468</v>
      </c>
      <c r="B167" t="s">
        <v>82</v>
      </c>
      <c r="C167">
        <v>22</v>
      </c>
      <c r="D167" t="s">
        <v>79</v>
      </c>
      <c r="E167" t="s">
        <v>66</v>
      </c>
      <c r="F167" t="s">
        <v>57</v>
      </c>
      <c r="G167">
        <v>0.27</v>
      </c>
      <c r="H167" t="s">
        <v>32</v>
      </c>
      <c r="I167">
        <v>-1</v>
      </c>
      <c r="J167" t="str">
        <f>HYPERLINK("https://www.eliteprospects.com/player/592465/mitchell-wolfe")</f>
        <v>https://www.eliteprospects.com/player/592465/mitchell-wolfe</v>
      </c>
      <c r="K167" t="s">
        <v>27</v>
      </c>
      <c r="L167" t="s">
        <v>28</v>
      </c>
      <c r="M167" t="s">
        <v>1296</v>
      </c>
      <c r="N167">
        <v>4</v>
      </c>
      <c r="O167" t="s">
        <v>30</v>
      </c>
      <c r="P167">
        <v>0.05</v>
      </c>
      <c r="Q167" t="s">
        <v>1300</v>
      </c>
      <c r="R167">
        <v>37.5</v>
      </c>
      <c r="S167">
        <v>37.5</v>
      </c>
      <c r="T167">
        <v>0</v>
      </c>
      <c r="U167">
        <v>12.5</v>
      </c>
      <c r="V167">
        <v>12.5</v>
      </c>
    </row>
    <row r="168" spans="1:22" x14ac:dyDescent="0.25">
      <c r="A168" t="s">
        <v>1469</v>
      </c>
      <c r="B168" t="s">
        <v>130</v>
      </c>
      <c r="C168">
        <v>14</v>
      </c>
      <c r="D168" t="s">
        <v>260</v>
      </c>
      <c r="E168" t="s">
        <v>96</v>
      </c>
      <c r="F168" t="s">
        <v>57</v>
      </c>
      <c r="G168">
        <v>0.43</v>
      </c>
      <c r="H168" t="s">
        <v>55</v>
      </c>
      <c r="I168">
        <v>-7</v>
      </c>
      <c r="J168" t="str">
        <f>HYPERLINK("https://www.eliteprospects.com/player/565754/hunter-mayo")</f>
        <v>https://www.eliteprospects.com/player/565754/hunter-mayo</v>
      </c>
      <c r="K168" t="s">
        <v>27</v>
      </c>
      <c r="L168" t="s">
        <v>28</v>
      </c>
      <c r="M168" t="s">
        <v>1296</v>
      </c>
      <c r="N168">
        <v>6</v>
      </c>
      <c r="O168" t="s">
        <v>193</v>
      </c>
      <c r="P168">
        <v>0.08</v>
      </c>
      <c r="Q168" t="s">
        <v>245</v>
      </c>
      <c r="R168">
        <v>0</v>
      </c>
      <c r="S168">
        <v>44.4</v>
      </c>
      <c r="T168">
        <v>33.299999999999997</v>
      </c>
      <c r="U168">
        <v>0</v>
      </c>
      <c r="V168">
        <v>22.2</v>
      </c>
    </row>
    <row r="169" spans="1:22" x14ac:dyDescent="0.25">
      <c r="A169" t="s">
        <v>1470</v>
      </c>
      <c r="B169" t="s">
        <v>288</v>
      </c>
      <c r="C169">
        <v>16</v>
      </c>
      <c r="D169" t="s">
        <v>260</v>
      </c>
      <c r="E169" t="s">
        <v>96</v>
      </c>
      <c r="F169" t="s">
        <v>57</v>
      </c>
      <c r="G169">
        <v>0.38</v>
      </c>
      <c r="H169" t="s">
        <v>23</v>
      </c>
      <c r="I169">
        <v>2</v>
      </c>
      <c r="J169" t="str">
        <f>HYPERLINK("https://www.eliteprospects.com/player/350707/philip-tornqvist")</f>
        <v>https://www.eliteprospects.com/player/350707/philip-tornqvist</v>
      </c>
      <c r="K169" t="s">
        <v>27</v>
      </c>
      <c r="L169" t="s">
        <v>28</v>
      </c>
      <c r="M169" t="s">
        <v>1296</v>
      </c>
      <c r="N169">
        <v>4</v>
      </c>
      <c r="O169" t="s">
        <v>30</v>
      </c>
      <c r="P169">
        <v>7.0000000000000007E-2</v>
      </c>
      <c r="Q169" t="s">
        <v>1325</v>
      </c>
      <c r="R169">
        <v>33.299999999999997</v>
      </c>
      <c r="S169">
        <v>16.7</v>
      </c>
      <c r="T169">
        <v>33.299999999999997</v>
      </c>
      <c r="U169">
        <v>16.7</v>
      </c>
      <c r="V169">
        <v>0</v>
      </c>
    </row>
    <row r="170" spans="1:22" x14ac:dyDescent="0.25">
      <c r="A170" t="s">
        <v>1471</v>
      </c>
      <c r="B170" t="s">
        <v>120</v>
      </c>
      <c r="C170">
        <v>18</v>
      </c>
      <c r="D170" t="s">
        <v>260</v>
      </c>
      <c r="E170" t="s">
        <v>96</v>
      </c>
      <c r="F170" t="s">
        <v>57</v>
      </c>
      <c r="G170">
        <v>0.33</v>
      </c>
      <c r="H170" t="s">
        <v>55</v>
      </c>
      <c r="I170">
        <v>5</v>
      </c>
      <c r="J170" t="str">
        <f>HYPERLINK("https://www.eliteprospects.com/player/618574/aram-minnetian")</f>
        <v>https://www.eliteprospects.com/player/618574/aram-minnetian</v>
      </c>
      <c r="K170" t="s">
        <v>27</v>
      </c>
      <c r="L170" t="s">
        <v>28</v>
      </c>
      <c r="M170" t="s">
        <v>1296</v>
      </c>
      <c r="N170">
        <v>3</v>
      </c>
      <c r="O170" t="s">
        <v>74</v>
      </c>
      <c r="P170">
        <v>0.06</v>
      </c>
      <c r="Q170" t="s">
        <v>1325</v>
      </c>
      <c r="R170">
        <v>18.2</v>
      </c>
      <c r="S170">
        <v>9.1</v>
      </c>
      <c r="T170">
        <v>63.6</v>
      </c>
      <c r="U170">
        <v>0</v>
      </c>
      <c r="V170">
        <v>9.1</v>
      </c>
    </row>
    <row r="171" spans="1:22" x14ac:dyDescent="0.25">
      <c r="A171" t="s">
        <v>1472</v>
      </c>
      <c r="B171" t="s">
        <v>90</v>
      </c>
      <c r="C171">
        <v>19</v>
      </c>
      <c r="D171" t="s">
        <v>260</v>
      </c>
      <c r="E171" t="s">
        <v>96</v>
      </c>
      <c r="F171" t="s">
        <v>57</v>
      </c>
      <c r="G171">
        <v>0.32</v>
      </c>
      <c r="H171" t="s">
        <v>55</v>
      </c>
      <c r="I171">
        <v>4</v>
      </c>
      <c r="J171" t="str">
        <f>HYPERLINK("https://www.eliteprospects.com/player/620353/aiden-vanrooyan")</f>
        <v>https://www.eliteprospects.com/player/620353/aiden-vanrooyan</v>
      </c>
      <c r="K171" t="s">
        <v>27</v>
      </c>
      <c r="L171" t="s">
        <v>28</v>
      </c>
      <c r="M171" t="s">
        <v>1296</v>
      </c>
      <c r="N171">
        <v>2</v>
      </c>
      <c r="O171" t="s">
        <v>43</v>
      </c>
      <c r="P171">
        <v>0.06</v>
      </c>
      <c r="Q171" t="s">
        <v>1325</v>
      </c>
      <c r="R171">
        <v>18.2</v>
      </c>
      <c r="S171">
        <v>9.1</v>
      </c>
      <c r="T171">
        <v>63.6</v>
      </c>
      <c r="U171">
        <v>0</v>
      </c>
      <c r="V171">
        <v>9.1</v>
      </c>
    </row>
    <row r="172" spans="1:22" x14ac:dyDescent="0.25">
      <c r="A172" t="s">
        <v>1473</v>
      </c>
      <c r="B172" t="s">
        <v>162</v>
      </c>
      <c r="C172">
        <v>20</v>
      </c>
      <c r="D172" t="s">
        <v>260</v>
      </c>
      <c r="E172" t="s">
        <v>96</v>
      </c>
      <c r="F172" t="s">
        <v>57</v>
      </c>
      <c r="G172">
        <v>0.3</v>
      </c>
      <c r="H172" t="s">
        <v>55</v>
      </c>
      <c r="I172">
        <v>8</v>
      </c>
      <c r="J172" t="str">
        <f>HYPERLINK("https://www.eliteprospects.com/player/512096/david-helledy")</f>
        <v>https://www.eliteprospects.com/player/512096/david-helledy</v>
      </c>
      <c r="K172" t="s">
        <v>27</v>
      </c>
      <c r="L172" t="s">
        <v>28</v>
      </c>
      <c r="M172" t="s">
        <v>1296</v>
      </c>
      <c r="N172">
        <v>2</v>
      </c>
      <c r="O172" t="s">
        <v>43</v>
      </c>
      <c r="P172">
        <v>0.06</v>
      </c>
      <c r="Q172" t="s">
        <v>1325</v>
      </c>
      <c r="R172">
        <v>18.2</v>
      </c>
      <c r="S172">
        <v>9.1</v>
      </c>
      <c r="T172">
        <v>63.6</v>
      </c>
      <c r="U172">
        <v>0</v>
      </c>
      <c r="V172">
        <v>9.1</v>
      </c>
    </row>
    <row r="173" spans="1:22" x14ac:dyDescent="0.25">
      <c r="A173" t="s">
        <v>1474</v>
      </c>
      <c r="B173" t="s">
        <v>73</v>
      </c>
      <c r="C173">
        <v>22</v>
      </c>
      <c r="D173" t="s">
        <v>260</v>
      </c>
      <c r="E173" t="s">
        <v>96</v>
      </c>
      <c r="F173" t="s">
        <v>57</v>
      </c>
      <c r="G173">
        <v>0.27</v>
      </c>
      <c r="H173" t="s">
        <v>57</v>
      </c>
      <c r="I173">
        <v>0</v>
      </c>
      <c r="J173" t="str">
        <f>HYPERLINK("https://www.eliteprospects.com/player/413249/josh-zinger")</f>
        <v>https://www.eliteprospects.com/player/413249/josh-zinger</v>
      </c>
      <c r="K173" t="s">
        <v>27</v>
      </c>
      <c r="L173" t="s">
        <v>28</v>
      </c>
      <c r="M173" t="s">
        <v>1296</v>
      </c>
      <c r="N173">
        <v>4</v>
      </c>
      <c r="O173" t="s">
        <v>30</v>
      </c>
      <c r="P173">
        <v>0.05</v>
      </c>
      <c r="Q173" t="s">
        <v>1300</v>
      </c>
      <c r="R173">
        <v>37.5</v>
      </c>
      <c r="S173">
        <v>37.5</v>
      </c>
      <c r="T173">
        <v>0</v>
      </c>
      <c r="U173">
        <v>12.5</v>
      </c>
      <c r="V173">
        <v>12.5</v>
      </c>
    </row>
    <row r="174" spans="1:22" x14ac:dyDescent="0.25">
      <c r="A174" t="s">
        <v>1475</v>
      </c>
      <c r="B174" t="s">
        <v>161</v>
      </c>
      <c r="C174">
        <v>22</v>
      </c>
      <c r="D174" t="s">
        <v>260</v>
      </c>
      <c r="E174" t="s">
        <v>96</v>
      </c>
      <c r="F174" t="s">
        <v>57</v>
      </c>
      <c r="G174">
        <v>0.27</v>
      </c>
      <c r="H174" t="s">
        <v>39</v>
      </c>
      <c r="I174">
        <v>-3</v>
      </c>
      <c r="J174" t="str">
        <f>HYPERLINK("https://www.eliteprospects.com/player/603728/seth-constance")</f>
        <v>https://www.eliteprospects.com/player/603728/seth-constance</v>
      </c>
      <c r="K174" t="s">
        <v>27</v>
      </c>
      <c r="L174" t="s">
        <v>28</v>
      </c>
      <c r="M174" t="s">
        <v>1296</v>
      </c>
      <c r="N174">
        <v>2</v>
      </c>
      <c r="O174" t="s">
        <v>43</v>
      </c>
      <c r="P174">
        <v>0.05</v>
      </c>
      <c r="Q174" t="s">
        <v>1309</v>
      </c>
      <c r="R174">
        <v>0</v>
      </c>
      <c r="S174">
        <v>20</v>
      </c>
      <c r="T174">
        <v>40</v>
      </c>
      <c r="U174">
        <v>0</v>
      </c>
      <c r="V174">
        <v>40</v>
      </c>
    </row>
    <row r="175" spans="1:22" x14ac:dyDescent="0.25">
      <c r="A175" t="s">
        <v>1476</v>
      </c>
      <c r="B175" t="s">
        <v>22</v>
      </c>
      <c r="C175">
        <v>24</v>
      </c>
      <c r="D175" t="s">
        <v>260</v>
      </c>
      <c r="E175" t="s">
        <v>96</v>
      </c>
      <c r="F175" t="s">
        <v>57</v>
      </c>
      <c r="G175">
        <v>0.25</v>
      </c>
      <c r="H175" t="s">
        <v>57</v>
      </c>
      <c r="I175">
        <v>4</v>
      </c>
      <c r="J175" t="str">
        <f>HYPERLINK("https://www.eliteprospects.com/player/566399/joel-kjellberg")</f>
        <v>https://www.eliteprospects.com/player/566399/joel-kjellberg</v>
      </c>
      <c r="K175" t="s">
        <v>27</v>
      </c>
      <c r="L175" t="s">
        <v>28</v>
      </c>
      <c r="M175" t="s">
        <v>1296</v>
      </c>
      <c r="N175">
        <v>2</v>
      </c>
      <c r="O175" t="s">
        <v>43</v>
      </c>
      <c r="P175">
        <v>0.05</v>
      </c>
      <c r="Q175" t="s">
        <v>1300</v>
      </c>
      <c r="R175">
        <v>57.1</v>
      </c>
      <c r="S175">
        <v>28.6</v>
      </c>
      <c r="T175">
        <v>0</v>
      </c>
      <c r="U175">
        <v>14.3</v>
      </c>
      <c r="V175">
        <v>0</v>
      </c>
    </row>
    <row r="176" spans="1:22" x14ac:dyDescent="0.25">
      <c r="A176" t="s">
        <v>1477</v>
      </c>
      <c r="B176" t="s">
        <v>167</v>
      </c>
      <c r="C176">
        <v>14</v>
      </c>
      <c r="D176" t="s">
        <v>132</v>
      </c>
      <c r="E176" t="s">
        <v>57</v>
      </c>
      <c r="F176" t="s">
        <v>57</v>
      </c>
      <c r="G176">
        <v>0.43</v>
      </c>
      <c r="H176" t="s">
        <v>66</v>
      </c>
      <c r="I176">
        <v>3</v>
      </c>
      <c r="J176" t="str">
        <f>HYPERLINK("https://www.eliteprospects.com/player/599383/lucas-st-louis")</f>
        <v>https://www.eliteprospects.com/player/599383/lucas-st-louis</v>
      </c>
      <c r="K176" t="s">
        <v>27</v>
      </c>
      <c r="L176" t="s">
        <v>28</v>
      </c>
      <c r="M176" t="s">
        <v>1296</v>
      </c>
      <c r="N176">
        <v>2</v>
      </c>
      <c r="O176" t="s">
        <v>43</v>
      </c>
      <c r="P176">
        <v>0.08</v>
      </c>
      <c r="Q176" t="s">
        <v>1300</v>
      </c>
      <c r="R176">
        <v>42.9</v>
      </c>
      <c r="S176">
        <v>28.6</v>
      </c>
      <c r="T176">
        <v>28.6</v>
      </c>
      <c r="U176">
        <v>0</v>
      </c>
      <c r="V176">
        <v>0</v>
      </c>
    </row>
    <row r="177" spans="1:22" x14ac:dyDescent="0.25">
      <c r="A177" t="s">
        <v>1478</v>
      </c>
      <c r="B177" t="s">
        <v>222</v>
      </c>
      <c r="C177">
        <v>16</v>
      </c>
      <c r="D177" t="s">
        <v>132</v>
      </c>
      <c r="E177" t="s">
        <v>57</v>
      </c>
      <c r="F177" t="s">
        <v>57</v>
      </c>
      <c r="G177">
        <v>0.38</v>
      </c>
      <c r="H177" t="s">
        <v>26</v>
      </c>
      <c r="I177">
        <v>2</v>
      </c>
      <c r="J177" t="str">
        <f>HYPERLINK("https://www.eliteprospects.com/player/852803/dylan-hunt")</f>
        <v>https://www.eliteprospects.com/player/852803/dylan-hunt</v>
      </c>
      <c r="K177" t="s">
        <v>27</v>
      </c>
      <c r="L177" t="s">
        <v>28</v>
      </c>
      <c r="M177" t="s">
        <v>1296</v>
      </c>
      <c r="N177">
        <v>1</v>
      </c>
      <c r="O177" t="s">
        <v>71</v>
      </c>
      <c r="P177">
        <v>7.0000000000000007E-2</v>
      </c>
      <c r="Q177" t="s">
        <v>1325</v>
      </c>
      <c r="R177">
        <v>33.299999999999997</v>
      </c>
      <c r="S177">
        <v>16.7</v>
      </c>
      <c r="T177">
        <v>33.299999999999997</v>
      </c>
      <c r="U177">
        <v>16.7</v>
      </c>
      <c r="V177">
        <v>0</v>
      </c>
    </row>
    <row r="178" spans="1:22" x14ac:dyDescent="0.25">
      <c r="A178" t="s">
        <v>1479</v>
      </c>
      <c r="B178" t="s">
        <v>312</v>
      </c>
      <c r="C178">
        <v>18</v>
      </c>
      <c r="D178" t="s">
        <v>132</v>
      </c>
      <c r="E178" t="s">
        <v>57</v>
      </c>
      <c r="F178" t="s">
        <v>57</v>
      </c>
      <c r="G178">
        <v>0.33</v>
      </c>
      <c r="H178" t="s">
        <v>132</v>
      </c>
      <c r="I178">
        <v>-5</v>
      </c>
      <c r="J178" t="str">
        <f>HYPERLINK("https://www.eliteprospects.com/player/476537/logan-acheson")</f>
        <v>https://www.eliteprospects.com/player/476537/logan-acheson</v>
      </c>
      <c r="K178" t="s">
        <v>27</v>
      </c>
      <c r="L178" t="s">
        <v>28</v>
      </c>
      <c r="M178" t="s">
        <v>1296</v>
      </c>
      <c r="N178">
        <v>4</v>
      </c>
      <c r="O178" t="s">
        <v>30</v>
      </c>
      <c r="P178">
        <v>0.06</v>
      </c>
      <c r="Q178" t="s">
        <v>1309</v>
      </c>
      <c r="R178">
        <v>0</v>
      </c>
      <c r="S178">
        <v>20</v>
      </c>
      <c r="T178">
        <v>40</v>
      </c>
      <c r="U178">
        <v>0</v>
      </c>
      <c r="V178">
        <v>40</v>
      </c>
    </row>
    <row r="179" spans="1:22" x14ac:dyDescent="0.25">
      <c r="A179" t="s">
        <v>1480</v>
      </c>
      <c r="B179" t="s">
        <v>139</v>
      </c>
      <c r="C179">
        <v>18</v>
      </c>
      <c r="D179" t="s">
        <v>132</v>
      </c>
      <c r="E179" t="s">
        <v>57</v>
      </c>
      <c r="F179" t="s">
        <v>57</v>
      </c>
      <c r="G179">
        <v>0.33</v>
      </c>
      <c r="H179" t="s">
        <v>32</v>
      </c>
      <c r="I179">
        <v>8</v>
      </c>
      <c r="J179" t="str">
        <f>HYPERLINK("https://www.eliteprospects.com/player/574853/jack-phelan")</f>
        <v>https://www.eliteprospects.com/player/574853/jack-phelan</v>
      </c>
      <c r="K179" t="s">
        <v>27</v>
      </c>
      <c r="L179" t="s">
        <v>28</v>
      </c>
      <c r="M179" t="s">
        <v>1296</v>
      </c>
      <c r="N179">
        <v>2</v>
      </c>
      <c r="O179" t="s">
        <v>43</v>
      </c>
      <c r="P179">
        <v>0.06</v>
      </c>
      <c r="Q179" t="s">
        <v>1309</v>
      </c>
      <c r="R179">
        <v>14.3</v>
      </c>
      <c r="S179">
        <v>28.6</v>
      </c>
      <c r="T179">
        <v>28.6</v>
      </c>
      <c r="U179">
        <v>0</v>
      </c>
      <c r="V179">
        <v>28.6</v>
      </c>
    </row>
    <row r="180" spans="1:22" x14ac:dyDescent="0.25">
      <c r="A180" t="s">
        <v>1481</v>
      </c>
      <c r="B180" t="s">
        <v>177</v>
      </c>
      <c r="C180">
        <v>19</v>
      </c>
      <c r="D180" t="s">
        <v>132</v>
      </c>
      <c r="E180" t="s">
        <v>57</v>
      </c>
      <c r="F180" t="s">
        <v>57</v>
      </c>
      <c r="G180">
        <v>0.32</v>
      </c>
      <c r="H180" t="s">
        <v>26</v>
      </c>
      <c r="I180">
        <v>0</v>
      </c>
      <c r="J180" t="str">
        <f>HYPERLINK("https://www.eliteprospects.com/player/444945/mitchell-becker")</f>
        <v>https://www.eliteprospects.com/player/444945/mitchell-becker</v>
      </c>
      <c r="K180" t="s">
        <v>27</v>
      </c>
      <c r="L180" t="s">
        <v>28</v>
      </c>
      <c r="M180" t="s">
        <v>1296</v>
      </c>
      <c r="N180">
        <v>4</v>
      </c>
      <c r="O180" t="s">
        <v>30</v>
      </c>
      <c r="P180">
        <v>0.06</v>
      </c>
      <c r="Q180" t="s">
        <v>1300</v>
      </c>
      <c r="R180">
        <v>37.5</v>
      </c>
      <c r="S180">
        <v>37.5</v>
      </c>
      <c r="T180">
        <v>0</v>
      </c>
      <c r="U180">
        <v>12.5</v>
      </c>
      <c r="V180">
        <v>12.5</v>
      </c>
    </row>
    <row r="181" spans="1:22" x14ac:dyDescent="0.25">
      <c r="A181" t="s">
        <v>1482</v>
      </c>
      <c r="B181" t="s">
        <v>362</v>
      </c>
      <c r="C181">
        <v>19</v>
      </c>
      <c r="D181" t="s">
        <v>132</v>
      </c>
      <c r="E181" t="s">
        <v>57</v>
      </c>
      <c r="F181" t="s">
        <v>57</v>
      </c>
      <c r="G181">
        <v>0.32</v>
      </c>
      <c r="H181" t="s">
        <v>39</v>
      </c>
      <c r="I181">
        <v>-10</v>
      </c>
      <c r="J181" t="str">
        <f>HYPERLINK("https://www.eliteprospects.com/player/600861/jacob-leblanc")</f>
        <v>https://www.eliteprospects.com/player/600861/jacob-leblanc</v>
      </c>
      <c r="K181" t="s">
        <v>27</v>
      </c>
      <c r="L181" t="s">
        <v>28</v>
      </c>
      <c r="M181" t="s">
        <v>1296</v>
      </c>
      <c r="N181">
        <v>5</v>
      </c>
      <c r="O181" t="s">
        <v>147</v>
      </c>
      <c r="P181">
        <v>0.06</v>
      </c>
      <c r="Q181" t="s">
        <v>1309</v>
      </c>
      <c r="R181">
        <v>0</v>
      </c>
      <c r="S181">
        <v>20</v>
      </c>
      <c r="T181">
        <v>40</v>
      </c>
      <c r="U181">
        <v>0</v>
      </c>
      <c r="V181">
        <v>40</v>
      </c>
    </row>
    <row r="182" spans="1:22" x14ac:dyDescent="0.25">
      <c r="A182" t="s">
        <v>1483</v>
      </c>
      <c r="B182" t="s">
        <v>255</v>
      </c>
      <c r="C182">
        <v>20</v>
      </c>
      <c r="D182" t="s">
        <v>132</v>
      </c>
      <c r="E182" t="s">
        <v>57</v>
      </c>
      <c r="F182" t="s">
        <v>57</v>
      </c>
      <c r="G182">
        <v>0.3</v>
      </c>
      <c r="H182" t="s">
        <v>39</v>
      </c>
      <c r="I182">
        <v>-10</v>
      </c>
      <c r="J182" t="str">
        <f>HYPERLINK("https://www.eliteprospects.com/player/466650/charlie-banquier")</f>
        <v>https://www.eliteprospects.com/player/466650/charlie-banquier</v>
      </c>
      <c r="K182" t="s">
        <v>27</v>
      </c>
      <c r="L182" t="s">
        <v>28</v>
      </c>
      <c r="M182" t="s">
        <v>1296</v>
      </c>
      <c r="N182">
        <v>3</v>
      </c>
      <c r="O182" t="s">
        <v>74</v>
      </c>
      <c r="P182">
        <v>0.06</v>
      </c>
      <c r="Q182" t="s">
        <v>1309</v>
      </c>
      <c r="R182">
        <v>0</v>
      </c>
      <c r="S182">
        <v>20</v>
      </c>
      <c r="T182">
        <v>40</v>
      </c>
      <c r="U182">
        <v>0</v>
      </c>
      <c r="V182">
        <v>40</v>
      </c>
    </row>
    <row r="183" spans="1:22" x14ac:dyDescent="0.25">
      <c r="A183" t="s">
        <v>1484</v>
      </c>
      <c r="B183" t="s">
        <v>134</v>
      </c>
      <c r="C183">
        <v>20</v>
      </c>
      <c r="D183" t="s">
        <v>132</v>
      </c>
      <c r="E183" t="s">
        <v>57</v>
      </c>
      <c r="F183" t="s">
        <v>57</v>
      </c>
      <c r="G183">
        <v>0.3</v>
      </c>
      <c r="H183" t="s">
        <v>125</v>
      </c>
      <c r="I183">
        <v>-2</v>
      </c>
      <c r="J183" t="str">
        <f>HYPERLINK("https://www.eliteprospects.com/player/609479/jason-gallucci")</f>
        <v>https://www.eliteprospects.com/player/609479/jason-gallucci</v>
      </c>
      <c r="K183" t="s">
        <v>27</v>
      </c>
      <c r="L183" t="s">
        <v>28</v>
      </c>
      <c r="M183" t="s">
        <v>1296</v>
      </c>
      <c r="N183">
        <v>2</v>
      </c>
      <c r="O183" t="s">
        <v>43</v>
      </c>
      <c r="P183">
        <v>0.06</v>
      </c>
      <c r="Q183" t="s">
        <v>1300</v>
      </c>
      <c r="R183">
        <v>37.5</v>
      </c>
      <c r="S183">
        <v>37.5</v>
      </c>
      <c r="T183">
        <v>0</v>
      </c>
      <c r="U183">
        <v>12.5</v>
      </c>
      <c r="V183">
        <v>12.5</v>
      </c>
    </row>
    <row r="184" spans="1:22" x14ac:dyDescent="0.25">
      <c r="A184" t="s">
        <v>1485</v>
      </c>
      <c r="B184" t="s">
        <v>131</v>
      </c>
      <c r="C184">
        <v>23</v>
      </c>
      <c r="D184" t="s">
        <v>132</v>
      </c>
      <c r="E184" t="s">
        <v>57</v>
      </c>
      <c r="F184" t="s">
        <v>57</v>
      </c>
      <c r="G184">
        <v>0.26</v>
      </c>
      <c r="H184" t="s">
        <v>23</v>
      </c>
      <c r="I184">
        <v>1</v>
      </c>
      <c r="J184" t="str">
        <f>HYPERLINK("https://www.eliteprospects.com/player/658954/samuel-groebner")</f>
        <v>https://www.eliteprospects.com/player/658954/samuel-groebner</v>
      </c>
      <c r="K184" t="s">
        <v>27</v>
      </c>
      <c r="L184" t="s">
        <v>28</v>
      </c>
      <c r="M184" t="s">
        <v>1296</v>
      </c>
      <c r="N184">
        <v>2</v>
      </c>
      <c r="O184" t="s">
        <v>43</v>
      </c>
      <c r="P184">
        <v>0.05</v>
      </c>
      <c r="Q184" t="s">
        <v>1300</v>
      </c>
      <c r="R184">
        <v>57.1</v>
      </c>
      <c r="S184">
        <v>28.6</v>
      </c>
      <c r="T184">
        <v>0</v>
      </c>
      <c r="U184">
        <v>14.3</v>
      </c>
      <c r="V184">
        <v>0</v>
      </c>
    </row>
    <row r="185" spans="1:22" x14ac:dyDescent="0.25">
      <c r="A185" t="s">
        <v>1486</v>
      </c>
      <c r="B185" t="s">
        <v>106</v>
      </c>
      <c r="C185">
        <v>20</v>
      </c>
      <c r="D185" t="s">
        <v>66</v>
      </c>
      <c r="E185" t="s">
        <v>260</v>
      </c>
      <c r="F185" t="s">
        <v>96</v>
      </c>
      <c r="G185">
        <v>0.25</v>
      </c>
      <c r="H185" t="s">
        <v>38</v>
      </c>
      <c r="I185">
        <v>6</v>
      </c>
      <c r="J185" t="str">
        <f>HYPERLINK("https://www.eliteprospects.com/player/640785/matthew-mayich")</f>
        <v>https://www.eliteprospects.com/player/640785/matthew-mayich</v>
      </c>
      <c r="K185" t="s">
        <v>27</v>
      </c>
      <c r="L185" t="s">
        <v>28</v>
      </c>
      <c r="M185" t="s">
        <v>1296</v>
      </c>
      <c r="N185">
        <v>5</v>
      </c>
      <c r="O185" t="s">
        <v>147</v>
      </c>
      <c r="P185">
        <v>0.05</v>
      </c>
      <c r="Q185" t="s">
        <v>1325</v>
      </c>
      <c r="R185">
        <v>18.2</v>
      </c>
      <c r="S185">
        <v>9.1</v>
      </c>
      <c r="T185">
        <v>63.6</v>
      </c>
      <c r="U185">
        <v>0</v>
      </c>
      <c r="V185">
        <v>9.1</v>
      </c>
    </row>
    <row r="186" spans="1:22" x14ac:dyDescent="0.25">
      <c r="A186" t="s">
        <v>1487</v>
      </c>
      <c r="B186" t="s">
        <v>82</v>
      </c>
      <c r="C186">
        <v>22</v>
      </c>
      <c r="D186" t="s">
        <v>66</v>
      </c>
      <c r="E186" t="s">
        <v>260</v>
      </c>
      <c r="F186" t="s">
        <v>96</v>
      </c>
      <c r="G186">
        <v>0.23</v>
      </c>
      <c r="H186" t="s">
        <v>38</v>
      </c>
      <c r="I186">
        <v>13</v>
      </c>
      <c r="J186" t="str">
        <f>HYPERLINK("https://www.eliteprospects.com/player/714715/maxon-vig")</f>
        <v>https://www.eliteprospects.com/player/714715/maxon-vig</v>
      </c>
      <c r="K186" t="s">
        <v>27</v>
      </c>
      <c r="L186" t="s">
        <v>28</v>
      </c>
      <c r="M186" t="s">
        <v>1296</v>
      </c>
      <c r="N186">
        <v>1</v>
      </c>
      <c r="O186" t="s">
        <v>71</v>
      </c>
      <c r="P186">
        <v>0.04</v>
      </c>
      <c r="Q186" t="s">
        <v>1488</v>
      </c>
      <c r="R186">
        <v>0</v>
      </c>
      <c r="S186">
        <v>0</v>
      </c>
      <c r="T186">
        <v>0</v>
      </c>
      <c r="U186">
        <v>0</v>
      </c>
      <c r="V186">
        <v>0</v>
      </c>
    </row>
    <row r="187" spans="1:22" x14ac:dyDescent="0.25">
      <c r="A187" t="s">
        <v>1489</v>
      </c>
      <c r="B187" t="s">
        <v>255</v>
      </c>
      <c r="C187">
        <v>17</v>
      </c>
      <c r="D187" t="s">
        <v>140</v>
      </c>
      <c r="E187" t="s">
        <v>79</v>
      </c>
      <c r="F187" t="s">
        <v>96</v>
      </c>
      <c r="G187">
        <v>0.28999999999999998</v>
      </c>
      <c r="H187" t="s">
        <v>66</v>
      </c>
      <c r="I187">
        <v>-3</v>
      </c>
      <c r="J187" t="str">
        <f>HYPERLINK("https://www.eliteprospects.com/player/512302/justin-gibson")</f>
        <v>https://www.eliteprospects.com/player/512302/justin-gibson</v>
      </c>
      <c r="K187" t="s">
        <v>27</v>
      </c>
      <c r="L187" t="s">
        <v>28</v>
      </c>
      <c r="M187" t="s">
        <v>1296</v>
      </c>
      <c r="N187">
        <v>2</v>
      </c>
      <c r="O187" t="s">
        <v>43</v>
      </c>
      <c r="P187">
        <v>0.06</v>
      </c>
      <c r="Q187" t="s">
        <v>1309</v>
      </c>
      <c r="R187">
        <v>0</v>
      </c>
      <c r="S187">
        <v>20</v>
      </c>
      <c r="T187">
        <v>40</v>
      </c>
      <c r="U187">
        <v>0</v>
      </c>
      <c r="V187">
        <v>40</v>
      </c>
    </row>
    <row r="188" spans="1:22" x14ac:dyDescent="0.25">
      <c r="A188" t="s">
        <v>1490</v>
      </c>
      <c r="B188" t="s">
        <v>113</v>
      </c>
      <c r="C188">
        <v>23</v>
      </c>
      <c r="D188" t="s">
        <v>140</v>
      </c>
      <c r="E188" t="s">
        <v>79</v>
      </c>
      <c r="F188" t="s">
        <v>96</v>
      </c>
      <c r="G188">
        <v>0.22</v>
      </c>
      <c r="H188" t="s">
        <v>57</v>
      </c>
      <c r="I188">
        <v>-4</v>
      </c>
      <c r="J188" t="str">
        <f>HYPERLINK("https://www.eliteprospects.com/player/588309/jakob-stender")</f>
        <v>https://www.eliteprospects.com/player/588309/jakob-stender</v>
      </c>
      <c r="K188" t="s">
        <v>27</v>
      </c>
      <c r="L188" t="s">
        <v>28</v>
      </c>
      <c r="M188" t="s">
        <v>1296</v>
      </c>
      <c r="N188">
        <v>3</v>
      </c>
      <c r="O188" t="s">
        <v>74</v>
      </c>
      <c r="P188">
        <v>0.04</v>
      </c>
      <c r="Q188" t="s">
        <v>1488</v>
      </c>
      <c r="R188">
        <v>0</v>
      </c>
      <c r="S188">
        <v>0</v>
      </c>
      <c r="T188">
        <v>0</v>
      </c>
      <c r="U188">
        <v>0</v>
      </c>
      <c r="V188">
        <v>0</v>
      </c>
    </row>
    <row r="189" spans="1:22" x14ac:dyDescent="0.25">
      <c r="A189" t="s">
        <v>1491</v>
      </c>
      <c r="B189" t="s">
        <v>85</v>
      </c>
      <c r="C189">
        <v>16</v>
      </c>
      <c r="D189" t="s">
        <v>79</v>
      </c>
      <c r="E189" t="s">
        <v>140</v>
      </c>
      <c r="F189" t="s">
        <v>96</v>
      </c>
      <c r="G189">
        <v>0.31</v>
      </c>
      <c r="H189" t="s">
        <v>132</v>
      </c>
      <c r="I189">
        <v>2</v>
      </c>
      <c r="J189" t="str">
        <f>HYPERLINK("https://www.eliteprospects.com/player/201889/nick-marciano")</f>
        <v>https://www.eliteprospects.com/player/201889/nick-marciano</v>
      </c>
      <c r="K189" t="s">
        <v>27</v>
      </c>
      <c r="L189" t="s">
        <v>28</v>
      </c>
      <c r="M189" t="s">
        <v>1296</v>
      </c>
      <c r="N189">
        <v>4</v>
      </c>
      <c r="O189" t="s">
        <v>30</v>
      </c>
      <c r="P189">
        <v>0.06</v>
      </c>
      <c r="Q189" t="s">
        <v>1300</v>
      </c>
      <c r="R189">
        <v>57.1</v>
      </c>
      <c r="S189">
        <v>28.6</v>
      </c>
      <c r="T189">
        <v>0</v>
      </c>
      <c r="U189">
        <v>14.3</v>
      </c>
      <c r="V189">
        <v>0</v>
      </c>
    </row>
    <row r="190" spans="1:22" x14ac:dyDescent="0.25">
      <c r="A190" t="s">
        <v>1492</v>
      </c>
      <c r="B190" t="s">
        <v>131</v>
      </c>
      <c r="C190">
        <v>17</v>
      </c>
      <c r="D190" t="s">
        <v>79</v>
      </c>
      <c r="E190" t="s">
        <v>140</v>
      </c>
      <c r="F190" t="s">
        <v>96</v>
      </c>
      <c r="G190">
        <v>0.28999999999999998</v>
      </c>
      <c r="H190" t="s">
        <v>39</v>
      </c>
      <c r="I190">
        <v>-3</v>
      </c>
      <c r="J190" t="str">
        <f>HYPERLINK("https://www.eliteprospects.com/player/603230/lukas-mccloskey")</f>
        <v>https://www.eliteprospects.com/player/603230/lukas-mccloskey</v>
      </c>
      <c r="K190" t="s">
        <v>27</v>
      </c>
      <c r="L190" t="s">
        <v>28</v>
      </c>
      <c r="M190" t="s">
        <v>1296</v>
      </c>
      <c r="N190">
        <v>2</v>
      </c>
      <c r="O190" t="s">
        <v>267</v>
      </c>
      <c r="P190">
        <v>0.06</v>
      </c>
      <c r="Q190" t="s">
        <v>1309</v>
      </c>
      <c r="R190">
        <v>0</v>
      </c>
      <c r="S190">
        <v>20</v>
      </c>
      <c r="T190">
        <v>40</v>
      </c>
      <c r="U190">
        <v>0</v>
      </c>
      <c r="V190">
        <v>40</v>
      </c>
    </row>
    <row r="191" spans="1:22" x14ac:dyDescent="0.25">
      <c r="A191" t="s">
        <v>1493</v>
      </c>
      <c r="B191" t="s">
        <v>162</v>
      </c>
      <c r="C191">
        <v>19</v>
      </c>
      <c r="D191" t="s">
        <v>79</v>
      </c>
      <c r="E191" t="s">
        <v>140</v>
      </c>
      <c r="F191" t="s">
        <v>96</v>
      </c>
      <c r="G191">
        <v>0.26</v>
      </c>
      <c r="H191" t="s">
        <v>23</v>
      </c>
      <c r="I191">
        <v>3</v>
      </c>
      <c r="J191" t="str">
        <f>HYPERLINK("https://www.eliteprospects.com/player/614376/alec-leonard")</f>
        <v>https://www.eliteprospects.com/player/614376/alec-leonard</v>
      </c>
      <c r="K191" t="s">
        <v>27</v>
      </c>
      <c r="L191" t="s">
        <v>28</v>
      </c>
      <c r="M191" t="s">
        <v>1296</v>
      </c>
      <c r="N191">
        <v>5</v>
      </c>
      <c r="O191" t="s">
        <v>147</v>
      </c>
      <c r="P191">
        <v>0.05</v>
      </c>
      <c r="Q191" t="s">
        <v>1300</v>
      </c>
      <c r="R191">
        <v>57.1</v>
      </c>
      <c r="S191">
        <v>28.6</v>
      </c>
      <c r="T191">
        <v>0</v>
      </c>
      <c r="U191">
        <v>14.3</v>
      </c>
      <c r="V191">
        <v>0</v>
      </c>
    </row>
    <row r="192" spans="1:22" x14ac:dyDescent="0.25">
      <c r="A192" t="s">
        <v>1494</v>
      </c>
      <c r="B192" t="s">
        <v>101</v>
      </c>
      <c r="C192">
        <v>19</v>
      </c>
      <c r="D192" t="s">
        <v>79</v>
      </c>
      <c r="E192" t="s">
        <v>140</v>
      </c>
      <c r="F192" t="s">
        <v>96</v>
      </c>
      <c r="G192">
        <v>0.26</v>
      </c>
      <c r="H192" t="s">
        <v>23</v>
      </c>
      <c r="I192">
        <v>6</v>
      </c>
      <c r="J192" t="str">
        <f>HYPERLINK("https://www.eliteprospects.com/player/512169/austen-may")</f>
        <v>https://www.eliteprospects.com/player/512169/austen-may</v>
      </c>
      <c r="K192" t="s">
        <v>27</v>
      </c>
      <c r="L192" t="s">
        <v>28</v>
      </c>
      <c r="M192" t="s">
        <v>1296</v>
      </c>
      <c r="N192">
        <v>4</v>
      </c>
      <c r="O192" t="s">
        <v>30</v>
      </c>
      <c r="P192">
        <v>0.05</v>
      </c>
      <c r="Q192" t="s">
        <v>1325</v>
      </c>
      <c r="R192">
        <v>18.2</v>
      </c>
      <c r="S192">
        <v>9.1</v>
      </c>
      <c r="T192">
        <v>63.6</v>
      </c>
      <c r="U192">
        <v>0</v>
      </c>
      <c r="V192">
        <v>9.1</v>
      </c>
    </row>
    <row r="193" spans="1:22" x14ac:dyDescent="0.25">
      <c r="A193" t="s">
        <v>1495</v>
      </c>
      <c r="B193" t="s">
        <v>158</v>
      </c>
      <c r="C193">
        <v>19</v>
      </c>
      <c r="D193" t="s">
        <v>79</v>
      </c>
      <c r="E193" t="s">
        <v>140</v>
      </c>
      <c r="F193" t="s">
        <v>96</v>
      </c>
      <c r="G193">
        <v>0.26</v>
      </c>
      <c r="H193" t="s">
        <v>46</v>
      </c>
      <c r="I193">
        <v>-4</v>
      </c>
      <c r="J193" t="str">
        <f>HYPERLINK("https://www.eliteprospects.com/player/716951/william-fleet")</f>
        <v>https://www.eliteprospects.com/player/716951/william-fleet</v>
      </c>
      <c r="K193" t="s">
        <v>27</v>
      </c>
      <c r="L193" t="s">
        <v>28</v>
      </c>
      <c r="M193" t="s">
        <v>1296</v>
      </c>
      <c r="N193">
        <v>1</v>
      </c>
      <c r="O193" t="s">
        <v>71</v>
      </c>
      <c r="P193">
        <v>0.05</v>
      </c>
      <c r="Q193" t="s">
        <v>1309</v>
      </c>
      <c r="R193">
        <v>0</v>
      </c>
      <c r="S193">
        <v>20</v>
      </c>
      <c r="T193">
        <v>40</v>
      </c>
      <c r="U193">
        <v>0</v>
      </c>
      <c r="V193">
        <v>40</v>
      </c>
    </row>
    <row r="194" spans="1:22" x14ac:dyDescent="0.25">
      <c r="A194" t="s">
        <v>1496</v>
      </c>
      <c r="B194" t="s">
        <v>184</v>
      </c>
      <c r="C194">
        <v>20</v>
      </c>
      <c r="D194" t="s">
        <v>79</v>
      </c>
      <c r="E194" t="s">
        <v>140</v>
      </c>
      <c r="F194" t="s">
        <v>96</v>
      </c>
      <c r="G194">
        <v>0.25</v>
      </c>
      <c r="H194" t="s">
        <v>26</v>
      </c>
      <c r="I194">
        <v>8</v>
      </c>
      <c r="J194" t="str">
        <f>HYPERLINK("https://www.eliteprospects.com/player/763720/brendan-dunphy")</f>
        <v>https://www.eliteprospects.com/player/763720/brendan-dunphy</v>
      </c>
      <c r="K194" t="s">
        <v>27</v>
      </c>
      <c r="L194" t="s">
        <v>28</v>
      </c>
      <c r="M194" t="s">
        <v>1296</v>
      </c>
      <c r="N194">
        <v>2</v>
      </c>
      <c r="O194" t="s">
        <v>267</v>
      </c>
      <c r="P194">
        <v>0.05</v>
      </c>
      <c r="Q194" t="s">
        <v>1325</v>
      </c>
      <c r="R194">
        <v>18.2</v>
      </c>
      <c r="S194">
        <v>9.1</v>
      </c>
      <c r="T194">
        <v>63.6</v>
      </c>
      <c r="U194">
        <v>0</v>
      </c>
      <c r="V194">
        <v>9.1</v>
      </c>
    </row>
    <row r="195" spans="1:22" x14ac:dyDescent="0.25">
      <c r="A195" t="s">
        <v>1497</v>
      </c>
      <c r="B195" t="s">
        <v>139</v>
      </c>
      <c r="C195">
        <v>20</v>
      </c>
      <c r="D195" t="s">
        <v>79</v>
      </c>
      <c r="E195" t="s">
        <v>140</v>
      </c>
      <c r="F195" t="s">
        <v>96</v>
      </c>
      <c r="G195">
        <v>0.25</v>
      </c>
      <c r="H195" t="s">
        <v>26</v>
      </c>
      <c r="I195">
        <v>9</v>
      </c>
      <c r="J195" t="str">
        <f>HYPERLINK("https://www.eliteprospects.com/player/526089/aiden-dubinsky")</f>
        <v>https://www.eliteprospects.com/player/526089/aiden-dubinsky</v>
      </c>
      <c r="K195" t="s">
        <v>27</v>
      </c>
      <c r="L195" t="s">
        <v>28</v>
      </c>
      <c r="M195" t="s">
        <v>1296</v>
      </c>
      <c r="N195">
        <v>4</v>
      </c>
      <c r="O195" t="s">
        <v>30</v>
      </c>
      <c r="P195">
        <v>0.05</v>
      </c>
      <c r="Q195" t="s">
        <v>1309</v>
      </c>
      <c r="R195">
        <v>14.3</v>
      </c>
      <c r="S195">
        <v>28.6</v>
      </c>
      <c r="T195">
        <v>28.6</v>
      </c>
      <c r="U195">
        <v>0</v>
      </c>
      <c r="V195">
        <v>28.6</v>
      </c>
    </row>
    <row r="196" spans="1:22" x14ac:dyDescent="0.25">
      <c r="A196" t="s">
        <v>1498</v>
      </c>
      <c r="B196" t="s">
        <v>88</v>
      </c>
      <c r="C196">
        <v>20</v>
      </c>
      <c r="D196" t="s">
        <v>79</v>
      </c>
      <c r="E196" t="s">
        <v>140</v>
      </c>
      <c r="F196" t="s">
        <v>96</v>
      </c>
      <c r="G196">
        <v>0.25</v>
      </c>
      <c r="H196" t="s">
        <v>32</v>
      </c>
      <c r="I196">
        <v>-3</v>
      </c>
      <c r="J196" t="str">
        <f>HYPERLINK("https://www.eliteprospects.com/player/671132/ren-morque")</f>
        <v>https://www.eliteprospects.com/player/671132/ren-morque</v>
      </c>
      <c r="K196" t="s">
        <v>27</v>
      </c>
      <c r="L196" t="s">
        <v>28</v>
      </c>
      <c r="M196" t="s">
        <v>1296</v>
      </c>
      <c r="N196">
        <v>2</v>
      </c>
      <c r="O196" t="s">
        <v>43</v>
      </c>
      <c r="P196">
        <v>0.05</v>
      </c>
      <c r="Q196" t="s">
        <v>1309</v>
      </c>
      <c r="R196">
        <v>0</v>
      </c>
      <c r="S196">
        <v>20</v>
      </c>
      <c r="T196">
        <v>40</v>
      </c>
      <c r="U196">
        <v>0</v>
      </c>
      <c r="V196">
        <v>40</v>
      </c>
    </row>
    <row r="197" spans="1:22" x14ac:dyDescent="0.25">
      <c r="A197" t="s">
        <v>1499</v>
      </c>
      <c r="B197" t="s">
        <v>163</v>
      </c>
      <c r="C197">
        <v>20</v>
      </c>
      <c r="D197" t="s">
        <v>79</v>
      </c>
      <c r="E197" t="s">
        <v>140</v>
      </c>
      <c r="F197" t="s">
        <v>96</v>
      </c>
      <c r="G197">
        <v>0.25</v>
      </c>
      <c r="H197" t="s">
        <v>23</v>
      </c>
      <c r="I197">
        <v>7</v>
      </c>
      <c r="J197" t="str">
        <f>HYPERLINK("https://www.eliteprospects.com/player/603571/quinn-mantei")</f>
        <v>https://www.eliteprospects.com/player/603571/quinn-mantei</v>
      </c>
      <c r="K197" t="s">
        <v>27</v>
      </c>
      <c r="L197" t="s">
        <v>28</v>
      </c>
      <c r="M197" t="s">
        <v>1296</v>
      </c>
      <c r="N197">
        <v>5</v>
      </c>
      <c r="O197" t="s">
        <v>152</v>
      </c>
      <c r="P197">
        <v>0.05</v>
      </c>
      <c r="Q197" t="s">
        <v>1325</v>
      </c>
      <c r="R197">
        <v>18.2</v>
      </c>
      <c r="S197">
        <v>9.1</v>
      </c>
      <c r="T197">
        <v>63.6</v>
      </c>
      <c r="U197">
        <v>0</v>
      </c>
      <c r="V197">
        <v>9.1</v>
      </c>
    </row>
    <row r="198" spans="1:22" x14ac:dyDescent="0.25">
      <c r="A198" t="s">
        <v>1500</v>
      </c>
      <c r="B198" t="s">
        <v>146</v>
      </c>
      <c r="C198">
        <v>20</v>
      </c>
      <c r="D198" t="s">
        <v>79</v>
      </c>
      <c r="E198" t="s">
        <v>140</v>
      </c>
      <c r="F198" t="s">
        <v>96</v>
      </c>
      <c r="G198">
        <v>0.25</v>
      </c>
      <c r="H198" t="s">
        <v>24</v>
      </c>
      <c r="I198">
        <v>-7</v>
      </c>
      <c r="J198" t="str">
        <f>HYPERLINK("https://www.eliteprospects.com/player/417572/john-druskinis")</f>
        <v>https://www.eliteprospects.com/player/417572/john-druskinis</v>
      </c>
      <c r="K198" t="s">
        <v>27</v>
      </c>
      <c r="L198" t="s">
        <v>28</v>
      </c>
      <c r="M198" t="s">
        <v>1296</v>
      </c>
      <c r="N198">
        <v>3</v>
      </c>
      <c r="O198" t="s">
        <v>74</v>
      </c>
      <c r="P198">
        <v>0.05</v>
      </c>
      <c r="Q198" t="s">
        <v>1309</v>
      </c>
      <c r="R198">
        <v>0</v>
      </c>
      <c r="S198">
        <v>20</v>
      </c>
      <c r="T198">
        <v>40</v>
      </c>
      <c r="U198">
        <v>0</v>
      </c>
      <c r="V198">
        <v>40</v>
      </c>
    </row>
    <row r="199" spans="1:22" x14ac:dyDescent="0.25">
      <c r="A199" t="s">
        <v>1501</v>
      </c>
      <c r="B199" t="s">
        <v>109</v>
      </c>
      <c r="C199">
        <v>20</v>
      </c>
      <c r="D199" t="s">
        <v>79</v>
      </c>
      <c r="E199" t="s">
        <v>140</v>
      </c>
      <c r="F199" t="s">
        <v>96</v>
      </c>
      <c r="G199">
        <v>0.25</v>
      </c>
      <c r="H199" t="s">
        <v>81</v>
      </c>
      <c r="I199">
        <v>7</v>
      </c>
      <c r="J199" t="str">
        <f>HYPERLINK("https://www.eliteprospects.com/player/618957/ej-emery")</f>
        <v>https://www.eliteprospects.com/player/618957/ej-emery</v>
      </c>
      <c r="K199" t="s">
        <v>27</v>
      </c>
      <c r="L199" t="s">
        <v>28</v>
      </c>
      <c r="M199" t="s">
        <v>1296</v>
      </c>
      <c r="N199">
        <v>2</v>
      </c>
      <c r="O199" t="s">
        <v>43</v>
      </c>
      <c r="P199">
        <v>0.05</v>
      </c>
      <c r="Q199" t="s">
        <v>1325</v>
      </c>
      <c r="R199">
        <v>18.2</v>
      </c>
      <c r="S199">
        <v>9.1</v>
      </c>
      <c r="T199">
        <v>63.6</v>
      </c>
      <c r="U199">
        <v>0</v>
      </c>
      <c r="V199">
        <v>9.1</v>
      </c>
    </row>
    <row r="200" spans="1:22" x14ac:dyDescent="0.25">
      <c r="A200" t="s">
        <v>1502</v>
      </c>
      <c r="B200" t="s">
        <v>37</v>
      </c>
      <c r="C200">
        <v>22</v>
      </c>
      <c r="D200" t="s">
        <v>79</v>
      </c>
      <c r="E200" t="s">
        <v>140</v>
      </c>
      <c r="F200" t="s">
        <v>96</v>
      </c>
      <c r="G200">
        <v>0.23</v>
      </c>
      <c r="H200" t="s">
        <v>65</v>
      </c>
      <c r="I200">
        <v>14</v>
      </c>
      <c r="J200" t="str">
        <f>HYPERLINK("https://www.eliteprospects.com/player/597574/adam-kleber")</f>
        <v>https://www.eliteprospects.com/player/597574/adam-kleber</v>
      </c>
      <c r="K200" t="s">
        <v>27</v>
      </c>
      <c r="L200" t="s">
        <v>28</v>
      </c>
      <c r="M200" t="s">
        <v>1296</v>
      </c>
      <c r="N200">
        <v>2</v>
      </c>
      <c r="O200" t="s">
        <v>43</v>
      </c>
      <c r="P200">
        <v>0.04</v>
      </c>
      <c r="Q200" t="s">
        <v>1488</v>
      </c>
      <c r="R200">
        <v>0</v>
      </c>
      <c r="S200">
        <v>0</v>
      </c>
      <c r="T200">
        <v>0</v>
      </c>
      <c r="U200">
        <v>0</v>
      </c>
      <c r="V200">
        <v>0</v>
      </c>
    </row>
    <row r="201" spans="1:22" x14ac:dyDescent="0.25">
      <c r="A201" t="s">
        <v>1503</v>
      </c>
      <c r="B201" t="s">
        <v>73</v>
      </c>
      <c r="C201">
        <v>22</v>
      </c>
      <c r="D201" t="s">
        <v>79</v>
      </c>
      <c r="E201" t="s">
        <v>140</v>
      </c>
      <c r="F201" t="s">
        <v>96</v>
      </c>
      <c r="G201">
        <v>0.23</v>
      </c>
      <c r="H201" t="s">
        <v>65</v>
      </c>
      <c r="I201">
        <v>4</v>
      </c>
      <c r="J201" t="str">
        <f>HYPERLINK("https://www.eliteprospects.com/player/494423/mason-reiners")</f>
        <v>https://www.eliteprospects.com/player/494423/mason-reiners</v>
      </c>
      <c r="K201" t="s">
        <v>27</v>
      </c>
      <c r="L201" t="s">
        <v>28</v>
      </c>
      <c r="M201" t="s">
        <v>1296</v>
      </c>
      <c r="N201">
        <v>4</v>
      </c>
      <c r="O201" t="s">
        <v>30</v>
      </c>
      <c r="P201">
        <v>0.04</v>
      </c>
      <c r="Q201" t="s">
        <v>1488</v>
      </c>
      <c r="R201">
        <v>0</v>
      </c>
      <c r="S201">
        <v>0</v>
      </c>
      <c r="T201">
        <v>0</v>
      </c>
      <c r="U201">
        <v>0</v>
      </c>
      <c r="V201">
        <v>0</v>
      </c>
    </row>
    <row r="202" spans="1:22" x14ac:dyDescent="0.25">
      <c r="A202" t="s">
        <v>1504</v>
      </c>
      <c r="B202" t="s">
        <v>222</v>
      </c>
      <c r="C202">
        <v>14</v>
      </c>
      <c r="D202" t="s">
        <v>260</v>
      </c>
      <c r="E202" t="s">
        <v>66</v>
      </c>
      <c r="F202" t="s">
        <v>96</v>
      </c>
      <c r="G202">
        <v>0.36</v>
      </c>
      <c r="H202" t="s">
        <v>79</v>
      </c>
      <c r="I202">
        <v>-18</v>
      </c>
      <c r="J202" t="str">
        <f>HYPERLINK("https://www.eliteprospects.com/player/483439/hughie-hooker")</f>
        <v>https://www.eliteprospects.com/player/483439/hughie-hooker</v>
      </c>
      <c r="K202" t="s">
        <v>27</v>
      </c>
      <c r="L202" t="s">
        <v>28</v>
      </c>
      <c r="M202" t="s">
        <v>1296</v>
      </c>
      <c r="N202">
        <v>2</v>
      </c>
      <c r="O202" t="s">
        <v>43</v>
      </c>
      <c r="P202">
        <v>7.0000000000000007E-2</v>
      </c>
      <c r="Q202" t="s">
        <v>245</v>
      </c>
      <c r="R202">
        <v>0</v>
      </c>
      <c r="S202">
        <v>44.4</v>
      </c>
      <c r="T202">
        <v>33.299999999999997</v>
      </c>
      <c r="U202">
        <v>0</v>
      </c>
      <c r="V202">
        <v>22.2</v>
      </c>
    </row>
    <row r="203" spans="1:22" x14ac:dyDescent="0.25">
      <c r="A203" t="s">
        <v>1505</v>
      </c>
      <c r="B203" t="s">
        <v>200</v>
      </c>
      <c r="C203">
        <v>15</v>
      </c>
      <c r="D203" t="s">
        <v>260</v>
      </c>
      <c r="E203" t="s">
        <v>66</v>
      </c>
      <c r="F203" t="s">
        <v>96</v>
      </c>
      <c r="G203">
        <v>0.33</v>
      </c>
      <c r="H203" t="s">
        <v>79</v>
      </c>
      <c r="I203">
        <v>11</v>
      </c>
      <c r="J203" t="str">
        <f>HYPERLINK("https://www.eliteprospects.com/player/643357/luke-ashton")</f>
        <v>https://www.eliteprospects.com/player/643357/luke-ashton</v>
      </c>
      <c r="K203" t="s">
        <v>27</v>
      </c>
      <c r="L203" t="s">
        <v>28</v>
      </c>
      <c r="M203" t="s">
        <v>1296</v>
      </c>
      <c r="N203">
        <v>2</v>
      </c>
      <c r="O203" t="s">
        <v>43</v>
      </c>
      <c r="P203">
        <v>0.06</v>
      </c>
      <c r="Q203" t="s">
        <v>1309</v>
      </c>
      <c r="R203">
        <v>14.3</v>
      </c>
      <c r="S203">
        <v>28.6</v>
      </c>
      <c r="T203">
        <v>28.6</v>
      </c>
      <c r="U203">
        <v>0</v>
      </c>
      <c r="V203">
        <v>28.6</v>
      </c>
    </row>
    <row r="204" spans="1:22" x14ac:dyDescent="0.25">
      <c r="A204" t="s">
        <v>1506</v>
      </c>
      <c r="B204" t="s">
        <v>177</v>
      </c>
      <c r="C204">
        <v>16</v>
      </c>
      <c r="D204" t="s">
        <v>260</v>
      </c>
      <c r="E204" t="s">
        <v>66</v>
      </c>
      <c r="F204" t="s">
        <v>96</v>
      </c>
      <c r="G204">
        <v>0.31</v>
      </c>
      <c r="H204" t="s">
        <v>32</v>
      </c>
      <c r="I204">
        <v>-3</v>
      </c>
      <c r="J204" t="str">
        <f>HYPERLINK("https://www.eliteprospects.com/player/369859/jonathan-ziskie")</f>
        <v>https://www.eliteprospects.com/player/369859/jonathan-ziskie</v>
      </c>
      <c r="K204" t="s">
        <v>27</v>
      </c>
      <c r="L204" t="s">
        <v>28</v>
      </c>
      <c r="M204" t="s">
        <v>1296</v>
      </c>
      <c r="N204">
        <v>4</v>
      </c>
      <c r="O204" t="s">
        <v>30</v>
      </c>
      <c r="P204">
        <v>0.06</v>
      </c>
      <c r="Q204" t="s">
        <v>1309</v>
      </c>
      <c r="R204">
        <v>0</v>
      </c>
      <c r="S204">
        <v>20</v>
      </c>
      <c r="T204">
        <v>40</v>
      </c>
      <c r="U204">
        <v>0</v>
      </c>
      <c r="V204">
        <v>40</v>
      </c>
    </row>
    <row r="205" spans="1:22" x14ac:dyDescent="0.25">
      <c r="A205" t="s">
        <v>1507</v>
      </c>
      <c r="B205" t="s">
        <v>234</v>
      </c>
      <c r="C205">
        <v>17</v>
      </c>
      <c r="D205" t="s">
        <v>260</v>
      </c>
      <c r="E205" t="s">
        <v>66</v>
      </c>
      <c r="F205" t="s">
        <v>96</v>
      </c>
      <c r="G205">
        <v>0.28999999999999998</v>
      </c>
      <c r="H205" t="s">
        <v>69</v>
      </c>
      <c r="I205">
        <v>3</v>
      </c>
      <c r="J205" t="str">
        <f>HYPERLINK("https://www.eliteprospects.com/player/562137/alex-pineau")</f>
        <v>https://www.eliteprospects.com/player/562137/alex-pineau</v>
      </c>
      <c r="K205" t="s">
        <v>27</v>
      </c>
      <c r="L205" t="s">
        <v>28</v>
      </c>
      <c r="M205" t="s">
        <v>1296</v>
      </c>
      <c r="N205">
        <v>3</v>
      </c>
      <c r="O205" t="s">
        <v>74</v>
      </c>
      <c r="P205">
        <v>0.06</v>
      </c>
      <c r="Q205" t="s">
        <v>1325</v>
      </c>
      <c r="R205">
        <v>18.2</v>
      </c>
      <c r="S205">
        <v>9.1</v>
      </c>
      <c r="T205">
        <v>63.6</v>
      </c>
      <c r="U205">
        <v>0</v>
      </c>
      <c r="V205">
        <v>9.1</v>
      </c>
    </row>
    <row r="206" spans="1:22" x14ac:dyDescent="0.25">
      <c r="A206" t="s">
        <v>1508</v>
      </c>
      <c r="B206" t="s">
        <v>82</v>
      </c>
      <c r="C206">
        <v>18</v>
      </c>
      <c r="D206" t="s">
        <v>260</v>
      </c>
      <c r="E206" t="s">
        <v>66</v>
      </c>
      <c r="F206" t="s">
        <v>96</v>
      </c>
      <c r="G206">
        <v>0.28000000000000003</v>
      </c>
      <c r="H206" t="s">
        <v>57</v>
      </c>
      <c r="I206">
        <v>0</v>
      </c>
      <c r="J206" t="str">
        <f>HYPERLINK("https://www.eliteprospects.com/player/376336/vincent-corcoran")</f>
        <v>https://www.eliteprospects.com/player/376336/vincent-corcoran</v>
      </c>
      <c r="K206" t="s">
        <v>27</v>
      </c>
      <c r="L206" t="s">
        <v>28</v>
      </c>
      <c r="M206" t="s">
        <v>1296</v>
      </c>
      <c r="N206">
        <v>4</v>
      </c>
      <c r="O206" t="s">
        <v>30</v>
      </c>
      <c r="P206">
        <v>0.05</v>
      </c>
      <c r="Q206" t="s">
        <v>1300</v>
      </c>
      <c r="R206">
        <v>37.5</v>
      </c>
      <c r="S206">
        <v>37.5</v>
      </c>
      <c r="T206">
        <v>0</v>
      </c>
      <c r="U206">
        <v>12.5</v>
      </c>
      <c r="V206">
        <v>12.5</v>
      </c>
    </row>
    <row r="207" spans="1:22" x14ac:dyDescent="0.25">
      <c r="A207" t="s">
        <v>1509</v>
      </c>
      <c r="B207" t="s">
        <v>288</v>
      </c>
      <c r="C207">
        <v>18</v>
      </c>
      <c r="D207" t="s">
        <v>260</v>
      </c>
      <c r="E207" t="s">
        <v>66</v>
      </c>
      <c r="F207" t="s">
        <v>96</v>
      </c>
      <c r="G207">
        <v>0.28000000000000003</v>
      </c>
      <c r="H207" t="s">
        <v>32</v>
      </c>
      <c r="I207">
        <v>-10</v>
      </c>
      <c r="J207" t="str">
        <f>HYPERLINK("https://www.eliteprospects.com/player/691831/caeden-herrington")</f>
        <v>https://www.eliteprospects.com/player/691831/caeden-herrington</v>
      </c>
      <c r="K207" t="s">
        <v>27</v>
      </c>
      <c r="L207" t="s">
        <v>28</v>
      </c>
      <c r="M207" t="s">
        <v>1296</v>
      </c>
      <c r="N207">
        <v>1</v>
      </c>
      <c r="O207" t="s">
        <v>71</v>
      </c>
      <c r="P207">
        <v>0.05</v>
      </c>
      <c r="Q207" t="s">
        <v>1309</v>
      </c>
      <c r="R207">
        <v>0</v>
      </c>
      <c r="S207">
        <v>20</v>
      </c>
      <c r="T207">
        <v>40</v>
      </c>
      <c r="U207">
        <v>0</v>
      </c>
      <c r="V207">
        <v>40</v>
      </c>
    </row>
    <row r="208" spans="1:22" x14ac:dyDescent="0.25">
      <c r="A208" t="s">
        <v>1510</v>
      </c>
      <c r="B208" t="s">
        <v>103</v>
      </c>
      <c r="C208">
        <v>18</v>
      </c>
      <c r="D208" t="s">
        <v>260</v>
      </c>
      <c r="E208" t="s">
        <v>66</v>
      </c>
      <c r="F208" t="s">
        <v>96</v>
      </c>
      <c r="G208">
        <v>0.28000000000000003</v>
      </c>
      <c r="H208" t="s">
        <v>23</v>
      </c>
      <c r="I208">
        <v>1</v>
      </c>
      <c r="J208" t="str">
        <f>HYPERLINK("https://www.eliteprospects.com/player/408607/owen-murray")</f>
        <v>https://www.eliteprospects.com/player/408607/owen-murray</v>
      </c>
      <c r="K208" t="s">
        <v>27</v>
      </c>
      <c r="L208" t="s">
        <v>28</v>
      </c>
      <c r="M208" t="s">
        <v>1296</v>
      </c>
      <c r="N208">
        <v>4</v>
      </c>
      <c r="O208" t="s">
        <v>30</v>
      </c>
      <c r="P208">
        <v>0.05</v>
      </c>
      <c r="Q208" t="s">
        <v>1300</v>
      </c>
      <c r="R208">
        <v>57.1</v>
      </c>
      <c r="S208">
        <v>28.6</v>
      </c>
      <c r="T208">
        <v>0</v>
      </c>
      <c r="U208">
        <v>14.3</v>
      </c>
      <c r="V208">
        <v>0</v>
      </c>
    </row>
    <row r="209" spans="1:22" x14ac:dyDescent="0.25">
      <c r="A209" t="s">
        <v>1511</v>
      </c>
      <c r="B209" t="s">
        <v>127</v>
      </c>
      <c r="C209">
        <v>19</v>
      </c>
      <c r="D209" t="s">
        <v>260</v>
      </c>
      <c r="E209" t="s">
        <v>66</v>
      </c>
      <c r="F209" t="s">
        <v>96</v>
      </c>
      <c r="G209">
        <v>0.26</v>
      </c>
      <c r="H209" t="s">
        <v>66</v>
      </c>
      <c r="I209">
        <v>3</v>
      </c>
      <c r="J209" t="str">
        <f>HYPERLINK("https://www.eliteprospects.com/player/407657/brody-gagno")</f>
        <v>https://www.eliteprospects.com/player/407657/brody-gagno</v>
      </c>
      <c r="K209" t="s">
        <v>27</v>
      </c>
      <c r="L209" t="s">
        <v>28</v>
      </c>
      <c r="M209" t="s">
        <v>1296</v>
      </c>
      <c r="N209">
        <v>3</v>
      </c>
      <c r="O209" t="s">
        <v>74</v>
      </c>
      <c r="P209">
        <v>0.05</v>
      </c>
      <c r="Q209" t="s">
        <v>1300</v>
      </c>
      <c r="R209">
        <v>57.1</v>
      </c>
      <c r="S209">
        <v>28.6</v>
      </c>
      <c r="T209">
        <v>0</v>
      </c>
      <c r="U209">
        <v>14.3</v>
      </c>
      <c r="V209">
        <v>0</v>
      </c>
    </row>
    <row r="210" spans="1:22" x14ac:dyDescent="0.25">
      <c r="A210" t="s">
        <v>1512</v>
      </c>
      <c r="B210" t="s">
        <v>195</v>
      </c>
      <c r="C210">
        <v>19</v>
      </c>
      <c r="D210" t="s">
        <v>260</v>
      </c>
      <c r="E210" t="s">
        <v>66</v>
      </c>
      <c r="F210" t="s">
        <v>96</v>
      </c>
      <c r="G210">
        <v>0.26</v>
      </c>
      <c r="H210" t="s">
        <v>60</v>
      </c>
      <c r="I210">
        <v>2</v>
      </c>
      <c r="J210" t="str">
        <f>HYPERLINK("https://www.eliteprospects.com/player/577173/charlie-trethewey")</f>
        <v>https://www.eliteprospects.com/player/577173/charlie-trethewey</v>
      </c>
      <c r="K210" t="s">
        <v>27</v>
      </c>
      <c r="L210" t="s">
        <v>28</v>
      </c>
      <c r="M210" t="s">
        <v>1296</v>
      </c>
      <c r="N210">
        <v>1</v>
      </c>
      <c r="O210" t="s">
        <v>71</v>
      </c>
      <c r="P210">
        <v>0.05</v>
      </c>
      <c r="Q210" t="s">
        <v>1300</v>
      </c>
      <c r="R210">
        <v>57.1</v>
      </c>
      <c r="S210">
        <v>28.6</v>
      </c>
      <c r="T210">
        <v>0</v>
      </c>
      <c r="U210">
        <v>14.3</v>
      </c>
      <c r="V210">
        <v>0</v>
      </c>
    </row>
    <row r="211" spans="1:22" x14ac:dyDescent="0.25">
      <c r="A211" t="s">
        <v>1513</v>
      </c>
      <c r="B211" t="s">
        <v>131</v>
      </c>
      <c r="C211">
        <v>19</v>
      </c>
      <c r="D211" t="s">
        <v>260</v>
      </c>
      <c r="E211" t="s">
        <v>66</v>
      </c>
      <c r="F211" t="s">
        <v>96</v>
      </c>
      <c r="G211">
        <v>0.26</v>
      </c>
      <c r="H211" t="s">
        <v>34</v>
      </c>
      <c r="I211">
        <v>10</v>
      </c>
      <c r="J211" t="str">
        <f>HYPERLINK("https://www.eliteprospects.com/player/481296/easton-zueger")</f>
        <v>https://www.eliteprospects.com/player/481296/easton-zueger</v>
      </c>
      <c r="K211" t="s">
        <v>27</v>
      </c>
      <c r="L211" t="s">
        <v>28</v>
      </c>
      <c r="M211" t="s">
        <v>1296</v>
      </c>
      <c r="N211">
        <v>3</v>
      </c>
      <c r="O211" t="s">
        <v>74</v>
      </c>
      <c r="P211">
        <v>0.05</v>
      </c>
      <c r="Q211" t="s">
        <v>1309</v>
      </c>
      <c r="R211">
        <v>14.3</v>
      </c>
      <c r="S211">
        <v>28.6</v>
      </c>
      <c r="T211">
        <v>28.6</v>
      </c>
      <c r="U211">
        <v>0</v>
      </c>
      <c r="V211">
        <v>28.6</v>
      </c>
    </row>
    <row r="212" spans="1:22" x14ac:dyDescent="0.25">
      <c r="A212" t="s">
        <v>1514</v>
      </c>
      <c r="B212" t="s">
        <v>130</v>
      </c>
      <c r="C212">
        <v>20</v>
      </c>
      <c r="D212" t="s">
        <v>260</v>
      </c>
      <c r="E212" t="s">
        <v>66</v>
      </c>
      <c r="F212" t="s">
        <v>96</v>
      </c>
      <c r="G212">
        <v>0.25</v>
      </c>
      <c r="H212" t="s">
        <v>79</v>
      </c>
      <c r="I212">
        <v>4</v>
      </c>
      <c r="J212" t="str">
        <f>HYPERLINK("https://www.eliteprospects.com/player/512296/austin-oravetz")</f>
        <v>https://www.eliteprospects.com/player/512296/austin-oravetz</v>
      </c>
      <c r="K212" t="s">
        <v>27</v>
      </c>
      <c r="L212" t="s">
        <v>28</v>
      </c>
      <c r="M212" t="s">
        <v>1296</v>
      </c>
      <c r="N212">
        <v>3</v>
      </c>
      <c r="O212" t="s">
        <v>74</v>
      </c>
      <c r="P212">
        <v>0.05</v>
      </c>
      <c r="Q212" t="s">
        <v>1325</v>
      </c>
      <c r="R212">
        <v>18.2</v>
      </c>
      <c r="S212">
        <v>9.1</v>
      </c>
      <c r="T212">
        <v>63.6</v>
      </c>
      <c r="U212">
        <v>0</v>
      </c>
      <c r="V212">
        <v>9.1</v>
      </c>
    </row>
    <row r="213" spans="1:22" x14ac:dyDescent="0.25">
      <c r="A213" t="s">
        <v>1515</v>
      </c>
      <c r="B213" t="s">
        <v>134</v>
      </c>
      <c r="C213">
        <v>20</v>
      </c>
      <c r="D213" t="s">
        <v>260</v>
      </c>
      <c r="E213" t="s">
        <v>66</v>
      </c>
      <c r="F213" t="s">
        <v>96</v>
      </c>
      <c r="G213">
        <v>0.25</v>
      </c>
      <c r="H213" t="s">
        <v>66</v>
      </c>
      <c r="I213">
        <v>0</v>
      </c>
      <c r="J213" t="str">
        <f>HYPERLINK("https://www.eliteprospects.com/player/476025/robert-kincaid")</f>
        <v>https://www.eliteprospects.com/player/476025/robert-kincaid</v>
      </c>
      <c r="K213" t="s">
        <v>27</v>
      </c>
      <c r="L213" t="s">
        <v>28</v>
      </c>
      <c r="M213" t="s">
        <v>1296</v>
      </c>
      <c r="N213">
        <v>4</v>
      </c>
      <c r="O213" t="s">
        <v>30</v>
      </c>
      <c r="P213">
        <v>0.05</v>
      </c>
      <c r="Q213" t="s">
        <v>1300</v>
      </c>
      <c r="R213">
        <v>37.5</v>
      </c>
      <c r="S213">
        <v>37.5</v>
      </c>
      <c r="T213">
        <v>0</v>
      </c>
      <c r="U213">
        <v>12.5</v>
      </c>
      <c r="V213">
        <v>12.5</v>
      </c>
    </row>
    <row r="214" spans="1:22" x14ac:dyDescent="0.25">
      <c r="A214" t="s">
        <v>1516</v>
      </c>
      <c r="B214" t="s">
        <v>224</v>
      </c>
      <c r="C214">
        <v>20</v>
      </c>
      <c r="D214" t="s">
        <v>260</v>
      </c>
      <c r="E214" t="s">
        <v>66</v>
      </c>
      <c r="F214" t="s">
        <v>96</v>
      </c>
      <c r="G214">
        <v>0.25</v>
      </c>
      <c r="H214" t="s">
        <v>66</v>
      </c>
      <c r="I214">
        <v>-6</v>
      </c>
      <c r="J214" t="str">
        <f>HYPERLINK("https://www.eliteprospects.com/player/539638/john-babcock")</f>
        <v>https://www.eliteprospects.com/player/539638/john-babcock</v>
      </c>
      <c r="K214" t="s">
        <v>27</v>
      </c>
      <c r="L214" t="s">
        <v>28</v>
      </c>
      <c r="M214" t="s">
        <v>1296</v>
      </c>
      <c r="N214">
        <v>6</v>
      </c>
      <c r="O214" t="s">
        <v>193</v>
      </c>
      <c r="P214">
        <v>0.05</v>
      </c>
      <c r="Q214" t="s">
        <v>1309</v>
      </c>
      <c r="R214">
        <v>0</v>
      </c>
      <c r="S214">
        <v>20</v>
      </c>
      <c r="T214">
        <v>40</v>
      </c>
      <c r="U214">
        <v>0</v>
      </c>
      <c r="V214">
        <v>40</v>
      </c>
    </row>
    <row r="215" spans="1:22" x14ac:dyDescent="0.25">
      <c r="A215" t="s">
        <v>1517</v>
      </c>
      <c r="B215" t="s">
        <v>82</v>
      </c>
      <c r="C215">
        <v>20</v>
      </c>
      <c r="D215" t="s">
        <v>260</v>
      </c>
      <c r="E215" t="s">
        <v>66</v>
      </c>
      <c r="F215" t="s">
        <v>96</v>
      </c>
      <c r="G215">
        <v>0.25</v>
      </c>
      <c r="H215" t="s">
        <v>32</v>
      </c>
      <c r="I215">
        <v>2</v>
      </c>
      <c r="J215" t="str">
        <f>HYPERLINK("https://www.eliteprospects.com/player/606970/luke-roelofs")</f>
        <v>https://www.eliteprospects.com/player/606970/luke-roelofs</v>
      </c>
      <c r="K215" t="s">
        <v>27</v>
      </c>
      <c r="L215" t="s">
        <v>28</v>
      </c>
      <c r="M215" t="s">
        <v>1296</v>
      </c>
      <c r="N215">
        <v>2</v>
      </c>
      <c r="O215" t="s">
        <v>43</v>
      </c>
      <c r="P215">
        <v>0.05</v>
      </c>
      <c r="Q215" t="s">
        <v>1300</v>
      </c>
      <c r="R215">
        <v>57.1</v>
      </c>
      <c r="S215">
        <v>28.6</v>
      </c>
      <c r="T215">
        <v>0</v>
      </c>
      <c r="U215">
        <v>14.3</v>
      </c>
      <c r="V215">
        <v>0</v>
      </c>
    </row>
    <row r="216" spans="1:22" x14ac:dyDescent="0.25">
      <c r="A216" t="s">
        <v>1518</v>
      </c>
      <c r="B216" t="s">
        <v>103</v>
      </c>
      <c r="C216">
        <v>20</v>
      </c>
      <c r="D216" t="s">
        <v>260</v>
      </c>
      <c r="E216" t="s">
        <v>66</v>
      </c>
      <c r="F216" t="s">
        <v>96</v>
      </c>
      <c r="G216">
        <v>0.25</v>
      </c>
      <c r="H216" t="s">
        <v>23</v>
      </c>
      <c r="I216">
        <v>-3</v>
      </c>
      <c r="J216" t="str">
        <f>HYPERLINK("https://www.eliteprospects.com/player/494784/lucas-olvestad")</f>
        <v>https://www.eliteprospects.com/player/494784/lucas-olvestad</v>
      </c>
      <c r="K216" t="s">
        <v>27</v>
      </c>
      <c r="L216" t="s">
        <v>28</v>
      </c>
      <c r="M216" t="s">
        <v>1296</v>
      </c>
      <c r="N216">
        <v>4</v>
      </c>
      <c r="O216" t="s">
        <v>30</v>
      </c>
      <c r="P216">
        <v>0.05</v>
      </c>
      <c r="Q216" t="s">
        <v>1309</v>
      </c>
      <c r="R216">
        <v>0</v>
      </c>
      <c r="S216">
        <v>20</v>
      </c>
      <c r="T216">
        <v>40</v>
      </c>
      <c r="U216">
        <v>0</v>
      </c>
      <c r="V216">
        <v>40</v>
      </c>
    </row>
    <row r="217" spans="1:22" x14ac:dyDescent="0.25">
      <c r="A217" t="s">
        <v>1519</v>
      </c>
      <c r="B217" t="s">
        <v>50</v>
      </c>
      <c r="C217">
        <v>20</v>
      </c>
      <c r="D217" t="s">
        <v>260</v>
      </c>
      <c r="E217" t="s">
        <v>66</v>
      </c>
      <c r="F217" t="s">
        <v>96</v>
      </c>
      <c r="G217">
        <v>0.25</v>
      </c>
      <c r="H217" t="s">
        <v>47</v>
      </c>
      <c r="I217">
        <v>2</v>
      </c>
      <c r="J217" t="str">
        <f>HYPERLINK("https://www.eliteprospects.com/player/750590/drew-schock")</f>
        <v>https://www.eliteprospects.com/player/750590/drew-schock</v>
      </c>
      <c r="K217" t="s">
        <v>27</v>
      </c>
      <c r="L217" t="s">
        <v>28</v>
      </c>
      <c r="M217" t="s">
        <v>1296</v>
      </c>
      <c r="N217">
        <v>1</v>
      </c>
      <c r="O217" t="s">
        <v>71</v>
      </c>
      <c r="P217">
        <v>0.05</v>
      </c>
      <c r="Q217" t="s">
        <v>1300</v>
      </c>
      <c r="R217">
        <v>57.1</v>
      </c>
      <c r="S217">
        <v>28.6</v>
      </c>
      <c r="T217">
        <v>0</v>
      </c>
      <c r="U217">
        <v>14.3</v>
      </c>
      <c r="V217">
        <v>0</v>
      </c>
    </row>
    <row r="218" spans="1:22" x14ac:dyDescent="0.25">
      <c r="A218" t="s">
        <v>1520</v>
      </c>
      <c r="B218" t="s">
        <v>68</v>
      </c>
      <c r="C218">
        <v>21</v>
      </c>
      <c r="D218" t="s">
        <v>260</v>
      </c>
      <c r="E218" t="s">
        <v>66</v>
      </c>
      <c r="F218" t="s">
        <v>96</v>
      </c>
      <c r="G218">
        <v>0.24</v>
      </c>
      <c r="H218" t="s">
        <v>32</v>
      </c>
      <c r="I218">
        <v>14</v>
      </c>
      <c r="J218" t="str">
        <f>HYPERLINK("https://www.eliteprospects.com/player/526226/charlie-leddy")</f>
        <v>https://www.eliteprospects.com/player/526226/charlie-leddy</v>
      </c>
      <c r="K218" t="s">
        <v>27</v>
      </c>
      <c r="L218" t="s">
        <v>28</v>
      </c>
      <c r="M218" t="s">
        <v>1296</v>
      </c>
      <c r="N218">
        <v>4</v>
      </c>
      <c r="O218" t="s">
        <v>30</v>
      </c>
      <c r="P218">
        <v>0.05</v>
      </c>
      <c r="Q218" t="s">
        <v>1309</v>
      </c>
      <c r="R218">
        <v>14.3</v>
      </c>
      <c r="S218">
        <v>28.6</v>
      </c>
      <c r="T218">
        <v>28.6</v>
      </c>
      <c r="U218">
        <v>0</v>
      </c>
      <c r="V218">
        <v>28.6</v>
      </c>
    </row>
    <row r="219" spans="1:22" x14ac:dyDescent="0.25">
      <c r="A219" t="s">
        <v>1521</v>
      </c>
      <c r="B219" t="s">
        <v>64</v>
      </c>
      <c r="C219">
        <v>21</v>
      </c>
      <c r="D219" t="s">
        <v>260</v>
      </c>
      <c r="E219" t="s">
        <v>66</v>
      </c>
      <c r="F219" t="s">
        <v>96</v>
      </c>
      <c r="G219">
        <v>0.24</v>
      </c>
      <c r="H219" t="s">
        <v>23</v>
      </c>
      <c r="I219">
        <v>4</v>
      </c>
      <c r="J219" t="str">
        <f>HYPERLINK("https://www.eliteprospects.com/player/720101/bauer-berry")</f>
        <v>https://www.eliteprospects.com/player/720101/bauer-berry</v>
      </c>
      <c r="K219" t="s">
        <v>27</v>
      </c>
      <c r="L219" t="s">
        <v>28</v>
      </c>
      <c r="M219" t="s">
        <v>1296</v>
      </c>
      <c r="N219">
        <v>1</v>
      </c>
      <c r="O219" t="s">
        <v>71</v>
      </c>
      <c r="P219">
        <v>0.05</v>
      </c>
      <c r="Q219" t="s">
        <v>1325</v>
      </c>
      <c r="R219">
        <v>18.2</v>
      </c>
      <c r="S219">
        <v>9.1</v>
      </c>
      <c r="T219">
        <v>63.6</v>
      </c>
      <c r="U219">
        <v>0</v>
      </c>
      <c r="V219">
        <v>9.1</v>
      </c>
    </row>
    <row r="220" spans="1:22" x14ac:dyDescent="0.25">
      <c r="A220" t="s">
        <v>1522</v>
      </c>
      <c r="B220" t="s">
        <v>161</v>
      </c>
      <c r="C220">
        <v>22</v>
      </c>
      <c r="D220" t="s">
        <v>260</v>
      </c>
      <c r="E220" t="s">
        <v>66</v>
      </c>
      <c r="F220" t="s">
        <v>96</v>
      </c>
      <c r="G220">
        <v>0.23</v>
      </c>
      <c r="H220" t="s">
        <v>57</v>
      </c>
      <c r="I220">
        <v>7</v>
      </c>
      <c r="J220" t="str">
        <f>HYPERLINK("https://www.eliteprospects.com/player/670268/ryan-koering")</f>
        <v>https://www.eliteprospects.com/player/670268/ryan-koering</v>
      </c>
      <c r="K220" t="s">
        <v>27</v>
      </c>
      <c r="L220" t="s">
        <v>28</v>
      </c>
      <c r="M220" t="s">
        <v>1296</v>
      </c>
      <c r="N220">
        <v>2</v>
      </c>
      <c r="O220" t="s">
        <v>43</v>
      </c>
      <c r="P220">
        <v>0.04</v>
      </c>
      <c r="Q220" t="s">
        <v>1488</v>
      </c>
      <c r="R220">
        <v>0</v>
      </c>
      <c r="S220">
        <v>0</v>
      </c>
      <c r="T220">
        <v>0</v>
      </c>
      <c r="U220">
        <v>0</v>
      </c>
      <c r="V220">
        <v>0</v>
      </c>
    </row>
    <row r="221" spans="1:22" x14ac:dyDescent="0.25">
      <c r="A221" t="s">
        <v>1523</v>
      </c>
      <c r="B221" t="s">
        <v>202</v>
      </c>
      <c r="C221">
        <v>22</v>
      </c>
      <c r="D221" t="s">
        <v>260</v>
      </c>
      <c r="E221" t="s">
        <v>66</v>
      </c>
      <c r="F221" t="s">
        <v>96</v>
      </c>
      <c r="G221">
        <v>0.23</v>
      </c>
      <c r="H221" t="s">
        <v>57</v>
      </c>
      <c r="I221">
        <v>-7</v>
      </c>
      <c r="J221" t="str">
        <f>HYPERLINK("https://www.eliteprospects.com/player/470901/marcus-broberg")</f>
        <v>https://www.eliteprospects.com/player/470901/marcus-broberg</v>
      </c>
      <c r="K221" t="s">
        <v>27</v>
      </c>
      <c r="L221" t="s">
        <v>28</v>
      </c>
      <c r="M221" t="s">
        <v>1296</v>
      </c>
      <c r="N221">
        <v>2</v>
      </c>
      <c r="O221" t="s">
        <v>43</v>
      </c>
      <c r="P221">
        <v>0.04</v>
      </c>
      <c r="Q221" t="s">
        <v>1488</v>
      </c>
      <c r="R221">
        <v>0</v>
      </c>
      <c r="S221">
        <v>0</v>
      </c>
      <c r="T221">
        <v>0</v>
      </c>
      <c r="U221">
        <v>0</v>
      </c>
      <c r="V221">
        <v>0</v>
      </c>
    </row>
    <row r="222" spans="1:22" x14ac:dyDescent="0.25">
      <c r="A222" t="s">
        <v>1524</v>
      </c>
      <c r="B222" t="s">
        <v>205</v>
      </c>
      <c r="C222">
        <v>22</v>
      </c>
      <c r="D222" t="s">
        <v>260</v>
      </c>
      <c r="E222" t="s">
        <v>66</v>
      </c>
      <c r="F222" t="s">
        <v>96</v>
      </c>
      <c r="G222">
        <v>0.23</v>
      </c>
      <c r="H222" t="s">
        <v>38</v>
      </c>
      <c r="I222">
        <v>6</v>
      </c>
      <c r="J222" t="str">
        <f>HYPERLINK("https://www.eliteprospects.com/player/641761/mason-croucher")</f>
        <v>https://www.eliteprospects.com/player/641761/mason-croucher</v>
      </c>
      <c r="K222" t="s">
        <v>27</v>
      </c>
      <c r="L222" t="s">
        <v>28</v>
      </c>
      <c r="M222" t="s">
        <v>1296</v>
      </c>
      <c r="N222">
        <v>2</v>
      </c>
      <c r="O222" t="s">
        <v>43</v>
      </c>
      <c r="P222">
        <v>0.04</v>
      </c>
      <c r="Q222" t="s">
        <v>1488</v>
      </c>
      <c r="R222">
        <v>0</v>
      </c>
      <c r="S222">
        <v>0</v>
      </c>
      <c r="T222">
        <v>0</v>
      </c>
      <c r="U222">
        <v>0</v>
      </c>
      <c r="V222">
        <v>0</v>
      </c>
    </row>
    <row r="223" spans="1:22" x14ac:dyDescent="0.25">
      <c r="A223" t="s">
        <v>1525</v>
      </c>
      <c r="B223" t="s">
        <v>184</v>
      </c>
      <c r="C223">
        <v>13</v>
      </c>
      <c r="D223" t="s">
        <v>132</v>
      </c>
      <c r="E223" t="s">
        <v>96</v>
      </c>
      <c r="F223" t="s">
        <v>96</v>
      </c>
      <c r="G223">
        <v>0.38</v>
      </c>
      <c r="H223" t="s">
        <v>79</v>
      </c>
      <c r="I223">
        <v>2</v>
      </c>
      <c r="J223" t="str">
        <f>HYPERLINK("https://www.eliteprospects.com/player/714973/trey-scott")</f>
        <v>https://www.eliteprospects.com/player/714973/trey-scott</v>
      </c>
      <c r="K223" t="s">
        <v>27</v>
      </c>
      <c r="L223" t="s">
        <v>28</v>
      </c>
      <c r="M223" t="s">
        <v>1296</v>
      </c>
      <c r="N223">
        <v>2</v>
      </c>
      <c r="O223" t="s">
        <v>43</v>
      </c>
      <c r="P223">
        <v>7.0000000000000007E-2</v>
      </c>
      <c r="Q223" t="s">
        <v>1325</v>
      </c>
      <c r="R223">
        <v>33.299999999999997</v>
      </c>
      <c r="S223">
        <v>16.7</v>
      </c>
      <c r="T223">
        <v>33.299999999999997</v>
      </c>
      <c r="U223">
        <v>16.7</v>
      </c>
      <c r="V223">
        <v>0</v>
      </c>
    </row>
    <row r="224" spans="1:22" x14ac:dyDescent="0.25">
      <c r="A224" t="s">
        <v>1526</v>
      </c>
      <c r="B224" t="s">
        <v>167</v>
      </c>
      <c r="C224">
        <v>13</v>
      </c>
      <c r="D224" t="s">
        <v>132</v>
      </c>
      <c r="E224" t="s">
        <v>96</v>
      </c>
      <c r="F224" t="s">
        <v>96</v>
      </c>
      <c r="G224">
        <v>0.38</v>
      </c>
      <c r="H224" t="s">
        <v>26</v>
      </c>
      <c r="I224">
        <v>-3</v>
      </c>
      <c r="J224" t="str">
        <f>HYPERLINK("https://www.eliteprospects.com/player/616229/mason-langenbrunner")</f>
        <v>https://www.eliteprospects.com/player/616229/mason-langenbrunner</v>
      </c>
      <c r="K224" t="s">
        <v>27</v>
      </c>
      <c r="L224" t="s">
        <v>28</v>
      </c>
      <c r="M224" t="s">
        <v>1296</v>
      </c>
      <c r="N224">
        <v>4</v>
      </c>
      <c r="O224" t="s">
        <v>30</v>
      </c>
      <c r="P224">
        <v>7.0000000000000007E-2</v>
      </c>
      <c r="Q224" t="s">
        <v>245</v>
      </c>
      <c r="R224">
        <v>0</v>
      </c>
      <c r="S224">
        <v>44.4</v>
      </c>
      <c r="T224">
        <v>33.299999999999997</v>
      </c>
      <c r="U224">
        <v>0</v>
      </c>
      <c r="V224">
        <v>22.2</v>
      </c>
    </row>
    <row r="225" spans="1:22" x14ac:dyDescent="0.25">
      <c r="A225" t="s">
        <v>1527</v>
      </c>
      <c r="B225" t="s">
        <v>167</v>
      </c>
      <c r="C225">
        <v>14</v>
      </c>
      <c r="D225" t="s">
        <v>132</v>
      </c>
      <c r="E225" t="s">
        <v>96</v>
      </c>
      <c r="F225" t="s">
        <v>96</v>
      </c>
      <c r="G225">
        <v>0.36</v>
      </c>
      <c r="H225" t="s">
        <v>51</v>
      </c>
      <c r="I225">
        <v>0</v>
      </c>
      <c r="J225" t="str">
        <f>HYPERLINK("https://www.eliteprospects.com/player/599271/matthew-morden")</f>
        <v>https://www.eliteprospects.com/player/599271/matthew-morden</v>
      </c>
      <c r="K225" t="s">
        <v>27</v>
      </c>
      <c r="L225" t="s">
        <v>28</v>
      </c>
      <c r="M225" t="s">
        <v>1296</v>
      </c>
      <c r="N225">
        <v>3</v>
      </c>
      <c r="O225" t="s">
        <v>74</v>
      </c>
      <c r="P225">
        <v>7.0000000000000007E-2</v>
      </c>
      <c r="Q225" t="s">
        <v>1300</v>
      </c>
      <c r="R225">
        <v>33.299999999999997</v>
      </c>
      <c r="S225">
        <v>22.2</v>
      </c>
      <c r="T225">
        <v>22.2</v>
      </c>
      <c r="U225">
        <v>11.1</v>
      </c>
      <c r="V225">
        <v>11.1</v>
      </c>
    </row>
    <row r="226" spans="1:22" x14ac:dyDescent="0.25">
      <c r="A226" t="s">
        <v>1528</v>
      </c>
      <c r="B226" t="s">
        <v>200</v>
      </c>
      <c r="C226">
        <v>15</v>
      </c>
      <c r="D226" t="s">
        <v>132</v>
      </c>
      <c r="E226" t="s">
        <v>96</v>
      </c>
      <c r="F226" t="s">
        <v>96</v>
      </c>
      <c r="G226">
        <v>0.33</v>
      </c>
      <c r="H226" t="s">
        <v>79</v>
      </c>
      <c r="I226">
        <v>11</v>
      </c>
      <c r="J226" t="str">
        <f>HYPERLINK("https://www.eliteprospects.com/player/477411/jack-o-brien")</f>
        <v>https://www.eliteprospects.com/player/477411/jack-o-brien</v>
      </c>
      <c r="K226" t="s">
        <v>27</v>
      </c>
      <c r="L226" t="s">
        <v>28</v>
      </c>
      <c r="M226" t="s">
        <v>1296</v>
      </c>
      <c r="N226">
        <v>6</v>
      </c>
      <c r="O226" t="s">
        <v>1529</v>
      </c>
      <c r="P226">
        <v>0.06</v>
      </c>
      <c r="Q226" t="s">
        <v>1309</v>
      </c>
      <c r="R226">
        <v>14.3</v>
      </c>
      <c r="S226">
        <v>28.6</v>
      </c>
      <c r="T226">
        <v>28.6</v>
      </c>
      <c r="U226">
        <v>0</v>
      </c>
      <c r="V226">
        <v>28.6</v>
      </c>
    </row>
    <row r="227" spans="1:22" x14ac:dyDescent="0.25">
      <c r="A227" t="s">
        <v>1530</v>
      </c>
      <c r="B227" t="s">
        <v>127</v>
      </c>
      <c r="C227">
        <v>16</v>
      </c>
      <c r="D227" t="s">
        <v>132</v>
      </c>
      <c r="E227" t="s">
        <v>96</v>
      </c>
      <c r="F227" t="s">
        <v>96</v>
      </c>
      <c r="G227">
        <v>0.31</v>
      </c>
      <c r="H227" t="s">
        <v>75</v>
      </c>
      <c r="I227">
        <v>8</v>
      </c>
      <c r="J227" t="str">
        <f>HYPERLINK("https://www.eliteprospects.com/player/418276/lachlan-getz")</f>
        <v>https://www.eliteprospects.com/player/418276/lachlan-getz</v>
      </c>
      <c r="K227" t="s">
        <v>27</v>
      </c>
      <c r="L227" t="s">
        <v>28</v>
      </c>
      <c r="M227" t="s">
        <v>1296</v>
      </c>
      <c r="N227">
        <v>4</v>
      </c>
      <c r="O227" t="s">
        <v>30</v>
      </c>
      <c r="P227">
        <v>0.06</v>
      </c>
      <c r="Q227" t="s">
        <v>1309</v>
      </c>
      <c r="R227">
        <v>14.3</v>
      </c>
      <c r="S227">
        <v>28.6</v>
      </c>
      <c r="T227">
        <v>28.6</v>
      </c>
      <c r="U227">
        <v>0</v>
      </c>
      <c r="V227">
        <v>28.6</v>
      </c>
    </row>
    <row r="228" spans="1:22" x14ac:dyDescent="0.25">
      <c r="A228" t="s">
        <v>1531</v>
      </c>
      <c r="B228" t="s">
        <v>174</v>
      </c>
      <c r="C228">
        <v>17</v>
      </c>
      <c r="D228" t="s">
        <v>132</v>
      </c>
      <c r="E228" t="s">
        <v>96</v>
      </c>
      <c r="F228" t="s">
        <v>96</v>
      </c>
      <c r="G228">
        <v>0.28999999999999998</v>
      </c>
      <c r="H228" t="s">
        <v>79</v>
      </c>
      <c r="I228">
        <v>-1</v>
      </c>
      <c r="J228" t="str">
        <f>HYPERLINK("https://www.eliteprospects.com/player/704631/conner-de-haro")</f>
        <v>https://www.eliteprospects.com/player/704631/conner-de-haro</v>
      </c>
      <c r="K228" t="s">
        <v>27</v>
      </c>
      <c r="L228" t="s">
        <v>28</v>
      </c>
      <c r="M228" t="s">
        <v>1296</v>
      </c>
      <c r="N228">
        <v>1</v>
      </c>
      <c r="O228" t="s">
        <v>71</v>
      </c>
      <c r="P228">
        <v>0.06</v>
      </c>
      <c r="Q228" t="s">
        <v>1300</v>
      </c>
      <c r="R228">
        <v>37.5</v>
      </c>
      <c r="S228">
        <v>37.5</v>
      </c>
      <c r="T228">
        <v>0</v>
      </c>
      <c r="U228">
        <v>12.5</v>
      </c>
      <c r="V228">
        <v>12.5</v>
      </c>
    </row>
    <row r="229" spans="1:22" x14ac:dyDescent="0.25">
      <c r="A229" t="s">
        <v>1532</v>
      </c>
      <c r="B229" t="s">
        <v>234</v>
      </c>
      <c r="C229">
        <v>17</v>
      </c>
      <c r="D229" t="s">
        <v>132</v>
      </c>
      <c r="E229" t="s">
        <v>96</v>
      </c>
      <c r="F229" t="s">
        <v>96</v>
      </c>
      <c r="G229">
        <v>0.28999999999999998</v>
      </c>
      <c r="H229" t="s">
        <v>57</v>
      </c>
      <c r="I229">
        <v>6</v>
      </c>
      <c r="J229" t="str">
        <f>HYPERLINK("https://www.eliteprospects.com/player/617863/ethan-mistry")</f>
        <v>https://www.eliteprospects.com/player/617863/ethan-mistry</v>
      </c>
      <c r="K229" t="s">
        <v>27</v>
      </c>
      <c r="L229" t="s">
        <v>28</v>
      </c>
      <c r="M229" t="s">
        <v>1296</v>
      </c>
      <c r="N229">
        <v>3</v>
      </c>
      <c r="O229" t="s">
        <v>74</v>
      </c>
      <c r="P229">
        <v>0.06</v>
      </c>
      <c r="Q229" t="s">
        <v>1325</v>
      </c>
      <c r="R229">
        <v>18.2</v>
      </c>
      <c r="S229">
        <v>9.1</v>
      </c>
      <c r="T229">
        <v>63.6</v>
      </c>
      <c r="U229">
        <v>0</v>
      </c>
      <c r="V229">
        <v>9.1</v>
      </c>
    </row>
    <row r="230" spans="1:22" x14ac:dyDescent="0.25">
      <c r="A230" t="s">
        <v>1533</v>
      </c>
      <c r="B230" t="s">
        <v>22</v>
      </c>
      <c r="C230">
        <v>18</v>
      </c>
      <c r="D230" t="s">
        <v>132</v>
      </c>
      <c r="E230" t="s">
        <v>96</v>
      </c>
      <c r="F230" t="s">
        <v>96</v>
      </c>
      <c r="G230">
        <v>0.28000000000000003</v>
      </c>
      <c r="H230" t="s">
        <v>57</v>
      </c>
      <c r="I230">
        <v>2</v>
      </c>
      <c r="J230" t="str">
        <f>HYPERLINK("https://www.eliteprospects.com/player/623741/brasen-boser")</f>
        <v>https://www.eliteprospects.com/player/623741/brasen-boser</v>
      </c>
      <c r="K230" t="s">
        <v>27</v>
      </c>
      <c r="L230" t="s">
        <v>28</v>
      </c>
      <c r="M230" t="s">
        <v>1296</v>
      </c>
      <c r="N230">
        <v>2</v>
      </c>
      <c r="O230" t="s">
        <v>43</v>
      </c>
      <c r="P230">
        <v>0.05</v>
      </c>
      <c r="Q230" t="s">
        <v>1300</v>
      </c>
      <c r="R230">
        <v>57.1</v>
      </c>
      <c r="S230">
        <v>28.6</v>
      </c>
      <c r="T230">
        <v>0</v>
      </c>
      <c r="U230">
        <v>14.3</v>
      </c>
      <c r="V230">
        <v>0</v>
      </c>
    </row>
    <row r="231" spans="1:22" x14ac:dyDescent="0.25">
      <c r="A231" t="s">
        <v>1534</v>
      </c>
      <c r="B231" t="s">
        <v>195</v>
      </c>
      <c r="C231">
        <v>19</v>
      </c>
      <c r="D231" t="s">
        <v>132</v>
      </c>
      <c r="E231" t="s">
        <v>96</v>
      </c>
      <c r="F231" t="s">
        <v>96</v>
      </c>
      <c r="G231">
        <v>0.26</v>
      </c>
      <c r="H231" t="s">
        <v>66</v>
      </c>
      <c r="I231">
        <v>-1</v>
      </c>
      <c r="J231" t="str">
        <f>HYPERLINK("https://www.eliteprospects.com/player/635383/aiden-celebrini")</f>
        <v>https://www.eliteprospects.com/player/635383/aiden-celebrini</v>
      </c>
      <c r="K231" t="s">
        <v>27</v>
      </c>
      <c r="L231" t="s">
        <v>28</v>
      </c>
      <c r="M231" t="s">
        <v>1296</v>
      </c>
      <c r="N231">
        <v>3</v>
      </c>
      <c r="O231" t="s">
        <v>74</v>
      </c>
      <c r="P231">
        <v>0.05</v>
      </c>
      <c r="Q231" t="s">
        <v>1300</v>
      </c>
      <c r="R231">
        <v>37.5</v>
      </c>
      <c r="S231">
        <v>37.5</v>
      </c>
      <c r="T231">
        <v>0</v>
      </c>
      <c r="U231">
        <v>12.5</v>
      </c>
      <c r="V231">
        <v>12.5</v>
      </c>
    </row>
    <row r="232" spans="1:22" x14ac:dyDescent="0.25">
      <c r="A232" t="s">
        <v>1535</v>
      </c>
      <c r="B232" t="s">
        <v>130</v>
      </c>
      <c r="C232">
        <v>19</v>
      </c>
      <c r="D232" t="s">
        <v>132</v>
      </c>
      <c r="E232" t="s">
        <v>96</v>
      </c>
      <c r="F232" t="s">
        <v>96</v>
      </c>
      <c r="G232">
        <v>0.26</v>
      </c>
      <c r="H232" t="s">
        <v>235</v>
      </c>
      <c r="I232">
        <v>-4</v>
      </c>
      <c r="J232" t="str">
        <f>HYPERLINK("https://www.eliteprospects.com/player/643091/filip-nordberg")</f>
        <v>https://www.eliteprospects.com/player/643091/filip-nordberg</v>
      </c>
      <c r="K232" t="s">
        <v>27</v>
      </c>
      <c r="L232" t="s">
        <v>28</v>
      </c>
      <c r="M232" t="s">
        <v>1296</v>
      </c>
      <c r="N232">
        <v>1</v>
      </c>
      <c r="O232" t="s">
        <v>71</v>
      </c>
      <c r="P232">
        <v>0.05</v>
      </c>
      <c r="Q232" t="s">
        <v>1309</v>
      </c>
      <c r="R232">
        <v>0</v>
      </c>
      <c r="S232">
        <v>20</v>
      </c>
      <c r="T232">
        <v>40</v>
      </c>
      <c r="U232">
        <v>0</v>
      </c>
      <c r="V232">
        <v>40</v>
      </c>
    </row>
    <row r="233" spans="1:22" x14ac:dyDescent="0.25">
      <c r="A233" t="s">
        <v>1536</v>
      </c>
      <c r="B233" t="s">
        <v>162</v>
      </c>
      <c r="C233">
        <v>20</v>
      </c>
      <c r="D233" t="s">
        <v>132</v>
      </c>
      <c r="E233" t="s">
        <v>96</v>
      </c>
      <c r="F233" t="s">
        <v>96</v>
      </c>
      <c r="G233">
        <v>0.25</v>
      </c>
      <c r="H233" t="s">
        <v>32</v>
      </c>
      <c r="I233">
        <v>-4</v>
      </c>
      <c r="J233" t="str">
        <f>HYPERLINK("https://www.eliteprospects.com/player/535855/tobias-bjercke-larsen")</f>
        <v>https://www.eliteprospects.com/player/535855/tobias-bjercke-larsen</v>
      </c>
      <c r="K233" t="s">
        <v>27</v>
      </c>
      <c r="L233" t="s">
        <v>28</v>
      </c>
      <c r="M233" t="s">
        <v>1296</v>
      </c>
      <c r="N233">
        <v>2</v>
      </c>
      <c r="O233" t="s">
        <v>43</v>
      </c>
      <c r="P233">
        <v>0.05</v>
      </c>
      <c r="Q233" t="s">
        <v>1309</v>
      </c>
      <c r="R233">
        <v>0</v>
      </c>
      <c r="S233">
        <v>20</v>
      </c>
      <c r="T233">
        <v>40</v>
      </c>
      <c r="U233">
        <v>0</v>
      </c>
      <c r="V233">
        <v>40</v>
      </c>
    </row>
    <row r="234" spans="1:22" x14ac:dyDescent="0.25">
      <c r="A234" t="s">
        <v>1537</v>
      </c>
      <c r="B234" t="s">
        <v>171</v>
      </c>
      <c r="C234">
        <v>21</v>
      </c>
      <c r="D234" t="s">
        <v>132</v>
      </c>
      <c r="E234" t="s">
        <v>96</v>
      </c>
      <c r="F234" t="s">
        <v>96</v>
      </c>
      <c r="G234">
        <v>0.24</v>
      </c>
      <c r="H234" t="s">
        <v>66</v>
      </c>
      <c r="I234">
        <v>-3</v>
      </c>
      <c r="J234" t="str">
        <f>HYPERLINK("https://www.eliteprospects.com/player/692461/dominic-payne")</f>
        <v>https://www.eliteprospects.com/player/692461/dominic-payne</v>
      </c>
      <c r="K234" t="s">
        <v>27</v>
      </c>
      <c r="L234" t="s">
        <v>28</v>
      </c>
      <c r="M234" t="s">
        <v>1296</v>
      </c>
      <c r="N234">
        <v>2</v>
      </c>
      <c r="O234" t="s">
        <v>43</v>
      </c>
      <c r="P234">
        <v>0.05</v>
      </c>
      <c r="Q234" t="s">
        <v>1309</v>
      </c>
      <c r="R234">
        <v>0</v>
      </c>
      <c r="S234">
        <v>20</v>
      </c>
      <c r="T234">
        <v>40</v>
      </c>
      <c r="U234">
        <v>0</v>
      </c>
      <c r="V234">
        <v>40</v>
      </c>
    </row>
    <row r="235" spans="1:22" x14ac:dyDescent="0.25">
      <c r="A235" t="s">
        <v>1538</v>
      </c>
      <c r="B235" t="s">
        <v>184</v>
      </c>
      <c r="C235">
        <v>21</v>
      </c>
      <c r="D235" t="s">
        <v>132</v>
      </c>
      <c r="E235" t="s">
        <v>96</v>
      </c>
      <c r="F235" t="s">
        <v>96</v>
      </c>
      <c r="G235">
        <v>0.24</v>
      </c>
      <c r="H235" t="s">
        <v>66</v>
      </c>
      <c r="I235">
        <v>-2</v>
      </c>
      <c r="J235" t="str">
        <f>HYPERLINK("https://www.eliteprospects.com/player/806151/anthony-allain-samake")</f>
        <v>https://www.eliteprospects.com/player/806151/anthony-allain-samake</v>
      </c>
      <c r="K235" t="s">
        <v>27</v>
      </c>
      <c r="L235" t="s">
        <v>28</v>
      </c>
      <c r="M235" t="s">
        <v>1296</v>
      </c>
      <c r="N235">
        <v>1</v>
      </c>
      <c r="O235" t="s">
        <v>71</v>
      </c>
      <c r="P235">
        <v>0.05</v>
      </c>
      <c r="Q235" t="s">
        <v>1300</v>
      </c>
      <c r="R235">
        <v>37.5</v>
      </c>
      <c r="S235">
        <v>37.5</v>
      </c>
      <c r="T235">
        <v>0</v>
      </c>
      <c r="U235">
        <v>12.5</v>
      </c>
      <c r="V235">
        <v>12.5</v>
      </c>
    </row>
    <row r="236" spans="1:22" x14ac:dyDescent="0.25">
      <c r="A236" t="s">
        <v>1539</v>
      </c>
      <c r="B236" t="s">
        <v>184</v>
      </c>
      <c r="C236">
        <v>21</v>
      </c>
      <c r="D236" t="s">
        <v>132</v>
      </c>
      <c r="E236" t="s">
        <v>96</v>
      </c>
      <c r="F236" t="s">
        <v>96</v>
      </c>
      <c r="G236">
        <v>0.24</v>
      </c>
      <c r="H236" t="s">
        <v>23</v>
      </c>
      <c r="I236">
        <v>19</v>
      </c>
      <c r="J236" t="str">
        <f>HYPERLINK("https://www.eliteprospects.com/player/574619/viking-gustafsson-nyberg")</f>
        <v>https://www.eliteprospects.com/player/574619/viking-gustafsson-nyberg</v>
      </c>
      <c r="K236" t="s">
        <v>27</v>
      </c>
      <c r="L236" t="s">
        <v>28</v>
      </c>
      <c r="M236" t="s">
        <v>1296</v>
      </c>
      <c r="N236">
        <v>3</v>
      </c>
      <c r="O236" t="s">
        <v>74</v>
      </c>
      <c r="P236">
        <v>0.05</v>
      </c>
      <c r="Q236" t="s">
        <v>1309</v>
      </c>
      <c r="R236">
        <v>14.3</v>
      </c>
      <c r="S236">
        <v>28.6</v>
      </c>
      <c r="T236">
        <v>28.6</v>
      </c>
      <c r="U236">
        <v>0</v>
      </c>
      <c r="V236">
        <v>28.6</v>
      </c>
    </row>
    <row r="237" spans="1:22" x14ac:dyDescent="0.25">
      <c r="A237" t="s">
        <v>1540</v>
      </c>
      <c r="B237" t="s">
        <v>121</v>
      </c>
      <c r="C237">
        <v>21</v>
      </c>
      <c r="D237" t="s">
        <v>132</v>
      </c>
      <c r="E237" t="s">
        <v>96</v>
      </c>
      <c r="F237" t="s">
        <v>96</v>
      </c>
      <c r="G237">
        <v>0.24</v>
      </c>
      <c r="H237" t="s">
        <v>84</v>
      </c>
      <c r="I237">
        <v>0</v>
      </c>
      <c r="J237" t="str">
        <f>HYPERLINK("https://www.eliteprospects.com/player/518275/nate-benoit")</f>
        <v>https://www.eliteprospects.com/player/518275/nate-benoit</v>
      </c>
      <c r="K237" t="s">
        <v>27</v>
      </c>
      <c r="L237" t="s">
        <v>28</v>
      </c>
      <c r="M237" t="s">
        <v>1296</v>
      </c>
      <c r="N237">
        <v>3</v>
      </c>
      <c r="O237" t="s">
        <v>74</v>
      </c>
      <c r="P237">
        <v>0.05</v>
      </c>
      <c r="Q237" t="s">
        <v>1300</v>
      </c>
      <c r="R237">
        <v>37.5</v>
      </c>
      <c r="S237">
        <v>37.5</v>
      </c>
      <c r="T237">
        <v>0</v>
      </c>
      <c r="U237">
        <v>12.5</v>
      </c>
      <c r="V237">
        <v>12.5</v>
      </c>
    </row>
    <row r="238" spans="1:22" x14ac:dyDescent="0.25">
      <c r="A238" t="s">
        <v>1541</v>
      </c>
      <c r="B238" t="s">
        <v>37</v>
      </c>
      <c r="C238">
        <v>22</v>
      </c>
      <c r="D238" t="s">
        <v>132</v>
      </c>
      <c r="E238" t="s">
        <v>96</v>
      </c>
      <c r="F238" t="s">
        <v>96</v>
      </c>
      <c r="G238">
        <v>0.23</v>
      </c>
      <c r="H238" t="s">
        <v>79</v>
      </c>
      <c r="I238">
        <v>-5</v>
      </c>
      <c r="J238" t="str">
        <f>HYPERLINK("https://www.eliteprospects.com/player/658117/aaron-pionk")</f>
        <v>https://www.eliteprospects.com/player/658117/aaron-pionk</v>
      </c>
      <c r="K238" t="s">
        <v>27</v>
      </c>
      <c r="L238" t="s">
        <v>28</v>
      </c>
      <c r="M238" t="s">
        <v>1296</v>
      </c>
      <c r="N238">
        <v>3</v>
      </c>
      <c r="O238" t="s">
        <v>74</v>
      </c>
      <c r="P238">
        <v>0.04</v>
      </c>
      <c r="Q238" t="s">
        <v>1488</v>
      </c>
      <c r="R238">
        <v>0</v>
      </c>
      <c r="S238">
        <v>0</v>
      </c>
      <c r="T238">
        <v>0</v>
      </c>
      <c r="U238">
        <v>0</v>
      </c>
      <c r="V238">
        <v>0</v>
      </c>
    </row>
    <row r="239" spans="1:22" x14ac:dyDescent="0.25">
      <c r="A239" t="s">
        <v>1542</v>
      </c>
      <c r="B239" t="s">
        <v>113</v>
      </c>
      <c r="C239">
        <v>23</v>
      </c>
      <c r="D239" t="s">
        <v>132</v>
      </c>
      <c r="E239" t="s">
        <v>96</v>
      </c>
      <c r="F239" t="s">
        <v>96</v>
      </c>
      <c r="G239">
        <v>0.22</v>
      </c>
      <c r="H239" t="s">
        <v>26</v>
      </c>
      <c r="I239">
        <v>0</v>
      </c>
      <c r="J239" t="str">
        <f>HYPERLINK("https://www.eliteprospects.com/player/487153/mason-wheeler")</f>
        <v>https://www.eliteprospects.com/player/487153/mason-wheeler</v>
      </c>
      <c r="K239" t="s">
        <v>27</v>
      </c>
      <c r="L239" t="s">
        <v>28</v>
      </c>
      <c r="M239" t="s">
        <v>1296</v>
      </c>
      <c r="N239">
        <v>4</v>
      </c>
      <c r="O239" t="s">
        <v>30</v>
      </c>
      <c r="P239">
        <v>0.04</v>
      </c>
      <c r="Q239" t="s">
        <v>1488</v>
      </c>
      <c r="R239">
        <v>0</v>
      </c>
      <c r="S239">
        <v>0</v>
      </c>
      <c r="T239">
        <v>0</v>
      </c>
      <c r="U239">
        <v>0</v>
      </c>
      <c r="V239">
        <v>0</v>
      </c>
    </row>
    <row r="240" spans="1:22" x14ac:dyDescent="0.25">
      <c r="A240" t="s">
        <v>1543</v>
      </c>
      <c r="B240" t="s">
        <v>148</v>
      </c>
      <c r="C240">
        <v>11</v>
      </c>
      <c r="D240" t="s">
        <v>79</v>
      </c>
      <c r="E240" t="s">
        <v>79</v>
      </c>
      <c r="F240" t="s">
        <v>66</v>
      </c>
      <c r="G240">
        <v>0.36</v>
      </c>
      <c r="H240" t="s">
        <v>79</v>
      </c>
      <c r="I240">
        <v>2</v>
      </c>
      <c r="J240" t="str">
        <f>HYPERLINK("https://www.eliteprospects.com/player/724888/landon-fandel")</f>
        <v>https://www.eliteprospects.com/player/724888/landon-fandel</v>
      </c>
      <c r="K240" t="s">
        <v>27</v>
      </c>
      <c r="L240" t="s">
        <v>28</v>
      </c>
      <c r="M240" t="s">
        <v>1296</v>
      </c>
      <c r="N240">
        <v>1</v>
      </c>
      <c r="O240" t="s">
        <v>71</v>
      </c>
      <c r="P240">
        <v>7.0000000000000007E-2</v>
      </c>
      <c r="Q240" t="s">
        <v>1300</v>
      </c>
      <c r="R240">
        <v>42.9</v>
      </c>
      <c r="S240">
        <v>28.6</v>
      </c>
      <c r="T240">
        <v>28.6</v>
      </c>
      <c r="U240">
        <v>0</v>
      </c>
      <c r="V240">
        <v>0</v>
      </c>
    </row>
    <row r="241" spans="1:22" x14ac:dyDescent="0.25">
      <c r="A241" t="s">
        <v>1544</v>
      </c>
      <c r="B241" t="s">
        <v>130</v>
      </c>
      <c r="C241">
        <v>14</v>
      </c>
      <c r="D241" t="s">
        <v>79</v>
      </c>
      <c r="E241" t="s">
        <v>79</v>
      </c>
      <c r="F241" t="s">
        <v>66</v>
      </c>
      <c r="G241">
        <v>0.28999999999999998</v>
      </c>
      <c r="H241" t="s">
        <v>79</v>
      </c>
      <c r="I241">
        <v>9</v>
      </c>
      <c r="J241" t="str">
        <f>HYPERLINK("https://www.eliteprospects.com/player/641151/nathan-king")</f>
        <v>https://www.eliteprospects.com/player/641151/nathan-king</v>
      </c>
      <c r="K241" t="s">
        <v>27</v>
      </c>
      <c r="L241" t="s">
        <v>28</v>
      </c>
      <c r="M241" t="s">
        <v>1296</v>
      </c>
      <c r="N241">
        <v>2</v>
      </c>
      <c r="O241" t="s">
        <v>43</v>
      </c>
      <c r="P241">
        <v>0.06</v>
      </c>
      <c r="Q241" t="s">
        <v>1309</v>
      </c>
      <c r="R241">
        <v>14.3</v>
      </c>
      <c r="S241">
        <v>28.6</v>
      </c>
      <c r="T241">
        <v>28.6</v>
      </c>
      <c r="U241">
        <v>0</v>
      </c>
      <c r="V241">
        <v>28.6</v>
      </c>
    </row>
    <row r="242" spans="1:22" x14ac:dyDescent="0.25">
      <c r="A242" t="s">
        <v>1545</v>
      </c>
      <c r="B242" t="s">
        <v>85</v>
      </c>
      <c r="C242">
        <v>14</v>
      </c>
      <c r="D242" t="s">
        <v>79</v>
      </c>
      <c r="E242" t="s">
        <v>79</v>
      </c>
      <c r="F242" t="s">
        <v>66</v>
      </c>
      <c r="G242">
        <v>0.28999999999999998</v>
      </c>
      <c r="H242" t="s">
        <v>66</v>
      </c>
      <c r="I242">
        <v>8</v>
      </c>
      <c r="J242" t="str">
        <f>HYPERLINK("https://www.eliteprospects.com/player/478381/jayden-sison")</f>
        <v>https://www.eliteprospects.com/player/478381/jayden-sison</v>
      </c>
      <c r="K242" t="s">
        <v>27</v>
      </c>
      <c r="L242" t="s">
        <v>28</v>
      </c>
      <c r="M242" t="s">
        <v>1546</v>
      </c>
      <c r="N242">
        <v>4</v>
      </c>
      <c r="O242" t="s">
        <v>30</v>
      </c>
      <c r="P242">
        <v>0.06</v>
      </c>
      <c r="Q242" t="s">
        <v>1309</v>
      </c>
      <c r="R242">
        <v>14.3</v>
      </c>
      <c r="S242">
        <v>28.6</v>
      </c>
      <c r="T242">
        <v>28.6</v>
      </c>
      <c r="U242">
        <v>0</v>
      </c>
      <c r="V242">
        <v>28.6</v>
      </c>
    </row>
    <row r="243" spans="1:22" x14ac:dyDescent="0.25">
      <c r="A243" t="s">
        <v>1547</v>
      </c>
      <c r="B243" t="s">
        <v>215</v>
      </c>
      <c r="C243">
        <v>18</v>
      </c>
      <c r="D243" t="s">
        <v>79</v>
      </c>
      <c r="E243" t="s">
        <v>79</v>
      </c>
      <c r="F243" t="s">
        <v>66</v>
      </c>
      <c r="G243">
        <v>0.22</v>
      </c>
      <c r="H243" t="s">
        <v>66</v>
      </c>
      <c r="I243">
        <v>-17</v>
      </c>
      <c r="J243" t="str">
        <f>HYPERLINK("https://www.eliteprospects.com/player/664651/joe-schiller")</f>
        <v>https://www.eliteprospects.com/player/664651/joe-schiller</v>
      </c>
      <c r="K243" t="s">
        <v>27</v>
      </c>
      <c r="L243" t="s">
        <v>28</v>
      </c>
      <c r="M243" t="s">
        <v>1296</v>
      </c>
      <c r="N243">
        <v>2</v>
      </c>
      <c r="O243" t="s">
        <v>43</v>
      </c>
      <c r="P243">
        <v>0.04</v>
      </c>
      <c r="Q243" t="s">
        <v>1488</v>
      </c>
      <c r="R243">
        <v>0</v>
      </c>
      <c r="S243">
        <v>0</v>
      </c>
      <c r="T243">
        <v>0</v>
      </c>
      <c r="U243">
        <v>0</v>
      </c>
      <c r="V243">
        <v>0</v>
      </c>
    </row>
    <row r="244" spans="1:22" x14ac:dyDescent="0.25">
      <c r="A244" t="s">
        <v>1548</v>
      </c>
      <c r="B244" t="s">
        <v>146</v>
      </c>
      <c r="C244">
        <v>19</v>
      </c>
      <c r="D244" t="s">
        <v>79</v>
      </c>
      <c r="E244" t="s">
        <v>79</v>
      </c>
      <c r="F244" t="s">
        <v>66</v>
      </c>
      <c r="G244">
        <v>0.21</v>
      </c>
      <c r="H244" t="s">
        <v>23</v>
      </c>
      <c r="I244">
        <v>6</v>
      </c>
      <c r="J244" t="str">
        <f>HYPERLINK("https://www.eliteprospects.com/player/561361/samuel-belanger")</f>
        <v>https://www.eliteprospects.com/player/561361/samuel-belanger</v>
      </c>
      <c r="K244" t="s">
        <v>27</v>
      </c>
      <c r="L244" t="s">
        <v>28</v>
      </c>
      <c r="M244" t="s">
        <v>1296</v>
      </c>
      <c r="N244">
        <v>1</v>
      </c>
      <c r="O244" t="s">
        <v>71</v>
      </c>
      <c r="P244">
        <v>0.04</v>
      </c>
      <c r="Q244" t="s">
        <v>1488</v>
      </c>
      <c r="R244">
        <v>0</v>
      </c>
      <c r="S244">
        <v>0</v>
      </c>
      <c r="T244">
        <v>0</v>
      </c>
      <c r="U244">
        <v>0</v>
      </c>
      <c r="V244">
        <v>0</v>
      </c>
    </row>
    <row r="245" spans="1:22" x14ac:dyDescent="0.25">
      <c r="A245" t="s">
        <v>1549</v>
      </c>
      <c r="B245" t="s">
        <v>362</v>
      </c>
      <c r="C245">
        <v>19</v>
      </c>
      <c r="D245" t="s">
        <v>79</v>
      </c>
      <c r="E245" t="s">
        <v>79</v>
      </c>
      <c r="F245" t="s">
        <v>66</v>
      </c>
      <c r="G245">
        <v>0.21</v>
      </c>
      <c r="H245" t="s">
        <v>39</v>
      </c>
      <c r="I245">
        <v>-9</v>
      </c>
      <c r="J245" t="str">
        <f>HYPERLINK("https://www.eliteprospects.com/player/478661/tyler-desrochers")</f>
        <v>https://www.eliteprospects.com/player/478661/tyler-desrochers</v>
      </c>
      <c r="K245" t="s">
        <v>27</v>
      </c>
      <c r="L245" t="s">
        <v>28</v>
      </c>
      <c r="M245" t="s">
        <v>1296</v>
      </c>
      <c r="N245">
        <v>3</v>
      </c>
      <c r="O245" t="s">
        <v>74</v>
      </c>
      <c r="P245">
        <v>0.04</v>
      </c>
      <c r="Q245" t="s">
        <v>1488</v>
      </c>
      <c r="R245">
        <v>0</v>
      </c>
      <c r="S245">
        <v>0</v>
      </c>
      <c r="T245">
        <v>0</v>
      </c>
      <c r="U245">
        <v>0</v>
      </c>
      <c r="V245">
        <v>0</v>
      </c>
    </row>
    <row r="246" spans="1:22" x14ac:dyDescent="0.25">
      <c r="A246" t="s">
        <v>1550</v>
      </c>
      <c r="B246" t="s">
        <v>114</v>
      </c>
      <c r="C246">
        <v>20</v>
      </c>
      <c r="D246" t="s">
        <v>79</v>
      </c>
      <c r="E246" t="s">
        <v>79</v>
      </c>
      <c r="F246" t="s">
        <v>66</v>
      </c>
      <c r="G246">
        <v>0.2</v>
      </c>
      <c r="H246" t="s">
        <v>57</v>
      </c>
      <c r="I246">
        <v>-6</v>
      </c>
      <c r="J246" t="str">
        <f>HYPERLINK("https://www.eliteprospects.com/player/703233/connor-gengle")</f>
        <v>https://www.eliteprospects.com/player/703233/connor-gengle</v>
      </c>
      <c r="K246" t="s">
        <v>27</v>
      </c>
      <c r="L246" t="s">
        <v>28</v>
      </c>
      <c r="M246" t="s">
        <v>1296</v>
      </c>
      <c r="N246">
        <v>1</v>
      </c>
      <c r="O246" t="s">
        <v>71</v>
      </c>
      <c r="P246">
        <v>0.04</v>
      </c>
      <c r="Q246" t="s">
        <v>1488</v>
      </c>
      <c r="R246">
        <v>0</v>
      </c>
      <c r="S246">
        <v>0</v>
      </c>
      <c r="T246">
        <v>0</v>
      </c>
      <c r="U246">
        <v>0</v>
      </c>
      <c r="V246">
        <v>0</v>
      </c>
    </row>
    <row r="247" spans="1:22" x14ac:dyDescent="0.25">
      <c r="A247" t="s">
        <v>1551</v>
      </c>
      <c r="B247" t="s">
        <v>150</v>
      </c>
      <c r="C247">
        <v>20</v>
      </c>
      <c r="D247" t="s">
        <v>79</v>
      </c>
      <c r="E247" t="s">
        <v>79</v>
      </c>
      <c r="F247" t="s">
        <v>66</v>
      </c>
      <c r="G247">
        <v>0.2</v>
      </c>
      <c r="H247" t="s">
        <v>32</v>
      </c>
      <c r="I247">
        <v>-3</v>
      </c>
      <c r="J247" t="str">
        <f>HYPERLINK("https://www.eliteprospects.com/player/538399/william-smith")</f>
        <v>https://www.eliteprospects.com/player/538399/william-smith</v>
      </c>
      <c r="K247" t="s">
        <v>27</v>
      </c>
      <c r="L247" t="s">
        <v>28</v>
      </c>
      <c r="M247" t="s">
        <v>1296</v>
      </c>
      <c r="N247">
        <v>3</v>
      </c>
      <c r="O247" t="s">
        <v>74</v>
      </c>
      <c r="P247">
        <v>0.04</v>
      </c>
      <c r="Q247" t="s">
        <v>1488</v>
      </c>
      <c r="R247">
        <v>0</v>
      </c>
      <c r="S247">
        <v>0</v>
      </c>
      <c r="T247">
        <v>0</v>
      </c>
      <c r="U247">
        <v>0</v>
      </c>
      <c r="V247">
        <v>0</v>
      </c>
    </row>
    <row r="248" spans="1:22" x14ac:dyDescent="0.25">
      <c r="A248" t="s">
        <v>1552</v>
      </c>
      <c r="B248" t="s">
        <v>184</v>
      </c>
      <c r="C248">
        <v>21</v>
      </c>
      <c r="D248" t="s">
        <v>79</v>
      </c>
      <c r="E248" t="s">
        <v>79</v>
      </c>
      <c r="F248" t="s">
        <v>66</v>
      </c>
      <c r="G248">
        <v>0.19</v>
      </c>
      <c r="H248" t="s">
        <v>57</v>
      </c>
      <c r="I248">
        <v>7</v>
      </c>
      <c r="J248" t="str">
        <f>HYPERLINK("https://www.eliteprospects.com/player/511516/thomas-messineo")</f>
        <v>https://www.eliteprospects.com/player/511516/thomas-messineo</v>
      </c>
      <c r="K248" t="s">
        <v>27</v>
      </c>
      <c r="L248" t="s">
        <v>28</v>
      </c>
      <c r="M248" t="s">
        <v>1296</v>
      </c>
      <c r="N248">
        <v>4</v>
      </c>
      <c r="O248" t="s">
        <v>30</v>
      </c>
      <c r="P248">
        <v>0.04</v>
      </c>
      <c r="Q248" t="s">
        <v>1488</v>
      </c>
      <c r="R248">
        <v>0</v>
      </c>
      <c r="S248">
        <v>0</v>
      </c>
      <c r="T248">
        <v>0</v>
      </c>
      <c r="U248">
        <v>0</v>
      </c>
      <c r="V248">
        <v>0</v>
      </c>
    </row>
    <row r="249" spans="1:22" x14ac:dyDescent="0.25">
      <c r="A249" t="s">
        <v>1553</v>
      </c>
      <c r="B249" t="s">
        <v>222</v>
      </c>
      <c r="C249">
        <v>10</v>
      </c>
      <c r="D249" t="s">
        <v>260</v>
      </c>
      <c r="E249" t="s">
        <v>140</v>
      </c>
      <c r="F249" t="s">
        <v>66</v>
      </c>
      <c r="G249">
        <v>0.4</v>
      </c>
      <c r="H249" t="s">
        <v>23</v>
      </c>
      <c r="I249">
        <v>2</v>
      </c>
      <c r="J249" t="str">
        <f>HYPERLINK("https://www.eliteprospects.com/player/651955/owen-forester")</f>
        <v>https://www.eliteprospects.com/player/651955/owen-forester</v>
      </c>
      <c r="K249" t="s">
        <v>27</v>
      </c>
      <c r="L249" t="s">
        <v>28</v>
      </c>
      <c r="M249" t="s">
        <v>1296</v>
      </c>
      <c r="N249">
        <v>3</v>
      </c>
      <c r="O249" t="s">
        <v>74</v>
      </c>
      <c r="P249">
        <v>0.08</v>
      </c>
      <c r="Q249" t="s">
        <v>1300</v>
      </c>
      <c r="R249">
        <v>42.9</v>
      </c>
      <c r="S249">
        <v>28.6</v>
      </c>
      <c r="T249">
        <v>28.6</v>
      </c>
      <c r="U249">
        <v>0</v>
      </c>
      <c r="V249">
        <v>0</v>
      </c>
    </row>
    <row r="250" spans="1:22" x14ac:dyDescent="0.25">
      <c r="A250" t="s">
        <v>1554</v>
      </c>
      <c r="B250" t="s">
        <v>106</v>
      </c>
      <c r="C250">
        <v>15</v>
      </c>
      <c r="D250" t="s">
        <v>260</v>
      </c>
      <c r="E250" t="s">
        <v>140</v>
      </c>
      <c r="F250" t="s">
        <v>66</v>
      </c>
      <c r="G250">
        <v>0.27</v>
      </c>
      <c r="H250" t="s">
        <v>39</v>
      </c>
      <c r="I250">
        <v>3</v>
      </c>
      <c r="J250" t="str">
        <f>HYPERLINK("https://www.eliteprospects.com/player/573195/william-charles-bishop")</f>
        <v>https://www.eliteprospects.com/player/573195/william-charles-bishop</v>
      </c>
      <c r="K250" t="s">
        <v>27</v>
      </c>
      <c r="L250" t="s">
        <v>28</v>
      </c>
      <c r="M250" t="s">
        <v>1296</v>
      </c>
      <c r="N250">
        <v>5</v>
      </c>
      <c r="O250" t="s">
        <v>207</v>
      </c>
      <c r="P250">
        <v>0.05</v>
      </c>
      <c r="Q250" t="s">
        <v>1325</v>
      </c>
      <c r="R250">
        <v>18.2</v>
      </c>
      <c r="S250">
        <v>9.1</v>
      </c>
      <c r="T250">
        <v>63.6</v>
      </c>
      <c r="U250">
        <v>0</v>
      </c>
      <c r="V250">
        <v>9.1</v>
      </c>
    </row>
    <row r="251" spans="1:22" x14ac:dyDescent="0.25">
      <c r="A251" t="s">
        <v>1555</v>
      </c>
      <c r="B251" t="s">
        <v>86</v>
      </c>
      <c r="C251">
        <v>16</v>
      </c>
      <c r="D251" t="s">
        <v>260</v>
      </c>
      <c r="E251" t="s">
        <v>140</v>
      </c>
      <c r="F251" t="s">
        <v>66</v>
      </c>
      <c r="G251">
        <v>0.25</v>
      </c>
      <c r="H251" t="s">
        <v>57</v>
      </c>
      <c r="I251">
        <v>7</v>
      </c>
      <c r="J251" t="str">
        <f>HYPERLINK("https://www.eliteprospects.com/player/566403/owen-west")</f>
        <v>https://www.eliteprospects.com/player/566403/owen-west</v>
      </c>
      <c r="K251" t="s">
        <v>27</v>
      </c>
      <c r="L251" t="s">
        <v>28</v>
      </c>
      <c r="M251" t="s">
        <v>1296</v>
      </c>
      <c r="N251">
        <v>2</v>
      </c>
      <c r="O251" t="s">
        <v>43</v>
      </c>
      <c r="P251">
        <v>0.05</v>
      </c>
      <c r="Q251" t="s">
        <v>1309</v>
      </c>
      <c r="R251">
        <v>14.3</v>
      </c>
      <c r="S251">
        <v>28.6</v>
      </c>
      <c r="T251">
        <v>28.6</v>
      </c>
      <c r="U251">
        <v>0</v>
      </c>
      <c r="V251">
        <v>28.6</v>
      </c>
    </row>
    <row r="252" spans="1:22" x14ac:dyDescent="0.25">
      <c r="A252" t="s">
        <v>1556</v>
      </c>
      <c r="B252" t="s">
        <v>80</v>
      </c>
      <c r="C252">
        <v>16</v>
      </c>
      <c r="D252" t="s">
        <v>260</v>
      </c>
      <c r="E252" t="s">
        <v>140</v>
      </c>
      <c r="F252" t="s">
        <v>66</v>
      </c>
      <c r="G252">
        <v>0.25</v>
      </c>
      <c r="H252" t="s">
        <v>32</v>
      </c>
      <c r="I252">
        <v>1</v>
      </c>
      <c r="J252" t="str">
        <f>HYPERLINK("https://www.eliteprospects.com/player/603218/nicholas-fascia")</f>
        <v>https://www.eliteprospects.com/player/603218/nicholas-fascia</v>
      </c>
      <c r="K252" t="s">
        <v>27</v>
      </c>
      <c r="L252" t="s">
        <v>28</v>
      </c>
      <c r="M252" t="s">
        <v>1296</v>
      </c>
      <c r="N252">
        <v>2</v>
      </c>
      <c r="O252" t="s">
        <v>43</v>
      </c>
      <c r="P252">
        <v>0.05</v>
      </c>
      <c r="Q252" t="s">
        <v>1300</v>
      </c>
      <c r="R252">
        <v>57.1</v>
      </c>
      <c r="S252">
        <v>28.6</v>
      </c>
      <c r="T252">
        <v>0</v>
      </c>
      <c r="U252">
        <v>14.3</v>
      </c>
      <c r="V252">
        <v>0</v>
      </c>
    </row>
    <row r="253" spans="1:22" x14ac:dyDescent="0.25">
      <c r="A253" t="s">
        <v>1557</v>
      </c>
      <c r="B253" t="s">
        <v>83</v>
      </c>
      <c r="C253">
        <v>17</v>
      </c>
      <c r="D253" t="s">
        <v>260</v>
      </c>
      <c r="E253" t="s">
        <v>140</v>
      </c>
      <c r="F253" t="s">
        <v>66</v>
      </c>
      <c r="G253">
        <v>0.24</v>
      </c>
      <c r="H253" t="s">
        <v>66</v>
      </c>
      <c r="I253">
        <v>9</v>
      </c>
      <c r="J253" t="str">
        <f>HYPERLINK("https://www.eliteprospects.com/player/655344/tim-busconi")</f>
        <v>https://www.eliteprospects.com/player/655344/tim-busconi</v>
      </c>
      <c r="K253" t="s">
        <v>27</v>
      </c>
      <c r="L253" t="s">
        <v>28</v>
      </c>
      <c r="M253" t="s">
        <v>1296</v>
      </c>
      <c r="N253">
        <v>2</v>
      </c>
      <c r="O253" t="s">
        <v>43</v>
      </c>
      <c r="P253">
        <v>0.05</v>
      </c>
      <c r="Q253" t="s">
        <v>1309</v>
      </c>
      <c r="R253">
        <v>14.3</v>
      </c>
      <c r="S253">
        <v>28.6</v>
      </c>
      <c r="T253">
        <v>28.6</v>
      </c>
      <c r="U253">
        <v>0</v>
      </c>
      <c r="V253">
        <v>28.6</v>
      </c>
    </row>
    <row r="254" spans="1:22" x14ac:dyDescent="0.25">
      <c r="A254" t="s">
        <v>1558</v>
      </c>
      <c r="B254" t="s">
        <v>150</v>
      </c>
      <c r="C254">
        <v>17</v>
      </c>
      <c r="D254" t="s">
        <v>260</v>
      </c>
      <c r="E254" t="s">
        <v>140</v>
      </c>
      <c r="F254" t="s">
        <v>66</v>
      </c>
      <c r="G254">
        <v>0.24</v>
      </c>
      <c r="H254" t="s">
        <v>23</v>
      </c>
      <c r="I254">
        <v>-2</v>
      </c>
      <c r="J254" t="str">
        <f>HYPERLINK("https://www.eliteprospects.com/player/475289/samuel-mcginley")</f>
        <v>https://www.eliteprospects.com/player/475289/samuel-mcginley</v>
      </c>
      <c r="K254" t="s">
        <v>27</v>
      </c>
      <c r="L254" t="s">
        <v>28</v>
      </c>
      <c r="M254" t="s">
        <v>1296</v>
      </c>
      <c r="N254">
        <v>6</v>
      </c>
      <c r="O254" t="s">
        <v>263</v>
      </c>
      <c r="P254">
        <v>0.05</v>
      </c>
      <c r="Q254" t="s">
        <v>1300</v>
      </c>
      <c r="R254">
        <v>37.5</v>
      </c>
      <c r="S254">
        <v>37.5</v>
      </c>
      <c r="T254">
        <v>0</v>
      </c>
      <c r="U254">
        <v>12.5</v>
      </c>
      <c r="V254">
        <v>12.5</v>
      </c>
    </row>
    <row r="255" spans="1:22" x14ac:dyDescent="0.25">
      <c r="A255" t="s">
        <v>1559</v>
      </c>
      <c r="B255" t="s">
        <v>158</v>
      </c>
      <c r="C255">
        <v>18</v>
      </c>
      <c r="D255" t="s">
        <v>260</v>
      </c>
      <c r="E255" t="s">
        <v>140</v>
      </c>
      <c r="F255" t="s">
        <v>66</v>
      </c>
      <c r="G255">
        <v>0.22</v>
      </c>
      <c r="H255" t="s">
        <v>66</v>
      </c>
      <c r="I255">
        <v>-8</v>
      </c>
      <c r="J255" t="str">
        <f>HYPERLINK("https://www.eliteprospects.com/player/623763/carson-reed")</f>
        <v>https://www.eliteprospects.com/player/623763/carson-reed</v>
      </c>
      <c r="K255" t="s">
        <v>27</v>
      </c>
      <c r="L255" t="s">
        <v>28</v>
      </c>
      <c r="M255" t="s">
        <v>1296</v>
      </c>
      <c r="N255">
        <v>2</v>
      </c>
      <c r="O255" t="s">
        <v>43</v>
      </c>
      <c r="P255">
        <v>0.04</v>
      </c>
      <c r="Q255" t="s">
        <v>1488</v>
      </c>
      <c r="R255">
        <v>0</v>
      </c>
      <c r="S255">
        <v>0</v>
      </c>
      <c r="T255">
        <v>0</v>
      </c>
      <c r="U255">
        <v>0</v>
      </c>
      <c r="V255">
        <v>0</v>
      </c>
    </row>
    <row r="256" spans="1:22" x14ac:dyDescent="0.25">
      <c r="A256" t="s">
        <v>1560</v>
      </c>
      <c r="B256" t="s">
        <v>95</v>
      </c>
      <c r="C256">
        <v>18</v>
      </c>
      <c r="D256" t="s">
        <v>260</v>
      </c>
      <c r="E256" t="s">
        <v>140</v>
      </c>
      <c r="F256" t="s">
        <v>66</v>
      </c>
      <c r="G256">
        <v>0.22</v>
      </c>
      <c r="H256" t="s">
        <v>66</v>
      </c>
      <c r="I256">
        <v>8</v>
      </c>
      <c r="J256" t="str">
        <f>HYPERLINK("https://www.eliteprospects.com/player/586596/colby-woogk")</f>
        <v>https://www.eliteprospects.com/player/586596/colby-woogk</v>
      </c>
      <c r="K256" t="s">
        <v>27</v>
      </c>
      <c r="L256" t="s">
        <v>28</v>
      </c>
      <c r="M256" t="s">
        <v>1296</v>
      </c>
      <c r="N256">
        <v>1</v>
      </c>
      <c r="O256" t="s">
        <v>71</v>
      </c>
      <c r="P256">
        <v>0.04</v>
      </c>
      <c r="Q256" t="s">
        <v>1488</v>
      </c>
      <c r="R256">
        <v>0</v>
      </c>
      <c r="S256">
        <v>0</v>
      </c>
      <c r="T256">
        <v>0</v>
      </c>
      <c r="U256">
        <v>0</v>
      </c>
      <c r="V256">
        <v>0</v>
      </c>
    </row>
    <row r="257" spans="1:22" x14ac:dyDescent="0.25">
      <c r="A257" t="s">
        <v>1561</v>
      </c>
      <c r="B257" t="s">
        <v>119</v>
      </c>
      <c r="C257">
        <v>18</v>
      </c>
      <c r="D257" t="s">
        <v>260</v>
      </c>
      <c r="E257" t="s">
        <v>140</v>
      </c>
      <c r="F257" t="s">
        <v>66</v>
      </c>
      <c r="G257">
        <v>0.22</v>
      </c>
      <c r="H257" t="s">
        <v>26</v>
      </c>
      <c r="I257">
        <v>-3</v>
      </c>
      <c r="J257" t="str">
        <f>HYPERLINK("https://www.eliteprospects.com/player/574743/leo-gruba")</f>
        <v>https://www.eliteprospects.com/player/574743/leo-gruba</v>
      </c>
      <c r="K257" t="s">
        <v>27</v>
      </c>
      <c r="L257" t="s">
        <v>28</v>
      </c>
      <c r="M257" t="s">
        <v>1296</v>
      </c>
      <c r="N257">
        <v>2</v>
      </c>
      <c r="O257" t="s">
        <v>43</v>
      </c>
      <c r="P257">
        <v>0.04</v>
      </c>
      <c r="Q257" t="s">
        <v>1488</v>
      </c>
      <c r="R257">
        <v>0</v>
      </c>
      <c r="S257">
        <v>0</v>
      </c>
      <c r="T257">
        <v>0</v>
      </c>
      <c r="U257">
        <v>0</v>
      </c>
      <c r="V257">
        <v>0</v>
      </c>
    </row>
    <row r="258" spans="1:22" x14ac:dyDescent="0.25">
      <c r="A258" t="s">
        <v>1562</v>
      </c>
      <c r="B258" t="s">
        <v>255</v>
      </c>
      <c r="C258">
        <v>18</v>
      </c>
      <c r="D258" t="s">
        <v>260</v>
      </c>
      <c r="E258" t="s">
        <v>140</v>
      </c>
      <c r="F258" t="s">
        <v>66</v>
      </c>
      <c r="G258">
        <v>0.22</v>
      </c>
      <c r="H258" t="s">
        <v>33</v>
      </c>
      <c r="I258">
        <v>-1</v>
      </c>
      <c r="J258" t="str">
        <f>HYPERLINK("https://www.eliteprospects.com/player/630042/matthew-rafalski")</f>
        <v>https://www.eliteprospects.com/player/630042/matthew-rafalski</v>
      </c>
      <c r="K258" t="s">
        <v>27</v>
      </c>
      <c r="L258" t="s">
        <v>28</v>
      </c>
      <c r="M258" t="s">
        <v>1296</v>
      </c>
      <c r="N258">
        <v>1</v>
      </c>
      <c r="O258" t="s">
        <v>71</v>
      </c>
      <c r="P258">
        <v>0.04</v>
      </c>
      <c r="Q258" t="s">
        <v>1488</v>
      </c>
      <c r="R258">
        <v>0</v>
      </c>
      <c r="S258">
        <v>0</v>
      </c>
      <c r="T258">
        <v>0</v>
      </c>
      <c r="U258">
        <v>0</v>
      </c>
      <c r="V258">
        <v>0</v>
      </c>
    </row>
    <row r="259" spans="1:22" x14ac:dyDescent="0.25">
      <c r="A259" t="s">
        <v>1563</v>
      </c>
      <c r="B259" t="s">
        <v>22</v>
      </c>
      <c r="C259">
        <v>19</v>
      </c>
      <c r="D259" t="s">
        <v>260</v>
      </c>
      <c r="E259" t="s">
        <v>140</v>
      </c>
      <c r="F259" t="s">
        <v>66</v>
      </c>
      <c r="G259">
        <v>0.21</v>
      </c>
      <c r="H259" t="s">
        <v>66</v>
      </c>
      <c r="I259">
        <v>-2</v>
      </c>
      <c r="J259" t="str">
        <f>HYPERLINK("https://www.eliteprospects.com/player/572087/sam-court")</f>
        <v>https://www.eliteprospects.com/player/572087/sam-court</v>
      </c>
      <c r="K259" t="s">
        <v>27</v>
      </c>
      <c r="L259" t="s">
        <v>28</v>
      </c>
      <c r="M259" t="s">
        <v>1296</v>
      </c>
      <c r="N259">
        <v>2</v>
      </c>
      <c r="O259" t="s">
        <v>43</v>
      </c>
      <c r="P259">
        <v>0.04</v>
      </c>
      <c r="Q259" t="s">
        <v>1488</v>
      </c>
      <c r="R259">
        <v>0</v>
      </c>
      <c r="S259">
        <v>0</v>
      </c>
      <c r="T259">
        <v>0</v>
      </c>
      <c r="U259">
        <v>0</v>
      </c>
      <c r="V259">
        <v>0</v>
      </c>
    </row>
    <row r="260" spans="1:22" x14ac:dyDescent="0.25">
      <c r="A260" t="s">
        <v>1564</v>
      </c>
      <c r="B260" t="s">
        <v>255</v>
      </c>
      <c r="C260">
        <v>19</v>
      </c>
      <c r="D260" t="s">
        <v>260</v>
      </c>
      <c r="E260" t="s">
        <v>140</v>
      </c>
      <c r="F260" t="s">
        <v>66</v>
      </c>
      <c r="G260">
        <v>0.21</v>
      </c>
      <c r="H260" t="s">
        <v>66</v>
      </c>
      <c r="I260">
        <v>-4</v>
      </c>
      <c r="J260" t="str">
        <f>HYPERLINK("https://www.eliteprospects.com/player/417479/dominick-campione")</f>
        <v>https://www.eliteprospects.com/player/417479/dominick-campione</v>
      </c>
      <c r="K260" t="s">
        <v>27</v>
      </c>
      <c r="L260" t="s">
        <v>28</v>
      </c>
      <c r="M260" t="s">
        <v>1296</v>
      </c>
      <c r="N260">
        <v>3</v>
      </c>
      <c r="O260" t="s">
        <v>74</v>
      </c>
      <c r="P260">
        <v>0.04</v>
      </c>
      <c r="Q260" t="s">
        <v>1488</v>
      </c>
      <c r="R260">
        <v>0</v>
      </c>
      <c r="S260">
        <v>0</v>
      </c>
      <c r="T260">
        <v>0</v>
      </c>
      <c r="U260">
        <v>0</v>
      </c>
      <c r="V260">
        <v>0</v>
      </c>
    </row>
    <row r="261" spans="1:22" x14ac:dyDescent="0.25">
      <c r="A261" t="s">
        <v>1565</v>
      </c>
      <c r="B261" t="s">
        <v>171</v>
      </c>
      <c r="C261">
        <v>20</v>
      </c>
      <c r="D261" t="s">
        <v>260</v>
      </c>
      <c r="E261" t="s">
        <v>140</v>
      </c>
      <c r="F261" t="s">
        <v>66</v>
      </c>
      <c r="G261">
        <v>0.2</v>
      </c>
      <c r="H261" t="s">
        <v>66</v>
      </c>
      <c r="I261">
        <v>5</v>
      </c>
      <c r="J261" t="str">
        <f>HYPERLINK("https://www.eliteprospects.com/player/478512/sean-kilcullen")</f>
        <v>https://www.eliteprospects.com/player/478512/sean-kilcullen</v>
      </c>
      <c r="K261" t="s">
        <v>27</v>
      </c>
      <c r="L261" t="s">
        <v>28</v>
      </c>
      <c r="M261" t="s">
        <v>1296</v>
      </c>
      <c r="N261">
        <v>3</v>
      </c>
      <c r="O261" t="s">
        <v>74</v>
      </c>
      <c r="P261">
        <v>0.04</v>
      </c>
      <c r="Q261" t="s">
        <v>1488</v>
      </c>
      <c r="R261">
        <v>0</v>
      </c>
      <c r="S261">
        <v>0</v>
      </c>
      <c r="T261">
        <v>0</v>
      </c>
      <c r="U261">
        <v>0</v>
      </c>
      <c r="V261">
        <v>0</v>
      </c>
    </row>
    <row r="262" spans="1:22" x14ac:dyDescent="0.25">
      <c r="A262" t="s">
        <v>1566</v>
      </c>
      <c r="B262" t="s">
        <v>68</v>
      </c>
      <c r="C262">
        <v>20</v>
      </c>
      <c r="D262" t="s">
        <v>260</v>
      </c>
      <c r="E262" t="s">
        <v>140</v>
      </c>
      <c r="F262" t="s">
        <v>66</v>
      </c>
      <c r="G262">
        <v>0.2</v>
      </c>
      <c r="H262" t="s">
        <v>66</v>
      </c>
      <c r="I262">
        <v>0</v>
      </c>
      <c r="J262" t="str">
        <f>HYPERLINK("https://www.eliteprospects.com/player/526086/nate-tivey")</f>
        <v>https://www.eliteprospects.com/player/526086/nate-tivey</v>
      </c>
      <c r="K262" t="s">
        <v>27</v>
      </c>
      <c r="L262" t="s">
        <v>28</v>
      </c>
      <c r="M262" t="s">
        <v>1296</v>
      </c>
      <c r="N262">
        <v>4</v>
      </c>
      <c r="O262" t="s">
        <v>62</v>
      </c>
      <c r="P262">
        <v>0.04</v>
      </c>
      <c r="Q262" t="s">
        <v>1488</v>
      </c>
      <c r="R262">
        <v>0</v>
      </c>
      <c r="S262">
        <v>0</v>
      </c>
      <c r="T262">
        <v>0</v>
      </c>
      <c r="U262">
        <v>0</v>
      </c>
      <c r="V262">
        <v>0</v>
      </c>
    </row>
    <row r="263" spans="1:22" x14ac:dyDescent="0.25">
      <c r="A263" t="s">
        <v>1567</v>
      </c>
      <c r="B263" t="s">
        <v>127</v>
      </c>
      <c r="C263">
        <v>20</v>
      </c>
      <c r="D263" t="s">
        <v>260</v>
      </c>
      <c r="E263" t="s">
        <v>140</v>
      </c>
      <c r="F263" t="s">
        <v>66</v>
      </c>
      <c r="G263">
        <v>0.2</v>
      </c>
      <c r="H263" t="s">
        <v>38</v>
      </c>
      <c r="I263">
        <v>-5</v>
      </c>
      <c r="J263" t="str">
        <f>HYPERLINK("https://www.eliteprospects.com/player/637623/quinn-mccall")</f>
        <v>https://www.eliteprospects.com/player/637623/quinn-mccall</v>
      </c>
      <c r="K263" t="s">
        <v>27</v>
      </c>
      <c r="L263" t="s">
        <v>28</v>
      </c>
      <c r="M263" t="s">
        <v>1296</v>
      </c>
      <c r="N263">
        <v>2</v>
      </c>
      <c r="O263" t="s">
        <v>217</v>
      </c>
      <c r="P263">
        <v>0.04</v>
      </c>
      <c r="Q263" t="s">
        <v>1488</v>
      </c>
      <c r="R263">
        <v>0</v>
      </c>
      <c r="S263">
        <v>0</v>
      </c>
      <c r="T263">
        <v>0</v>
      </c>
      <c r="U263">
        <v>0</v>
      </c>
      <c r="V263">
        <v>0</v>
      </c>
    </row>
    <row r="264" spans="1:22" x14ac:dyDescent="0.25">
      <c r="A264" t="s">
        <v>1568</v>
      </c>
      <c r="B264" t="s">
        <v>134</v>
      </c>
      <c r="C264">
        <v>20</v>
      </c>
      <c r="D264" t="s">
        <v>260</v>
      </c>
      <c r="E264" t="s">
        <v>140</v>
      </c>
      <c r="F264" t="s">
        <v>66</v>
      </c>
      <c r="G264">
        <v>0.2</v>
      </c>
      <c r="H264" t="s">
        <v>24</v>
      </c>
      <c r="I264">
        <v>2</v>
      </c>
      <c r="J264" t="str">
        <f>HYPERLINK("https://www.eliteprospects.com/player/568367/carter-patterson")</f>
        <v>https://www.eliteprospects.com/player/568367/carter-patterson</v>
      </c>
      <c r="K264" t="s">
        <v>27</v>
      </c>
      <c r="L264" t="s">
        <v>28</v>
      </c>
      <c r="M264" t="s">
        <v>1296</v>
      </c>
      <c r="N264">
        <v>2</v>
      </c>
      <c r="O264" t="s">
        <v>43</v>
      </c>
      <c r="P264">
        <v>0.04</v>
      </c>
      <c r="Q264" t="s">
        <v>1488</v>
      </c>
      <c r="R264">
        <v>0</v>
      </c>
      <c r="S264">
        <v>0</v>
      </c>
      <c r="T264">
        <v>0</v>
      </c>
      <c r="U264">
        <v>0</v>
      </c>
      <c r="V264">
        <v>0</v>
      </c>
    </row>
    <row r="265" spans="1:22" x14ac:dyDescent="0.25">
      <c r="A265" t="s">
        <v>1569</v>
      </c>
      <c r="B265" t="s">
        <v>121</v>
      </c>
      <c r="C265">
        <v>20</v>
      </c>
      <c r="D265" t="s">
        <v>260</v>
      </c>
      <c r="E265" t="s">
        <v>140</v>
      </c>
      <c r="F265" t="s">
        <v>66</v>
      </c>
      <c r="G265">
        <v>0.2</v>
      </c>
      <c r="H265" t="s">
        <v>52</v>
      </c>
      <c r="I265">
        <v>1</v>
      </c>
      <c r="J265" t="str">
        <f>HYPERLINK("https://www.eliteprospects.com/player/201809/garrett-valk")</f>
        <v>https://www.eliteprospects.com/player/201809/garrett-valk</v>
      </c>
      <c r="K265" t="s">
        <v>27</v>
      </c>
      <c r="L265" t="s">
        <v>28</v>
      </c>
      <c r="M265" t="s">
        <v>1296</v>
      </c>
      <c r="N265">
        <v>3</v>
      </c>
      <c r="O265" t="s">
        <v>74</v>
      </c>
      <c r="P265">
        <v>0.04</v>
      </c>
      <c r="Q265" t="s">
        <v>1488</v>
      </c>
      <c r="R265">
        <v>0</v>
      </c>
      <c r="S265">
        <v>0</v>
      </c>
      <c r="T265">
        <v>0</v>
      </c>
      <c r="U265">
        <v>0</v>
      </c>
      <c r="V265">
        <v>0</v>
      </c>
    </row>
    <row r="266" spans="1:22" x14ac:dyDescent="0.25">
      <c r="A266" t="s">
        <v>1570</v>
      </c>
      <c r="B266" t="s">
        <v>171</v>
      </c>
      <c r="C266">
        <v>21</v>
      </c>
      <c r="D266" t="s">
        <v>260</v>
      </c>
      <c r="E266" t="s">
        <v>140</v>
      </c>
      <c r="F266" t="s">
        <v>66</v>
      </c>
      <c r="G266">
        <v>0.19</v>
      </c>
      <c r="H266" t="s">
        <v>32</v>
      </c>
      <c r="I266">
        <v>-9</v>
      </c>
      <c r="J266" t="str">
        <f>HYPERLINK("https://www.eliteprospects.com/player/647080/nate-misskey")</f>
        <v>https://www.eliteprospects.com/player/647080/nate-misskey</v>
      </c>
      <c r="K266" t="s">
        <v>27</v>
      </c>
      <c r="L266" t="s">
        <v>28</v>
      </c>
      <c r="M266" t="s">
        <v>1296</v>
      </c>
      <c r="N266">
        <v>5</v>
      </c>
      <c r="O266" t="s">
        <v>152</v>
      </c>
      <c r="P266">
        <v>0.04</v>
      </c>
      <c r="Q266" t="s">
        <v>1488</v>
      </c>
      <c r="R266">
        <v>0</v>
      </c>
      <c r="S266">
        <v>0</v>
      </c>
      <c r="T266">
        <v>0</v>
      </c>
      <c r="U266">
        <v>0</v>
      </c>
      <c r="V266">
        <v>0</v>
      </c>
    </row>
    <row r="267" spans="1:22" x14ac:dyDescent="0.25">
      <c r="A267" t="s">
        <v>1571</v>
      </c>
      <c r="B267" t="s">
        <v>171</v>
      </c>
      <c r="C267">
        <v>21</v>
      </c>
      <c r="D267" t="s">
        <v>260</v>
      </c>
      <c r="E267" t="s">
        <v>140</v>
      </c>
      <c r="F267" t="s">
        <v>66</v>
      </c>
      <c r="G267">
        <v>0.19</v>
      </c>
      <c r="H267" t="s">
        <v>38</v>
      </c>
      <c r="I267">
        <v>-1</v>
      </c>
      <c r="J267" t="str">
        <f>HYPERLINK("https://www.eliteprospects.com/player/529804/josh-mori")</f>
        <v>https://www.eliteprospects.com/player/529804/josh-mori</v>
      </c>
      <c r="K267" t="s">
        <v>27</v>
      </c>
      <c r="L267" t="s">
        <v>28</v>
      </c>
      <c r="M267" t="s">
        <v>1296</v>
      </c>
      <c r="N267">
        <v>5</v>
      </c>
      <c r="O267" t="s">
        <v>152</v>
      </c>
      <c r="P267">
        <v>0.04</v>
      </c>
      <c r="Q267" t="s">
        <v>1488</v>
      </c>
      <c r="R267">
        <v>0</v>
      </c>
      <c r="S267">
        <v>0</v>
      </c>
      <c r="T267">
        <v>0</v>
      </c>
      <c r="U267">
        <v>0</v>
      </c>
      <c r="V267">
        <v>0</v>
      </c>
    </row>
    <row r="268" spans="1:22" x14ac:dyDescent="0.25">
      <c r="A268" t="s">
        <v>1572</v>
      </c>
      <c r="B268" t="s">
        <v>64</v>
      </c>
      <c r="C268">
        <v>22</v>
      </c>
      <c r="D268" t="s">
        <v>260</v>
      </c>
      <c r="E268" t="s">
        <v>140</v>
      </c>
      <c r="F268" t="s">
        <v>66</v>
      </c>
      <c r="G268">
        <v>0.18</v>
      </c>
      <c r="H268" t="s">
        <v>66</v>
      </c>
      <c r="I268">
        <v>6</v>
      </c>
      <c r="J268" t="str">
        <f>HYPERLINK("https://www.eliteprospects.com/player/613145/mason-poolman")</f>
        <v>https://www.eliteprospects.com/player/613145/mason-poolman</v>
      </c>
      <c r="K268" t="s">
        <v>27</v>
      </c>
      <c r="L268" t="s">
        <v>28</v>
      </c>
      <c r="M268" t="s">
        <v>1296</v>
      </c>
      <c r="N268">
        <v>3</v>
      </c>
      <c r="O268" t="s">
        <v>74</v>
      </c>
      <c r="P268">
        <v>0.03</v>
      </c>
      <c r="Q268" t="s">
        <v>1488</v>
      </c>
      <c r="R268">
        <v>0</v>
      </c>
      <c r="S268">
        <v>0</v>
      </c>
      <c r="T268">
        <v>0</v>
      </c>
      <c r="U268">
        <v>0</v>
      </c>
      <c r="V268">
        <v>0</v>
      </c>
    </row>
    <row r="269" spans="1:22" x14ac:dyDescent="0.25">
      <c r="A269" t="s">
        <v>1573</v>
      </c>
      <c r="B269" t="s">
        <v>215</v>
      </c>
      <c r="C269">
        <v>23</v>
      </c>
      <c r="D269" t="s">
        <v>260</v>
      </c>
      <c r="E269" t="s">
        <v>140</v>
      </c>
      <c r="F269" t="s">
        <v>66</v>
      </c>
      <c r="G269">
        <v>0.17</v>
      </c>
      <c r="H269" t="s">
        <v>57</v>
      </c>
      <c r="I269">
        <v>-8</v>
      </c>
      <c r="J269" t="str">
        <f>HYPERLINK("https://www.eliteprospects.com/player/640818/warren-clark")</f>
        <v>https://www.eliteprospects.com/player/640818/warren-clark</v>
      </c>
      <c r="K269" t="s">
        <v>27</v>
      </c>
      <c r="L269" t="s">
        <v>28</v>
      </c>
      <c r="M269" t="s">
        <v>1296</v>
      </c>
      <c r="N269">
        <v>3</v>
      </c>
      <c r="O269" t="s">
        <v>74</v>
      </c>
      <c r="P269">
        <v>0.03</v>
      </c>
      <c r="Q269" t="s">
        <v>1488</v>
      </c>
      <c r="R269">
        <v>0</v>
      </c>
      <c r="S269">
        <v>0</v>
      </c>
      <c r="T269">
        <v>0</v>
      </c>
      <c r="U269">
        <v>0</v>
      </c>
      <c r="V269">
        <v>0</v>
      </c>
    </row>
    <row r="270" spans="1:22" x14ac:dyDescent="0.25">
      <c r="A270" t="s">
        <v>1574</v>
      </c>
      <c r="B270" t="s">
        <v>116</v>
      </c>
      <c r="C270">
        <v>14</v>
      </c>
      <c r="D270" t="s">
        <v>132</v>
      </c>
      <c r="E270" t="s">
        <v>66</v>
      </c>
      <c r="F270" t="s">
        <v>66</v>
      </c>
      <c r="G270">
        <v>0.28999999999999998</v>
      </c>
      <c r="H270" t="s">
        <v>132</v>
      </c>
      <c r="I270">
        <v>-4</v>
      </c>
      <c r="J270" t="str">
        <f>HYPERLINK("https://www.eliteprospects.com/player/363840/jack-babbage")</f>
        <v>https://www.eliteprospects.com/player/363840/jack-babbage</v>
      </c>
      <c r="K270" t="s">
        <v>27</v>
      </c>
      <c r="L270" t="s">
        <v>28</v>
      </c>
      <c r="M270" t="s">
        <v>1296</v>
      </c>
      <c r="N270">
        <v>5</v>
      </c>
      <c r="O270" t="s">
        <v>67</v>
      </c>
      <c r="P270">
        <v>0.06</v>
      </c>
      <c r="Q270" t="s">
        <v>1309</v>
      </c>
      <c r="R270">
        <v>0</v>
      </c>
      <c r="S270">
        <v>20</v>
      </c>
      <c r="T270">
        <v>40</v>
      </c>
      <c r="U270">
        <v>0</v>
      </c>
      <c r="V270">
        <v>40</v>
      </c>
    </row>
    <row r="271" spans="1:22" x14ac:dyDescent="0.25">
      <c r="A271" t="s">
        <v>1575</v>
      </c>
      <c r="B271" t="s">
        <v>167</v>
      </c>
      <c r="C271">
        <v>14</v>
      </c>
      <c r="D271" t="s">
        <v>132</v>
      </c>
      <c r="E271" t="s">
        <v>66</v>
      </c>
      <c r="F271" t="s">
        <v>66</v>
      </c>
      <c r="G271">
        <v>0.28999999999999998</v>
      </c>
      <c r="H271" t="s">
        <v>132</v>
      </c>
      <c r="I271">
        <v>-1</v>
      </c>
      <c r="J271" t="str">
        <f>HYPERLINK("https://www.eliteprospects.com/player/679634/drake-murray")</f>
        <v>https://www.eliteprospects.com/player/679634/drake-murray</v>
      </c>
      <c r="K271" t="s">
        <v>27</v>
      </c>
      <c r="L271" t="s">
        <v>28</v>
      </c>
      <c r="M271" t="s">
        <v>1296</v>
      </c>
      <c r="N271">
        <v>1</v>
      </c>
      <c r="O271" t="s">
        <v>71</v>
      </c>
      <c r="P271">
        <v>0.06</v>
      </c>
      <c r="Q271" t="s">
        <v>1300</v>
      </c>
      <c r="R271">
        <v>37.5</v>
      </c>
      <c r="S271">
        <v>37.5</v>
      </c>
      <c r="T271">
        <v>0</v>
      </c>
      <c r="U271">
        <v>12.5</v>
      </c>
      <c r="V271">
        <v>12.5</v>
      </c>
    </row>
    <row r="272" spans="1:22" x14ac:dyDescent="0.25">
      <c r="A272" t="s">
        <v>1576</v>
      </c>
      <c r="B272" t="s">
        <v>131</v>
      </c>
      <c r="C272">
        <v>14</v>
      </c>
      <c r="D272" t="s">
        <v>132</v>
      </c>
      <c r="E272" t="s">
        <v>66</v>
      </c>
      <c r="F272" t="s">
        <v>66</v>
      </c>
      <c r="G272">
        <v>0.28999999999999998</v>
      </c>
      <c r="H272" t="s">
        <v>66</v>
      </c>
      <c r="I272">
        <v>1</v>
      </c>
      <c r="J272" t="str">
        <f>HYPERLINK("https://www.eliteprospects.com/player/656169/pierce-patterson")</f>
        <v>https://www.eliteprospects.com/player/656169/pierce-patterson</v>
      </c>
      <c r="K272" t="s">
        <v>27</v>
      </c>
      <c r="L272" t="s">
        <v>28</v>
      </c>
      <c r="M272" t="s">
        <v>1296</v>
      </c>
      <c r="N272">
        <v>3</v>
      </c>
      <c r="O272" t="s">
        <v>74</v>
      </c>
      <c r="P272">
        <v>0.06</v>
      </c>
      <c r="Q272" t="s">
        <v>1300</v>
      </c>
      <c r="R272">
        <v>57.1</v>
      </c>
      <c r="S272">
        <v>28.6</v>
      </c>
      <c r="T272">
        <v>0</v>
      </c>
      <c r="U272">
        <v>14.3</v>
      </c>
      <c r="V272">
        <v>0</v>
      </c>
    </row>
    <row r="273" spans="1:22" x14ac:dyDescent="0.25">
      <c r="A273" t="s">
        <v>1577</v>
      </c>
      <c r="B273" t="s">
        <v>200</v>
      </c>
      <c r="C273">
        <v>15</v>
      </c>
      <c r="D273" t="s">
        <v>132</v>
      </c>
      <c r="E273" t="s">
        <v>66</v>
      </c>
      <c r="F273" t="s">
        <v>66</v>
      </c>
      <c r="G273">
        <v>0.27</v>
      </c>
      <c r="H273" t="s">
        <v>57</v>
      </c>
      <c r="I273">
        <v>9</v>
      </c>
      <c r="J273" t="str">
        <f>HYPERLINK("https://www.eliteprospects.com/player/655167/michael-fisher")</f>
        <v>https://www.eliteprospects.com/player/655167/michael-fisher</v>
      </c>
      <c r="K273" t="s">
        <v>27</v>
      </c>
      <c r="L273" t="s">
        <v>28</v>
      </c>
      <c r="M273" t="s">
        <v>1296</v>
      </c>
      <c r="N273">
        <v>2</v>
      </c>
      <c r="O273" t="s">
        <v>43</v>
      </c>
      <c r="P273">
        <v>0.05</v>
      </c>
      <c r="Q273" t="s">
        <v>1309</v>
      </c>
      <c r="R273">
        <v>14.3</v>
      </c>
      <c r="S273">
        <v>28.6</v>
      </c>
      <c r="T273">
        <v>28.6</v>
      </c>
      <c r="U273">
        <v>0</v>
      </c>
      <c r="V273">
        <v>28.6</v>
      </c>
    </row>
    <row r="274" spans="1:22" x14ac:dyDescent="0.25">
      <c r="A274" t="s">
        <v>1578</v>
      </c>
      <c r="B274" t="s">
        <v>120</v>
      </c>
      <c r="C274">
        <v>15</v>
      </c>
      <c r="D274" t="s">
        <v>132</v>
      </c>
      <c r="E274" t="s">
        <v>66</v>
      </c>
      <c r="F274" t="s">
        <v>66</v>
      </c>
      <c r="G274">
        <v>0.27</v>
      </c>
      <c r="H274" t="s">
        <v>57</v>
      </c>
      <c r="I274">
        <v>0</v>
      </c>
      <c r="J274" t="str">
        <f>HYPERLINK("https://www.eliteprospects.com/player/599378/michael-hagens")</f>
        <v>https://www.eliteprospects.com/player/599378/michael-hagens</v>
      </c>
      <c r="K274" t="s">
        <v>27</v>
      </c>
      <c r="L274" t="s">
        <v>28</v>
      </c>
      <c r="M274" t="s">
        <v>1296</v>
      </c>
      <c r="N274">
        <v>2</v>
      </c>
      <c r="O274" t="s">
        <v>43</v>
      </c>
      <c r="P274">
        <v>0.05</v>
      </c>
      <c r="Q274" t="s">
        <v>1300</v>
      </c>
      <c r="R274">
        <v>37.5</v>
      </c>
      <c r="S274">
        <v>37.5</v>
      </c>
      <c r="T274">
        <v>0</v>
      </c>
      <c r="U274">
        <v>12.5</v>
      </c>
      <c r="V274">
        <v>12.5</v>
      </c>
    </row>
    <row r="275" spans="1:22" x14ac:dyDescent="0.25">
      <c r="A275" t="s">
        <v>1579</v>
      </c>
      <c r="B275" t="s">
        <v>119</v>
      </c>
      <c r="C275">
        <v>16</v>
      </c>
      <c r="D275" t="s">
        <v>132</v>
      </c>
      <c r="E275" t="s">
        <v>66</v>
      </c>
      <c r="F275" t="s">
        <v>66</v>
      </c>
      <c r="G275">
        <v>0.25</v>
      </c>
      <c r="H275" t="s">
        <v>79</v>
      </c>
      <c r="I275">
        <v>-2</v>
      </c>
      <c r="J275" t="str">
        <f>HYPERLINK("https://www.eliteprospects.com/player/616255/cal-thomas")</f>
        <v>https://www.eliteprospects.com/player/616255/cal-thomas</v>
      </c>
      <c r="K275" t="s">
        <v>27</v>
      </c>
      <c r="L275" t="s">
        <v>28</v>
      </c>
      <c r="M275" t="s">
        <v>1296</v>
      </c>
      <c r="N275">
        <v>4</v>
      </c>
      <c r="O275" t="s">
        <v>30</v>
      </c>
      <c r="P275">
        <v>0.05</v>
      </c>
      <c r="Q275" t="s">
        <v>1309</v>
      </c>
      <c r="R275">
        <v>0</v>
      </c>
      <c r="S275">
        <v>20</v>
      </c>
      <c r="T275">
        <v>40</v>
      </c>
      <c r="U275">
        <v>0</v>
      </c>
      <c r="V275">
        <v>40</v>
      </c>
    </row>
    <row r="276" spans="1:22" x14ac:dyDescent="0.25">
      <c r="A276" t="s">
        <v>1580</v>
      </c>
      <c r="B276" t="s">
        <v>85</v>
      </c>
      <c r="C276">
        <v>16</v>
      </c>
      <c r="D276" t="s">
        <v>132</v>
      </c>
      <c r="E276" t="s">
        <v>66</v>
      </c>
      <c r="F276" t="s">
        <v>66</v>
      </c>
      <c r="G276">
        <v>0.25</v>
      </c>
      <c r="H276" t="s">
        <v>66</v>
      </c>
      <c r="I276">
        <v>10</v>
      </c>
      <c r="J276" t="str">
        <f>HYPERLINK("https://www.eliteprospects.com/player/537548/ian-devlin")</f>
        <v>https://www.eliteprospects.com/player/537548/ian-devlin</v>
      </c>
      <c r="K276" t="s">
        <v>27</v>
      </c>
      <c r="L276" t="s">
        <v>28</v>
      </c>
      <c r="M276" t="s">
        <v>1296</v>
      </c>
      <c r="N276">
        <v>3</v>
      </c>
      <c r="O276" t="s">
        <v>74</v>
      </c>
      <c r="P276">
        <v>0.05</v>
      </c>
      <c r="Q276" t="s">
        <v>1309</v>
      </c>
      <c r="R276">
        <v>14.3</v>
      </c>
      <c r="S276">
        <v>28.6</v>
      </c>
      <c r="T276">
        <v>28.6</v>
      </c>
      <c r="U276">
        <v>0</v>
      </c>
      <c r="V276">
        <v>28.6</v>
      </c>
    </row>
    <row r="277" spans="1:22" x14ac:dyDescent="0.25">
      <c r="A277" t="s">
        <v>1581</v>
      </c>
      <c r="B277" t="s">
        <v>98</v>
      </c>
      <c r="C277">
        <v>17</v>
      </c>
      <c r="D277" t="s">
        <v>132</v>
      </c>
      <c r="E277" t="s">
        <v>66</v>
      </c>
      <c r="F277" t="s">
        <v>66</v>
      </c>
      <c r="G277">
        <v>0.24</v>
      </c>
      <c r="H277" t="s">
        <v>79</v>
      </c>
      <c r="I277">
        <v>2</v>
      </c>
      <c r="J277" t="str">
        <f>HYPERLINK("https://www.eliteprospects.com/player/551982/cal-mell")</f>
        <v>https://www.eliteprospects.com/player/551982/cal-mell</v>
      </c>
      <c r="K277" t="s">
        <v>27</v>
      </c>
      <c r="L277" t="s">
        <v>28</v>
      </c>
      <c r="M277" t="s">
        <v>1296</v>
      </c>
      <c r="N277">
        <v>4</v>
      </c>
      <c r="O277" t="s">
        <v>30</v>
      </c>
      <c r="P277">
        <v>0.05</v>
      </c>
      <c r="Q277" t="s">
        <v>1300</v>
      </c>
      <c r="R277">
        <v>57.1</v>
      </c>
      <c r="S277">
        <v>28.6</v>
      </c>
      <c r="T277">
        <v>0</v>
      </c>
      <c r="U277">
        <v>14.3</v>
      </c>
      <c r="V277">
        <v>0</v>
      </c>
    </row>
    <row r="278" spans="1:22" x14ac:dyDescent="0.25">
      <c r="A278" t="s">
        <v>1582</v>
      </c>
      <c r="B278" t="s">
        <v>146</v>
      </c>
      <c r="C278">
        <v>17</v>
      </c>
      <c r="D278" t="s">
        <v>132</v>
      </c>
      <c r="E278" t="s">
        <v>66</v>
      </c>
      <c r="F278" t="s">
        <v>66</v>
      </c>
      <c r="G278">
        <v>0.24</v>
      </c>
      <c r="H278" t="s">
        <v>57</v>
      </c>
      <c r="I278">
        <v>1</v>
      </c>
      <c r="J278" t="str">
        <f>HYPERLINK("https://www.eliteprospects.com/player/397851/bryan-huggins")</f>
        <v>https://www.eliteprospects.com/player/397851/bryan-huggins</v>
      </c>
      <c r="K278" t="s">
        <v>27</v>
      </c>
      <c r="L278" t="s">
        <v>28</v>
      </c>
      <c r="M278" t="s">
        <v>1296</v>
      </c>
      <c r="N278">
        <v>4</v>
      </c>
      <c r="O278" t="s">
        <v>30</v>
      </c>
      <c r="P278">
        <v>0.05</v>
      </c>
      <c r="Q278" t="s">
        <v>1300</v>
      </c>
      <c r="R278">
        <v>57.1</v>
      </c>
      <c r="S278">
        <v>28.6</v>
      </c>
      <c r="T278">
        <v>0</v>
      </c>
      <c r="U278">
        <v>14.3</v>
      </c>
      <c r="V278">
        <v>0</v>
      </c>
    </row>
    <row r="279" spans="1:22" x14ac:dyDescent="0.25">
      <c r="A279" t="s">
        <v>1583</v>
      </c>
      <c r="B279" t="s">
        <v>22</v>
      </c>
      <c r="C279">
        <v>18</v>
      </c>
      <c r="D279" t="s">
        <v>132</v>
      </c>
      <c r="E279" t="s">
        <v>66</v>
      </c>
      <c r="F279" t="s">
        <v>66</v>
      </c>
      <c r="G279">
        <v>0.22</v>
      </c>
      <c r="H279" t="s">
        <v>57</v>
      </c>
      <c r="I279">
        <v>-4</v>
      </c>
      <c r="J279" t="str">
        <f>HYPERLINK("https://www.eliteprospects.com/player/599134/anthony-dowd")</f>
        <v>https://www.eliteprospects.com/player/599134/anthony-dowd</v>
      </c>
      <c r="K279" t="s">
        <v>27</v>
      </c>
      <c r="L279" t="s">
        <v>28</v>
      </c>
      <c r="M279" t="s">
        <v>1296</v>
      </c>
      <c r="N279">
        <v>3</v>
      </c>
      <c r="O279" t="s">
        <v>74</v>
      </c>
      <c r="P279">
        <v>0.04</v>
      </c>
      <c r="Q279" t="s">
        <v>1488</v>
      </c>
      <c r="R279">
        <v>0</v>
      </c>
      <c r="S279">
        <v>0</v>
      </c>
      <c r="T279">
        <v>0</v>
      </c>
      <c r="U279">
        <v>0</v>
      </c>
      <c r="V279">
        <v>0</v>
      </c>
    </row>
    <row r="280" spans="1:22" x14ac:dyDescent="0.25">
      <c r="A280" t="s">
        <v>1584</v>
      </c>
      <c r="B280" t="s">
        <v>59</v>
      </c>
      <c r="C280">
        <v>18</v>
      </c>
      <c r="D280" t="s">
        <v>132</v>
      </c>
      <c r="E280" t="s">
        <v>66</v>
      </c>
      <c r="F280" t="s">
        <v>66</v>
      </c>
      <c r="G280">
        <v>0.22</v>
      </c>
      <c r="H280" t="s">
        <v>57</v>
      </c>
      <c r="I280">
        <v>-3</v>
      </c>
      <c r="J280" t="str">
        <f>HYPERLINK("https://www.eliteprospects.com/player/576334/loic-usereau")</f>
        <v>https://www.eliteprospects.com/player/576334/loic-usereau</v>
      </c>
      <c r="K280" t="s">
        <v>27</v>
      </c>
      <c r="L280" t="s">
        <v>28</v>
      </c>
      <c r="M280" t="s">
        <v>1296</v>
      </c>
      <c r="N280">
        <v>5</v>
      </c>
      <c r="O280" t="s">
        <v>207</v>
      </c>
      <c r="P280">
        <v>0.04</v>
      </c>
      <c r="Q280" t="s">
        <v>1488</v>
      </c>
      <c r="R280">
        <v>0</v>
      </c>
      <c r="S280">
        <v>0</v>
      </c>
      <c r="T280">
        <v>0</v>
      </c>
      <c r="U280">
        <v>0</v>
      </c>
      <c r="V280">
        <v>0</v>
      </c>
    </row>
    <row r="281" spans="1:22" x14ac:dyDescent="0.25">
      <c r="A281" t="s">
        <v>1585</v>
      </c>
      <c r="B281" t="s">
        <v>109</v>
      </c>
      <c r="C281">
        <v>18</v>
      </c>
      <c r="D281" t="s">
        <v>132</v>
      </c>
      <c r="E281" t="s">
        <v>66</v>
      </c>
      <c r="F281" t="s">
        <v>66</v>
      </c>
      <c r="G281">
        <v>0.22</v>
      </c>
      <c r="H281" t="s">
        <v>33</v>
      </c>
      <c r="I281">
        <v>2</v>
      </c>
      <c r="J281" t="str">
        <f>HYPERLINK("https://www.eliteprospects.com/player/786910/sam-laurila")</f>
        <v>https://www.eliteprospects.com/player/786910/sam-laurila</v>
      </c>
      <c r="K281" t="s">
        <v>27</v>
      </c>
      <c r="L281" t="s">
        <v>28</v>
      </c>
      <c r="M281" t="s">
        <v>1296</v>
      </c>
      <c r="N281">
        <v>1</v>
      </c>
      <c r="O281" t="s">
        <v>71</v>
      </c>
      <c r="P281">
        <v>0.04</v>
      </c>
      <c r="Q281" t="s">
        <v>1488</v>
      </c>
      <c r="R281">
        <v>0</v>
      </c>
      <c r="S281">
        <v>0</v>
      </c>
      <c r="T281">
        <v>0</v>
      </c>
      <c r="U281">
        <v>0</v>
      </c>
      <c r="V281">
        <v>0</v>
      </c>
    </row>
    <row r="282" spans="1:22" x14ac:dyDescent="0.25">
      <c r="A282" t="s">
        <v>1586</v>
      </c>
      <c r="B282" t="s">
        <v>165</v>
      </c>
      <c r="C282">
        <v>19</v>
      </c>
      <c r="D282" t="s">
        <v>132</v>
      </c>
      <c r="E282" t="s">
        <v>66</v>
      </c>
      <c r="F282" t="s">
        <v>66</v>
      </c>
      <c r="G282">
        <v>0.21</v>
      </c>
      <c r="H282" t="s">
        <v>57</v>
      </c>
      <c r="I282">
        <v>1</v>
      </c>
      <c r="J282" t="str">
        <f>HYPERLINK("https://www.eliteprospects.com/player/705612/luke-malboeuf")</f>
        <v>https://www.eliteprospects.com/player/705612/luke-malboeuf</v>
      </c>
      <c r="K282" t="s">
        <v>27</v>
      </c>
      <c r="L282" t="s">
        <v>28</v>
      </c>
      <c r="M282" t="s">
        <v>1296</v>
      </c>
      <c r="N282">
        <v>1</v>
      </c>
      <c r="O282" t="s">
        <v>71</v>
      </c>
      <c r="P282">
        <v>0.04</v>
      </c>
      <c r="Q282" t="s">
        <v>1488</v>
      </c>
      <c r="R282">
        <v>0</v>
      </c>
      <c r="S282">
        <v>0</v>
      </c>
      <c r="T282">
        <v>0</v>
      </c>
      <c r="U282">
        <v>0</v>
      </c>
      <c r="V282">
        <v>0</v>
      </c>
    </row>
    <row r="283" spans="1:22" x14ac:dyDescent="0.25">
      <c r="A283" t="s">
        <v>1587</v>
      </c>
      <c r="B283" t="s">
        <v>134</v>
      </c>
      <c r="C283">
        <v>20</v>
      </c>
      <c r="D283" t="s">
        <v>132</v>
      </c>
      <c r="E283" t="s">
        <v>66</v>
      </c>
      <c r="F283" t="s">
        <v>66</v>
      </c>
      <c r="G283">
        <v>0.2</v>
      </c>
      <c r="H283" t="s">
        <v>39</v>
      </c>
      <c r="I283">
        <v>-10</v>
      </c>
      <c r="J283" t="str">
        <f>HYPERLINK("https://www.eliteprospects.com/player/622358/jack-pascucci")</f>
        <v>https://www.eliteprospects.com/player/622358/jack-pascucci</v>
      </c>
      <c r="K283" t="s">
        <v>27</v>
      </c>
      <c r="L283" t="s">
        <v>28</v>
      </c>
      <c r="M283" t="s">
        <v>1296</v>
      </c>
      <c r="N283">
        <v>4</v>
      </c>
      <c r="O283" t="s">
        <v>30</v>
      </c>
      <c r="P283">
        <v>0.04</v>
      </c>
      <c r="Q283" t="s">
        <v>1488</v>
      </c>
      <c r="R283">
        <v>0</v>
      </c>
      <c r="S283">
        <v>0</v>
      </c>
      <c r="T283">
        <v>0</v>
      </c>
      <c r="U283">
        <v>0</v>
      </c>
      <c r="V283">
        <v>0</v>
      </c>
    </row>
    <row r="284" spans="1:22" x14ac:dyDescent="0.25">
      <c r="A284" t="s">
        <v>1588</v>
      </c>
      <c r="B284" t="s">
        <v>116</v>
      </c>
      <c r="C284">
        <v>21</v>
      </c>
      <c r="D284" t="s">
        <v>132</v>
      </c>
      <c r="E284" t="s">
        <v>66</v>
      </c>
      <c r="F284" t="s">
        <v>66</v>
      </c>
      <c r="G284">
        <v>0.19</v>
      </c>
      <c r="H284" t="s">
        <v>38</v>
      </c>
      <c r="I284">
        <v>-16</v>
      </c>
      <c r="J284" t="str">
        <f>HYPERLINK("https://www.eliteprospects.com/player/726219/andrew-brown")</f>
        <v>https://www.eliteprospects.com/player/726219/andrew-brown</v>
      </c>
      <c r="K284" t="s">
        <v>27</v>
      </c>
      <c r="L284" t="s">
        <v>28</v>
      </c>
      <c r="M284" t="s">
        <v>1296</v>
      </c>
      <c r="N284">
        <v>2</v>
      </c>
      <c r="O284" t="s">
        <v>303</v>
      </c>
      <c r="P284">
        <v>0.04</v>
      </c>
      <c r="Q284" t="s">
        <v>1488</v>
      </c>
      <c r="R284">
        <v>0</v>
      </c>
      <c r="S284">
        <v>0</v>
      </c>
      <c r="T284">
        <v>0</v>
      </c>
      <c r="U284">
        <v>0</v>
      </c>
      <c r="V284">
        <v>0</v>
      </c>
    </row>
    <row r="285" spans="1:22" x14ac:dyDescent="0.25">
      <c r="A285" t="s">
        <v>1589</v>
      </c>
      <c r="B285" t="s">
        <v>106</v>
      </c>
      <c r="C285">
        <v>22</v>
      </c>
      <c r="D285" t="s">
        <v>132</v>
      </c>
      <c r="E285" t="s">
        <v>66</v>
      </c>
      <c r="F285" t="s">
        <v>66</v>
      </c>
      <c r="G285">
        <v>0.18</v>
      </c>
      <c r="H285" t="s">
        <v>61</v>
      </c>
      <c r="I285">
        <v>-2</v>
      </c>
      <c r="J285" t="str">
        <f>HYPERLINK("https://www.eliteprospects.com/player/881837/bryce-sookro")</f>
        <v>https://www.eliteprospects.com/player/881837/bryce-sookro</v>
      </c>
      <c r="K285" t="s">
        <v>27</v>
      </c>
      <c r="L285" t="s">
        <v>28</v>
      </c>
      <c r="M285" t="s">
        <v>1296</v>
      </c>
      <c r="N285">
        <v>1</v>
      </c>
      <c r="O285" t="s">
        <v>71</v>
      </c>
      <c r="P285">
        <v>0.03</v>
      </c>
      <c r="Q285" t="s">
        <v>1488</v>
      </c>
      <c r="R285">
        <v>0</v>
      </c>
      <c r="S285">
        <v>0</v>
      </c>
      <c r="T285">
        <v>0</v>
      </c>
      <c r="U285">
        <v>0</v>
      </c>
      <c r="V285">
        <v>0</v>
      </c>
    </row>
    <row r="286" spans="1:22" x14ac:dyDescent="0.25">
      <c r="A286" t="s">
        <v>1590</v>
      </c>
      <c r="B286" t="s">
        <v>128</v>
      </c>
      <c r="C286">
        <v>11</v>
      </c>
      <c r="D286" t="s">
        <v>140</v>
      </c>
      <c r="E286" t="s">
        <v>132</v>
      </c>
      <c r="F286" t="s">
        <v>140</v>
      </c>
      <c r="G286">
        <v>0.27</v>
      </c>
      <c r="H286" t="s">
        <v>125</v>
      </c>
      <c r="I286">
        <v>4</v>
      </c>
      <c r="J286" t="str">
        <f>HYPERLINK("https://www.eliteprospects.com/player/515083/gustav-stjernberg")</f>
        <v>https://www.eliteprospects.com/player/515083/gustav-stjernberg</v>
      </c>
      <c r="K286" t="s">
        <v>27</v>
      </c>
      <c r="L286" t="s">
        <v>28</v>
      </c>
      <c r="M286" t="s">
        <v>1296</v>
      </c>
      <c r="N286">
        <v>3</v>
      </c>
      <c r="O286" t="s">
        <v>74</v>
      </c>
      <c r="P286">
        <v>0.05</v>
      </c>
      <c r="Q286" t="s">
        <v>1325</v>
      </c>
      <c r="R286">
        <v>18.2</v>
      </c>
      <c r="S286">
        <v>9.1</v>
      </c>
      <c r="T286">
        <v>63.6</v>
      </c>
      <c r="U286">
        <v>0</v>
      </c>
      <c r="V286">
        <v>9.1</v>
      </c>
    </row>
    <row r="287" spans="1:22" x14ac:dyDescent="0.25">
      <c r="A287" t="s">
        <v>1591</v>
      </c>
      <c r="B287" t="s">
        <v>37</v>
      </c>
      <c r="C287">
        <v>22</v>
      </c>
      <c r="D287" t="s">
        <v>140</v>
      </c>
      <c r="E287" t="s">
        <v>132</v>
      </c>
      <c r="F287" t="s">
        <v>140</v>
      </c>
      <c r="G287">
        <v>0.14000000000000001</v>
      </c>
      <c r="H287" t="s">
        <v>66</v>
      </c>
      <c r="I287">
        <v>-6</v>
      </c>
      <c r="J287" t="str">
        <f>HYPERLINK("https://www.eliteprospects.com/player/495514/joseph-pierce")</f>
        <v>https://www.eliteprospects.com/player/495514/joseph-pierce</v>
      </c>
      <c r="K287" t="s">
        <v>27</v>
      </c>
      <c r="L287" t="s">
        <v>28</v>
      </c>
      <c r="M287" t="s">
        <v>1296</v>
      </c>
      <c r="N287">
        <v>4</v>
      </c>
      <c r="O287" t="s">
        <v>30</v>
      </c>
      <c r="P287">
        <v>0.03</v>
      </c>
      <c r="Q287" t="s">
        <v>1488</v>
      </c>
      <c r="R287">
        <v>0</v>
      </c>
      <c r="S287">
        <v>0</v>
      </c>
      <c r="T287">
        <v>0</v>
      </c>
      <c r="U287">
        <v>0</v>
      </c>
      <c r="V287">
        <v>0</v>
      </c>
    </row>
    <row r="288" spans="1:22" x14ac:dyDescent="0.25">
      <c r="A288" t="s">
        <v>1592</v>
      </c>
      <c r="B288" t="s">
        <v>44</v>
      </c>
      <c r="C288">
        <v>14</v>
      </c>
      <c r="D288" t="s">
        <v>79</v>
      </c>
      <c r="E288" t="s">
        <v>260</v>
      </c>
      <c r="F288" t="s">
        <v>140</v>
      </c>
      <c r="G288">
        <v>0.21</v>
      </c>
      <c r="H288" t="s">
        <v>57</v>
      </c>
      <c r="I288">
        <v>3</v>
      </c>
      <c r="J288" t="str">
        <f>HYPERLINK("https://www.eliteprospects.com/player/628754/luca-fasciano")</f>
        <v>https://www.eliteprospects.com/player/628754/luca-fasciano</v>
      </c>
      <c r="K288" t="s">
        <v>27</v>
      </c>
      <c r="L288" t="s">
        <v>28</v>
      </c>
      <c r="M288" t="s">
        <v>1296</v>
      </c>
      <c r="N288">
        <v>1</v>
      </c>
      <c r="O288" t="s">
        <v>71</v>
      </c>
      <c r="P288">
        <v>0.04</v>
      </c>
      <c r="Q288" t="s">
        <v>1488</v>
      </c>
      <c r="R288">
        <v>0</v>
      </c>
      <c r="S288">
        <v>0</v>
      </c>
      <c r="T288">
        <v>0</v>
      </c>
      <c r="U288">
        <v>0</v>
      </c>
      <c r="V288">
        <v>0</v>
      </c>
    </row>
    <row r="289" spans="1:22" x14ac:dyDescent="0.25">
      <c r="A289" t="s">
        <v>1593</v>
      </c>
      <c r="B289" t="s">
        <v>163</v>
      </c>
      <c r="C289">
        <v>17</v>
      </c>
      <c r="D289" t="s">
        <v>79</v>
      </c>
      <c r="E289" t="s">
        <v>260</v>
      </c>
      <c r="F289" t="s">
        <v>140</v>
      </c>
      <c r="G289">
        <v>0.18</v>
      </c>
      <c r="H289" t="s">
        <v>57</v>
      </c>
      <c r="I289">
        <v>3</v>
      </c>
      <c r="J289" t="str">
        <f>HYPERLINK("https://www.eliteprospects.com/player/779966/alexander-rybakov")</f>
        <v>https://www.eliteprospects.com/player/779966/alexander-rybakov</v>
      </c>
      <c r="K289" t="s">
        <v>27</v>
      </c>
      <c r="L289" t="s">
        <v>28</v>
      </c>
      <c r="M289" t="s">
        <v>1296</v>
      </c>
      <c r="N289">
        <v>1</v>
      </c>
      <c r="O289" t="s">
        <v>71</v>
      </c>
      <c r="P289">
        <v>0.03</v>
      </c>
      <c r="Q289" t="s">
        <v>1488</v>
      </c>
      <c r="R289">
        <v>0</v>
      </c>
      <c r="S289">
        <v>0</v>
      </c>
      <c r="T289">
        <v>0</v>
      </c>
      <c r="U289">
        <v>0</v>
      </c>
      <c r="V289">
        <v>0</v>
      </c>
    </row>
    <row r="290" spans="1:22" x14ac:dyDescent="0.25">
      <c r="A290" t="s">
        <v>1594</v>
      </c>
      <c r="B290" t="s">
        <v>162</v>
      </c>
      <c r="C290">
        <v>17</v>
      </c>
      <c r="D290" t="s">
        <v>79</v>
      </c>
      <c r="E290" t="s">
        <v>260</v>
      </c>
      <c r="F290" t="s">
        <v>140</v>
      </c>
      <c r="G290">
        <v>0.18</v>
      </c>
      <c r="H290" t="s">
        <v>57</v>
      </c>
      <c r="I290">
        <v>2</v>
      </c>
      <c r="J290" t="str">
        <f>HYPERLINK("https://www.eliteprospects.com/player/499295/pat-lawn")</f>
        <v>https://www.eliteprospects.com/player/499295/pat-lawn</v>
      </c>
      <c r="K290" t="s">
        <v>27</v>
      </c>
      <c r="L290" t="s">
        <v>28</v>
      </c>
      <c r="M290" t="s">
        <v>1296</v>
      </c>
      <c r="N290">
        <v>4</v>
      </c>
      <c r="O290" t="s">
        <v>30</v>
      </c>
      <c r="P290">
        <v>0.03</v>
      </c>
      <c r="Q290" t="s">
        <v>1488</v>
      </c>
      <c r="R290">
        <v>0</v>
      </c>
      <c r="S290">
        <v>0</v>
      </c>
      <c r="T290">
        <v>0</v>
      </c>
      <c r="U290">
        <v>0</v>
      </c>
      <c r="V290">
        <v>0</v>
      </c>
    </row>
    <row r="291" spans="1:22" x14ac:dyDescent="0.25">
      <c r="A291" t="s">
        <v>1595</v>
      </c>
      <c r="B291" t="s">
        <v>101</v>
      </c>
      <c r="C291">
        <v>19</v>
      </c>
      <c r="D291" t="s">
        <v>79</v>
      </c>
      <c r="E291" t="s">
        <v>260</v>
      </c>
      <c r="F291" t="s">
        <v>140</v>
      </c>
      <c r="G291">
        <v>0.16</v>
      </c>
      <c r="H291" t="s">
        <v>26</v>
      </c>
      <c r="I291">
        <v>-1</v>
      </c>
      <c r="J291" t="str">
        <f>HYPERLINK("https://www.eliteprospects.com/player/603583/dylan-compton")</f>
        <v>https://www.eliteprospects.com/player/603583/dylan-compton</v>
      </c>
      <c r="K291" t="s">
        <v>27</v>
      </c>
      <c r="L291" t="s">
        <v>28</v>
      </c>
      <c r="M291" t="s">
        <v>1296</v>
      </c>
      <c r="N291">
        <v>1</v>
      </c>
      <c r="O291" t="s">
        <v>71</v>
      </c>
      <c r="P291">
        <v>0.03</v>
      </c>
      <c r="Q291" t="s">
        <v>1488</v>
      </c>
      <c r="R291">
        <v>0</v>
      </c>
      <c r="S291">
        <v>0</v>
      </c>
      <c r="T291">
        <v>0</v>
      </c>
      <c r="U291">
        <v>0</v>
      </c>
      <c r="V291">
        <v>0</v>
      </c>
    </row>
    <row r="292" spans="1:22" x14ac:dyDescent="0.25">
      <c r="A292" t="s">
        <v>1596</v>
      </c>
      <c r="B292" t="s">
        <v>177</v>
      </c>
      <c r="C292">
        <v>19</v>
      </c>
      <c r="D292" t="s">
        <v>79</v>
      </c>
      <c r="E292" t="s">
        <v>260</v>
      </c>
      <c r="F292" t="s">
        <v>140</v>
      </c>
      <c r="G292">
        <v>0.16</v>
      </c>
      <c r="H292" t="s">
        <v>23</v>
      </c>
      <c r="I292">
        <v>-11</v>
      </c>
      <c r="J292" t="str">
        <f>HYPERLINK("https://www.eliteprospects.com/player/412357/ethan-lund")</f>
        <v>https://www.eliteprospects.com/player/412357/ethan-lund</v>
      </c>
      <c r="K292" t="s">
        <v>27</v>
      </c>
      <c r="L292" t="s">
        <v>28</v>
      </c>
      <c r="M292" t="s">
        <v>1296</v>
      </c>
      <c r="N292">
        <v>4</v>
      </c>
      <c r="O292" t="s">
        <v>30</v>
      </c>
      <c r="P292">
        <v>0.03</v>
      </c>
      <c r="Q292" t="s">
        <v>1488</v>
      </c>
      <c r="R292">
        <v>0</v>
      </c>
      <c r="S292">
        <v>0</v>
      </c>
      <c r="T292">
        <v>0</v>
      </c>
      <c r="U292">
        <v>0</v>
      </c>
      <c r="V292">
        <v>0</v>
      </c>
    </row>
    <row r="293" spans="1:22" x14ac:dyDescent="0.25">
      <c r="A293" t="s">
        <v>1597</v>
      </c>
      <c r="B293" t="s">
        <v>238</v>
      </c>
      <c r="C293">
        <v>20</v>
      </c>
      <c r="D293" t="s">
        <v>79</v>
      </c>
      <c r="E293" t="s">
        <v>260</v>
      </c>
      <c r="F293" t="s">
        <v>140</v>
      </c>
      <c r="G293">
        <v>0.15</v>
      </c>
      <c r="H293" t="s">
        <v>39</v>
      </c>
      <c r="I293">
        <v>1</v>
      </c>
      <c r="J293" t="str">
        <f>HYPERLINK("https://www.eliteprospects.com/player/352473/trevor-russell")</f>
        <v>https://www.eliteprospects.com/player/352473/trevor-russell</v>
      </c>
      <c r="K293" t="s">
        <v>27</v>
      </c>
      <c r="L293" t="s">
        <v>28</v>
      </c>
      <c r="M293" t="s">
        <v>1296</v>
      </c>
      <c r="N293">
        <v>5</v>
      </c>
      <c r="O293" t="s">
        <v>67</v>
      </c>
      <c r="P293">
        <v>0.03</v>
      </c>
      <c r="Q293" t="s">
        <v>1488</v>
      </c>
      <c r="R293">
        <v>0</v>
      </c>
      <c r="S293">
        <v>0</v>
      </c>
      <c r="T293">
        <v>0</v>
      </c>
      <c r="U293">
        <v>0</v>
      </c>
      <c r="V293">
        <v>0</v>
      </c>
    </row>
    <row r="294" spans="1:22" x14ac:dyDescent="0.25">
      <c r="A294" t="s">
        <v>1598</v>
      </c>
      <c r="B294" t="s">
        <v>184</v>
      </c>
      <c r="C294">
        <v>13</v>
      </c>
      <c r="D294" t="s">
        <v>260</v>
      </c>
      <c r="E294" t="s">
        <v>79</v>
      </c>
      <c r="F294" t="s">
        <v>140</v>
      </c>
      <c r="G294">
        <v>0.23</v>
      </c>
      <c r="H294" t="s">
        <v>79</v>
      </c>
      <c r="I294">
        <v>-2</v>
      </c>
      <c r="J294" t="str">
        <f>HYPERLINK("https://www.eliteprospects.com/player/620273/kevin-fitzgerald")</f>
        <v>https://www.eliteprospects.com/player/620273/kevin-fitzgerald</v>
      </c>
      <c r="K294" t="s">
        <v>27</v>
      </c>
      <c r="L294" t="s">
        <v>28</v>
      </c>
      <c r="M294" t="s">
        <v>1296</v>
      </c>
      <c r="N294">
        <v>2</v>
      </c>
      <c r="O294" t="s">
        <v>43</v>
      </c>
      <c r="P294">
        <v>0.04</v>
      </c>
      <c r="Q294" t="s">
        <v>1488</v>
      </c>
      <c r="R294">
        <v>0</v>
      </c>
      <c r="S294">
        <v>0</v>
      </c>
      <c r="T294">
        <v>0</v>
      </c>
      <c r="U294">
        <v>0</v>
      </c>
      <c r="V294">
        <v>0</v>
      </c>
    </row>
    <row r="295" spans="1:22" x14ac:dyDescent="0.25">
      <c r="A295" t="s">
        <v>1599</v>
      </c>
      <c r="B295" t="s">
        <v>180</v>
      </c>
      <c r="C295">
        <v>16</v>
      </c>
      <c r="D295" t="s">
        <v>260</v>
      </c>
      <c r="E295" t="s">
        <v>79</v>
      </c>
      <c r="F295" t="s">
        <v>140</v>
      </c>
      <c r="G295">
        <v>0.19</v>
      </c>
      <c r="H295" t="s">
        <v>491</v>
      </c>
      <c r="I295">
        <v>-5</v>
      </c>
      <c r="J295" t="str">
        <f>HYPERLINK("https://www.eliteprospects.com/player/646161/caeden-carlisle")</f>
        <v>https://www.eliteprospects.com/player/646161/caeden-carlisle</v>
      </c>
      <c r="K295" t="s">
        <v>27</v>
      </c>
      <c r="L295" t="s">
        <v>28</v>
      </c>
      <c r="M295" t="s">
        <v>1296</v>
      </c>
      <c r="N295">
        <v>7</v>
      </c>
      <c r="O295" t="s">
        <v>159</v>
      </c>
      <c r="P295">
        <v>0.04</v>
      </c>
      <c r="Q295" t="s">
        <v>1488</v>
      </c>
      <c r="R295">
        <v>0</v>
      </c>
      <c r="S295">
        <v>0</v>
      </c>
      <c r="T295">
        <v>0</v>
      </c>
      <c r="U295">
        <v>0</v>
      </c>
      <c r="V295">
        <v>0</v>
      </c>
    </row>
    <row r="296" spans="1:22" x14ac:dyDescent="0.25">
      <c r="A296" t="s">
        <v>1600</v>
      </c>
      <c r="B296" t="s">
        <v>312</v>
      </c>
      <c r="C296">
        <v>17</v>
      </c>
      <c r="D296" t="s">
        <v>260</v>
      </c>
      <c r="E296" t="s">
        <v>79</v>
      </c>
      <c r="F296" t="s">
        <v>140</v>
      </c>
      <c r="G296">
        <v>0.18</v>
      </c>
      <c r="H296" t="s">
        <v>66</v>
      </c>
      <c r="I296">
        <v>-15</v>
      </c>
      <c r="J296" t="str">
        <f>HYPERLINK("https://www.eliteprospects.com/player/558798/camden-shasby")</f>
        <v>https://www.eliteprospects.com/player/558798/camden-shasby</v>
      </c>
      <c r="K296" t="s">
        <v>27</v>
      </c>
      <c r="L296" t="s">
        <v>28</v>
      </c>
      <c r="M296" t="s">
        <v>1296</v>
      </c>
      <c r="N296">
        <v>1</v>
      </c>
      <c r="O296" t="s">
        <v>71</v>
      </c>
      <c r="P296">
        <v>0.03</v>
      </c>
      <c r="Q296" t="s">
        <v>1488</v>
      </c>
      <c r="R296">
        <v>0</v>
      </c>
      <c r="S296">
        <v>0</v>
      </c>
      <c r="T296">
        <v>0</v>
      </c>
      <c r="U296">
        <v>0</v>
      </c>
      <c r="V296">
        <v>0</v>
      </c>
    </row>
    <row r="297" spans="1:22" x14ac:dyDescent="0.25">
      <c r="A297" t="s">
        <v>1601</v>
      </c>
      <c r="B297" t="s">
        <v>120</v>
      </c>
      <c r="C297">
        <v>17</v>
      </c>
      <c r="D297" t="s">
        <v>260</v>
      </c>
      <c r="E297" t="s">
        <v>79</v>
      </c>
      <c r="F297" t="s">
        <v>140</v>
      </c>
      <c r="G297">
        <v>0.18</v>
      </c>
      <c r="H297" t="s">
        <v>57</v>
      </c>
      <c r="I297">
        <v>4</v>
      </c>
      <c r="J297" t="str">
        <f>HYPERLINK("https://www.eliteprospects.com/player/617529/nolan-joyce")</f>
        <v>https://www.eliteprospects.com/player/617529/nolan-joyce</v>
      </c>
      <c r="K297" t="s">
        <v>27</v>
      </c>
      <c r="L297" t="s">
        <v>28</v>
      </c>
      <c r="M297" t="s">
        <v>1296</v>
      </c>
      <c r="N297">
        <v>3</v>
      </c>
      <c r="O297" t="s">
        <v>74</v>
      </c>
      <c r="P297">
        <v>0.03</v>
      </c>
      <c r="Q297" t="s">
        <v>1488</v>
      </c>
      <c r="R297">
        <v>0</v>
      </c>
      <c r="S297">
        <v>0</v>
      </c>
      <c r="T297">
        <v>0</v>
      </c>
      <c r="U297">
        <v>0</v>
      </c>
      <c r="V297">
        <v>0</v>
      </c>
    </row>
    <row r="298" spans="1:22" x14ac:dyDescent="0.25">
      <c r="A298" t="s">
        <v>1602</v>
      </c>
      <c r="B298" t="s">
        <v>195</v>
      </c>
      <c r="C298">
        <v>17</v>
      </c>
      <c r="D298" t="s">
        <v>260</v>
      </c>
      <c r="E298" t="s">
        <v>79</v>
      </c>
      <c r="F298" t="s">
        <v>140</v>
      </c>
      <c r="G298">
        <v>0.18</v>
      </c>
      <c r="H298" t="s">
        <v>26</v>
      </c>
      <c r="I298">
        <v>0</v>
      </c>
      <c r="J298" t="str">
        <f>HYPERLINK("https://www.eliteprospects.com/player/695245/mick-frechette")</f>
        <v>https://www.eliteprospects.com/player/695245/mick-frechette</v>
      </c>
      <c r="K298" t="s">
        <v>27</v>
      </c>
      <c r="L298" t="s">
        <v>28</v>
      </c>
      <c r="M298" t="s">
        <v>1296</v>
      </c>
      <c r="N298">
        <v>3</v>
      </c>
      <c r="O298" t="s">
        <v>74</v>
      </c>
      <c r="P298">
        <v>0.03</v>
      </c>
      <c r="Q298" t="s">
        <v>1488</v>
      </c>
      <c r="R298">
        <v>0</v>
      </c>
      <c r="S298">
        <v>0</v>
      </c>
      <c r="T298">
        <v>0</v>
      </c>
      <c r="U298">
        <v>0</v>
      </c>
      <c r="V298">
        <v>0</v>
      </c>
    </row>
    <row r="299" spans="1:22" x14ac:dyDescent="0.25">
      <c r="A299" t="s">
        <v>1603</v>
      </c>
      <c r="B299" t="s">
        <v>109</v>
      </c>
      <c r="C299">
        <v>18</v>
      </c>
      <c r="D299" t="s">
        <v>260</v>
      </c>
      <c r="E299" t="s">
        <v>79</v>
      </c>
      <c r="F299" t="s">
        <v>140</v>
      </c>
      <c r="G299">
        <v>0.17</v>
      </c>
      <c r="H299" t="s">
        <v>26</v>
      </c>
      <c r="I299">
        <v>9</v>
      </c>
      <c r="J299" t="str">
        <f>HYPERLINK("https://www.eliteprospects.com/player/592454/bennett-zmolek")</f>
        <v>https://www.eliteprospects.com/player/592454/bennett-zmolek</v>
      </c>
      <c r="K299" t="s">
        <v>27</v>
      </c>
      <c r="L299" t="s">
        <v>28</v>
      </c>
      <c r="M299" t="s">
        <v>1296</v>
      </c>
      <c r="N299">
        <v>5</v>
      </c>
      <c r="O299" t="s">
        <v>67</v>
      </c>
      <c r="P299">
        <v>0.03</v>
      </c>
      <c r="Q299" t="s">
        <v>1488</v>
      </c>
      <c r="R299">
        <v>0</v>
      </c>
      <c r="S299">
        <v>0</v>
      </c>
      <c r="T299">
        <v>0</v>
      </c>
      <c r="U299">
        <v>0</v>
      </c>
      <c r="V299">
        <v>0</v>
      </c>
    </row>
    <row r="300" spans="1:22" x14ac:dyDescent="0.25">
      <c r="A300" t="s">
        <v>1604</v>
      </c>
      <c r="B300" t="s">
        <v>90</v>
      </c>
      <c r="C300">
        <v>19</v>
      </c>
      <c r="D300" t="s">
        <v>260</v>
      </c>
      <c r="E300" t="s">
        <v>79</v>
      </c>
      <c r="F300" t="s">
        <v>140</v>
      </c>
      <c r="G300">
        <v>0.16</v>
      </c>
      <c r="H300" t="s">
        <v>66</v>
      </c>
      <c r="I300">
        <v>4</v>
      </c>
      <c r="J300" t="str">
        <f>HYPERLINK("https://www.eliteprospects.com/player/478439/michael-rubin")</f>
        <v>https://www.eliteprospects.com/player/478439/michael-rubin</v>
      </c>
      <c r="K300" t="s">
        <v>27</v>
      </c>
      <c r="L300" t="s">
        <v>28</v>
      </c>
      <c r="M300" t="s">
        <v>1296</v>
      </c>
      <c r="N300">
        <v>2</v>
      </c>
      <c r="O300" t="s">
        <v>43</v>
      </c>
      <c r="P300">
        <v>0.03</v>
      </c>
      <c r="Q300" t="s">
        <v>1488</v>
      </c>
      <c r="R300">
        <v>0</v>
      </c>
      <c r="S300">
        <v>0</v>
      </c>
      <c r="T300">
        <v>0</v>
      </c>
      <c r="U300">
        <v>0</v>
      </c>
      <c r="V300">
        <v>0</v>
      </c>
    </row>
    <row r="301" spans="1:22" x14ac:dyDescent="0.25">
      <c r="A301" t="s">
        <v>1605</v>
      </c>
      <c r="B301" t="s">
        <v>130</v>
      </c>
      <c r="C301">
        <v>19</v>
      </c>
      <c r="D301" t="s">
        <v>260</v>
      </c>
      <c r="E301" t="s">
        <v>79</v>
      </c>
      <c r="F301" t="s">
        <v>140</v>
      </c>
      <c r="G301">
        <v>0.16</v>
      </c>
      <c r="H301" t="s">
        <v>57</v>
      </c>
      <c r="I301">
        <v>-2</v>
      </c>
      <c r="J301" t="str">
        <f>HYPERLINK("https://www.eliteprospects.com/player/571894/ethan-beyer")</f>
        <v>https://www.eliteprospects.com/player/571894/ethan-beyer</v>
      </c>
      <c r="K301" t="s">
        <v>27</v>
      </c>
      <c r="L301" t="s">
        <v>28</v>
      </c>
      <c r="M301" t="s">
        <v>1296</v>
      </c>
      <c r="N301">
        <v>1</v>
      </c>
      <c r="O301" t="s">
        <v>71</v>
      </c>
      <c r="P301">
        <v>0.03</v>
      </c>
      <c r="Q301" t="s">
        <v>1488</v>
      </c>
      <c r="R301">
        <v>0</v>
      </c>
      <c r="S301">
        <v>0</v>
      </c>
      <c r="T301">
        <v>0</v>
      </c>
      <c r="U301">
        <v>0</v>
      </c>
      <c r="V301">
        <v>0</v>
      </c>
    </row>
    <row r="302" spans="1:22" x14ac:dyDescent="0.25">
      <c r="A302" t="s">
        <v>1606</v>
      </c>
      <c r="B302" t="s">
        <v>224</v>
      </c>
      <c r="C302">
        <v>19</v>
      </c>
      <c r="D302" t="s">
        <v>260</v>
      </c>
      <c r="E302" t="s">
        <v>79</v>
      </c>
      <c r="F302" t="s">
        <v>140</v>
      </c>
      <c r="G302">
        <v>0.16</v>
      </c>
      <c r="H302" t="s">
        <v>26</v>
      </c>
      <c r="I302">
        <v>-9</v>
      </c>
      <c r="J302" t="str">
        <f>HYPERLINK("https://www.eliteprospects.com/player/511962/gabriel-lunn")</f>
        <v>https://www.eliteprospects.com/player/511962/gabriel-lunn</v>
      </c>
      <c r="K302" t="s">
        <v>27</v>
      </c>
      <c r="L302" t="s">
        <v>28</v>
      </c>
      <c r="M302" t="s">
        <v>1296</v>
      </c>
      <c r="N302">
        <v>3</v>
      </c>
      <c r="O302" t="s">
        <v>74</v>
      </c>
      <c r="P302">
        <v>0.03</v>
      </c>
      <c r="Q302" t="s">
        <v>1488</v>
      </c>
      <c r="R302">
        <v>0</v>
      </c>
      <c r="S302">
        <v>0</v>
      </c>
      <c r="T302">
        <v>0</v>
      </c>
      <c r="U302">
        <v>0</v>
      </c>
      <c r="V302">
        <v>0</v>
      </c>
    </row>
    <row r="303" spans="1:22" x14ac:dyDescent="0.25">
      <c r="A303" t="s">
        <v>1607</v>
      </c>
      <c r="B303" t="s">
        <v>73</v>
      </c>
      <c r="C303">
        <v>20</v>
      </c>
      <c r="D303" t="s">
        <v>260</v>
      </c>
      <c r="E303" t="s">
        <v>79</v>
      </c>
      <c r="F303" t="s">
        <v>140</v>
      </c>
      <c r="G303">
        <v>0.15</v>
      </c>
      <c r="H303" t="s">
        <v>132</v>
      </c>
      <c r="I303">
        <v>-6</v>
      </c>
      <c r="J303" t="str">
        <f>HYPERLINK("https://www.eliteprospects.com/player/616231/thor-byfuglien")</f>
        <v>https://www.eliteprospects.com/player/616231/thor-byfuglien</v>
      </c>
      <c r="K303" t="s">
        <v>27</v>
      </c>
      <c r="L303" t="s">
        <v>28</v>
      </c>
      <c r="M303" t="s">
        <v>1296</v>
      </c>
      <c r="N303">
        <v>2</v>
      </c>
      <c r="O303" t="s">
        <v>43</v>
      </c>
      <c r="P303">
        <v>0.03</v>
      </c>
      <c r="Q303" t="s">
        <v>1488</v>
      </c>
      <c r="R303">
        <v>0</v>
      </c>
      <c r="S303">
        <v>0</v>
      </c>
      <c r="T303">
        <v>0</v>
      </c>
      <c r="U303">
        <v>0</v>
      </c>
      <c r="V303">
        <v>0</v>
      </c>
    </row>
    <row r="304" spans="1:22" x14ac:dyDescent="0.25">
      <c r="A304" t="s">
        <v>1608</v>
      </c>
      <c r="B304" t="s">
        <v>238</v>
      </c>
      <c r="C304">
        <v>20</v>
      </c>
      <c r="D304" t="s">
        <v>260</v>
      </c>
      <c r="E304" t="s">
        <v>79</v>
      </c>
      <c r="F304" t="s">
        <v>140</v>
      </c>
      <c r="G304">
        <v>0.15</v>
      </c>
      <c r="H304" t="s">
        <v>79</v>
      </c>
      <c r="I304">
        <v>-7</v>
      </c>
      <c r="J304" t="str">
        <f>HYPERLINK("https://www.eliteprospects.com/player/556659/gustavs-ozolins")</f>
        <v>https://www.eliteprospects.com/player/556659/gustavs-ozolins</v>
      </c>
      <c r="K304" t="s">
        <v>27</v>
      </c>
      <c r="L304" t="s">
        <v>28</v>
      </c>
      <c r="M304" t="s">
        <v>1296</v>
      </c>
      <c r="N304">
        <v>2</v>
      </c>
      <c r="O304" t="s">
        <v>43</v>
      </c>
      <c r="P304">
        <v>0.03</v>
      </c>
      <c r="Q304" t="s">
        <v>1488</v>
      </c>
      <c r="R304">
        <v>0</v>
      </c>
      <c r="S304">
        <v>0</v>
      </c>
      <c r="T304">
        <v>0</v>
      </c>
      <c r="U304">
        <v>0</v>
      </c>
      <c r="V304">
        <v>0</v>
      </c>
    </row>
    <row r="305" spans="1:22" x14ac:dyDescent="0.25">
      <c r="A305" t="s">
        <v>1609</v>
      </c>
      <c r="B305" t="s">
        <v>165</v>
      </c>
      <c r="C305">
        <v>20</v>
      </c>
      <c r="D305" t="s">
        <v>260</v>
      </c>
      <c r="E305" t="s">
        <v>79</v>
      </c>
      <c r="F305" t="s">
        <v>140</v>
      </c>
      <c r="G305">
        <v>0.15</v>
      </c>
      <c r="H305" t="s">
        <v>66</v>
      </c>
      <c r="I305">
        <v>2</v>
      </c>
      <c r="J305" t="str">
        <f>HYPERLINK("https://www.eliteprospects.com/player/527201/jacob-napier")</f>
        <v>https://www.eliteprospects.com/player/527201/jacob-napier</v>
      </c>
      <c r="K305" t="s">
        <v>27</v>
      </c>
      <c r="L305" t="s">
        <v>28</v>
      </c>
      <c r="M305" t="s">
        <v>1296</v>
      </c>
      <c r="N305">
        <v>3</v>
      </c>
      <c r="O305" t="s">
        <v>74</v>
      </c>
      <c r="P305">
        <v>0.03</v>
      </c>
      <c r="Q305" t="s">
        <v>1488</v>
      </c>
      <c r="R305">
        <v>0</v>
      </c>
      <c r="S305">
        <v>0</v>
      </c>
      <c r="T305">
        <v>0</v>
      </c>
      <c r="U305">
        <v>0</v>
      </c>
      <c r="V305">
        <v>0</v>
      </c>
    </row>
    <row r="306" spans="1:22" x14ac:dyDescent="0.25">
      <c r="A306" t="s">
        <v>1610</v>
      </c>
      <c r="B306" t="s">
        <v>362</v>
      </c>
      <c r="C306">
        <v>20</v>
      </c>
      <c r="D306" t="s">
        <v>260</v>
      </c>
      <c r="E306" t="s">
        <v>79</v>
      </c>
      <c r="F306" t="s">
        <v>140</v>
      </c>
      <c r="G306">
        <v>0.15</v>
      </c>
      <c r="H306" t="s">
        <v>39</v>
      </c>
      <c r="I306">
        <v>-18</v>
      </c>
      <c r="J306" t="str">
        <f>HYPERLINK("https://www.eliteprospects.com/player/295806/john-larkin")</f>
        <v>https://www.eliteprospects.com/player/295806/john-larkin</v>
      </c>
      <c r="K306" t="s">
        <v>27</v>
      </c>
      <c r="L306" t="s">
        <v>28</v>
      </c>
      <c r="M306" t="s">
        <v>1296</v>
      </c>
      <c r="N306">
        <v>4</v>
      </c>
      <c r="O306" t="s">
        <v>30</v>
      </c>
      <c r="P306">
        <v>0.03</v>
      </c>
      <c r="Q306" t="s">
        <v>1488</v>
      </c>
      <c r="R306">
        <v>0</v>
      </c>
      <c r="S306">
        <v>0</v>
      </c>
      <c r="T306">
        <v>0</v>
      </c>
      <c r="U306">
        <v>0</v>
      </c>
      <c r="V306">
        <v>0</v>
      </c>
    </row>
    <row r="307" spans="1:22" x14ac:dyDescent="0.25">
      <c r="A307" t="s">
        <v>1611</v>
      </c>
      <c r="B307" t="s">
        <v>98</v>
      </c>
      <c r="C307">
        <v>21</v>
      </c>
      <c r="D307" t="s">
        <v>260</v>
      </c>
      <c r="E307" t="s">
        <v>79</v>
      </c>
      <c r="F307" t="s">
        <v>140</v>
      </c>
      <c r="G307">
        <v>0.14000000000000001</v>
      </c>
      <c r="H307" t="s">
        <v>24</v>
      </c>
      <c r="I307">
        <v>4</v>
      </c>
      <c r="J307" t="str">
        <f>HYPERLINK("https://www.eliteprospects.com/player/294577/nick-young")</f>
        <v>https://www.eliteprospects.com/player/294577/nick-young</v>
      </c>
      <c r="K307" t="s">
        <v>27</v>
      </c>
      <c r="L307" t="s">
        <v>28</v>
      </c>
      <c r="M307" t="s">
        <v>1296</v>
      </c>
      <c r="N307">
        <v>4</v>
      </c>
      <c r="O307" t="s">
        <v>30</v>
      </c>
      <c r="P307">
        <v>0.03</v>
      </c>
      <c r="Q307" t="s">
        <v>1488</v>
      </c>
      <c r="R307">
        <v>0</v>
      </c>
      <c r="S307">
        <v>0</v>
      </c>
      <c r="T307">
        <v>0</v>
      </c>
      <c r="U307">
        <v>0</v>
      </c>
      <c r="V307">
        <v>0</v>
      </c>
    </row>
    <row r="308" spans="1:22" x14ac:dyDescent="0.25">
      <c r="A308" t="s">
        <v>1612</v>
      </c>
      <c r="B308" t="s">
        <v>131</v>
      </c>
      <c r="C308">
        <v>21</v>
      </c>
      <c r="D308" t="s">
        <v>260</v>
      </c>
      <c r="E308" t="s">
        <v>79</v>
      </c>
      <c r="F308" t="s">
        <v>140</v>
      </c>
      <c r="G308">
        <v>0.14000000000000001</v>
      </c>
      <c r="H308" t="s">
        <v>81</v>
      </c>
      <c r="I308">
        <v>-5</v>
      </c>
      <c r="J308" t="str">
        <f>HYPERLINK("https://www.eliteprospects.com/player/467448/sean-vlasich")</f>
        <v>https://www.eliteprospects.com/player/467448/sean-vlasich</v>
      </c>
      <c r="K308" t="s">
        <v>27</v>
      </c>
      <c r="L308" t="s">
        <v>28</v>
      </c>
      <c r="M308" t="s">
        <v>1296</v>
      </c>
      <c r="N308">
        <v>4</v>
      </c>
      <c r="O308" t="s">
        <v>30</v>
      </c>
      <c r="P308">
        <v>0.03</v>
      </c>
      <c r="Q308" t="s">
        <v>1488</v>
      </c>
      <c r="R308">
        <v>0</v>
      </c>
      <c r="S308">
        <v>0</v>
      </c>
      <c r="T308">
        <v>0</v>
      </c>
      <c r="U308">
        <v>0</v>
      </c>
      <c r="V308">
        <v>0</v>
      </c>
    </row>
    <row r="309" spans="1:22" x14ac:dyDescent="0.25">
      <c r="A309" t="s">
        <v>1613</v>
      </c>
      <c r="B309" t="s">
        <v>88</v>
      </c>
      <c r="C309">
        <v>22</v>
      </c>
      <c r="D309" t="s">
        <v>260</v>
      </c>
      <c r="E309" t="s">
        <v>79</v>
      </c>
      <c r="F309" t="s">
        <v>140</v>
      </c>
      <c r="G309">
        <v>0.14000000000000001</v>
      </c>
      <c r="H309" t="s">
        <v>66</v>
      </c>
      <c r="I309">
        <v>-5</v>
      </c>
      <c r="J309" t="str">
        <f>HYPERLINK("https://www.eliteprospects.com/player/669850/beau-janzig")</f>
        <v>https://www.eliteprospects.com/player/669850/beau-janzig</v>
      </c>
      <c r="K309" t="s">
        <v>27</v>
      </c>
      <c r="L309" t="s">
        <v>28</v>
      </c>
      <c r="M309" t="s">
        <v>1296</v>
      </c>
      <c r="N309">
        <v>2</v>
      </c>
      <c r="O309" t="s">
        <v>43</v>
      </c>
      <c r="P309">
        <v>0.03</v>
      </c>
      <c r="Q309" t="s">
        <v>1488</v>
      </c>
      <c r="R309">
        <v>0</v>
      </c>
      <c r="S309">
        <v>0</v>
      </c>
      <c r="T309">
        <v>0</v>
      </c>
      <c r="U309">
        <v>0</v>
      </c>
      <c r="V309">
        <v>0</v>
      </c>
    </row>
    <row r="310" spans="1:22" x14ac:dyDescent="0.25">
      <c r="A310" t="s">
        <v>1614</v>
      </c>
      <c r="B310" t="s">
        <v>189</v>
      </c>
      <c r="C310">
        <v>24</v>
      </c>
      <c r="D310" t="s">
        <v>260</v>
      </c>
      <c r="E310" t="s">
        <v>79</v>
      </c>
      <c r="F310" t="s">
        <v>140</v>
      </c>
      <c r="G310">
        <v>0.13</v>
      </c>
      <c r="H310" t="s">
        <v>564</v>
      </c>
      <c r="I310">
        <v>-7</v>
      </c>
      <c r="J310" t="str">
        <f>HYPERLINK("https://www.eliteprospects.com/player/567352/trevor-taulien")</f>
        <v>https://www.eliteprospects.com/player/567352/trevor-taulien</v>
      </c>
      <c r="K310" t="s">
        <v>27</v>
      </c>
      <c r="L310" t="s">
        <v>28</v>
      </c>
      <c r="M310" t="s">
        <v>1296</v>
      </c>
      <c r="N310">
        <v>3</v>
      </c>
      <c r="O310" t="s">
        <v>74</v>
      </c>
      <c r="P310">
        <v>0.03</v>
      </c>
      <c r="Q310" t="s">
        <v>1488</v>
      </c>
      <c r="R310">
        <v>0</v>
      </c>
      <c r="S310">
        <v>0</v>
      </c>
      <c r="T310">
        <v>0</v>
      </c>
      <c r="U310">
        <v>0</v>
      </c>
      <c r="V310">
        <v>0</v>
      </c>
    </row>
    <row r="311" spans="1:22" x14ac:dyDescent="0.25">
      <c r="A311" t="s">
        <v>1615</v>
      </c>
      <c r="B311" t="s">
        <v>139</v>
      </c>
      <c r="C311">
        <v>12</v>
      </c>
      <c r="D311" t="s">
        <v>132</v>
      </c>
      <c r="E311" t="s">
        <v>140</v>
      </c>
      <c r="F311" t="s">
        <v>140</v>
      </c>
      <c r="G311">
        <v>0.25</v>
      </c>
      <c r="H311" t="s">
        <v>23</v>
      </c>
      <c r="I311">
        <v>8</v>
      </c>
      <c r="J311" t="str">
        <f>HYPERLINK("https://www.eliteprospects.com/player/603138/zach-schulz")</f>
        <v>https://www.eliteprospects.com/player/603138/zach-schulz</v>
      </c>
      <c r="K311" t="s">
        <v>27</v>
      </c>
      <c r="L311" t="s">
        <v>28</v>
      </c>
      <c r="M311" t="s">
        <v>1296</v>
      </c>
      <c r="N311">
        <v>3</v>
      </c>
      <c r="O311" t="s">
        <v>74</v>
      </c>
      <c r="P311">
        <v>0.05</v>
      </c>
      <c r="Q311" t="s">
        <v>1309</v>
      </c>
      <c r="R311">
        <v>14.3</v>
      </c>
      <c r="S311">
        <v>28.6</v>
      </c>
      <c r="T311">
        <v>28.6</v>
      </c>
      <c r="U311">
        <v>0</v>
      </c>
      <c r="V311">
        <v>28.6</v>
      </c>
    </row>
    <row r="312" spans="1:22" x14ac:dyDescent="0.25">
      <c r="A312" t="s">
        <v>1616</v>
      </c>
      <c r="B312" t="s">
        <v>195</v>
      </c>
      <c r="C312">
        <v>14</v>
      </c>
      <c r="D312" t="s">
        <v>132</v>
      </c>
      <c r="E312" t="s">
        <v>140</v>
      </c>
      <c r="F312" t="s">
        <v>140</v>
      </c>
      <c r="G312">
        <v>0.21</v>
      </c>
      <c r="H312" t="s">
        <v>66</v>
      </c>
      <c r="I312">
        <v>-4</v>
      </c>
      <c r="J312" t="str">
        <f>HYPERLINK("https://www.eliteprospects.com/player/863767/malte-vass")</f>
        <v>https://www.eliteprospects.com/player/863767/malte-vass</v>
      </c>
      <c r="K312" t="s">
        <v>27</v>
      </c>
      <c r="L312" t="s">
        <v>28</v>
      </c>
      <c r="M312" t="s">
        <v>1296</v>
      </c>
      <c r="N312">
        <v>1</v>
      </c>
      <c r="O312" t="s">
        <v>71</v>
      </c>
      <c r="P312">
        <v>0.04</v>
      </c>
      <c r="Q312" t="s">
        <v>1488</v>
      </c>
      <c r="R312">
        <v>0</v>
      </c>
      <c r="S312">
        <v>0</v>
      </c>
      <c r="T312">
        <v>0</v>
      </c>
      <c r="U312">
        <v>0</v>
      </c>
      <c r="V312">
        <v>0</v>
      </c>
    </row>
    <row r="313" spans="1:22" x14ac:dyDescent="0.25">
      <c r="A313" t="s">
        <v>1617</v>
      </c>
      <c r="B313" t="s">
        <v>98</v>
      </c>
      <c r="C313">
        <v>14</v>
      </c>
      <c r="D313" t="s">
        <v>132</v>
      </c>
      <c r="E313" t="s">
        <v>140</v>
      </c>
      <c r="F313" t="s">
        <v>140</v>
      </c>
      <c r="G313">
        <v>0.21</v>
      </c>
      <c r="H313" t="s">
        <v>55</v>
      </c>
      <c r="I313">
        <v>-1</v>
      </c>
      <c r="J313" t="str">
        <f>HYPERLINK("https://www.eliteprospects.com/player/201886/d.j.-hart")</f>
        <v>https://www.eliteprospects.com/player/201886/d.j.-hart</v>
      </c>
      <c r="K313" t="s">
        <v>27</v>
      </c>
      <c r="L313" t="s">
        <v>28</v>
      </c>
      <c r="M313" t="s">
        <v>1296</v>
      </c>
      <c r="N313">
        <v>3</v>
      </c>
      <c r="O313" t="s">
        <v>74</v>
      </c>
      <c r="P313">
        <v>0.04</v>
      </c>
      <c r="Q313" t="s">
        <v>1488</v>
      </c>
      <c r="R313">
        <v>0</v>
      </c>
      <c r="S313">
        <v>0</v>
      </c>
      <c r="T313">
        <v>0</v>
      </c>
      <c r="U313">
        <v>0</v>
      </c>
      <c r="V313">
        <v>0</v>
      </c>
    </row>
    <row r="314" spans="1:22" x14ac:dyDescent="0.25">
      <c r="A314" t="s">
        <v>1618</v>
      </c>
      <c r="B314" t="s">
        <v>362</v>
      </c>
      <c r="C314">
        <v>16</v>
      </c>
      <c r="D314" t="s">
        <v>132</v>
      </c>
      <c r="E314" t="s">
        <v>140</v>
      </c>
      <c r="F314" t="s">
        <v>140</v>
      </c>
      <c r="G314">
        <v>0.19</v>
      </c>
      <c r="H314" t="s">
        <v>79</v>
      </c>
      <c r="I314">
        <v>-8</v>
      </c>
      <c r="J314" t="str">
        <f>HYPERLINK("https://www.eliteprospects.com/player/201957/trent-sambrook")</f>
        <v>https://www.eliteprospects.com/player/201957/trent-sambrook</v>
      </c>
      <c r="K314" t="s">
        <v>27</v>
      </c>
      <c r="L314" t="s">
        <v>28</v>
      </c>
      <c r="M314" t="s">
        <v>1296</v>
      </c>
      <c r="N314">
        <v>3</v>
      </c>
      <c r="O314" t="s">
        <v>74</v>
      </c>
      <c r="P314">
        <v>0.04</v>
      </c>
      <c r="Q314" t="s">
        <v>1488</v>
      </c>
      <c r="R314">
        <v>0</v>
      </c>
      <c r="S314">
        <v>0</v>
      </c>
      <c r="T314">
        <v>0</v>
      </c>
      <c r="U314">
        <v>0</v>
      </c>
      <c r="V314">
        <v>0</v>
      </c>
    </row>
    <row r="315" spans="1:22" x14ac:dyDescent="0.25">
      <c r="A315" t="s">
        <v>1619</v>
      </c>
      <c r="B315" t="s">
        <v>234</v>
      </c>
      <c r="C315">
        <v>16</v>
      </c>
      <c r="D315" t="s">
        <v>132</v>
      </c>
      <c r="E315" t="s">
        <v>140</v>
      </c>
      <c r="F315" t="s">
        <v>140</v>
      </c>
      <c r="G315">
        <v>0.19</v>
      </c>
      <c r="H315" t="s">
        <v>57</v>
      </c>
      <c r="I315">
        <v>-9</v>
      </c>
      <c r="J315" t="str">
        <f>HYPERLINK("https://www.eliteprospects.com/player/526478/owen-dyer")</f>
        <v>https://www.eliteprospects.com/player/526478/owen-dyer</v>
      </c>
      <c r="K315" t="s">
        <v>27</v>
      </c>
      <c r="L315" t="s">
        <v>28</v>
      </c>
      <c r="M315" t="s">
        <v>1296</v>
      </c>
      <c r="N315">
        <v>1</v>
      </c>
      <c r="O315" t="s">
        <v>71</v>
      </c>
      <c r="P315">
        <v>0.04</v>
      </c>
      <c r="Q315" t="s">
        <v>1488</v>
      </c>
      <c r="R315">
        <v>0</v>
      </c>
      <c r="S315">
        <v>0</v>
      </c>
      <c r="T315">
        <v>0</v>
      </c>
      <c r="U315">
        <v>0</v>
      </c>
      <c r="V315">
        <v>0</v>
      </c>
    </row>
    <row r="316" spans="1:22" x14ac:dyDescent="0.25">
      <c r="A316" t="s">
        <v>1620</v>
      </c>
      <c r="B316" t="s">
        <v>103</v>
      </c>
      <c r="C316">
        <v>17</v>
      </c>
      <c r="D316" t="s">
        <v>132</v>
      </c>
      <c r="E316" t="s">
        <v>140</v>
      </c>
      <c r="F316" t="s">
        <v>140</v>
      </c>
      <c r="G316">
        <v>0.18</v>
      </c>
      <c r="H316" t="s">
        <v>79</v>
      </c>
      <c r="I316">
        <v>-2</v>
      </c>
      <c r="J316" t="str">
        <f>HYPERLINK("https://www.eliteprospects.com/player/623146/charlie-lieberman")</f>
        <v>https://www.eliteprospects.com/player/623146/charlie-lieberman</v>
      </c>
      <c r="K316" t="s">
        <v>27</v>
      </c>
      <c r="L316" t="s">
        <v>28</v>
      </c>
      <c r="M316" t="s">
        <v>1296</v>
      </c>
      <c r="N316">
        <v>2</v>
      </c>
      <c r="O316" t="s">
        <v>43</v>
      </c>
      <c r="P316">
        <v>0.03</v>
      </c>
      <c r="Q316" t="s">
        <v>1488</v>
      </c>
      <c r="R316">
        <v>0</v>
      </c>
      <c r="S316">
        <v>0</v>
      </c>
      <c r="T316">
        <v>0</v>
      </c>
      <c r="U316">
        <v>0</v>
      </c>
      <c r="V316">
        <v>0</v>
      </c>
    </row>
    <row r="317" spans="1:22" x14ac:dyDescent="0.25">
      <c r="A317" t="s">
        <v>1621</v>
      </c>
      <c r="B317" t="s">
        <v>150</v>
      </c>
      <c r="C317">
        <v>17</v>
      </c>
      <c r="D317" t="s">
        <v>132</v>
      </c>
      <c r="E317" t="s">
        <v>140</v>
      </c>
      <c r="F317" t="s">
        <v>140</v>
      </c>
      <c r="G317">
        <v>0.18</v>
      </c>
      <c r="H317" t="s">
        <v>79</v>
      </c>
      <c r="I317">
        <v>-2</v>
      </c>
      <c r="J317" t="str">
        <f>HYPERLINK("https://www.eliteprospects.com/player/526476/chris-able")</f>
        <v>https://www.eliteprospects.com/player/526476/chris-able</v>
      </c>
      <c r="K317" t="s">
        <v>27</v>
      </c>
      <c r="L317" t="s">
        <v>28</v>
      </c>
      <c r="M317" t="s">
        <v>1296</v>
      </c>
      <c r="N317">
        <v>2</v>
      </c>
      <c r="O317" t="s">
        <v>43</v>
      </c>
      <c r="P317">
        <v>0.03</v>
      </c>
      <c r="Q317" t="s">
        <v>1488</v>
      </c>
      <c r="R317">
        <v>0</v>
      </c>
      <c r="S317">
        <v>0</v>
      </c>
      <c r="T317">
        <v>0</v>
      </c>
      <c r="U317">
        <v>0</v>
      </c>
      <c r="V317">
        <v>0</v>
      </c>
    </row>
    <row r="318" spans="1:22" x14ac:dyDescent="0.25">
      <c r="A318" t="s">
        <v>1622</v>
      </c>
      <c r="B318" t="s">
        <v>158</v>
      </c>
      <c r="C318">
        <v>17</v>
      </c>
      <c r="D318" t="s">
        <v>132</v>
      </c>
      <c r="E318" t="s">
        <v>140</v>
      </c>
      <c r="F318" t="s">
        <v>140</v>
      </c>
      <c r="G318">
        <v>0.18</v>
      </c>
      <c r="H318" t="s">
        <v>79</v>
      </c>
      <c r="I318">
        <v>2</v>
      </c>
      <c r="J318" t="str">
        <f>HYPERLINK("https://www.eliteprospects.com/player/414965/noah-barlage")</f>
        <v>https://www.eliteprospects.com/player/414965/noah-barlage</v>
      </c>
      <c r="K318" t="s">
        <v>27</v>
      </c>
      <c r="L318" t="s">
        <v>28</v>
      </c>
      <c r="M318" t="s">
        <v>1296</v>
      </c>
      <c r="N318">
        <v>2</v>
      </c>
      <c r="O318" t="s">
        <v>43</v>
      </c>
      <c r="P318">
        <v>0.03</v>
      </c>
      <c r="Q318" t="s">
        <v>1488</v>
      </c>
      <c r="R318">
        <v>0</v>
      </c>
      <c r="S318">
        <v>0</v>
      </c>
      <c r="T318">
        <v>0</v>
      </c>
      <c r="U318">
        <v>0</v>
      </c>
      <c r="V318">
        <v>0</v>
      </c>
    </row>
    <row r="319" spans="1:22" x14ac:dyDescent="0.25">
      <c r="A319" t="s">
        <v>1623</v>
      </c>
      <c r="B319" t="s">
        <v>86</v>
      </c>
      <c r="C319">
        <v>17</v>
      </c>
      <c r="D319" t="s">
        <v>132</v>
      </c>
      <c r="E319" t="s">
        <v>140</v>
      </c>
      <c r="F319" t="s">
        <v>140</v>
      </c>
      <c r="G319">
        <v>0.18</v>
      </c>
      <c r="H319" t="s">
        <v>66</v>
      </c>
      <c r="I319">
        <v>5</v>
      </c>
      <c r="J319" t="str">
        <f>HYPERLINK("https://www.eliteprospects.com/player/201772/travis-shoudy")</f>
        <v>https://www.eliteprospects.com/player/201772/travis-shoudy</v>
      </c>
      <c r="K319" t="s">
        <v>27</v>
      </c>
      <c r="L319" t="s">
        <v>28</v>
      </c>
      <c r="M319" t="s">
        <v>1296</v>
      </c>
      <c r="N319">
        <v>4</v>
      </c>
      <c r="O319" t="s">
        <v>30</v>
      </c>
      <c r="P319">
        <v>0.03</v>
      </c>
      <c r="Q319" t="s">
        <v>1488</v>
      </c>
      <c r="R319">
        <v>0</v>
      </c>
      <c r="S319">
        <v>0</v>
      </c>
      <c r="T319">
        <v>0</v>
      </c>
      <c r="U319">
        <v>0</v>
      </c>
      <c r="V319">
        <v>0</v>
      </c>
    </row>
    <row r="320" spans="1:22" x14ac:dyDescent="0.25">
      <c r="A320" t="s">
        <v>1624</v>
      </c>
      <c r="B320" t="s">
        <v>150</v>
      </c>
      <c r="C320">
        <v>17</v>
      </c>
      <c r="D320" t="s">
        <v>132</v>
      </c>
      <c r="E320" t="s">
        <v>140</v>
      </c>
      <c r="F320" t="s">
        <v>140</v>
      </c>
      <c r="G320">
        <v>0.18</v>
      </c>
      <c r="H320" t="s">
        <v>66</v>
      </c>
      <c r="I320">
        <v>-5</v>
      </c>
      <c r="J320" t="str">
        <f>HYPERLINK("https://www.eliteprospects.com/player/538374/ethan-straky")</f>
        <v>https://www.eliteprospects.com/player/538374/ethan-straky</v>
      </c>
      <c r="K320" t="s">
        <v>27</v>
      </c>
      <c r="L320" t="s">
        <v>28</v>
      </c>
      <c r="M320" t="s">
        <v>1296</v>
      </c>
      <c r="N320">
        <v>4</v>
      </c>
      <c r="O320" t="s">
        <v>30</v>
      </c>
      <c r="P320">
        <v>0.03</v>
      </c>
      <c r="Q320" t="s">
        <v>1488</v>
      </c>
      <c r="R320">
        <v>0</v>
      </c>
      <c r="S320">
        <v>0</v>
      </c>
      <c r="T320">
        <v>0</v>
      </c>
      <c r="U320">
        <v>0</v>
      </c>
      <c r="V320">
        <v>0</v>
      </c>
    </row>
    <row r="321" spans="1:22" x14ac:dyDescent="0.25">
      <c r="A321" t="s">
        <v>1625</v>
      </c>
      <c r="B321" t="s">
        <v>189</v>
      </c>
      <c r="C321">
        <v>17</v>
      </c>
      <c r="D321" t="s">
        <v>132</v>
      </c>
      <c r="E321" t="s">
        <v>140</v>
      </c>
      <c r="F321" t="s">
        <v>140</v>
      </c>
      <c r="G321">
        <v>0.18</v>
      </c>
      <c r="H321" t="s">
        <v>57</v>
      </c>
      <c r="I321">
        <v>-6</v>
      </c>
      <c r="J321" t="str">
        <f>HYPERLINK("https://www.eliteprospects.com/player/336953/nic-belpedio")</f>
        <v>https://www.eliteprospects.com/player/336953/nic-belpedio</v>
      </c>
      <c r="K321" t="s">
        <v>27</v>
      </c>
      <c r="L321" t="s">
        <v>28</v>
      </c>
      <c r="M321" t="s">
        <v>1296</v>
      </c>
      <c r="N321">
        <v>5</v>
      </c>
      <c r="O321" t="s">
        <v>67</v>
      </c>
      <c r="P321">
        <v>0.03</v>
      </c>
      <c r="Q321" t="s">
        <v>1488</v>
      </c>
      <c r="R321">
        <v>0</v>
      </c>
      <c r="S321">
        <v>0</v>
      </c>
      <c r="T321">
        <v>0</v>
      </c>
      <c r="U321">
        <v>0</v>
      </c>
      <c r="V321">
        <v>0</v>
      </c>
    </row>
    <row r="322" spans="1:22" x14ac:dyDescent="0.25">
      <c r="A322" t="s">
        <v>1626</v>
      </c>
      <c r="B322" t="s">
        <v>163</v>
      </c>
      <c r="C322">
        <v>17</v>
      </c>
      <c r="D322" t="s">
        <v>132</v>
      </c>
      <c r="E322" t="s">
        <v>140</v>
      </c>
      <c r="F322" t="s">
        <v>140</v>
      </c>
      <c r="G322">
        <v>0.18</v>
      </c>
      <c r="H322" t="s">
        <v>32</v>
      </c>
      <c r="I322">
        <v>5</v>
      </c>
      <c r="J322" t="str">
        <f>HYPERLINK("https://www.eliteprospects.com/player/597873/alexander-bales")</f>
        <v>https://www.eliteprospects.com/player/597873/alexander-bales</v>
      </c>
      <c r="K322" t="s">
        <v>27</v>
      </c>
      <c r="L322" t="s">
        <v>28</v>
      </c>
      <c r="M322" t="s">
        <v>1296</v>
      </c>
      <c r="N322">
        <v>2</v>
      </c>
      <c r="O322" t="s">
        <v>43</v>
      </c>
      <c r="P322">
        <v>0.03</v>
      </c>
      <c r="Q322" t="s">
        <v>1488</v>
      </c>
      <c r="R322">
        <v>0</v>
      </c>
      <c r="S322">
        <v>0</v>
      </c>
      <c r="T322">
        <v>0</v>
      </c>
      <c r="U322">
        <v>0</v>
      </c>
      <c r="V322">
        <v>0</v>
      </c>
    </row>
    <row r="323" spans="1:22" x14ac:dyDescent="0.25">
      <c r="A323" t="s">
        <v>1627</v>
      </c>
      <c r="B323" t="s">
        <v>158</v>
      </c>
      <c r="C323">
        <v>17</v>
      </c>
      <c r="D323" t="s">
        <v>132</v>
      </c>
      <c r="E323" t="s">
        <v>140</v>
      </c>
      <c r="F323" t="s">
        <v>140</v>
      </c>
      <c r="G323">
        <v>0.18</v>
      </c>
      <c r="H323" t="s">
        <v>55</v>
      </c>
      <c r="I323">
        <v>-5</v>
      </c>
      <c r="J323" t="str">
        <f>HYPERLINK("https://www.eliteprospects.com/player/485084/adam-cardona")</f>
        <v>https://www.eliteprospects.com/player/485084/adam-cardona</v>
      </c>
      <c r="K323" t="s">
        <v>27</v>
      </c>
      <c r="L323" t="s">
        <v>28</v>
      </c>
      <c r="M323" t="s">
        <v>1296</v>
      </c>
      <c r="N323">
        <v>3</v>
      </c>
      <c r="O323" t="s">
        <v>74</v>
      </c>
      <c r="P323">
        <v>0.03</v>
      </c>
      <c r="Q323" t="s">
        <v>1488</v>
      </c>
      <c r="R323">
        <v>0</v>
      </c>
      <c r="S323">
        <v>0</v>
      </c>
      <c r="T323">
        <v>0</v>
      </c>
      <c r="U323">
        <v>0</v>
      </c>
      <c r="V323">
        <v>0</v>
      </c>
    </row>
    <row r="324" spans="1:22" x14ac:dyDescent="0.25">
      <c r="A324" t="s">
        <v>1628</v>
      </c>
      <c r="B324" t="s">
        <v>101</v>
      </c>
      <c r="C324">
        <v>18</v>
      </c>
      <c r="D324" t="s">
        <v>132</v>
      </c>
      <c r="E324" t="s">
        <v>140</v>
      </c>
      <c r="F324" t="s">
        <v>140</v>
      </c>
      <c r="G324">
        <v>0.17</v>
      </c>
      <c r="H324" t="s">
        <v>66</v>
      </c>
      <c r="I324">
        <v>-1</v>
      </c>
      <c r="J324" t="str">
        <f>HYPERLINK("https://www.eliteprospects.com/player/626727/jack-henry")</f>
        <v>https://www.eliteprospects.com/player/626727/jack-henry</v>
      </c>
      <c r="K324" t="s">
        <v>27</v>
      </c>
      <c r="L324" t="s">
        <v>28</v>
      </c>
      <c r="M324" t="s">
        <v>1296</v>
      </c>
      <c r="N324">
        <v>2</v>
      </c>
      <c r="O324" t="s">
        <v>43</v>
      </c>
      <c r="P324">
        <v>0.03</v>
      </c>
      <c r="Q324" t="s">
        <v>1488</v>
      </c>
      <c r="R324">
        <v>0</v>
      </c>
      <c r="S324">
        <v>0</v>
      </c>
      <c r="T324">
        <v>0</v>
      </c>
      <c r="U324">
        <v>0</v>
      </c>
      <c r="V324">
        <v>0</v>
      </c>
    </row>
    <row r="325" spans="1:22" x14ac:dyDescent="0.25">
      <c r="A325" t="s">
        <v>1629</v>
      </c>
      <c r="B325" t="s">
        <v>312</v>
      </c>
      <c r="C325">
        <v>18</v>
      </c>
      <c r="D325" t="s">
        <v>132</v>
      </c>
      <c r="E325" t="s">
        <v>140</v>
      </c>
      <c r="F325" t="s">
        <v>140</v>
      </c>
      <c r="G325">
        <v>0.17</v>
      </c>
      <c r="H325" t="s">
        <v>32</v>
      </c>
      <c r="I325">
        <v>-13</v>
      </c>
      <c r="J325" t="str">
        <f>HYPERLINK("https://www.eliteprospects.com/player/537564/david-jesus")</f>
        <v>https://www.eliteprospects.com/player/537564/david-jesus</v>
      </c>
      <c r="K325" t="s">
        <v>27</v>
      </c>
      <c r="L325" t="s">
        <v>28</v>
      </c>
      <c r="M325" t="s">
        <v>1296</v>
      </c>
      <c r="N325">
        <v>5</v>
      </c>
      <c r="O325" t="s">
        <v>182</v>
      </c>
      <c r="P325">
        <v>0.03</v>
      </c>
      <c r="Q325" t="s">
        <v>1488</v>
      </c>
      <c r="R325">
        <v>0</v>
      </c>
      <c r="S325">
        <v>0</v>
      </c>
      <c r="T325">
        <v>0</v>
      </c>
      <c r="U325">
        <v>0</v>
      </c>
      <c r="V325">
        <v>0</v>
      </c>
    </row>
    <row r="326" spans="1:22" x14ac:dyDescent="0.25">
      <c r="A326" t="s">
        <v>1630</v>
      </c>
      <c r="B326" t="s">
        <v>174</v>
      </c>
      <c r="C326">
        <v>19</v>
      </c>
      <c r="D326" t="s">
        <v>132</v>
      </c>
      <c r="E326" t="s">
        <v>140</v>
      </c>
      <c r="F326" t="s">
        <v>140</v>
      </c>
      <c r="G326">
        <v>0.16</v>
      </c>
      <c r="H326" t="s">
        <v>79</v>
      </c>
      <c r="I326">
        <v>-6</v>
      </c>
      <c r="J326" t="str">
        <f>HYPERLINK("https://www.eliteprospects.com/player/526057/nicholas-de-angelis")</f>
        <v>https://www.eliteprospects.com/player/526057/nicholas-de-angelis</v>
      </c>
      <c r="K326" t="s">
        <v>27</v>
      </c>
      <c r="L326" t="s">
        <v>28</v>
      </c>
      <c r="M326" t="s">
        <v>1296</v>
      </c>
      <c r="N326">
        <v>5</v>
      </c>
      <c r="O326" t="s">
        <v>147</v>
      </c>
      <c r="P326">
        <v>0.03</v>
      </c>
      <c r="Q326" t="s">
        <v>1488</v>
      </c>
      <c r="R326">
        <v>0</v>
      </c>
      <c r="S326">
        <v>0</v>
      </c>
      <c r="T326">
        <v>0</v>
      </c>
      <c r="U326">
        <v>0</v>
      </c>
      <c r="V326">
        <v>0</v>
      </c>
    </row>
    <row r="327" spans="1:22" x14ac:dyDescent="0.25">
      <c r="A327" t="s">
        <v>1631</v>
      </c>
      <c r="B327" t="s">
        <v>80</v>
      </c>
      <c r="C327">
        <v>19</v>
      </c>
      <c r="D327" t="s">
        <v>132</v>
      </c>
      <c r="E327" t="s">
        <v>140</v>
      </c>
      <c r="F327" t="s">
        <v>140</v>
      </c>
      <c r="G327">
        <v>0.16</v>
      </c>
      <c r="H327" t="s">
        <v>26</v>
      </c>
      <c r="I327">
        <v>-1</v>
      </c>
      <c r="J327" t="str">
        <f>HYPERLINK("https://www.eliteprospects.com/player/512294/casey-aman")</f>
        <v>https://www.eliteprospects.com/player/512294/casey-aman</v>
      </c>
      <c r="K327" t="s">
        <v>27</v>
      </c>
      <c r="L327" t="s">
        <v>28</v>
      </c>
      <c r="M327" t="s">
        <v>1296</v>
      </c>
      <c r="N327">
        <v>3</v>
      </c>
      <c r="O327" t="s">
        <v>74</v>
      </c>
      <c r="P327">
        <v>0.03</v>
      </c>
      <c r="Q327" t="s">
        <v>1488</v>
      </c>
      <c r="R327">
        <v>0</v>
      </c>
      <c r="S327">
        <v>0</v>
      </c>
      <c r="T327">
        <v>0</v>
      </c>
      <c r="U327">
        <v>0</v>
      </c>
      <c r="V327">
        <v>0</v>
      </c>
    </row>
    <row r="328" spans="1:22" x14ac:dyDescent="0.25">
      <c r="A328" t="s">
        <v>1632</v>
      </c>
      <c r="B328" t="s">
        <v>174</v>
      </c>
      <c r="C328">
        <v>19</v>
      </c>
      <c r="D328" t="s">
        <v>132</v>
      </c>
      <c r="E328" t="s">
        <v>140</v>
      </c>
      <c r="F328" t="s">
        <v>140</v>
      </c>
      <c r="G328">
        <v>0.16</v>
      </c>
      <c r="H328" t="s">
        <v>32</v>
      </c>
      <c r="I328">
        <v>1</v>
      </c>
      <c r="J328" t="str">
        <f>HYPERLINK("https://www.eliteprospects.com/player/563118/alex-carr")</f>
        <v>https://www.eliteprospects.com/player/563118/alex-carr</v>
      </c>
      <c r="K328" t="s">
        <v>27</v>
      </c>
      <c r="L328" t="s">
        <v>28</v>
      </c>
      <c r="M328" t="s">
        <v>1296</v>
      </c>
      <c r="N328">
        <v>6</v>
      </c>
      <c r="O328" t="s">
        <v>99</v>
      </c>
      <c r="P328">
        <v>0.03</v>
      </c>
      <c r="Q328" t="s">
        <v>1488</v>
      </c>
      <c r="R328">
        <v>0</v>
      </c>
      <c r="S328">
        <v>0</v>
      </c>
      <c r="T328">
        <v>0</v>
      </c>
      <c r="U328">
        <v>0</v>
      </c>
      <c r="V328">
        <v>0</v>
      </c>
    </row>
    <row r="329" spans="1:22" x14ac:dyDescent="0.25">
      <c r="A329" t="s">
        <v>1633</v>
      </c>
      <c r="B329" t="s">
        <v>86</v>
      </c>
      <c r="C329">
        <v>20</v>
      </c>
      <c r="D329" t="s">
        <v>132</v>
      </c>
      <c r="E329" t="s">
        <v>140</v>
      </c>
      <c r="F329" t="s">
        <v>140</v>
      </c>
      <c r="G329">
        <v>0.15</v>
      </c>
      <c r="H329" t="s">
        <v>39</v>
      </c>
      <c r="I329">
        <v>8</v>
      </c>
      <c r="J329" t="str">
        <f>HYPERLINK("https://www.eliteprospects.com/player/815013/sean-barnhill")</f>
        <v>https://www.eliteprospects.com/player/815013/sean-barnhill</v>
      </c>
      <c r="K329" t="s">
        <v>27</v>
      </c>
      <c r="L329" t="s">
        <v>28</v>
      </c>
      <c r="M329" t="s">
        <v>1296</v>
      </c>
      <c r="N329">
        <v>1</v>
      </c>
      <c r="O329" t="s">
        <v>71</v>
      </c>
      <c r="P329">
        <v>0.03</v>
      </c>
      <c r="Q329" t="s">
        <v>1488</v>
      </c>
      <c r="R329">
        <v>0</v>
      </c>
      <c r="S329">
        <v>0</v>
      </c>
      <c r="T329">
        <v>0</v>
      </c>
      <c r="U329">
        <v>0</v>
      </c>
      <c r="V329">
        <v>0</v>
      </c>
    </row>
    <row r="330" spans="1:22" x14ac:dyDescent="0.25">
      <c r="A330" t="s">
        <v>1634</v>
      </c>
      <c r="B330" t="s">
        <v>80</v>
      </c>
      <c r="C330">
        <v>20</v>
      </c>
      <c r="D330" t="s">
        <v>132</v>
      </c>
      <c r="E330" t="s">
        <v>140</v>
      </c>
      <c r="F330" t="s">
        <v>140</v>
      </c>
      <c r="G330">
        <v>0.15</v>
      </c>
      <c r="H330" t="s">
        <v>25</v>
      </c>
      <c r="I330">
        <v>3</v>
      </c>
      <c r="J330" t="str">
        <f>HYPERLINK("https://www.eliteprospects.com/player/661584/nolan-collins")</f>
        <v>https://www.eliteprospects.com/player/661584/nolan-collins</v>
      </c>
      <c r="K330" t="s">
        <v>27</v>
      </c>
      <c r="L330" t="s">
        <v>28</v>
      </c>
      <c r="M330" t="s">
        <v>1296</v>
      </c>
      <c r="N330">
        <v>5</v>
      </c>
      <c r="O330" t="s">
        <v>147</v>
      </c>
      <c r="P330">
        <v>0.03</v>
      </c>
      <c r="Q330" t="s">
        <v>1488</v>
      </c>
      <c r="R330">
        <v>0</v>
      </c>
      <c r="S330">
        <v>0</v>
      </c>
      <c r="T330">
        <v>0</v>
      </c>
      <c r="U330">
        <v>0</v>
      </c>
      <c r="V330">
        <v>0</v>
      </c>
    </row>
    <row r="331" spans="1:22" x14ac:dyDescent="0.25">
      <c r="A331" t="s">
        <v>1635</v>
      </c>
      <c r="B331" t="s">
        <v>119</v>
      </c>
      <c r="C331">
        <v>21</v>
      </c>
      <c r="D331" t="s">
        <v>132</v>
      </c>
      <c r="E331" t="s">
        <v>140</v>
      </c>
      <c r="F331" t="s">
        <v>140</v>
      </c>
      <c r="G331">
        <v>0.14000000000000001</v>
      </c>
      <c r="H331" t="s">
        <v>26</v>
      </c>
      <c r="I331">
        <v>7</v>
      </c>
      <c r="J331" t="str">
        <f>HYPERLINK("https://www.eliteprospects.com/player/785527/jacob-rombach")</f>
        <v>https://www.eliteprospects.com/player/785527/jacob-rombach</v>
      </c>
      <c r="K331" t="s">
        <v>27</v>
      </c>
      <c r="L331" t="s">
        <v>28</v>
      </c>
      <c r="M331" t="s">
        <v>1296</v>
      </c>
      <c r="N331">
        <v>1</v>
      </c>
      <c r="O331" t="s">
        <v>71</v>
      </c>
      <c r="P331">
        <v>0.03</v>
      </c>
      <c r="Q331" t="s">
        <v>1488</v>
      </c>
      <c r="R331">
        <v>0</v>
      </c>
      <c r="S331">
        <v>0</v>
      </c>
      <c r="T331">
        <v>0</v>
      </c>
      <c r="U331">
        <v>0</v>
      </c>
      <c r="V331">
        <v>0</v>
      </c>
    </row>
    <row r="332" spans="1:22" x14ac:dyDescent="0.25">
      <c r="A332" t="s">
        <v>1636</v>
      </c>
      <c r="B332" t="s">
        <v>124</v>
      </c>
      <c r="C332">
        <v>21</v>
      </c>
      <c r="D332" t="s">
        <v>132</v>
      </c>
      <c r="E332" t="s">
        <v>140</v>
      </c>
      <c r="F332" t="s">
        <v>140</v>
      </c>
      <c r="G332">
        <v>0.14000000000000001</v>
      </c>
      <c r="H332" t="s">
        <v>39</v>
      </c>
      <c r="I332">
        <v>-2</v>
      </c>
      <c r="J332" t="str">
        <f>HYPERLINK("https://www.eliteprospects.com/player/617842/shaun-mcewen")</f>
        <v>https://www.eliteprospects.com/player/617842/shaun-mcewen</v>
      </c>
      <c r="K332" t="s">
        <v>27</v>
      </c>
      <c r="L332" t="s">
        <v>28</v>
      </c>
      <c r="M332" t="s">
        <v>1296</v>
      </c>
      <c r="N332">
        <v>1</v>
      </c>
      <c r="O332" t="s">
        <v>71</v>
      </c>
      <c r="P332">
        <v>0.03</v>
      </c>
      <c r="Q332" t="s">
        <v>1488</v>
      </c>
      <c r="R332">
        <v>0</v>
      </c>
      <c r="S332">
        <v>0</v>
      </c>
      <c r="T332">
        <v>0</v>
      </c>
      <c r="U332">
        <v>0</v>
      </c>
      <c r="V332">
        <v>0</v>
      </c>
    </row>
    <row r="333" spans="1:22" x14ac:dyDescent="0.25">
      <c r="A333" t="s">
        <v>1637</v>
      </c>
      <c r="B333" t="s">
        <v>146</v>
      </c>
      <c r="C333">
        <v>22</v>
      </c>
      <c r="D333" t="s">
        <v>132</v>
      </c>
      <c r="E333" t="s">
        <v>140</v>
      </c>
      <c r="F333" t="s">
        <v>140</v>
      </c>
      <c r="G333">
        <v>0.14000000000000001</v>
      </c>
      <c r="H333" t="s">
        <v>26</v>
      </c>
      <c r="I333">
        <v>8</v>
      </c>
      <c r="J333" t="str">
        <f>HYPERLINK("https://www.eliteprospects.com/player/498731/mike-brown")</f>
        <v>https://www.eliteprospects.com/player/498731/mike-brown</v>
      </c>
      <c r="K333" t="s">
        <v>27</v>
      </c>
      <c r="L333" t="s">
        <v>28</v>
      </c>
      <c r="M333" t="s">
        <v>1296</v>
      </c>
      <c r="N333">
        <v>5</v>
      </c>
      <c r="O333" t="s">
        <v>67</v>
      </c>
      <c r="P333">
        <v>0.03</v>
      </c>
      <c r="Q333" t="s">
        <v>1488</v>
      </c>
      <c r="R333">
        <v>0</v>
      </c>
      <c r="S333">
        <v>0</v>
      </c>
      <c r="T333">
        <v>0</v>
      </c>
      <c r="U333">
        <v>0</v>
      </c>
      <c r="V333">
        <v>0</v>
      </c>
    </row>
    <row r="334" spans="1:22" x14ac:dyDescent="0.25">
      <c r="A334" t="s">
        <v>1638</v>
      </c>
      <c r="B334" t="s">
        <v>116</v>
      </c>
      <c r="C334">
        <v>22</v>
      </c>
      <c r="D334" t="s">
        <v>132</v>
      </c>
      <c r="E334" t="s">
        <v>140</v>
      </c>
      <c r="F334" t="s">
        <v>140</v>
      </c>
      <c r="G334">
        <v>0.14000000000000001</v>
      </c>
      <c r="H334" t="s">
        <v>38</v>
      </c>
      <c r="I334">
        <v>-15</v>
      </c>
      <c r="J334" t="str">
        <f>HYPERLINK("https://www.eliteprospects.com/player/639683/luke-santilli")</f>
        <v>https://www.eliteprospects.com/player/639683/luke-santilli</v>
      </c>
      <c r="K334" t="s">
        <v>27</v>
      </c>
      <c r="L334" t="s">
        <v>28</v>
      </c>
      <c r="M334" t="s">
        <v>1296</v>
      </c>
      <c r="N334">
        <v>1</v>
      </c>
      <c r="O334" t="s">
        <v>71</v>
      </c>
      <c r="P334">
        <v>0.03</v>
      </c>
      <c r="Q334" t="s">
        <v>1488</v>
      </c>
      <c r="R334">
        <v>0</v>
      </c>
      <c r="S334">
        <v>0</v>
      </c>
      <c r="T334">
        <v>0</v>
      </c>
      <c r="U334">
        <v>0</v>
      </c>
      <c r="V334">
        <v>0</v>
      </c>
    </row>
    <row r="335" spans="1:22" x14ac:dyDescent="0.25">
      <c r="A335" t="s">
        <v>1639</v>
      </c>
      <c r="B335" t="s">
        <v>189</v>
      </c>
      <c r="C335">
        <v>22</v>
      </c>
      <c r="D335" t="s">
        <v>132</v>
      </c>
      <c r="E335" t="s">
        <v>140</v>
      </c>
      <c r="F335" t="s">
        <v>140</v>
      </c>
      <c r="G335">
        <v>0.14000000000000001</v>
      </c>
      <c r="H335" t="s">
        <v>55</v>
      </c>
      <c r="I335">
        <v>0</v>
      </c>
      <c r="J335" t="str">
        <f>HYPERLINK("https://www.eliteprospects.com/player/553206/logan-heroux")</f>
        <v>https://www.eliteprospects.com/player/553206/logan-heroux</v>
      </c>
      <c r="K335" t="s">
        <v>27</v>
      </c>
      <c r="L335" t="s">
        <v>28</v>
      </c>
      <c r="M335" t="s">
        <v>1296</v>
      </c>
      <c r="N335">
        <v>2</v>
      </c>
      <c r="O335" t="s">
        <v>43</v>
      </c>
      <c r="P335">
        <v>0.03</v>
      </c>
      <c r="Q335" t="s">
        <v>1488</v>
      </c>
      <c r="R335">
        <v>0</v>
      </c>
      <c r="S335">
        <v>0</v>
      </c>
      <c r="T335">
        <v>0</v>
      </c>
      <c r="U335">
        <v>0</v>
      </c>
      <c r="V335">
        <v>0</v>
      </c>
    </row>
    <row r="336" spans="1:22" x14ac:dyDescent="0.25">
      <c r="A336" t="s">
        <v>1640</v>
      </c>
      <c r="B336" t="s">
        <v>64</v>
      </c>
      <c r="C336">
        <v>22</v>
      </c>
      <c r="D336" t="s">
        <v>132</v>
      </c>
      <c r="E336" t="s">
        <v>140</v>
      </c>
      <c r="F336" t="s">
        <v>140</v>
      </c>
      <c r="G336">
        <v>0.14000000000000001</v>
      </c>
      <c r="H336" t="s">
        <v>125</v>
      </c>
      <c r="I336">
        <v>0</v>
      </c>
      <c r="J336" t="str">
        <f>HYPERLINK("https://www.eliteprospects.com/player/417351/cole-miller")</f>
        <v>https://www.eliteprospects.com/player/417351/cole-miller</v>
      </c>
      <c r="K336" t="s">
        <v>27</v>
      </c>
      <c r="L336" t="s">
        <v>28</v>
      </c>
      <c r="M336" t="s">
        <v>1296</v>
      </c>
      <c r="N336">
        <v>3</v>
      </c>
      <c r="O336" t="s">
        <v>74</v>
      </c>
      <c r="P336">
        <v>0.03</v>
      </c>
      <c r="Q336" t="s">
        <v>1488</v>
      </c>
      <c r="R336">
        <v>0</v>
      </c>
      <c r="S336">
        <v>0</v>
      </c>
      <c r="T336">
        <v>0</v>
      </c>
      <c r="U336">
        <v>0</v>
      </c>
      <c r="V336">
        <v>0</v>
      </c>
    </row>
    <row r="337" spans="1:22" x14ac:dyDescent="0.25">
      <c r="A337" t="s">
        <v>1641</v>
      </c>
      <c r="B337" t="s">
        <v>145</v>
      </c>
      <c r="C337">
        <v>23</v>
      </c>
      <c r="D337" t="s">
        <v>132</v>
      </c>
      <c r="E337" t="s">
        <v>140</v>
      </c>
      <c r="F337" t="s">
        <v>140</v>
      </c>
      <c r="G337">
        <v>0.13</v>
      </c>
      <c r="H337" t="s">
        <v>66</v>
      </c>
      <c r="I337">
        <v>5</v>
      </c>
      <c r="J337" t="str">
        <f>HYPERLINK("https://www.eliteprospects.com/player/535715/cale-ashcroft")</f>
        <v>https://www.eliteprospects.com/player/535715/cale-ashcroft</v>
      </c>
      <c r="K337" t="s">
        <v>27</v>
      </c>
      <c r="L337" t="s">
        <v>28</v>
      </c>
      <c r="M337" t="s">
        <v>1296</v>
      </c>
      <c r="N337">
        <v>3</v>
      </c>
      <c r="O337" t="s">
        <v>74</v>
      </c>
      <c r="P337">
        <v>0.03</v>
      </c>
      <c r="Q337" t="s">
        <v>1488</v>
      </c>
      <c r="R337">
        <v>0</v>
      </c>
      <c r="S337">
        <v>0</v>
      </c>
      <c r="T337">
        <v>0</v>
      </c>
      <c r="U337">
        <v>0</v>
      </c>
      <c r="V337">
        <v>0</v>
      </c>
    </row>
    <row r="338" spans="1:22" x14ac:dyDescent="0.25">
      <c r="A338" t="s">
        <v>1642</v>
      </c>
      <c r="B338" t="s">
        <v>22</v>
      </c>
      <c r="C338">
        <v>24</v>
      </c>
      <c r="D338" t="s">
        <v>132</v>
      </c>
      <c r="E338" t="s">
        <v>140</v>
      </c>
      <c r="F338" t="s">
        <v>140</v>
      </c>
      <c r="G338">
        <v>0.13</v>
      </c>
      <c r="H338" t="s">
        <v>24</v>
      </c>
      <c r="I338">
        <v>-4</v>
      </c>
      <c r="J338" t="str">
        <f>HYPERLINK("https://www.eliteprospects.com/player/794994/richard-baran")</f>
        <v>https://www.eliteprospects.com/player/794994/richard-baran</v>
      </c>
      <c r="K338" t="s">
        <v>27</v>
      </c>
      <c r="L338" t="s">
        <v>28</v>
      </c>
      <c r="M338" t="s">
        <v>1296</v>
      </c>
      <c r="N338">
        <v>1</v>
      </c>
      <c r="O338" t="s">
        <v>71</v>
      </c>
      <c r="P338">
        <v>0.03</v>
      </c>
      <c r="Q338" t="s">
        <v>1488</v>
      </c>
      <c r="R338">
        <v>0</v>
      </c>
      <c r="S338">
        <v>0</v>
      </c>
      <c r="T338">
        <v>0</v>
      </c>
      <c r="U338">
        <v>0</v>
      </c>
      <c r="V338">
        <v>0</v>
      </c>
    </row>
    <row r="339" spans="1:22" x14ac:dyDescent="0.25">
      <c r="A339" t="s">
        <v>1643</v>
      </c>
      <c r="B339" t="s">
        <v>83</v>
      </c>
      <c r="C339">
        <v>14</v>
      </c>
      <c r="D339" t="s">
        <v>79</v>
      </c>
      <c r="E339" t="s">
        <v>132</v>
      </c>
      <c r="F339" t="s">
        <v>79</v>
      </c>
      <c r="G339">
        <v>0.14000000000000001</v>
      </c>
      <c r="H339" t="s">
        <v>132</v>
      </c>
      <c r="I339">
        <v>0</v>
      </c>
      <c r="J339" t="str">
        <f>HYPERLINK("https://www.eliteprospects.com/player/586609/matthew-fusco")</f>
        <v>https://www.eliteprospects.com/player/586609/matthew-fusco</v>
      </c>
      <c r="K339" t="s">
        <v>27</v>
      </c>
      <c r="L339" t="s">
        <v>28</v>
      </c>
      <c r="M339" t="s">
        <v>1296</v>
      </c>
      <c r="N339">
        <v>3</v>
      </c>
      <c r="O339" t="s">
        <v>74</v>
      </c>
      <c r="P339">
        <v>0.03</v>
      </c>
      <c r="Q339" t="s">
        <v>1488</v>
      </c>
      <c r="R339">
        <v>0</v>
      </c>
      <c r="S339">
        <v>0</v>
      </c>
      <c r="T339">
        <v>0</v>
      </c>
      <c r="U339">
        <v>0</v>
      </c>
      <c r="V339">
        <v>0</v>
      </c>
    </row>
    <row r="340" spans="1:22" x14ac:dyDescent="0.25">
      <c r="A340" t="s">
        <v>1644</v>
      </c>
      <c r="B340" t="s">
        <v>312</v>
      </c>
      <c r="C340">
        <v>17</v>
      </c>
      <c r="D340" t="s">
        <v>79</v>
      </c>
      <c r="E340" t="s">
        <v>132</v>
      </c>
      <c r="F340" t="s">
        <v>79</v>
      </c>
      <c r="G340">
        <v>0.12</v>
      </c>
      <c r="H340" t="s">
        <v>57</v>
      </c>
      <c r="I340">
        <v>-11</v>
      </c>
      <c r="J340" t="str">
        <f>HYPERLINK("https://www.eliteprospects.com/player/506461/ethan-warrener")</f>
        <v>https://www.eliteprospects.com/player/506461/ethan-warrener</v>
      </c>
      <c r="K340" t="s">
        <v>27</v>
      </c>
      <c r="L340" t="s">
        <v>28</v>
      </c>
      <c r="M340" t="s">
        <v>1296</v>
      </c>
      <c r="N340">
        <v>2</v>
      </c>
      <c r="O340" t="s">
        <v>43</v>
      </c>
      <c r="P340">
        <v>0.02</v>
      </c>
      <c r="Q340" t="s">
        <v>1488</v>
      </c>
      <c r="R340">
        <v>0</v>
      </c>
      <c r="S340">
        <v>0</v>
      </c>
      <c r="T340">
        <v>0</v>
      </c>
      <c r="U340">
        <v>0</v>
      </c>
      <c r="V340">
        <v>0</v>
      </c>
    </row>
    <row r="341" spans="1:22" x14ac:dyDescent="0.25">
      <c r="A341" t="s">
        <v>1645</v>
      </c>
      <c r="B341" t="s">
        <v>165</v>
      </c>
      <c r="C341">
        <v>17</v>
      </c>
      <c r="D341" t="s">
        <v>79</v>
      </c>
      <c r="E341" t="s">
        <v>132</v>
      </c>
      <c r="F341" t="s">
        <v>79</v>
      </c>
      <c r="G341">
        <v>0.12</v>
      </c>
      <c r="H341" t="s">
        <v>23</v>
      </c>
      <c r="I341">
        <v>-1</v>
      </c>
      <c r="J341" t="str">
        <f>HYPERLINK("https://www.eliteprospects.com/player/481351/antonio-fernandez")</f>
        <v>https://www.eliteprospects.com/player/481351/antonio-fernandez</v>
      </c>
      <c r="K341" t="s">
        <v>27</v>
      </c>
      <c r="L341" t="s">
        <v>28</v>
      </c>
      <c r="M341" t="s">
        <v>1296</v>
      </c>
      <c r="N341">
        <v>3</v>
      </c>
      <c r="O341" t="s">
        <v>74</v>
      </c>
      <c r="P341">
        <v>0.02</v>
      </c>
      <c r="Q341" t="s">
        <v>1488</v>
      </c>
      <c r="R341">
        <v>0</v>
      </c>
      <c r="S341">
        <v>0</v>
      </c>
      <c r="T341">
        <v>0</v>
      </c>
      <c r="U341">
        <v>0</v>
      </c>
      <c r="V341">
        <v>0</v>
      </c>
    </row>
    <row r="342" spans="1:22" x14ac:dyDescent="0.25">
      <c r="A342" t="s">
        <v>1646</v>
      </c>
      <c r="B342" t="s">
        <v>148</v>
      </c>
      <c r="C342">
        <v>23</v>
      </c>
      <c r="D342" t="s">
        <v>79</v>
      </c>
      <c r="E342" t="s">
        <v>132</v>
      </c>
      <c r="F342" t="s">
        <v>79</v>
      </c>
      <c r="G342">
        <v>0.09</v>
      </c>
      <c r="H342" t="s">
        <v>32</v>
      </c>
      <c r="I342">
        <v>-3</v>
      </c>
      <c r="J342" t="str">
        <f>HYPERLINK("https://www.eliteprospects.com/player/628578/samo-meritahti")</f>
        <v>https://www.eliteprospects.com/player/628578/samo-meritahti</v>
      </c>
      <c r="K342" t="s">
        <v>27</v>
      </c>
      <c r="L342" t="s">
        <v>28</v>
      </c>
      <c r="M342" t="s">
        <v>1296</v>
      </c>
      <c r="N342">
        <v>2</v>
      </c>
      <c r="O342" t="s">
        <v>43</v>
      </c>
      <c r="P342">
        <v>0.02</v>
      </c>
      <c r="Q342" t="s">
        <v>1488</v>
      </c>
      <c r="R342">
        <v>0</v>
      </c>
      <c r="S342">
        <v>0</v>
      </c>
      <c r="T342">
        <v>0</v>
      </c>
      <c r="U342">
        <v>0</v>
      </c>
      <c r="V342">
        <v>0</v>
      </c>
    </row>
    <row r="343" spans="1:22" x14ac:dyDescent="0.25">
      <c r="A343" t="s">
        <v>1647</v>
      </c>
      <c r="B343" t="s">
        <v>82</v>
      </c>
      <c r="C343">
        <v>12</v>
      </c>
      <c r="D343" t="s">
        <v>260</v>
      </c>
      <c r="E343" t="s">
        <v>260</v>
      </c>
      <c r="F343" t="s">
        <v>79</v>
      </c>
      <c r="G343">
        <v>0.17</v>
      </c>
      <c r="H343" t="s">
        <v>132</v>
      </c>
      <c r="I343">
        <v>1</v>
      </c>
      <c r="J343" t="str">
        <f>HYPERLINK("https://www.eliteprospects.com/player/428800/patrik-satosaari")</f>
        <v>https://www.eliteprospects.com/player/428800/patrik-satosaari</v>
      </c>
      <c r="K343" t="s">
        <v>27</v>
      </c>
      <c r="L343" t="s">
        <v>28</v>
      </c>
      <c r="M343" t="s">
        <v>1296</v>
      </c>
      <c r="N343">
        <v>4</v>
      </c>
      <c r="O343" t="s">
        <v>30</v>
      </c>
      <c r="P343">
        <v>0.03</v>
      </c>
      <c r="Q343" t="s">
        <v>1488</v>
      </c>
      <c r="R343">
        <v>0</v>
      </c>
      <c r="S343">
        <v>0</v>
      </c>
      <c r="T343">
        <v>0</v>
      </c>
      <c r="U343">
        <v>0</v>
      </c>
      <c r="V343">
        <v>0</v>
      </c>
    </row>
    <row r="344" spans="1:22" x14ac:dyDescent="0.25">
      <c r="A344" t="s">
        <v>1648</v>
      </c>
      <c r="B344" t="s">
        <v>114</v>
      </c>
      <c r="C344">
        <v>12</v>
      </c>
      <c r="D344" t="s">
        <v>260</v>
      </c>
      <c r="E344" t="s">
        <v>260</v>
      </c>
      <c r="F344" t="s">
        <v>79</v>
      </c>
      <c r="G344">
        <v>0.17</v>
      </c>
      <c r="H344" t="s">
        <v>51</v>
      </c>
      <c r="I344">
        <v>-2</v>
      </c>
      <c r="J344" t="str">
        <f>HYPERLINK("https://www.eliteprospects.com/player/565770/brody-mortensen")</f>
        <v>https://www.eliteprospects.com/player/565770/brody-mortensen</v>
      </c>
      <c r="K344" t="s">
        <v>27</v>
      </c>
      <c r="L344" t="s">
        <v>28</v>
      </c>
      <c r="M344" t="s">
        <v>1296</v>
      </c>
      <c r="N344">
        <v>2</v>
      </c>
      <c r="O344" t="s">
        <v>43</v>
      </c>
      <c r="P344">
        <v>0.03</v>
      </c>
      <c r="Q344" t="s">
        <v>1488</v>
      </c>
      <c r="R344">
        <v>0</v>
      </c>
      <c r="S344">
        <v>0</v>
      </c>
      <c r="T344">
        <v>0</v>
      </c>
      <c r="U344">
        <v>0</v>
      </c>
      <c r="V344">
        <v>0</v>
      </c>
    </row>
    <row r="345" spans="1:22" x14ac:dyDescent="0.25">
      <c r="A345" t="s">
        <v>1649</v>
      </c>
      <c r="B345" t="s">
        <v>165</v>
      </c>
      <c r="C345">
        <v>13</v>
      </c>
      <c r="D345" t="s">
        <v>260</v>
      </c>
      <c r="E345" t="s">
        <v>260</v>
      </c>
      <c r="F345" t="s">
        <v>79</v>
      </c>
      <c r="G345">
        <v>0.15</v>
      </c>
      <c r="H345" t="s">
        <v>132</v>
      </c>
      <c r="I345">
        <v>2</v>
      </c>
      <c r="J345" t="str">
        <f>HYPERLINK("https://www.eliteprospects.com/player/290047/bobby-metz")</f>
        <v>https://www.eliteprospects.com/player/290047/bobby-metz</v>
      </c>
      <c r="K345" t="s">
        <v>27</v>
      </c>
      <c r="L345" t="s">
        <v>28</v>
      </c>
      <c r="M345" t="s">
        <v>1296</v>
      </c>
      <c r="N345">
        <v>4</v>
      </c>
      <c r="O345" t="s">
        <v>30</v>
      </c>
      <c r="P345">
        <v>0.03</v>
      </c>
      <c r="Q345" t="s">
        <v>1488</v>
      </c>
      <c r="R345">
        <v>0</v>
      </c>
      <c r="S345">
        <v>0</v>
      </c>
      <c r="T345">
        <v>0</v>
      </c>
      <c r="U345">
        <v>0</v>
      </c>
      <c r="V345">
        <v>0</v>
      </c>
    </row>
    <row r="346" spans="1:22" x14ac:dyDescent="0.25">
      <c r="A346" t="s">
        <v>1650</v>
      </c>
      <c r="B346" t="s">
        <v>146</v>
      </c>
      <c r="C346">
        <v>13</v>
      </c>
      <c r="D346" t="s">
        <v>260</v>
      </c>
      <c r="E346" t="s">
        <v>260</v>
      </c>
      <c r="F346" t="s">
        <v>79</v>
      </c>
      <c r="G346">
        <v>0.15</v>
      </c>
      <c r="H346" t="s">
        <v>79</v>
      </c>
      <c r="I346">
        <v>-2</v>
      </c>
      <c r="J346" t="str">
        <f>HYPERLINK("https://www.eliteprospects.com/player/556515/tyson-galloway")</f>
        <v>https://www.eliteprospects.com/player/556515/tyson-galloway</v>
      </c>
      <c r="K346" t="s">
        <v>27</v>
      </c>
      <c r="L346" t="s">
        <v>28</v>
      </c>
      <c r="M346" t="s">
        <v>1296</v>
      </c>
      <c r="N346">
        <v>6</v>
      </c>
      <c r="O346" t="s">
        <v>193</v>
      </c>
      <c r="P346">
        <v>0.03</v>
      </c>
      <c r="Q346" t="s">
        <v>1488</v>
      </c>
      <c r="R346">
        <v>0</v>
      </c>
      <c r="S346">
        <v>0</v>
      </c>
      <c r="T346">
        <v>0</v>
      </c>
      <c r="U346">
        <v>0</v>
      </c>
      <c r="V346">
        <v>0</v>
      </c>
    </row>
    <row r="347" spans="1:22" x14ac:dyDescent="0.25">
      <c r="A347" t="s">
        <v>1651</v>
      </c>
      <c r="B347" t="s">
        <v>362</v>
      </c>
      <c r="C347">
        <v>13</v>
      </c>
      <c r="D347" t="s">
        <v>260</v>
      </c>
      <c r="E347" t="s">
        <v>260</v>
      </c>
      <c r="F347" t="s">
        <v>79</v>
      </c>
      <c r="G347">
        <v>0.15</v>
      </c>
      <c r="H347" t="s">
        <v>32</v>
      </c>
      <c r="I347">
        <v>-9</v>
      </c>
      <c r="J347" t="str">
        <f>HYPERLINK("https://www.eliteprospects.com/player/570743/francesco-iasenza")</f>
        <v>https://www.eliteprospects.com/player/570743/francesco-iasenza</v>
      </c>
      <c r="K347" t="s">
        <v>27</v>
      </c>
      <c r="L347" t="s">
        <v>28</v>
      </c>
      <c r="M347" t="s">
        <v>1296</v>
      </c>
      <c r="N347">
        <v>6</v>
      </c>
      <c r="O347" t="s">
        <v>99</v>
      </c>
      <c r="P347">
        <v>0.03</v>
      </c>
      <c r="Q347" t="s">
        <v>1488</v>
      </c>
      <c r="R347">
        <v>0</v>
      </c>
      <c r="S347">
        <v>0</v>
      </c>
      <c r="T347">
        <v>0</v>
      </c>
      <c r="U347">
        <v>0</v>
      </c>
      <c r="V347">
        <v>0</v>
      </c>
    </row>
    <row r="348" spans="1:22" x14ac:dyDescent="0.25">
      <c r="A348" t="s">
        <v>1652</v>
      </c>
      <c r="B348" t="s">
        <v>174</v>
      </c>
      <c r="C348">
        <v>14</v>
      </c>
      <c r="D348" t="s">
        <v>260</v>
      </c>
      <c r="E348" t="s">
        <v>260</v>
      </c>
      <c r="F348" t="s">
        <v>79</v>
      </c>
      <c r="G348">
        <v>0.14000000000000001</v>
      </c>
      <c r="H348" t="s">
        <v>79</v>
      </c>
      <c r="I348">
        <v>0</v>
      </c>
      <c r="J348" t="str">
        <f>HYPERLINK("https://www.eliteprospects.com/player/603202/josh-player")</f>
        <v>https://www.eliteprospects.com/player/603202/josh-player</v>
      </c>
      <c r="K348" t="s">
        <v>27</v>
      </c>
      <c r="L348" t="s">
        <v>28</v>
      </c>
      <c r="M348" t="s">
        <v>1296</v>
      </c>
      <c r="N348">
        <v>2</v>
      </c>
      <c r="O348" t="s">
        <v>43</v>
      </c>
      <c r="P348">
        <v>0.03</v>
      </c>
      <c r="Q348" t="s">
        <v>1488</v>
      </c>
      <c r="R348">
        <v>0</v>
      </c>
      <c r="S348">
        <v>0</v>
      </c>
      <c r="T348">
        <v>0</v>
      </c>
      <c r="U348">
        <v>0</v>
      </c>
      <c r="V348">
        <v>0</v>
      </c>
    </row>
    <row r="349" spans="1:22" x14ac:dyDescent="0.25">
      <c r="A349" t="s">
        <v>1653</v>
      </c>
      <c r="B349" t="s">
        <v>114</v>
      </c>
      <c r="C349">
        <v>14</v>
      </c>
      <c r="D349" t="s">
        <v>260</v>
      </c>
      <c r="E349" t="s">
        <v>260</v>
      </c>
      <c r="F349" t="s">
        <v>79</v>
      </c>
      <c r="G349">
        <v>0.14000000000000001</v>
      </c>
      <c r="H349" t="s">
        <v>26</v>
      </c>
      <c r="I349">
        <v>-2</v>
      </c>
      <c r="J349" t="str">
        <f>HYPERLINK("https://www.eliteprospects.com/player/613836/jacob-delaney")</f>
        <v>https://www.eliteprospects.com/player/613836/jacob-delaney</v>
      </c>
      <c r="K349" t="s">
        <v>27</v>
      </c>
      <c r="L349" t="s">
        <v>28</v>
      </c>
      <c r="M349" t="s">
        <v>1296</v>
      </c>
      <c r="N349">
        <v>1</v>
      </c>
      <c r="O349" t="s">
        <v>71</v>
      </c>
      <c r="P349">
        <v>0.03</v>
      </c>
      <c r="Q349" t="s">
        <v>1488</v>
      </c>
      <c r="R349">
        <v>0</v>
      </c>
      <c r="S349">
        <v>0</v>
      </c>
      <c r="T349">
        <v>0</v>
      </c>
      <c r="U349">
        <v>0</v>
      </c>
      <c r="V349">
        <v>0</v>
      </c>
    </row>
    <row r="350" spans="1:22" x14ac:dyDescent="0.25">
      <c r="A350" t="s">
        <v>1654</v>
      </c>
      <c r="B350" t="s">
        <v>222</v>
      </c>
      <c r="C350">
        <v>16</v>
      </c>
      <c r="D350" t="s">
        <v>260</v>
      </c>
      <c r="E350" t="s">
        <v>260</v>
      </c>
      <c r="F350" t="s">
        <v>79</v>
      </c>
      <c r="G350">
        <v>0.13</v>
      </c>
      <c r="H350" t="s">
        <v>39</v>
      </c>
      <c r="I350">
        <v>-6</v>
      </c>
      <c r="J350" t="str">
        <f>HYPERLINK("https://www.eliteprospects.com/player/675843/hudson-miller")</f>
        <v>https://www.eliteprospects.com/player/675843/hudson-miller</v>
      </c>
      <c r="K350" t="s">
        <v>27</v>
      </c>
      <c r="L350" t="s">
        <v>28</v>
      </c>
      <c r="M350" t="s">
        <v>1296</v>
      </c>
      <c r="N350">
        <v>1</v>
      </c>
      <c r="O350" t="s">
        <v>71</v>
      </c>
      <c r="P350">
        <v>0.03</v>
      </c>
      <c r="Q350" t="s">
        <v>1488</v>
      </c>
      <c r="R350">
        <v>0</v>
      </c>
      <c r="S350">
        <v>0</v>
      </c>
      <c r="T350">
        <v>0</v>
      </c>
      <c r="U350">
        <v>0</v>
      </c>
      <c r="V350">
        <v>0</v>
      </c>
    </row>
    <row r="351" spans="1:22" x14ac:dyDescent="0.25">
      <c r="A351" t="s">
        <v>1655</v>
      </c>
      <c r="B351" t="s">
        <v>119</v>
      </c>
      <c r="C351">
        <v>17</v>
      </c>
      <c r="D351" t="s">
        <v>260</v>
      </c>
      <c r="E351" t="s">
        <v>260</v>
      </c>
      <c r="F351" t="s">
        <v>79</v>
      </c>
      <c r="G351">
        <v>0.12</v>
      </c>
      <c r="H351" t="s">
        <v>132</v>
      </c>
      <c r="I351">
        <v>-2</v>
      </c>
      <c r="J351" t="str">
        <f>HYPERLINK("https://www.eliteprospects.com/player/623764/max-rud")</f>
        <v>https://www.eliteprospects.com/player/623764/max-rud</v>
      </c>
      <c r="K351" t="s">
        <v>27</v>
      </c>
      <c r="L351" t="s">
        <v>28</v>
      </c>
      <c r="M351" t="s">
        <v>1296</v>
      </c>
      <c r="N351">
        <v>3</v>
      </c>
      <c r="O351" t="s">
        <v>74</v>
      </c>
      <c r="P351">
        <v>0.02</v>
      </c>
      <c r="Q351" t="s">
        <v>1488</v>
      </c>
      <c r="R351">
        <v>0</v>
      </c>
      <c r="S351">
        <v>0</v>
      </c>
      <c r="T351">
        <v>0</v>
      </c>
      <c r="U351">
        <v>0</v>
      </c>
      <c r="V351">
        <v>0</v>
      </c>
    </row>
    <row r="352" spans="1:22" x14ac:dyDescent="0.25">
      <c r="A352" t="s">
        <v>1656</v>
      </c>
      <c r="B352" t="s">
        <v>128</v>
      </c>
      <c r="C352">
        <v>17</v>
      </c>
      <c r="D352" t="s">
        <v>260</v>
      </c>
      <c r="E352" t="s">
        <v>260</v>
      </c>
      <c r="F352" t="s">
        <v>79</v>
      </c>
      <c r="G352">
        <v>0.12</v>
      </c>
      <c r="H352" t="s">
        <v>84</v>
      </c>
      <c r="I352">
        <v>-2</v>
      </c>
      <c r="J352" t="str">
        <f>HYPERLINK("https://www.eliteprospects.com/player/717246/ivan-korodiuk")</f>
        <v>https://www.eliteprospects.com/player/717246/ivan-korodiuk</v>
      </c>
      <c r="K352" t="s">
        <v>27</v>
      </c>
      <c r="L352" t="s">
        <v>28</v>
      </c>
      <c r="M352" t="s">
        <v>1296</v>
      </c>
      <c r="N352">
        <v>2</v>
      </c>
      <c r="O352" t="s">
        <v>43</v>
      </c>
      <c r="P352">
        <v>0.02</v>
      </c>
      <c r="Q352" t="s">
        <v>1488</v>
      </c>
      <c r="R352">
        <v>0</v>
      </c>
      <c r="S352">
        <v>0</v>
      </c>
      <c r="T352">
        <v>0</v>
      </c>
      <c r="U352">
        <v>0</v>
      </c>
      <c r="V352">
        <v>0</v>
      </c>
    </row>
    <row r="353" spans="1:22" x14ac:dyDescent="0.25">
      <c r="A353" t="s">
        <v>1657</v>
      </c>
      <c r="B353" t="s">
        <v>238</v>
      </c>
      <c r="C353">
        <v>17</v>
      </c>
      <c r="D353" t="s">
        <v>260</v>
      </c>
      <c r="E353" t="s">
        <v>260</v>
      </c>
      <c r="F353" t="s">
        <v>79</v>
      </c>
      <c r="G353">
        <v>0.12</v>
      </c>
      <c r="H353" t="s">
        <v>84</v>
      </c>
      <c r="I353">
        <v>-7</v>
      </c>
      <c r="J353" t="str">
        <f>HYPERLINK("https://www.eliteprospects.com/player/478259/james-goffredo")</f>
        <v>https://www.eliteprospects.com/player/478259/james-goffredo</v>
      </c>
      <c r="K353" t="s">
        <v>27</v>
      </c>
      <c r="L353" t="s">
        <v>28</v>
      </c>
      <c r="M353" t="s">
        <v>1296</v>
      </c>
      <c r="N353">
        <v>3</v>
      </c>
      <c r="O353" t="s">
        <v>74</v>
      </c>
      <c r="P353">
        <v>0.02</v>
      </c>
      <c r="Q353" t="s">
        <v>1488</v>
      </c>
      <c r="R353">
        <v>0</v>
      </c>
      <c r="S353">
        <v>0</v>
      </c>
      <c r="T353">
        <v>0</v>
      </c>
      <c r="U353">
        <v>0</v>
      </c>
      <c r="V353">
        <v>0</v>
      </c>
    </row>
    <row r="354" spans="1:22" x14ac:dyDescent="0.25">
      <c r="A354" t="s">
        <v>1658</v>
      </c>
      <c r="B354" t="s">
        <v>116</v>
      </c>
      <c r="C354">
        <v>18</v>
      </c>
      <c r="D354" t="s">
        <v>260</v>
      </c>
      <c r="E354" t="s">
        <v>260</v>
      </c>
      <c r="F354" t="s">
        <v>79</v>
      </c>
      <c r="G354">
        <v>0.11</v>
      </c>
      <c r="H354" t="s">
        <v>132</v>
      </c>
      <c r="I354">
        <v>-4</v>
      </c>
      <c r="J354" t="str">
        <f>HYPERLINK("https://www.eliteprospects.com/player/478559/jake-lammens")</f>
        <v>https://www.eliteprospects.com/player/478559/jake-lammens</v>
      </c>
      <c r="K354" t="s">
        <v>27</v>
      </c>
      <c r="L354" t="s">
        <v>28</v>
      </c>
      <c r="M354" t="s">
        <v>1296</v>
      </c>
      <c r="N354">
        <v>3</v>
      </c>
      <c r="O354" t="s">
        <v>74</v>
      </c>
      <c r="P354">
        <v>0.02</v>
      </c>
      <c r="Q354" t="s">
        <v>1488</v>
      </c>
      <c r="R354">
        <v>0</v>
      </c>
      <c r="S354">
        <v>0</v>
      </c>
      <c r="T354">
        <v>0</v>
      </c>
      <c r="U354">
        <v>0</v>
      </c>
      <c r="V354">
        <v>0</v>
      </c>
    </row>
    <row r="355" spans="1:22" x14ac:dyDescent="0.25">
      <c r="A355" t="s">
        <v>1659</v>
      </c>
      <c r="B355" t="s">
        <v>189</v>
      </c>
      <c r="C355">
        <v>18</v>
      </c>
      <c r="D355" t="s">
        <v>260</v>
      </c>
      <c r="E355" t="s">
        <v>260</v>
      </c>
      <c r="F355" t="s">
        <v>79</v>
      </c>
      <c r="G355">
        <v>0.11</v>
      </c>
      <c r="H355" t="s">
        <v>23</v>
      </c>
      <c r="I355">
        <v>-10</v>
      </c>
      <c r="J355" t="str">
        <f>HYPERLINK("https://www.eliteprospects.com/player/395047/valtteri-piironen")</f>
        <v>https://www.eliteprospects.com/player/395047/valtteri-piironen</v>
      </c>
      <c r="K355" t="s">
        <v>27</v>
      </c>
      <c r="L355" t="s">
        <v>28</v>
      </c>
      <c r="M355" t="s">
        <v>1296</v>
      </c>
      <c r="N355">
        <v>4</v>
      </c>
      <c r="O355" t="s">
        <v>30</v>
      </c>
      <c r="P355">
        <v>0.02</v>
      </c>
      <c r="Q355" t="s">
        <v>1488</v>
      </c>
      <c r="R355">
        <v>0</v>
      </c>
      <c r="S355">
        <v>0</v>
      </c>
      <c r="T355">
        <v>0</v>
      </c>
      <c r="U355">
        <v>0</v>
      </c>
      <c r="V355">
        <v>0</v>
      </c>
    </row>
    <row r="356" spans="1:22" x14ac:dyDescent="0.25">
      <c r="A356" t="s">
        <v>1660</v>
      </c>
      <c r="B356" t="s">
        <v>224</v>
      </c>
      <c r="C356">
        <v>19</v>
      </c>
      <c r="D356" t="s">
        <v>260</v>
      </c>
      <c r="E356" t="s">
        <v>260</v>
      </c>
      <c r="F356" t="s">
        <v>79</v>
      </c>
      <c r="G356">
        <v>0.11</v>
      </c>
      <c r="H356" t="s">
        <v>26</v>
      </c>
      <c r="I356">
        <v>-4</v>
      </c>
      <c r="J356" t="str">
        <f>HYPERLINK("https://www.eliteprospects.com/player/385677/greg-japchen")</f>
        <v>https://www.eliteprospects.com/player/385677/greg-japchen</v>
      </c>
      <c r="K356" t="s">
        <v>27</v>
      </c>
      <c r="L356" t="s">
        <v>28</v>
      </c>
      <c r="M356" t="s">
        <v>1296</v>
      </c>
      <c r="N356">
        <v>4</v>
      </c>
      <c r="O356" t="s">
        <v>30</v>
      </c>
      <c r="P356">
        <v>0.02</v>
      </c>
      <c r="Q356" t="s">
        <v>1488</v>
      </c>
      <c r="R356">
        <v>0</v>
      </c>
      <c r="S356">
        <v>0</v>
      </c>
      <c r="T356">
        <v>0</v>
      </c>
      <c r="U356">
        <v>0</v>
      </c>
      <c r="V356">
        <v>0</v>
      </c>
    </row>
    <row r="357" spans="1:22" x14ac:dyDescent="0.25">
      <c r="A357" t="s">
        <v>1661</v>
      </c>
      <c r="B357" t="s">
        <v>163</v>
      </c>
      <c r="C357">
        <v>19</v>
      </c>
      <c r="D357" t="s">
        <v>260</v>
      </c>
      <c r="E357" t="s">
        <v>260</v>
      </c>
      <c r="F357" t="s">
        <v>79</v>
      </c>
      <c r="G357">
        <v>0.11</v>
      </c>
      <c r="H357" t="s">
        <v>26</v>
      </c>
      <c r="I357">
        <v>6</v>
      </c>
      <c r="J357" t="str">
        <f>HYPERLINK("https://www.eliteprospects.com/player/626540/donovan-mccoy")</f>
        <v>https://www.eliteprospects.com/player/626540/donovan-mccoy</v>
      </c>
      <c r="K357" t="s">
        <v>27</v>
      </c>
      <c r="L357" t="s">
        <v>28</v>
      </c>
      <c r="M357" t="s">
        <v>1296</v>
      </c>
      <c r="N357">
        <v>7</v>
      </c>
      <c r="O357" t="s">
        <v>159</v>
      </c>
      <c r="P357">
        <v>0.02</v>
      </c>
      <c r="Q357" t="s">
        <v>1488</v>
      </c>
      <c r="R357">
        <v>0</v>
      </c>
      <c r="S357">
        <v>0</v>
      </c>
      <c r="T357">
        <v>0</v>
      </c>
      <c r="U357">
        <v>0</v>
      </c>
      <c r="V357">
        <v>0</v>
      </c>
    </row>
    <row r="358" spans="1:22" x14ac:dyDescent="0.25">
      <c r="A358" t="s">
        <v>1662</v>
      </c>
      <c r="B358" t="s">
        <v>103</v>
      </c>
      <c r="C358">
        <v>20</v>
      </c>
      <c r="D358" t="s">
        <v>260</v>
      </c>
      <c r="E358" t="s">
        <v>260</v>
      </c>
      <c r="F358" t="s">
        <v>79</v>
      </c>
      <c r="G358">
        <v>0.1</v>
      </c>
      <c r="H358" t="s">
        <v>132</v>
      </c>
      <c r="I358">
        <v>-4</v>
      </c>
      <c r="J358" t="str">
        <f>HYPERLINK("https://www.eliteprospects.com/player/822279/landon-nycz")</f>
        <v>https://www.eliteprospects.com/player/822279/landon-nycz</v>
      </c>
      <c r="K358" t="s">
        <v>27</v>
      </c>
      <c r="L358" t="s">
        <v>28</v>
      </c>
      <c r="M358" t="s">
        <v>1296</v>
      </c>
      <c r="N358">
        <v>1</v>
      </c>
      <c r="O358" t="s">
        <v>71</v>
      </c>
      <c r="P358">
        <v>0.02</v>
      </c>
      <c r="Q358" t="s">
        <v>1488</v>
      </c>
      <c r="R358">
        <v>0</v>
      </c>
      <c r="S358">
        <v>0</v>
      </c>
      <c r="T358">
        <v>0</v>
      </c>
      <c r="U358">
        <v>0</v>
      </c>
      <c r="V358">
        <v>0</v>
      </c>
    </row>
    <row r="359" spans="1:22" x14ac:dyDescent="0.25">
      <c r="A359" t="s">
        <v>1663</v>
      </c>
      <c r="B359" t="s">
        <v>119</v>
      </c>
      <c r="C359">
        <v>21</v>
      </c>
      <c r="D359" t="s">
        <v>260</v>
      </c>
      <c r="E359" t="s">
        <v>260</v>
      </c>
      <c r="F359" t="s">
        <v>79</v>
      </c>
      <c r="G359">
        <v>0.1</v>
      </c>
      <c r="H359" t="s">
        <v>26</v>
      </c>
      <c r="I359">
        <v>5</v>
      </c>
      <c r="J359" t="str">
        <f>HYPERLINK("https://www.eliteprospects.com/player/597751/john-whipple")</f>
        <v>https://www.eliteprospects.com/player/597751/john-whipple</v>
      </c>
      <c r="K359" t="s">
        <v>27</v>
      </c>
      <c r="L359" t="s">
        <v>28</v>
      </c>
      <c r="M359" t="s">
        <v>1296</v>
      </c>
      <c r="N359">
        <v>2</v>
      </c>
      <c r="O359" t="s">
        <v>43</v>
      </c>
      <c r="P359">
        <v>0.02</v>
      </c>
      <c r="Q359" t="s">
        <v>1488</v>
      </c>
      <c r="R359">
        <v>0</v>
      </c>
      <c r="S359">
        <v>0</v>
      </c>
      <c r="T359">
        <v>0</v>
      </c>
      <c r="U359">
        <v>0</v>
      </c>
      <c r="V359">
        <v>0</v>
      </c>
    </row>
    <row r="360" spans="1:22" x14ac:dyDescent="0.25">
      <c r="A360" t="s">
        <v>1664</v>
      </c>
      <c r="B360" t="s">
        <v>59</v>
      </c>
      <c r="C360">
        <v>10</v>
      </c>
      <c r="D360" t="s">
        <v>132</v>
      </c>
      <c r="E360" t="s">
        <v>79</v>
      </c>
      <c r="F360" t="s">
        <v>79</v>
      </c>
      <c r="G360">
        <v>0.2</v>
      </c>
      <c r="H360" t="s">
        <v>132</v>
      </c>
      <c r="I360">
        <v>0</v>
      </c>
      <c r="J360" t="str">
        <f>HYPERLINK("https://www.eliteprospects.com/player/649021/luke-coughlin")</f>
        <v>https://www.eliteprospects.com/player/649021/luke-coughlin</v>
      </c>
      <c r="K360" t="s">
        <v>27</v>
      </c>
      <c r="L360" t="s">
        <v>28</v>
      </c>
      <c r="M360" t="s">
        <v>1296</v>
      </c>
      <c r="N360">
        <v>5</v>
      </c>
      <c r="O360" t="s">
        <v>207</v>
      </c>
      <c r="P360">
        <v>0.04</v>
      </c>
      <c r="Q360" t="s">
        <v>1488</v>
      </c>
      <c r="R360">
        <v>0</v>
      </c>
      <c r="S360">
        <v>0</v>
      </c>
      <c r="T360">
        <v>0</v>
      </c>
      <c r="U360">
        <v>0</v>
      </c>
      <c r="V360">
        <v>0</v>
      </c>
    </row>
    <row r="361" spans="1:22" x14ac:dyDescent="0.25">
      <c r="A361" t="s">
        <v>1665</v>
      </c>
      <c r="B361" t="s">
        <v>59</v>
      </c>
      <c r="C361">
        <v>10</v>
      </c>
      <c r="D361" t="s">
        <v>132</v>
      </c>
      <c r="E361" t="s">
        <v>79</v>
      </c>
      <c r="F361" t="s">
        <v>79</v>
      </c>
      <c r="G361">
        <v>0.2</v>
      </c>
      <c r="H361" t="s">
        <v>66</v>
      </c>
      <c r="I361">
        <v>-1</v>
      </c>
      <c r="J361" t="str">
        <f>HYPERLINK("https://www.eliteprospects.com/player/464784/simon-motew")</f>
        <v>https://www.eliteprospects.com/player/464784/simon-motew</v>
      </c>
      <c r="K361" t="s">
        <v>27</v>
      </c>
      <c r="L361" t="s">
        <v>28</v>
      </c>
      <c r="M361" t="s">
        <v>1296</v>
      </c>
      <c r="N361">
        <v>5</v>
      </c>
      <c r="O361" t="s">
        <v>147</v>
      </c>
      <c r="P361">
        <v>0.04</v>
      </c>
      <c r="Q361" t="s">
        <v>1488</v>
      </c>
      <c r="R361">
        <v>0</v>
      </c>
      <c r="S361">
        <v>0</v>
      </c>
      <c r="T361">
        <v>0</v>
      </c>
      <c r="U361">
        <v>0</v>
      </c>
      <c r="V361">
        <v>0</v>
      </c>
    </row>
    <row r="362" spans="1:22" x14ac:dyDescent="0.25">
      <c r="A362" t="s">
        <v>1666</v>
      </c>
      <c r="B362" t="s">
        <v>90</v>
      </c>
      <c r="C362">
        <v>10</v>
      </c>
      <c r="D362" t="s">
        <v>132</v>
      </c>
      <c r="E362" t="s">
        <v>79</v>
      </c>
      <c r="F362" t="s">
        <v>79</v>
      </c>
      <c r="G362">
        <v>0.2</v>
      </c>
      <c r="H362" t="s">
        <v>32</v>
      </c>
      <c r="I362">
        <v>2</v>
      </c>
      <c r="J362" t="str">
        <f>HYPERLINK("https://www.eliteprospects.com/player/651961/noah-van-vliet")</f>
        <v>https://www.eliteprospects.com/player/651961/noah-van-vliet</v>
      </c>
      <c r="K362" t="s">
        <v>27</v>
      </c>
      <c r="L362" t="s">
        <v>28</v>
      </c>
      <c r="M362" t="s">
        <v>1296</v>
      </c>
      <c r="N362">
        <v>5</v>
      </c>
      <c r="O362" t="s">
        <v>147</v>
      </c>
      <c r="P362">
        <v>0.04</v>
      </c>
      <c r="Q362" t="s">
        <v>1488</v>
      </c>
      <c r="R362">
        <v>0</v>
      </c>
      <c r="S362">
        <v>0</v>
      </c>
      <c r="T362">
        <v>0</v>
      </c>
      <c r="U362">
        <v>0</v>
      </c>
      <c r="V362">
        <v>0</v>
      </c>
    </row>
    <row r="363" spans="1:22" x14ac:dyDescent="0.25">
      <c r="A363" t="s">
        <v>1667</v>
      </c>
      <c r="B363" t="s">
        <v>128</v>
      </c>
      <c r="C363">
        <v>11</v>
      </c>
      <c r="D363" t="s">
        <v>132</v>
      </c>
      <c r="E363" t="s">
        <v>79</v>
      </c>
      <c r="F363" t="s">
        <v>79</v>
      </c>
      <c r="G363">
        <v>0.18</v>
      </c>
      <c r="H363" t="s">
        <v>66</v>
      </c>
      <c r="I363">
        <v>0</v>
      </c>
      <c r="J363" t="str">
        <f>HYPERLINK("https://www.eliteprospects.com/player/279769/jack-blake")</f>
        <v>https://www.eliteprospects.com/player/279769/jack-blake</v>
      </c>
      <c r="K363" t="s">
        <v>27</v>
      </c>
      <c r="L363" t="s">
        <v>28</v>
      </c>
      <c r="M363" t="s">
        <v>1296</v>
      </c>
      <c r="N363">
        <v>4</v>
      </c>
      <c r="O363" t="s">
        <v>30</v>
      </c>
      <c r="P363">
        <v>0.03</v>
      </c>
      <c r="Q363" t="s">
        <v>1488</v>
      </c>
      <c r="R363">
        <v>0</v>
      </c>
      <c r="S363">
        <v>0</v>
      </c>
      <c r="T363">
        <v>0</v>
      </c>
      <c r="U363">
        <v>0</v>
      </c>
      <c r="V363">
        <v>0</v>
      </c>
    </row>
    <row r="364" spans="1:22" x14ac:dyDescent="0.25">
      <c r="A364" t="s">
        <v>1668</v>
      </c>
      <c r="B364" t="s">
        <v>134</v>
      </c>
      <c r="C364">
        <v>12</v>
      </c>
      <c r="D364" t="s">
        <v>132</v>
      </c>
      <c r="E364" t="s">
        <v>79</v>
      </c>
      <c r="F364" t="s">
        <v>79</v>
      </c>
      <c r="G364">
        <v>0.17</v>
      </c>
      <c r="H364" t="s">
        <v>132</v>
      </c>
      <c r="I364">
        <v>3</v>
      </c>
      <c r="J364" t="str">
        <f>HYPERLINK("https://www.eliteprospects.com/player/565736/luke-marshall")</f>
        <v>https://www.eliteprospects.com/player/565736/luke-marshall</v>
      </c>
      <c r="K364" t="s">
        <v>27</v>
      </c>
      <c r="L364" t="s">
        <v>28</v>
      </c>
      <c r="M364" t="s">
        <v>1296</v>
      </c>
      <c r="N364">
        <v>2</v>
      </c>
      <c r="O364" t="s">
        <v>43</v>
      </c>
      <c r="P364">
        <v>0.03</v>
      </c>
      <c r="Q364" t="s">
        <v>1488</v>
      </c>
      <c r="R364">
        <v>0</v>
      </c>
      <c r="S364">
        <v>0</v>
      </c>
      <c r="T364">
        <v>0</v>
      </c>
      <c r="U364">
        <v>0</v>
      </c>
      <c r="V364">
        <v>0</v>
      </c>
    </row>
    <row r="365" spans="1:22" x14ac:dyDescent="0.25">
      <c r="A365" t="s">
        <v>1669</v>
      </c>
      <c r="B365" t="s">
        <v>109</v>
      </c>
      <c r="C365">
        <v>12</v>
      </c>
      <c r="D365" t="s">
        <v>132</v>
      </c>
      <c r="E365" t="s">
        <v>79</v>
      </c>
      <c r="F365" t="s">
        <v>79</v>
      </c>
      <c r="G365">
        <v>0.17</v>
      </c>
      <c r="H365" t="s">
        <v>55</v>
      </c>
      <c r="I365">
        <v>4</v>
      </c>
      <c r="J365" t="str">
        <f>HYPERLINK("https://www.eliteprospects.com/player/483485/jayden-jubenvill")</f>
        <v>https://www.eliteprospects.com/player/483485/jayden-jubenvill</v>
      </c>
      <c r="K365" t="s">
        <v>27</v>
      </c>
      <c r="L365" t="s">
        <v>28</v>
      </c>
      <c r="M365" t="s">
        <v>1296</v>
      </c>
      <c r="N365">
        <v>2</v>
      </c>
      <c r="O365" t="s">
        <v>43</v>
      </c>
      <c r="P365">
        <v>0.03</v>
      </c>
      <c r="Q365" t="s">
        <v>1488</v>
      </c>
      <c r="R365">
        <v>0</v>
      </c>
      <c r="S365">
        <v>0</v>
      </c>
      <c r="T365">
        <v>0</v>
      </c>
      <c r="U365">
        <v>0</v>
      </c>
      <c r="V365">
        <v>0</v>
      </c>
    </row>
    <row r="366" spans="1:22" x14ac:dyDescent="0.25">
      <c r="A366" t="s">
        <v>1670</v>
      </c>
      <c r="B366" t="s">
        <v>163</v>
      </c>
      <c r="C366">
        <v>13</v>
      </c>
      <c r="D366" t="s">
        <v>132</v>
      </c>
      <c r="E366" t="s">
        <v>79</v>
      </c>
      <c r="F366" t="s">
        <v>79</v>
      </c>
      <c r="G366">
        <v>0.15</v>
      </c>
      <c r="H366" t="s">
        <v>132</v>
      </c>
      <c r="I366">
        <v>2</v>
      </c>
      <c r="J366" t="str">
        <f>HYPERLINK("https://www.eliteprospects.com/player/657771/martin-masa")</f>
        <v>https://www.eliteprospects.com/player/657771/martin-masa</v>
      </c>
      <c r="K366" t="s">
        <v>27</v>
      </c>
      <c r="L366" t="s">
        <v>28</v>
      </c>
      <c r="M366" t="s">
        <v>1296</v>
      </c>
      <c r="N366">
        <v>1</v>
      </c>
      <c r="O366" t="s">
        <v>71</v>
      </c>
      <c r="P366">
        <v>0.03</v>
      </c>
      <c r="Q366" t="s">
        <v>1488</v>
      </c>
      <c r="R366">
        <v>0</v>
      </c>
      <c r="S366">
        <v>0</v>
      </c>
      <c r="T366">
        <v>0</v>
      </c>
      <c r="U366">
        <v>0</v>
      </c>
      <c r="V366">
        <v>0</v>
      </c>
    </row>
    <row r="367" spans="1:22" x14ac:dyDescent="0.25">
      <c r="A367" t="s">
        <v>1671</v>
      </c>
      <c r="B367" t="s">
        <v>148</v>
      </c>
      <c r="C367">
        <v>13</v>
      </c>
      <c r="D367" t="s">
        <v>132</v>
      </c>
      <c r="E367" t="s">
        <v>79</v>
      </c>
      <c r="F367" t="s">
        <v>79</v>
      </c>
      <c r="G367">
        <v>0.15</v>
      </c>
      <c r="H367" t="s">
        <v>66</v>
      </c>
      <c r="I367">
        <v>2</v>
      </c>
      <c r="J367" t="str">
        <f>HYPERLINK("https://www.eliteprospects.com/player/623769/carter-theissen")</f>
        <v>https://www.eliteprospects.com/player/623769/carter-theissen</v>
      </c>
      <c r="K367" t="s">
        <v>27</v>
      </c>
      <c r="L367" t="s">
        <v>28</v>
      </c>
      <c r="M367" t="s">
        <v>1296</v>
      </c>
      <c r="N367">
        <v>2</v>
      </c>
      <c r="O367" t="s">
        <v>43</v>
      </c>
      <c r="P367">
        <v>0.03</v>
      </c>
      <c r="Q367" t="s">
        <v>1488</v>
      </c>
      <c r="R367">
        <v>0</v>
      </c>
      <c r="S367">
        <v>0</v>
      </c>
      <c r="T367">
        <v>0</v>
      </c>
      <c r="U367">
        <v>0</v>
      </c>
      <c r="V367">
        <v>0</v>
      </c>
    </row>
    <row r="368" spans="1:22" x14ac:dyDescent="0.25">
      <c r="A368" t="s">
        <v>1672</v>
      </c>
      <c r="B368" t="s">
        <v>121</v>
      </c>
      <c r="C368">
        <v>14</v>
      </c>
      <c r="D368" t="s">
        <v>132</v>
      </c>
      <c r="E368" t="s">
        <v>79</v>
      </c>
      <c r="F368" t="s">
        <v>79</v>
      </c>
      <c r="G368">
        <v>0.14000000000000001</v>
      </c>
      <c r="H368" t="s">
        <v>79</v>
      </c>
      <c r="I368">
        <v>-4</v>
      </c>
      <c r="J368" t="str">
        <f>HYPERLINK("https://www.eliteprospects.com/player/467132/blake-matheson")</f>
        <v>https://www.eliteprospects.com/player/467132/blake-matheson</v>
      </c>
      <c r="K368" t="s">
        <v>27</v>
      </c>
      <c r="L368" t="s">
        <v>28</v>
      </c>
      <c r="M368" t="s">
        <v>1296</v>
      </c>
      <c r="N368">
        <v>1</v>
      </c>
      <c r="O368" t="s">
        <v>71</v>
      </c>
      <c r="P368">
        <v>0.03</v>
      </c>
      <c r="Q368" t="s">
        <v>1488</v>
      </c>
      <c r="R368">
        <v>0</v>
      </c>
      <c r="S368">
        <v>0</v>
      </c>
      <c r="T368">
        <v>0</v>
      </c>
      <c r="U368">
        <v>0</v>
      </c>
      <c r="V368">
        <v>0</v>
      </c>
    </row>
    <row r="369" spans="1:22" x14ac:dyDescent="0.25">
      <c r="A369" t="s">
        <v>1673</v>
      </c>
      <c r="B369" t="s">
        <v>362</v>
      </c>
      <c r="C369">
        <v>14</v>
      </c>
      <c r="D369" t="s">
        <v>132</v>
      </c>
      <c r="E369" t="s">
        <v>79</v>
      </c>
      <c r="F369" t="s">
        <v>79</v>
      </c>
      <c r="G369">
        <v>0.14000000000000001</v>
      </c>
      <c r="H369" t="s">
        <v>26</v>
      </c>
      <c r="I369">
        <v>-8</v>
      </c>
      <c r="J369" t="str">
        <f>HYPERLINK("https://www.eliteprospects.com/player/420027/lukas-klemm")</f>
        <v>https://www.eliteprospects.com/player/420027/lukas-klemm</v>
      </c>
      <c r="K369" t="s">
        <v>27</v>
      </c>
      <c r="L369" t="s">
        <v>28</v>
      </c>
      <c r="M369" t="s">
        <v>1296</v>
      </c>
      <c r="N369">
        <v>1</v>
      </c>
      <c r="O369" t="s">
        <v>71</v>
      </c>
      <c r="P369">
        <v>0.03</v>
      </c>
      <c r="Q369" t="s">
        <v>1488</v>
      </c>
      <c r="R369">
        <v>0</v>
      </c>
      <c r="S369">
        <v>0</v>
      </c>
      <c r="T369">
        <v>0</v>
      </c>
      <c r="U369">
        <v>0</v>
      </c>
      <c r="V369">
        <v>0</v>
      </c>
    </row>
    <row r="370" spans="1:22" x14ac:dyDescent="0.25">
      <c r="A370" t="s">
        <v>1674</v>
      </c>
      <c r="B370" t="s">
        <v>150</v>
      </c>
      <c r="C370">
        <v>16</v>
      </c>
      <c r="D370" t="s">
        <v>132</v>
      </c>
      <c r="E370" t="s">
        <v>79</v>
      </c>
      <c r="F370" t="s">
        <v>79</v>
      </c>
      <c r="G370">
        <v>0.13</v>
      </c>
      <c r="H370" t="s">
        <v>57</v>
      </c>
      <c r="I370">
        <v>1</v>
      </c>
      <c r="J370" t="str">
        <f>HYPERLINK("https://www.eliteprospects.com/player/704503/bryce-ingles")</f>
        <v>https://www.eliteprospects.com/player/704503/bryce-ingles</v>
      </c>
      <c r="K370" t="s">
        <v>27</v>
      </c>
      <c r="L370" t="s">
        <v>28</v>
      </c>
      <c r="M370" t="s">
        <v>1296</v>
      </c>
      <c r="N370">
        <v>1</v>
      </c>
      <c r="O370" t="s">
        <v>71</v>
      </c>
      <c r="P370">
        <v>0.03</v>
      </c>
      <c r="Q370" t="s">
        <v>1488</v>
      </c>
      <c r="R370">
        <v>0</v>
      </c>
      <c r="S370">
        <v>0</v>
      </c>
      <c r="T370">
        <v>0</v>
      </c>
      <c r="U370">
        <v>0</v>
      </c>
      <c r="V370">
        <v>0</v>
      </c>
    </row>
    <row r="371" spans="1:22" x14ac:dyDescent="0.25">
      <c r="A371" t="s">
        <v>1675</v>
      </c>
      <c r="B371" t="s">
        <v>288</v>
      </c>
      <c r="C371">
        <v>16</v>
      </c>
      <c r="D371" t="s">
        <v>132</v>
      </c>
      <c r="E371" t="s">
        <v>79</v>
      </c>
      <c r="F371" t="s">
        <v>79</v>
      </c>
      <c r="G371">
        <v>0.13</v>
      </c>
      <c r="H371" t="s">
        <v>57</v>
      </c>
      <c r="I371">
        <v>-4</v>
      </c>
      <c r="J371" t="str">
        <f>HYPERLINK("https://www.eliteprospects.com/player/563125/duncan-ramsay")</f>
        <v>https://www.eliteprospects.com/player/563125/duncan-ramsay</v>
      </c>
      <c r="K371" t="s">
        <v>27</v>
      </c>
      <c r="L371" t="s">
        <v>28</v>
      </c>
      <c r="M371" t="s">
        <v>1296</v>
      </c>
      <c r="N371">
        <v>3</v>
      </c>
      <c r="O371" t="s">
        <v>74</v>
      </c>
      <c r="P371">
        <v>0.03</v>
      </c>
      <c r="Q371" t="s">
        <v>1488</v>
      </c>
      <c r="R371">
        <v>0</v>
      </c>
      <c r="S371">
        <v>0</v>
      </c>
      <c r="T371">
        <v>0</v>
      </c>
      <c r="U371">
        <v>0</v>
      </c>
      <c r="V371">
        <v>0</v>
      </c>
    </row>
    <row r="372" spans="1:22" x14ac:dyDescent="0.25">
      <c r="A372" t="s">
        <v>1676</v>
      </c>
      <c r="B372" t="s">
        <v>85</v>
      </c>
      <c r="C372">
        <v>16</v>
      </c>
      <c r="D372" t="s">
        <v>132</v>
      </c>
      <c r="E372" t="s">
        <v>79</v>
      </c>
      <c r="F372" t="s">
        <v>79</v>
      </c>
      <c r="G372">
        <v>0.13</v>
      </c>
      <c r="H372" t="s">
        <v>60</v>
      </c>
      <c r="I372">
        <v>1</v>
      </c>
      <c r="J372" t="str">
        <f>HYPERLINK("https://www.eliteprospects.com/player/470021/david-ma")</f>
        <v>https://www.eliteprospects.com/player/470021/david-ma</v>
      </c>
      <c r="K372" t="s">
        <v>27</v>
      </c>
      <c r="L372" t="s">
        <v>28</v>
      </c>
      <c r="M372" t="s">
        <v>1296</v>
      </c>
      <c r="N372">
        <v>5</v>
      </c>
      <c r="O372" t="s">
        <v>67</v>
      </c>
      <c r="P372">
        <v>0.03</v>
      </c>
      <c r="Q372" t="s">
        <v>1488</v>
      </c>
      <c r="R372">
        <v>0</v>
      </c>
      <c r="S372">
        <v>0</v>
      </c>
      <c r="T372">
        <v>0</v>
      </c>
      <c r="U372">
        <v>0</v>
      </c>
      <c r="V372">
        <v>0</v>
      </c>
    </row>
    <row r="373" spans="1:22" x14ac:dyDescent="0.25">
      <c r="A373" t="s">
        <v>1677</v>
      </c>
      <c r="B373" t="s">
        <v>80</v>
      </c>
      <c r="C373">
        <v>17</v>
      </c>
      <c r="D373" t="s">
        <v>132</v>
      </c>
      <c r="E373" t="s">
        <v>79</v>
      </c>
      <c r="F373" t="s">
        <v>79</v>
      </c>
      <c r="G373">
        <v>0.12</v>
      </c>
      <c r="H373" t="s">
        <v>55</v>
      </c>
      <c r="I373">
        <v>-2</v>
      </c>
      <c r="J373" t="str">
        <f>HYPERLINK("https://www.eliteprospects.com/player/512291/carter-schade")</f>
        <v>https://www.eliteprospects.com/player/512291/carter-schade</v>
      </c>
      <c r="K373" t="s">
        <v>27</v>
      </c>
      <c r="L373" t="s">
        <v>28</v>
      </c>
      <c r="M373" t="s">
        <v>1296</v>
      </c>
      <c r="N373">
        <v>4</v>
      </c>
      <c r="O373" t="s">
        <v>30</v>
      </c>
      <c r="P373">
        <v>0.02</v>
      </c>
      <c r="Q373" t="s">
        <v>1488</v>
      </c>
      <c r="R373">
        <v>0</v>
      </c>
      <c r="S373">
        <v>0</v>
      </c>
      <c r="T373">
        <v>0</v>
      </c>
      <c r="U373">
        <v>0</v>
      </c>
      <c r="V373">
        <v>0</v>
      </c>
    </row>
    <row r="374" spans="1:22" x14ac:dyDescent="0.25">
      <c r="A374" t="s">
        <v>1678</v>
      </c>
      <c r="B374" t="s">
        <v>158</v>
      </c>
      <c r="C374">
        <v>18</v>
      </c>
      <c r="D374" t="s">
        <v>132</v>
      </c>
      <c r="E374" t="s">
        <v>79</v>
      </c>
      <c r="F374" t="s">
        <v>79</v>
      </c>
      <c r="G374">
        <v>0.11</v>
      </c>
      <c r="H374" t="s">
        <v>57</v>
      </c>
      <c r="I374">
        <v>-11</v>
      </c>
      <c r="J374" t="str">
        <f>HYPERLINK("https://www.eliteprospects.com/player/603673/jackson-anderson")</f>
        <v>https://www.eliteprospects.com/player/603673/jackson-anderson</v>
      </c>
      <c r="K374" t="s">
        <v>27</v>
      </c>
      <c r="L374" t="s">
        <v>28</v>
      </c>
      <c r="M374" t="s">
        <v>1296</v>
      </c>
      <c r="N374">
        <v>1</v>
      </c>
      <c r="O374" t="s">
        <v>71</v>
      </c>
      <c r="P374">
        <v>0.02</v>
      </c>
      <c r="Q374" t="s">
        <v>1488</v>
      </c>
      <c r="R374">
        <v>0</v>
      </c>
      <c r="S374">
        <v>0</v>
      </c>
      <c r="T374">
        <v>0</v>
      </c>
      <c r="U374">
        <v>0</v>
      </c>
      <c r="V374">
        <v>0</v>
      </c>
    </row>
    <row r="375" spans="1:22" x14ac:dyDescent="0.25">
      <c r="A375" t="s">
        <v>1679</v>
      </c>
      <c r="B375" t="s">
        <v>180</v>
      </c>
      <c r="C375">
        <v>20</v>
      </c>
      <c r="D375" t="s">
        <v>132</v>
      </c>
      <c r="E375" t="s">
        <v>79</v>
      </c>
      <c r="F375" t="s">
        <v>79</v>
      </c>
      <c r="G375">
        <v>0.1</v>
      </c>
      <c r="H375" t="s">
        <v>23</v>
      </c>
      <c r="I375">
        <v>-7</v>
      </c>
      <c r="J375" t="str">
        <f>HYPERLINK("https://www.eliteprospects.com/player/580444/jaedon-kerr")</f>
        <v>https://www.eliteprospects.com/player/580444/jaedon-kerr</v>
      </c>
      <c r="K375" t="s">
        <v>27</v>
      </c>
      <c r="L375" t="s">
        <v>28</v>
      </c>
      <c r="M375" t="s">
        <v>1296</v>
      </c>
      <c r="N375">
        <v>2</v>
      </c>
      <c r="O375" t="s">
        <v>43</v>
      </c>
      <c r="P375">
        <v>0.02</v>
      </c>
      <c r="Q375" t="s">
        <v>1488</v>
      </c>
      <c r="R375">
        <v>0</v>
      </c>
      <c r="S375">
        <v>0</v>
      </c>
      <c r="T375">
        <v>0</v>
      </c>
      <c r="U375">
        <v>0</v>
      </c>
      <c r="V375">
        <v>0</v>
      </c>
    </row>
    <row r="376" spans="1:22" x14ac:dyDescent="0.25">
      <c r="A376" t="s">
        <v>1680</v>
      </c>
      <c r="B376" t="s">
        <v>238</v>
      </c>
      <c r="C376">
        <v>20</v>
      </c>
      <c r="D376" t="s">
        <v>132</v>
      </c>
      <c r="E376" t="s">
        <v>79</v>
      </c>
      <c r="F376" t="s">
        <v>79</v>
      </c>
      <c r="G376">
        <v>0.1</v>
      </c>
      <c r="H376" t="s">
        <v>23</v>
      </c>
      <c r="I376">
        <v>-11</v>
      </c>
      <c r="J376" t="str">
        <f>HYPERLINK("https://www.eliteprospects.com/player/632606/gunnar-vandamme")</f>
        <v>https://www.eliteprospects.com/player/632606/gunnar-vandamme</v>
      </c>
      <c r="K376" t="s">
        <v>27</v>
      </c>
      <c r="L376" t="s">
        <v>28</v>
      </c>
      <c r="M376" t="s">
        <v>1296</v>
      </c>
      <c r="N376">
        <v>3</v>
      </c>
      <c r="O376" t="s">
        <v>74</v>
      </c>
      <c r="P376">
        <v>0.02</v>
      </c>
      <c r="Q376" t="s">
        <v>1488</v>
      </c>
      <c r="R376">
        <v>0</v>
      </c>
      <c r="S376">
        <v>0</v>
      </c>
      <c r="T376">
        <v>0</v>
      </c>
      <c r="U376">
        <v>0</v>
      </c>
      <c r="V376">
        <v>0</v>
      </c>
    </row>
    <row r="377" spans="1:22" x14ac:dyDescent="0.25">
      <c r="A377" t="s">
        <v>1681</v>
      </c>
      <c r="B377" t="s">
        <v>121</v>
      </c>
      <c r="C377">
        <v>20</v>
      </c>
      <c r="D377" t="s">
        <v>132</v>
      </c>
      <c r="E377" t="s">
        <v>79</v>
      </c>
      <c r="F377" t="s">
        <v>79</v>
      </c>
      <c r="G377">
        <v>0.1</v>
      </c>
      <c r="H377" t="s">
        <v>61</v>
      </c>
      <c r="I377">
        <v>4</v>
      </c>
      <c r="J377" t="str">
        <f>HYPERLINK("https://www.eliteprospects.com/player/526365/blake-dangos")</f>
        <v>https://www.eliteprospects.com/player/526365/blake-dangos</v>
      </c>
      <c r="K377" t="s">
        <v>27</v>
      </c>
      <c r="L377" t="s">
        <v>28</v>
      </c>
      <c r="M377" t="s">
        <v>1296</v>
      </c>
      <c r="N377">
        <v>4</v>
      </c>
      <c r="O377" t="s">
        <v>30</v>
      </c>
      <c r="P377">
        <v>0.02</v>
      </c>
      <c r="Q377" t="s">
        <v>1488</v>
      </c>
      <c r="R377">
        <v>0</v>
      </c>
      <c r="S377">
        <v>0</v>
      </c>
      <c r="T377">
        <v>0</v>
      </c>
      <c r="U377">
        <v>0</v>
      </c>
      <c r="V377">
        <v>0</v>
      </c>
    </row>
    <row r="378" spans="1:22" x14ac:dyDescent="0.25">
      <c r="A378" t="s">
        <v>1682</v>
      </c>
      <c r="B378" t="s">
        <v>109</v>
      </c>
      <c r="C378">
        <v>20</v>
      </c>
      <c r="D378" t="s">
        <v>132</v>
      </c>
      <c r="E378" t="s">
        <v>79</v>
      </c>
      <c r="F378" t="s">
        <v>79</v>
      </c>
      <c r="G378">
        <v>0.1</v>
      </c>
      <c r="H378" t="s">
        <v>46</v>
      </c>
      <c r="I378">
        <v>9</v>
      </c>
      <c r="J378" t="str">
        <f>HYPERLINK("https://www.eliteprospects.com/player/637628/andrew-strathmann")</f>
        <v>https://www.eliteprospects.com/player/637628/andrew-strathmann</v>
      </c>
      <c r="K378" t="s">
        <v>27</v>
      </c>
      <c r="L378" t="s">
        <v>28</v>
      </c>
      <c r="M378" t="s">
        <v>1296</v>
      </c>
      <c r="N378">
        <v>2</v>
      </c>
      <c r="O378" t="s">
        <v>43</v>
      </c>
      <c r="P378">
        <v>0.02</v>
      </c>
      <c r="Q378" t="s">
        <v>1488</v>
      </c>
      <c r="R378">
        <v>0</v>
      </c>
      <c r="S378">
        <v>0</v>
      </c>
      <c r="T378">
        <v>0</v>
      </c>
      <c r="U378">
        <v>0</v>
      </c>
      <c r="V378">
        <v>0</v>
      </c>
    </row>
    <row r="379" spans="1:22" x14ac:dyDescent="0.25">
      <c r="A379" t="s">
        <v>1683</v>
      </c>
      <c r="B379" t="s">
        <v>37</v>
      </c>
      <c r="C379">
        <v>21</v>
      </c>
      <c r="D379" t="s">
        <v>132</v>
      </c>
      <c r="E379" t="s">
        <v>79</v>
      </c>
      <c r="F379" t="s">
        <v>79</v>
      </c>
      <c r="G379">
        <v>0.1</v>
      </c>
      <c r="H379" t="s">
        <v>269</v>
      </c>
      <c r="I379">
        <v>7</v>
      </c>
      <c r="J379" t="str">
        <f>HYPERLINK("https://www.eliteprospects.com/player/717255/brady-cleveland")</f>
        <v>https://www.eliteprospects.com/player/717255/brady-cleveland</v>
      </c>
      <c r="K379" t="s">
        <v>27</v>
      </c>
      <c r="L379" t="s">
        <v>28</v>
      </c>
      <c r="M379" t="s">
        <v>1296</v>
      </c>
      <c r="N379">
        <v>3</v>
      </c>
      <c r="O379" t="s">
        <v>74</v>
      </c>
      <c r="P379">
        <v>0.02</v>
      </c>
      <c r="Q379" t="s">
        <v>1488</v>
      </c>
      <c r="R379">
        <v>0</v>
      </c>
      <c r="S379">
        <v>0</v>
      </c>
      <c r="T379">
        <v>0</v>
      </c>
      <c r="U379">
        <v>0</v>
      </c>
      <c r="V379">
        <v>0</v>
      </c>
    </row>
    <row r="380" spans="1:22" x14ac:dyDescent="0.25">
      <c r="A380" t="s">
        <v>1684</v>
      </c>
      <c r="B380" t="s">
        <v>124</v>
      </c>
      <c r="C380">
        <v>22</v>
      </c>
      <c r="D380" t="s">
        <v>132</v>
      </c>
      <c r="E380" t="s">
        <v>79</v>
      </c>
      <c r="F380" t="s">
        <v>79</v>
      </c>
      <c r="G380">
        <v>0.09</v>
      </c>
      <c r="H380" t="s">
        <v>66</v>
      </c>
      <c r="I380">
        <v>-3</v>
      </c>
      <c r="J380" t="str">
        <f>HYPERLINK("https://www.eliteprospects.com/player/702975/michael-phelan")</f>
        <v>https://www.eliteprospects.com/player/702975/michael-phelan</v>
      </c>
      <c r="K380" t="s">
        <v>27</v>
      </c>
      <c r="L380" t="s">
        <v>28</v>
      </c>
      <c r="M380" t="s">
        <v>1296</v>
      </c>
      <c r="N380">
        <v>1</v>
      </c>
      <c r="O380" t="s">
        <v>71</v>
      </c>
      <c r="P380">
        <v>0.02</v>
      </c>
      <c r="Q380" t="s">
        <v>1488</v>
      </c>
      <c r="R380">
        <v>0</v>
      </c>
      <c r="S380">
        <v>0</v>
      </c>
      <c r="T380">
        <v>0</v>
      </c>
      <c r="U380">
        <v>0</v>
      </c>
      <c r="V380">
        <v>0</v>
      </c>
    </row>
    <row r="381" spans="1:22" x14ac:dyDescent="0.25">
      <c r="A381" t="s">
        <v>1685</v>
      </c>
      <c r="B381" t="s">
        <v>148</v>
      </c>
      <c r="C381">
        <v>23</v>
      </c>
      <c r="D381" t="s">
        <v>132</v>
      </c>
      <c r="E381" t="s">
        <v>79</v>
      </c>
      <c r="F381" t="s">
        <v>79</v>
      </c>
      <c r="G381">
        <v>0.09</v>
      </c>
      <c r="H381" t="s">
        <v>26</v>
      </c>
      <c r="I381">
        <v>4</v>
      </c>
      <c r="J381" t="str">
        <f>HYPERLINK("https://www.eliteprospects.com/player/603581/maxwell-chakrabarti")</f>
        <v>https://www.eliteprospects.com/player/603581/maxwell-chakrabarti</v>
      </c>
      <c r="K381" t="s">
        <v>27</v>
      </c>
      <c r="L381" t="s">
        <v>28</v>
      </c>
      <c r="M381" t="s">
        <v>1296</v>
      </c>
      <c r="N381">
        <v>1</v>
      </c>
      <c r="O381" t="s">
        <v>71</v>
      </c>
      <c r="P381">
        <v>0.02</v>
      </c>
      <c r="Q381" t="s">
        <v>1488</v>
      </c>
      <c r="R381">
        <v>0</v>
      </c>
      <c r="S381">
        <v>0</v>
      </c>
      <c r="T381">
        <v>0</v>
      </c>
      <c r="U381">
        <v>0</v>
      </c>
      <c r="V381">
        <v>0</v>
      </c>
    </row>
    <row r="382" spans="1:22" x14ac:dyDescent="0.25">
      <c r="A382" t="s">
        <v>1686</v>
      </c>
      <c r="B382" t="s">
        <v>362</v>
      </c>
      <c r="C382">
        <v>11</v>
      </c>
      <c r="D382" t="s">
        <v>260</v>
      </c>
      <c r="E382" t="s">
        <v>132</v>
      </c>
      <c r="F382" t="s">
        <v>260</v>
      </c>
      <c r="G382">
        <v>0.09</v>
      </c>
      <c r="H382" t="s">
        <v>79</v>
      </c>
      <c r="I382">
        <v>0</v>
      </c>
      <c r="J382" t="str">
        <f>HYPERLINK("https://www.eliteprospects.com/player/415040/tyler-nasca")</f>
        <v>https://www.eliteprospects.com/player/415040/tyler-nasca</v>
      </c>
      <c r="K382" t="s">
        <v>27</v>
      </c>
      <c r="L382" t="s">
        <v>28</v>
      </c>
      <c r="M382" t="s">
        <v>1296</v>
      </c>
      <c r="N382">
        <v>4</v>
      </c>
      <c r="O382" t="s">
        <v>30</v>
      </c>
      <c r="P382">
        <v>0.02</v>
      </c>
      <c r="Q382" t="s">
        <v>1488</v>
      </c>
      <c r="R382">
        <v>0</v>
      </c>
      <c r="S382">
        <v>0</v>
      </c>
      <c r="T382">
        <v>0</v>
      </c>
      <c r="U382">
        <v>0</v>
      </c>
      <c r="V382">
        <v>0</v>
      </c>
    </row>
    <row r="383" spans="1:22" x14ac:dyDescent="0.25">
      <c r="A383" t="s">
        <v>1687</v>
      </c>
      <c r="B383" t="s">
        <v>73</v>
      </c>
      <c r="C383">
        <v>11</v>
      </c>
      <c r="D383" t="s">
        <v>260</v>
      </c>
      <c r="E383" t="s">
        <v>132</v>
      </c>
      <c r="F383" t="s">
        <v>260</v>
      </c>
      <c r="G383">
        <v>0.09</v>
      </c>
      <c r="H383" t="s">
        <v>57</v>
      </c>
      <c r="I383">
        <v>-1</v>
      </c>
      <c r="J383" t="str">
        <f>HYPERLINK("https://www.eliteprospects.com/player/693200/joe-belisle")</f>
        <v>https://www.eliteprospects.com/player/693200/joe-belisle</v>
      </c>
      <c r="K383" t="s">
        <v>27</v>
      </c>
      <c r="L383" t="s">
        <v>28</v>
      </c>
      <c r="M383" t="s">
        <v>1296</v>
      </c>
      <c r="N383">
        <v>1</v>
      </c>
      <c r="O383" t="s">
        <v>71</v>
      </c>
      <c r="P383">
        <v>0.02</v>
      </c>
      <c r="Q383" t="s">
        <v>1488</v>
      </c>
      <c r="R383">
        <v>0</v>
      </c>
      <c r="S383">
        <v>0</v>
      </c>
      <c r="T383">
        <v>0</v>
      </c>
      <c r="U383">
        <v>0</v>
      </c>
      <c r="V383">
        <v>0</v>
      </c>
    </row>
    <row r="384" spans="1:22" x14ac:dyDescent="0.25">
      <c r="A384" t="s">
        <v>1688</v>
      </c>
      <c r="B384" t="s">
        <v>50</v>
      </c>
      <c r="C384">
        <v>11</v>
      </c>
      <c r="D384" t="s">
        <v>260</v>
      </c>
      <c r="E384" t="s">
        <v>132</v>
      </c>
      <c r="F384" t="s">
        <v>260</v>
      </c>
      <c r="G384">
        <v>0.09</v>
      </c>
      <c r="H384" t="s">
        <v>55</v>
      </c>
      <c r="I384">
        <v>3</v>
      </c>
      <c r="J384" t="str">
        <f>HYPERLINK("https://www.eliteprospects.com/player/603136/matthew-mania")</f>
        <v>https://www.eliteprospects.com/player/603136/matthew-mania</v>
      </c>
      <c r="K384" t="s">
        <v>27</v>
      </c>
      <c r="L384" t="s">
        <v>28</v>
      </c>
      <c r="M384" t="s">
        <v>1296</v>
      </c>
      <c r="N384">
        <v>5</v>
      </c>
      <c r="O384" t="s">
        <v>147</v>
      </c>
      <c r="P384">
        <v>0.02</v>
      </c>
      <c r="Q384" t="s">
        <v>1488</v>
      </c>
      <c r="R384">
        <v>0</v>
      </c>
      <c r="S384">
        <v>0</v>
      </c>
      <c r="T384">
        <v>0</v>
      </c>
      <c r="U384">
        <v>0</v>
      </c>
      <c r="V384">
        <v>0</v>
      </c>
    </row>
    <row r="385" spans="1:22" x14ac:dyDescent="0.25">
      <c r="A385" t="s">
        <v>1689</v>
      </c>
      <c r="B385" t="s">
        <v>22</v>
      </c>
      <c r="C385">
        <v>13</v>
      </c>
      <c r="D385" t="s">
        <v>260</v>
      </c>
      <c r="E385" t="s">
        <v>132</v>
      </c>
      <c r="F385" t="s">
        <v>260</v>
      </c>
      <c r="G385">
        <v>0.08</v>
      </c>
      <c r="H385" t="s">
        <v>32</v>
      </c>
      <c r="I385">
        <v>-3</v>
      </c>
      <c r="J385" t="str">
        <f>HYPERLINK("https://www.eliteprospects.com/player/645494/tucker-ness")</f>
        <v>https://www.eliteprospects.com/player/645494/tucker-ness</v>
      </c>
      <c r="K385" t="s">
        <v>27</v>
      </c>
      <c r="L385" t="s">
        <v>28</v>
      </c>
      <c r="M385" t="s">
        <v>1296</v>
      </c>
      <c r="N385">
        <v>4</v>
      </c>
      <c r="O385" t="s">
        <v>30</v>
      </c>
      <c r="P385">
        <v>0.02</v>
      </c>
      <c r="Q385" t="s">
        <v>1488</v>
      </c>
      <c r="R385">
        <v>0</v>
      </c>
      <c r="S385">
        <v>0</v>
      </c>
      <c r="T385">
        <v>0</v>
      </c>
      <c r="U385">
        <v>0</v>
      </c>
      <c r="V385">
        <v>0</v>
      </c>
    </row>
    <row r="386" spans="1:22" x14ac:dyDescent="0.25">
      <c r="A386" t="s">
        <v>1690</v>
      </c>
      <c r="B386" t="s">
        <v>82</v>
      </c>
      <c r="C386">
        <v>14</v>
      </c>
      <c r="D386" t="s">
        <v>260</v>
      </c>
      <c r="E386" t="s">
        <v>132</v>
      </c>
      <c r="F386" t="s">
        <v>260</v>
      </c>
      <c r="G386">
        <v>7.0000000000000007E-2</v>
      </c>
      <c r="H386" t="s">
        <v>26</v>
      </c>
      <c r="I386">
        <v>4</v>
      </c>
      <c r="J386" t="str">
        <f>HYPERLINK("https://www.eliteprospects.com/player/572385/benjamin-vigneault")</f>
        <v>https://www.eliteprospects.com/player/572385/benjamin-vigneault</v>
      </c>
      <c r="K386" t="s">
        <v>27</v>
      </c>
      <c r="L386" t="s">
        <v>28</v>
      </c>
      <c r="M386" t="s">
        <v>1296</v>
      </c>
      <c r="N386">
        <v>5</v>
      </c>
      <c r="O386" t="s">
        <v>207</v>
      </c>
      <c r="P386">
        <v>0.01</v>
      </c>
      <c r="Q386" t="s">
        <v>1488</v>
      </c>
      <c r="R386">
        <v>0</v>
      </c>
      <c r="S386">
        <v>0</v>
      </c>
      <c r="T386">
        <v>0</v>
      </c>
      <c r="U386">
        <v>0</v>
      </c>
      <c r="V386">
        <v>0</v>
      </c>
    </row>
    <row r="387" spans="1:22" x14ac:dyDescent="0.25">
      <c r="A387" t="s">
        <v>1691</v>
      </c>
      <c r="B387" t="s">
        <v>90</v>
      </c>
      <c r="C387">
        <v>14</v>
      </c>
      <c r="D387" t="s">
        <v>260</v>
      </c>
      <c r="E387" t="s">
        <v>132</v>
      </c>
      <c r="F387" t="s">
        <v>260</v>
      </c>
      <c r="G387">
        <v>7.0000000000000007E-2</v>
      </c>
      <c r="H387" t="s">
        <v>60</v>
      </c>
      <c r="I387">
        <v>3</v>
      </c>
      <c r="J387" t="str">
        <f>HYPERLINK("https://www.eliteprospects.com/player/511963/liam-lesakowski")</f>
        <v>https://www.eliteprospects.com/player/511963/liam-lesakowski</v>
      </c>
      <c r="K387" t="s">
        <v>27</v>
      </c>
      <c r="L387" t="s">
        <v>28</v>
      </c>
      <c r="M387" t="s">
        <v>1296</v>
      </c>
      <c r="N387">
        <v>3</v>
      </c>
      <c r="O387" t="s">
        <v>74</v>
      </c>
      <c r="P387">
        <v>0.01</v>
      </c>
      <c r="Q387" t="s">
        <v>1488</v>
      </c>
      <c r="R387">
        <v>0</v>
      </c>
      <c r="S387">
        <v>0</v>
      </c>
      <c r="T387">
        <v>0</v>
      </c>
      <c r="U387">
        <v>0</v>
      </c>
      <c r="V387">
        <v>0</v>
      </c>
    </row>
    <row r="388" spans="1:22" x14ac:dyDescent="0.25">
      <c r="A388" t="s">
        <v>1692</v>
      </c>
      <c r="B388" t="s">
        <v>128</v>
      </c>
      <c r="C388">
        <v>15</v>
      </c>
      <c r="D388" t="s">
        <v>260</v>
      </c>
      <c r="E388" t="s">
        <v>132</v>
      </c>
      <c r="F388" t="s">
        <v>260</v>
      </c>
      <c r="G388">
        <v>7.0000000000000007E-2</v>
      </c>
      <c r="H388" t="s">
        <v>132</v>
      </c>
      <c r="I388">
        <v>-3</v>
      </c>
      <c r="J388" t="str">
        <f>HYPERLINK("https://www.eliteprospects.com/player/557689/rihards-simanovics")</f>
        <v>https://www.eliteprospects.com/player/557689/rihards-simanovics</v>
      </c>
      <c r="K388" t="s">
        <v>27</v>
      </c>
      <c r="L388" t="s">
        <v>28</v>
      </c>
      <c r="M388" t="s">
        <v>1296</v>
      </c>
      <c r="N388">
        <v>3</v>
      </c>
      <c r="O388" t="s">
        <v>74</v>
      </c>
      <c r="P388">
        <v>0.01</v>
      </c>
      <c r="Q388" t="s">
        <v>1488</v>
      </c>
      <c r="R388">
        <v>0</v>
      </c>
      <c r="S388">
        <v>0</v>
      </c>
      <c r="T388">
        <v>0</v>
      </c>
      <c r="U388">
        <v>0</v>
      </c>
      <c r="V388">
        <v>0</v>
      </c>
    </row>
    <row r="389" spans="1:22" x14ac:dyDescent="0.25">
      <c r="A389" t="s">
        <v>1693</v>
      </c>
      <c r="B389" t="s">
        <v>234</v>
      </c>
      <c r="C389">
        <v>15</v>
      </c>
      <c r="D389" t="s">
        <v>260</v>
      </c>
      <c r="E389" t="s">
        <v>132</v>
      </c>
      <c r="F389" t="s">
        <v>260</v>
      </c>
      <c r="G389">
        <v>7.0000000000000007E-2</v>
      </c>
      <c r="H389" t="s">
        <v>66</v>
      </c>
      <c r="I389">
        <v>-3</v>
      </c>
      <c r="J389" t="str">
        <f>HYPERLINK("https://www.eliteprospects.com/player/586599/ashton-bynum")</f>
        <v>https://www.eliteprospects.com/player/586599/ashton-bynum</v>
      </c>
      <c r="K389" t="s">
        <v>27</v>
      </c>
      <c r="L389" t="s">
        <v>28</v>
      </c>
      <c r="M389" t="s">
        <v>1296</v>
      </c>
      <c r="N389">
        <v>1</v>
      </c>
      <c r="O389" t="s">
        <v>71</v>
      </c>
      <c r="P389">
        <v>0.01</v>
      </c>
      <c r="Q389" t="s">
        <v>1488</v>
      </c>
      <c r="R389">
        <v>0</v>
      </c>
      <c r="S389">
        <v>0</v>
      </c>
      <c r="T389">
        <v>0</v>
      </c>
      <c r="U389">
        <v>0</v>
      </c>
      <c r="V389">
        <v>0</v>
      </c>
    </row>
    <row r="390" spans="1:22" x14ac:dyDescent="0.25">
      <c r="A390" t="s">
        <v>1694</v>
      </c>
      <c r="B390" t="s">
        <v>119</v>
      </c>
      <c r="C390">
        <v>16</v>
      </c>
      <c r="D390" t="s">
        <v>260</v>
      </c>
      <c r="E390" t="s">
        <v>132</v>
      </c>
      <c r="F390" t="s">
        <v>260</v>
      </c>
      <c r="G390">
        <v>0.06</v>
      </c>
      <c r="H390" t="s">
        <v>132</v>
      </c>
      <c r="I390">
        <v>-1</v>
      </c>
      <c r="J390" t="str">
        <f>HYPERLINK("https://www.eliteprospects.com/player/623740/axel-begley")</f>
        <v>https://www.eliteprospects.com/player/623740/axel-begley</v>
      </c>
      <c r="K390" t="s">
        <v>27</v>
      </c>
      <c r="L390" t="s">
        <v>28</v>
      </c>
      <c r="M390" t="s">
        <v>1296</v>
      </c>
      <c r="N390">
        <v>3</v>
      </c>
      <c r="O390" t="s">
        <v>74</v>
      </c>
      <c r="P390">
        <v>0.01</v>
      </c>
      <c r="Q390" t="s">
        <v>1488</v>
      </c>
      <c r="R390">
        <v>0</v>
      </c>
      <c r="S390">
        <v>0</v>
      </c>
      <c r="T390">
        <v>0</v>
      </c>
      <c r="U390">
        <v>0</v>
      </c>
      <c r="V390">
        <v>0</v>
      </c>
    </row>
    <row r="391" spans="1:22" x14ac:dyDescent="0.25">
      <c r="A391" t="s">
        <v>1695</v>
      </c>
      <c r="B391" t="s">
        <v>205</v>
      </c>
      <c r="C391">
        <v>16</v>
      </c>
      <c r="D391" t="s">
        <v>260</v>
      </c>
      <c r="E391" t="s">
        <v>132</v>
      </c>
      <c r="F391" t="s">
        <v>260</v>
      </c>
      <c r="G391">
        <v>0.06</v>
      </c>
      <c r="H391" t="s">
        <v>57</v>
      </c>
      <c r="I391">
        <v>11</v>
      </c>
      <c r="J391" t="str">
        <f>HYPERLINK("https://www.eliteprospects.com/player/511931/ryan-williams")</f>
        <v>https://www.eliteprospects.com/player/511931/ryan-williams</v>
      </c>
      <c r="K391" t="s">
        <v>27</v>
      </c>
      <c r="L391" t="s">
        <v>28</v>
      </c>
      <c r="M391" t="s">
        <v>1296</v>
      </c>
      <c r="N391">
        <v>2</v>
      </c>
      <c r="O391" t="s">
        <v>43</v>
      </c>
      <c r="P391">
        <v>0.01</v>
      </c>
      <c r="Q391" t="s">
        <v>1488</v>
      </c>
      <c r="R391">
        <v>0</v>
      </c>
      <c r="S391">
        <v>0</v>
      </c>
      <c r="T391">
        <v>0</v>
      </c>
      <c r="U391">
        <v>0</v>
      </c>
      <c r="V391">
        <v>0</v>
      </c>
    </row>
    <row r="392" spans="1:22" x14ac:dyDescent="0.25">
      <c r="A392" t="s">
        <v>1696</v>
      </c>
      <c r="B392" t="s">
        <v>120</v>
      </c>
      <c r="C392">
        <v>18</v>
      </c>
      <c r="D392" t="s">
        <v>260</v>
      </c>
      <c r="E392" t="s">
        <v>132</v>
      </c>
      <c r="F392" t="s">
        <v>260</v>
      </c>
      <c r="G392">
        <v>0.06</v>
      </c>
      <c r="H392" t="s">
        <v>39</v>
      </c>
      <c r="I392">
        <v>0</v>
      </c>
      <c r="J392" t="str">
        <f>HYPERLINK("https://www.eliteprospects.com/player/597634/will-skahan")</f>
        <v>https://www.eliteprospects.com/player/597634/will-skahan</v>
      </c>
      <c r="K392" t="s">
        <v>27</v>
      </c>
      <c r="L392" t="s">
        <v>28</v>
      </c>
      <c r="M392" t="s">
        <v>1296</v>
      </c>
      <c r="N392">
        <v>2</v>
      </c>
      <c r="O392" t="s">
        <v>43</v>
      </c>
      <c r="P392">
        <v>0.01</v>
      </c>
      <c r="Q392" t="s">
        <v>1488</v>
      </c>
      <c r="R392">
        <v>0</v>
      </c>
      <c r="S392">
        <v>0</v>
      </c>
      <c r="T392">
        <v>0</v>
      </c>
      <c r="U392">
        <v>0</v>
      </c>
      <c r="V392">
        <v>0</v>
      </c>
    </row>
    <row r="393" spans="1:22" x14ac:dyDescent="0.25">
      <c r="A393" t="s">
        <v>1697</v>
      </c>
      <c r="B393" t="s">
        <v>113</v>
      </c>
      <c r="C393">
        <v>18</v>
      </c>
      <c r="D393" t="s">
        <v>260</v>
      </c>
      <c r="E393" t="s">
        <v>132</v>
      </c>
      <c r="F393" t="s">
        <v>260</v>
      </c>
      <c r="G393">
        <v>0.06</v>
      </c>
      <c r="H393" t="s">
        <v>33</v>
      </c>
      <c r="I393">
        <v>0</v>
      </c>
      <c r="J393" t="str">
        <f>HYPERLINK("https://www.eliteprospects.com/player/623001/bryce-strand")</f>
        <v>https://www.eliteprospects.com/player/623001/bryce-strand</v>
      </c>
      <c r="K393" t="s">
        <v>27</v>
      </c>
      <c r="L393" t="s">
        <v>28</v>
      </c>
      <c r="M393" t="s">
        <v>1296</v>
      </c>
      <c r="N393">
        <v>1</v>
      </c>
      <c r="O393" t="s">
        <v>71</v>
      </c>
      <c r="P393">
        <v>0.01</v>
      </c>
      <c r="Q393" t="s">
        <v>1488</v>
      </c>
      <c r="R393">
        <v>0</v>
      </c>
      <c r="S393">
        <v>0</v>
      </c>
      <c r="T393">
        <v>0</v>
      </c>
      <c r="U393">
        <v>0</v>
      </c>
      <c r="V393">
        <v>0</v>
      </c>
    </row>
    <row r="394" spans="1:22" x14ac:dyDescent="0.25">
      <c r="A394" t="s">
        <v>1698</v>
      </c>
      <c r="B394" t="s">
        <v>116</v>
      </c>
      <c r="C394">
        <v>19</v>
      </c>
      <c r="D394" t="s">
        <v>260</v>
      </c>
      <c r="E394" t="s">
        <v>132</v>
      </c>
      <c r="F394" t="s">
        <v>260</v>
      </c>
      <c r="G394">
        <v>0.05</v>
      </c>
      <c r="H394" t="s">
        <v>280</v>
      </c>
      <c r="I394">
        <v>-9</v>
      </c>
      <c r="J394" t="str">
        <f>HYPERLINK("https://www.eliteprospects.com/player/472609/isack-bandu")</f>
        <v>https://www.eliteprospects.com/player/472609/isack-bandu</v>
      </c>
      <c r="K394" t="s">
        <v>27</v>
      </c>
      <c r="L394" t="s">
        <v>28</v>
      </c>
      <c r="M394" t="s">
        <v>1296</v>
      </c>
      <c r="N394">
        <v>4</v>
      </c>
      <c r="O394" t="s">
        <v>30</v>
      </c>
      <c r="P394">
        <v>0.01</v>
      </c>
      <c r="Q394" t="s">
        <v>1488</v>
      </c>
      <c r="R394">
        <v>0</v>
      </c>
      <c r="S394">
        <v>0</v>
      </c>
      <c r="T394">
        <v>0</v>
      </c>
      <c r="U394">
        <v>0</v>
      </c>
      <c r="V394">
        <v>0</v>
      </c>
    </row>
    <row r="395" spans="1:22" x14ac:dyDescent="0.25">
      <c r="A395" t="s">
        <v>1699</v>
      </c>
      <c r="B395" t="s">
        <v>145</v>
      </c>
      <c r="C395">
        <v>23</v>
      </c>
      <c r="D395" t="s">
        <v>260</v>
      </c>
      <c r="E395" t="s">
        <v>132</v>
      </c>
      <c r="F395" t="s">
        <v>260</v>
      </c>
      <c r="G395">
        <v>0.04</v>
      </c>
      <c r="H395" t="s">
        <v>57</v>
      </c>
      <c r="I395">
        <v>3</v>
      </c>
      <c r="J395" t="str">
        <f>HYPERLINK("https://www.eliteprospects.com/player/506280/kent-anderson")</f>
        <v>https://www.eliteprospects.com/player/506280/kent-anderson</v>
      </c>
      <c r="K395" t="s">
        <v>27</v>
      </c>
      <c r="L395" t="s">
        <v>28</v>
      </c>
      <c r="M395" t="s">
        <v>1296</v>
      </c>
      <c r="N395">
        <v>4</v>
      </c>
      <c r="O395" t="s">
        <v>30</v>
      </c>
      <c r="P395">
        <v>0.01</v>
      </c>
      <c r="Q395" t="s">
        <v>1488</v>
      </c>
      <c r="R395">
        <v>0</v>
      </c>
      <c r="S395">
        <v>0</v>
      </c>
      <c r="T395">
        <v>0</v>
      </c>
      <c r="U395">
        <v>0</v>
      </c>
      <c r="V395">
        <v>0</v>
      </c>
    </row>
    <row r="396" spans="1:22" x14ac:dyDescent="0.25">
      <c r="A396" t="s">
        <v>1700</v>
      </c>
      <c r="B396" t="s">
        <v>121</v>
      </c>
      <c r="C396">
        <v>10</v>
      </c>
      <c r="D396" t="s">
        <v>132</v>
      </c>
      <c r="E396" t="s">
        <v>260</v>
      </c>
      <c r="F396" t="s">
        <v>260</v>
      </c>
      <c r="G396">
        <v>0.1</v>
      </c>
      <c r="H396" t="s">
        <v>132</v>
      </c>
      <c r="I396">
        <v>-2</v>
      </c>
      <c r="J396" t="str">
        <f>HYPERLINK("https://www.eliteprospects.com/player/714074/jack-darby")</f>
        <v>https://www.eliteprospects.com/player/714074/jack-darby</v>
      </c>
      <c r="K396" t="s">
        <v>27</v>
      </c>
      <c r="L396" t="s">
        <v>28</v>
      </c>
      <c r="M396" t="s">
        <v>1296</v>
      </c>
      <c r="N396">
        <v>1</v>
      </c>
      <c r="O396" t="s">
        <v>71</v>
      </c>
      <c r="P396">
        <v>0.02</v>
      </c>
      <c r="Q396" t="s">
        <v>1488</v>
      </c>
      <c r="R396">
        <v>0</v>
      </c>
      <c r="S396">
        <v>0</v>
      </c>
      <c r="T396">
        <v>0</v>
      </c>
      <c r="U396">
        <v>0</v>
      </c>
      <c r="V396">
        <v>0</v>
      </c>
    </row>
    <row r="397" spans="1:22" x14ac:dyDescent="0.25">
      <c r="A397" t="s">
        <v>1701</v>
      </c>
      <c r="B397" t="s">
        <v>131</v>
      </c>
      <c r="C397">
        <v>11</v>
      </c>
      <c r="D397" t="s">
        <v>132</v>
      </c>
      <c r="E397" t="s">
        <v>260</v>
      </c>
      <c r="F397" t="s">
        <v>260</v>
      </c>
      <c r="G397">
        <v>0.09</v>
      </c>
      <c r="H397" t="s">
        <v>132</v>
      </c>
      <c r="I397">
        <v>2</v>
      </c>
      <c r="J397" t="str">
        <f>HYPERLINK("https://www.eliteprospects.com/player/549062/liam-chapman")</f>
        <v>https://www.eliteprospects.com/player/549062/liam-chapman</v>
      </c>
      <c r="K397" t="s">
        <v>27</v>
      </c>
      <c r="L397" t="s">
        <v>28</v>
      </c>
      <c r="M397" t="s">
        <v>1296</v>
      </c>
      <c r="N397">
        <v>1</v>
      </c>
      <c r="O397" t="s">
        <v>71</v>
      </c>
      <c r="P397">
        <v>0.02</v>
      </c>
      <c r="Q397" t="s">
        <v>1488</v>
      </c>
      <c r="R397">
        <v>0</v>
      </c>
      <c r="S397">
        <v>0</v>
      </c>
      <c r="T397">
        <v>0</v>
      </c>
      <c r="U397">
        <v>0</v>
      </c>
      <c r="V397">
        <v>0</v>
      </c>
    </row>
    <row r="398" spans="1:22" x14ac:dyDescent="0.25">
      <c r="A398" t="s">
        <v>1702</v>
      </c>
      <c r="B398" t="s">
        <v>177</v>
      </c>
      <c r="C398">
        <v>11</v>
      </c>
      <c r="D398" t="s">
        <v>132</v>
      </c>
      <c r="E398" t="s">
        <v>260</v>
      </c>
      <c r="F398" t="s">
        <v>260</v>
      </c>
      <c r="G398">
        <v>0.09</v>
      </c>
      <c r="H398" t="s">
        <v>132</v>
      </c>
      <c r="I398">
        <v>-2</v>
      </c>
      <c r="J398" t="str">
        <f>HYPERLINK("https://www.eliteprospects.com/player/426165/ray-murakami")</f>
        <v>https://www.eliteprospects.com/player/426165/ray-murakami</v>
      </c>
      <c r="K398" t="s">
        <v>27</v>
      </c>
      <c r="L398" t="s">
        <v>28</v>
      </c>
      <c r="M398" t="s">
        <v>1296</v>
      </c>
      <c r="N398">
        <v>2</v>
      </c>
      <c r="O398" t="s">
        <v>43</v>
      </c>
      <c r="P398">
        <v>0.02</v>
      </c>
      <c r="Q398" t="s">
        <v>1488</v>
      </c>
      <c r="R398">
        <v>0</v>
      </c>
      <c r="S398">
        <v>0</v>
      </c>
      <c r="T398">
        <v>0</v>
      </c>
      <c r="U398">
        <v>0</v>
      </c>
      <c r="V398">
        <v>0</v>
      </c>
    </row>
    <row r="399" spans="1:22" x14ac:dyDescent="0.25">
      <c r="A399" t="s">
        <v>1703</v>
      </c>
      <c r="B399" t="s">
        <v>134</v>
      </c>
      <c r="C399">
        <v>11</v>
      </c>
      <c r="D399" t="s">
        <v>132</v>
      </c>
      <c r="E399" t="s">
        <v>260</v>
      </c>
      <c r="F399" t="s">
        <v>260</v>
      </c>
      <c r="G399">
        <v>0.09</v>
      </c>
      <c r="H399" t="s">
        <v>79</v>
      </c>
      <c r="I399">
        <v>0</v>
      </c>
      <c r="J399" t="str">
        <f>HYPERLINK("https://www.eliteprospects.com/player/582767/joseph-messina")</f>
        <v>https://www.eliteprospects.com/player/582767/joseph-messina</v>
      </c>
      <c r="K399" t="s">
        <v>27</v>
      </c>
      <c r="L399" t="s">
        <v>28</v>
      </c>
      <c r="M399" t="s">
        <v>1296</v>
      </c>
      <c r="N399">
        <v>3</v>
      </c>
      <c r="O399" t="s">
        <v>74</v>
      </c>
      <c r="P399">
        <v>0.02</v>
      </c>
      <c r="Q399" t="s">
        <v>1488</v>
      </c>
      <c r="R399">
        <v>0</v>
      </c>
      <c r="S399">
        <v>0</v>
      </c>
      <c r="T399">
        <v>0</v>
      </c>
      <c r="U399">
        <v>0</v>
      </c>
      <c r="V399">
        <v>0</v>
      </c>
    </row>
    <row r="400" spans="1:22" x14ac:dyDescent="0.25">
      <c r="A400" t="s">
        <v>1704</v>
      </c>
      <c r="B400" t="s">
        <v>59</v>
      </c>
      <c r="C400">
        <v>11</v>
      </c>
      <c r="D400" t="s">
        <v>132</v>
      </c>
      <c r="E400" t="s">
        <v>260</v>
      </c>
      <c r="F400" t="s">
        <v>260</v>
      </c>
      <c r="G400">
        <v>0.09</v>
      </c>
      <c r="H400" t="s">
        <v>60</v>
      </c>
      <c r="I400">
        <v>-3</v>
      </c>
      <c r="J400" t="str">
        <f>HYPERLINK("https://www.eliteprospects.com/player/422417/bodie-nobes")</f>
        <v>https://www.eliteprospects.com/player/422417/bodie-nobes</v>
      </c>
      <c r="K400" t="s">
        <v>27</v>
      </c>
      <c r="L400" t="s">
        <v>28</v>
      </c>
      <c r="M400" t="s">
        <v>1296</v>
      </c>
      <c r="N400">
        <v>3</v>
      </c>
      <c r="O400" t="s">
        <v>74</v>
      </c>
      <c r="P400">
        <v>0.02</v>
      </c>
      <c r="Q400" t="s">
        <v>1488</v>
      </c>
      <c r="R400">
        <v>0</v>
      </c>
      <c r="S400">
        <v>0</v>
      </c>
      <c r="T400">
        <v>0</v>
      </c>
      <c r="U400">
        <v>0</v>
      </c>
      <c r="V400">
        <v>0</v>
      </c>
    </row>
    <row r="401" spans="1:22" x14ac:dyDescent="0.25">
      <c r="A401" t="s">
        <v>1705</v>
      </c>
      <c r="B401" t="s">
        <v>224</v>
      </c>
      <c r="C401">
        <v>12</v>
      </c>
      <c r="D401" t="s">
        <v>132</v>
      </c>
      <c r="E401" t="s">
        <v>260</v>
      </c>
      <c r="F401" t="s">
        <v>260</v>
      </c>
      <c r="G401">
        <v>0.08</v>
      </c>
      <c r="H401" t="s">
        <v>57</v>
      </c>
      <c r="I401">
        <v>-6</v>
      </c>
      <c r="J401" t="str">
        <f>HYPERLINK("https://www.eliteprospects.com/player/478357/luke-van-why")</f>
        <v>https://www.eliteprospects.com/player/478357/luke-van-why</v>
      </c>
      <c r="K401" t="s">
        <v>27</v>
      </c>
      <c r="L401" t="s">
        <v>28</v>
      </c>
      <c r="M401" t="s">
        <v>1296</v>
      </c>
      <c r="N401">
        <v>3</v>
      </c>
      <c r="O401" t="s">
        <v>74</v>
      </c>
      <c r="P401">
        <v>0.02</v>
      </c>
      <c r="Q401" t="s">
        <v>1488</v>
      </c>
      <c r="R401">
        <v>0</v>
      </c>
      <c r="S401">
        <v>0</v>
      </c>
      <c r="T401">
        <v>0</v>
      </c>
      <c r="U401">
        <v>0</v>
      </c>
      <c r="V401">
        <v>0</v>
      </c>
    </row>
    <row r="402" spans="1:22" x14ac:dyDescent="0.25">
      <c r="A402" t="s">
        <v>1706</v>
      </c>
      <c r="B402" t="s">
        <v>64</v>
      </c>
      <c r="C402">
        <v>13</v>
      </c>
      <c r="D402" t="s">
        <v>132</v>
      </c>
      <c r="E402" t="s">
        <v>260</v>
      </c>
      <c r="F402" t="s">
        <v>260</v>
      </c>
      <c r="G402">
        <v>0.08</v>
      </c>
      <c r="H402" t="s">
        <v>66</v>
      </c>
      <c r="I402">
        <v>0</v>
      </c>
      <c r="J402" t="str">
        <f>HYPERLINK("https://www.eliteprospects.com/player/636405/colton-jamieson")</f>
        <v>https://www.eliteprospects.com/player/636405/colton-jamieson</v>
      </c>
      <c r="K402" t="s">
        <v>27</v>
      </c>
      <c r="L402" t="s">
        <v>28</v>
      </c>
      <c r="M402" t="s">
        <v>1296</v>
      </c>
      <c r="N402">
        <v>1</v>
      </c>
      <c r="O402" t="s">
        <v>71</v>
      </c>
      <c r="P402">
        <v>0.02</v>
      </c>
      <c r="Q402" t="s">
        <v>1488</v>
      </c>
      <c r="R402">
        <v>0</v>
      </c>
      <c r="S402">
        <v>0</v>
      </c>
      <c r="T402">
        <v>0</v>
      </c>
      <c r="U402">
        <v>0</v>
      </c>
      <c r="V402">
        <v>0</v>
      </c>
    </row>
    <row r="403" spans="1:22" x14ac:dyDescent="0.25">
      <c r="A403" t="s">
        <v>1707</v>
      </c>
      <c r="B403" t="s">
        <v>202</v>
      </c>
      <c r="C403">
        <v>13</v>
      </c>
      <c r="D403" t="s">
        <v>132</v>
      </c>
      <c r="E403" t="s">
        <v>260</v>
      </c>
      <c r="F403" t="s">
        <v>260</v>
      </c>
      <c r="G403">
        <v>0.08</v>
      </c>
      <c r="H403" t="s">
        <v>57</v>
      </c>
      <c r="I403">
        <v>-4</v>
      </c>
      <c r="J403" t="str">
        <f>HYPERLINK("https://www.eliteprospects.com/player/664611/joe-gramer")</f>
        <v>https://www.eliteprospects.com/player/664611/joe-gramer</v>
      </c>
      <c r="K403" t="s">
        <v>27</v>
      </c>
      <c r="L403" t="s">
        <v>28</v>
      </c>
      <c r="M403" t="s">
        <v>1296</v>
      </c>
      <c r="N403">
        <v>3</v>
      </c>
      <c r="O403" t="s">
        <v>1708</v>
      </c>
      <c r="P403">
        <v>0.02</v>
      </c>
      <c r="Q403" t="s">
        <v>1488</v>
      </c>
      <c r="R403">
        <v>0</v>
      </c>
      <c r="S403">
        <v>0</v>
      </c>
      <c r="T403">
        <v>0</v>
      </c>
      <c r="U403">
        <v>0</v>
      </c>
      <c r="V403">
        <v>0</v>
      </c>
    </row>
    <row r="404" spans="1:22" x14ac:dyDescent="0.25">
      <c r="A404" t="s">
        <v>1709</v>
      </c>
      <c r="B404" t="s">
        <v>82</v>
      </c>
      <c r="C404">
        <v>14</v>
      </c>
      <c r="D404" t="s">
        <v>132</v>
      </c>
      <c r="E404" t="s">
        <v>260</v>
      </c>
      <c r="F404" t="s">
        <v>260</v>
      </c>
      <c r="G404">
        <v>7.0000000000000007E-2</v>
      </c>
      <c r="H404" t="s">
        <v>66</v>
      </c>
      <c r="I404">
        <v>-1</v>
      </c>
      <c r="J404" t="str">
        <f>HYPERLINK("https://www.eliteprospects.com/player/529249/isa-parekh")</f>
        <v>https://www.eliteprospects.com/player/529249/isa-parekh</v>
      </c>
      <c r="K404" t="s">
        <v>27</v>
      </c>
      <c r="L404" t="s">
        <v>28</v>
      </c>
      <c r="M404" t="s">
        <v>1296</v>
      </c>
      <c r="N404">
        <v>2</v>
      </c>
      <c r="O404" t="s">
        <v>43</v>
      </c>
      <c r="P404">
        <v>0.01</v>
      </c>
      <c r="Q404" t="s">
        <v>1488</v>
      </c>
      <c r="R404">
        <v>0</v>
      </c>
      <c r="S404">
        <v>0</v>
      </c>
      <c r="T404">
        <v>0</v>
      </c>
      <c r="U404">
        <v>0</v>
      </c>
      <c r="V404">
        <v>0</v>
      </c>
    </row>
    <row r="405" spans="1:22" x14ac:dyDescent="0.25">
      <c r="A405" t="s">
        <v>1710</v>
      </c>
      <c r="B405" t="s">
        <v>238</v>
      </c>
      <c r="C405">
        <v>15</v>
      </c>
      <c r="D405" t="s">
        <v>132</v>
      </c>
      <c r="E405" t="s">
        <v>260</v>
      </c>
      <c r="F405" t="s">
        <v>260</v>
      </c>
      <c r="G405">
        <v>7.0000000000000007E-2</v>
      </c>
      <c r="H405" t="s">
        <v>79</v>
      </c>
      <c r="I405">
        <v>-5</v>
      </c>
      <c r="J405" t="str">
        <f>HYPERLINK("https://www.eliteprospects.com/player/598317/lucas-lemieux")</f>
        <v>https://www.eliteprospects.com/player/598317/lucas-lemieux</v>
      </c>
      <c r="K405" t="s">
        <v>27</v>
      </c>
      <c r="L405" t="s">
        <v>28</v>
      </c>
      <c r="M405" t="s">
        <v>1296</v>
      </c>
      <c r="N405">
        <v>1</v>
      </c>
      <c r="O405" t="s">
        <v>71</v>
      </c>
      <c r="P405">
        <v>0.01</v>
      </c>
      <c r="Q405" t="s">
        <v>1488</v>
      </c>
      <c r="R405">
        <v>0</v>
      </c>
      <c r="S405">
        <v>0</v>
      </c>
      <c r="T405">
        <v>0</v>
      </c>
      <c r="U405">
        <v>0</v>
      </c>
      <c r="V405">
        <v>0</v>
      </c>
    </row>
    <row r="406" spans="1:22" x14ac:dyDescent="0.25">
      <c r="A406" t="s">
        <v>1711</v>
      </c>
      <c r="B406" t="s">
        <v>114</v>
      </c>
      <c r="C406">
        <v>15</v>
      </c>
      <c r="D406" t="s">
        <v>132</v>
      </c>
      <c r="E406" t="s">
        <v>260</v>
      </c>
      <c r="F406" t="s">
        <v>260</v>
      </c>
      <c r="G406">
        <v>7.0000000000000007E-2</v>
      </c>
      <c r="H406" t="s">
        <v>66</v>
      </c>
      <c r="I406">
        <v>-5</v>
      </c>
      <c r="J406" t="str">
        <f>HYPERLINK("https://www.eliteprospects.com/player/623773/brady-yakesh")</f>
        <v>https://www.eliteprospects.com/player/623773/brady-yakesh</v>
      </c>
      <c r="K406" t="s">
        <v>27</v>
      </c>
      <c r="L406" t="s">
        <v>28</v>
      </c>
      <c r="M406" t="s">
        <v>1296</v>
      </c>
      <c r="N406">
        <v>2</v>
      </c>
      <c r="O406" t="s">
        <v>43</v>
      </c>
      <c r="P406">
        <v>0.01</v>
      </c>
      <c r="Q406" t="s">
        <v>1488</v>
      </c>
      <c r="R406">
        <v>0</v>
      </c>
      <c r="S406">
        <v>0</v>
      </c>
      <c r="T406">
        <v>0</v>
      </c>
      <c r="U406">
        <v>0</v>
      </c>
      <c r="V406">
        <v>0</v>
      </c>
    </row>
    <row r="407" spans="1:22" x14ac:dyDescent="0.25">
      <c r="A407" t="s">
        <v>1712</v>
      </c>
      <c r="B407" t="s">
        <v>205</v>
      </c>
      <c r="C407">
        <v>15</v>
      </c>
      <c r="D407" t="s">
        <v>132</v>
      </c>
      <c r="E407" t="s">
        <v>260</v>
      </c>
      <c r="F407" t="s">
        <v>260</v>
      </c>
      <c r="G407">
        <v>7.0000000000000007E-2</v>
      </c>
      <c r="H407" t="s">
        <v>66</v>
      </c>
      <c r="I407">
        <v>-3</v>
      </c>
      <c r="J407" t="str">
        <f>HYPERLINK("https://www.eliteprospects.com/player/648864/brock-reinhart")</f>
        <v>https://www.eliteprospects.com/player/648864/brock-reinhart</v>
      </c>
      <c r="K407" t="s">
        <v>27</v>
      </c>
      <c r="L407" t="s">
        <v>28</v>
      </c>
      <c r="M407" t="s">
        <v>1296</v>
      </c>
      <c r="N407">
        <v>1</v>
      </c>
      <c r="O407" t="s">
        <v>71</v>
      </c>
      <c r="P407">
        <v>0.01</v>
      </c>
      <c r="Q407" t="s">
        <v>1488</v>
      </c>
      <c r="R407">
        <v>0</v>
      </c>
      <c r="S407">
        <v>0</v>
      </c>
      <c r="T407">
        <v>0</v>
      </c>
      <c r="U407">
        <v>0</v>
      </c>
      <c r="V407">
        <v>0</v>
      </c>
    </row>
    <row r="408" spans="1:22" x14ac:dyDescent="0.25">
      <c r="A408" t="s">
        <v>1713</v>
      </c>
      <c r="B408" t="s">
        <v>120</v>
      </c>
      <c r="C408">
        <v>16</v>
      </c>
      <c r="D408" t="s">
        <v>132</v>
      </c>
      <c r="E408" t="s">
        <v>260</v>
      </c>
      <c r="F408" t="s">
        <v>260</v>
      </c>
      <c r="G408">
        <v>0.06</v>
      </c>
      <c r="H408" t="s">
        <v>79</v>
      </c>
      <c r="I408">
        <v>1</v>
      </c>
      <c r="J408" t="str">
        <f>HYPERLINK("https://www.eliteprospects.com/player/644924/kristian-kostadinski")</f>
        <v>https://www.eliteprospects.com/player/644924/kristian-kostadinski</v>
      </c>
      <c r="K408" t="s">
        <v>27</v>
      </c>
      <c r="L408" t="s">
        <v>28</v>
      </c>
      <c r="M408" t="s">
        <v>1296</v>
      </c>
      <c r="N408">
        <v>1</v>
      </c>
      <c r="O408" t="s">
        <v>71</v>
      </c>
      <c r="P408">
        <v>0.01</v>
      </c>
      <c r="Q408" t="s">
        <v>1488</v>
      </c>
      <c r="R408">
        <v>0</v>
      </c>
      <c r="S408">
        <v>0</v>
      </c>
      <c r="T408">
        <v>0</v>
      </c>
      <c r="U408">
        <v>0</v>
      </c>
      <c r="V408">
        <v>0</v>
      </c>
    </row>
    <row r="409" spans="1:22" x14ac:dyDescent="0.25">
      <c r="A409" t="s">
        <v>1714</v>
      </c>
      <c r="B409" t="s">
        <v>161</v>
      </c>
      <c r="C409">
        <v>16</v>
      </c>
      <c r="D409" t="s">
        <v>132</v>
      </c>
      <c r="E409" t="s">
        <v>260</v>
      </c>
      <c r="F409" t="s">
        <v>260</v>
      </c>
      <c r="G409">
        <v>0.06</v>
      </c>
      <c r="H409" t="s">
        <v>79</v>
      </c>
      <c r="I409">
        <v>1</v>
      </c>
      <c r="J409" t="str">
        <f>HYPERLINK("https://www.eliteprospects.com/player/623739/nick-baer")</f>
        <v>https://www.eliteprospects.com/player/623739/nick-baer</v>
      </c>
      <c r="K409" t="s">
        <v>27</v>
      </c>
      <c r="L409" t="s">
        <v>28</v>
      </c>
      <c r="M409" t="s">
        <v>1296</v>
      </c>
      <c r="N409">
        <v>2</v>
      </c>
      <c r="O409" t="s">
        <v>43</v>
      </c>
      <c r="P409">
        <v>0.01</v>
      </c>
      <c r="Q409" t="s">
        <v>1488</v>
      </c>
      <c r="R409">
        <v>0</v>
      </c>
      <c r="S409">
        <v>0</v>
      </c>
      <c r="T409">
        <v>0</v>
      </c>
      <c r="U409">
        <v>0</v>
      </c>
      <c r="V409">
        <v>0</v>
      </c>
    </row>
    <row r="410" spans="1:22" x14ac:dyDescent="0.25">
      <c r="A410" t="s">
        <v>1715</v>
      </c>
      <c r="B410" t="s">
        <v>177</v>
      </c>
      <c r="C410">
        <v>16</v>
      </c>
      <c r="D410" t="s">
        <v>132</v>
      </c>
      <c r="E410" t="s">
        <v>260</v>
      </c>
      <c r="F410" t="s">
        <v>260</v>
      </c>
      <c r="G410">
        <v>0.06</v>
      </c>
      <c r="H410" t="s">
        <v>26</v>
      </c>
      <c r="I410">
        <v>3</v>
      </c>
      <c r="J410" t="str">
        <f>HYPERLINK("https://www.eliteprospects.com/player/535647/cameron-eke")</f>
        <v>https://www.eliteprospects.com/player/535647/cameron-eke</v>
      </c>
      <c r="K410" t="s">
        <v>27</v>
      </c>
      <c r="L410" t="s">
        <v>28</v>
      </c>
      <c r="M410" t="s">
        <v>1296</v>
      </c>
      <c r="N410">
        <v>1</v>
      </c>
      <c r="O410" t="s">
        <v>71</v>
      </c>
      <c r="P410">
        <v>0.01</v>
      </c>
      <c r="Q410" t="s">
        <v>1488</v>
      </c>
      <c r="R410">
        <v>0</v>
      </c>
      <c r="S410">
        <v>0</v>
      </c>
      <c r="T410">
        <v>0</v>
      </c>
      <c r="U410">
        <v>0</v>
      </c>
      <c r="V410">
        <v>0</v>
      </c>
    </row>
    <row r="411" spans="1:22" x14ac:dyDescent="0.25">
      <c r="A411" t="s">
        <v>1716</v>
      </c>
      <c r="B411" t="s">
        <v>124</v>
      </c>
      <c r="C411">
        <v>16</v>
      </c>
      <c r="D411" t="s">
        <v>132</v>
      </c>
      <c r="E411" t="s">
        <v>260</v>
      </c>
      <c r="F411" t="s">
        <v>260</v>
      </c>
      <c r="G411">
        <v>0.06</v>
      </c>
      <c r="H411" t="s">
        <v>39</v>
      </c>
      <c r="I411">
        <v>-4</v>
      </c>
      <c r="J411" t="str">
        <f>HYPERLINK("https://www.eliteprospects.com/player/418235/kyle-aucoin")</f>
        <v>https://www.eliteprospects.com/player/418235/kyle-aucoin</v>
      </c>
      <c r="K411" t="s">
        <v>27</v>
      </c>
      <c r="L411" t="s">
        <v>28</v>
      </c>
      <c r="M411" t="s">
        <v>1296</v>
      </c>
      <c r="N411">
        <v>5</v>
      </c>
      <c r="O411" t="s">
        <v>67</v>
      </c>
      <c r="P411">
        <v>0.01</v>
      </c>
      <c r="Q411" t="s">
        <v>1488</v>
      </c>
      <c r="R411">
        <v>0</v>
      </c>
      <c r="S411">
        <v>0</v>
      </c>
      <c r="T411">
        <v>0</v>
      </c>
      <c r="U411">
        <v>0</v>
      </c>
      <c r="V411">
        <v>0</v>
      </c>
    </row>
    <row r="412" spans="1:22" x14ac:dyDescent="0.25">
      <c r="A412" t="s">
        <v>1717</v>
      </c>
      <c r="B412" t="s">
        <v>83</v>
      </c>
      <c r="C412">
        <v>17</v>
      </c>
      <c r="D412" t="s">
        <v>132</v>
      </c>
      <c r="E412" t="s">
        <v>260</v>
      </c>
      <c r="F412" t="s">
        <v>260</v>
      </c>
      <c r="G412">
        <v>0.06</v>
      </c>
      <c r="H412" t="s">
        <v>26</v>
      </c>
      <c r="I412">
        <v>-1</v>
      </c>
      <c r="J412" t="str">
        <f>HYPERLINK("https://www.eliteprospects.com/player/411232/tucker-mcrae")</f>
        <v>https://www.eliteprospects.com/player/411232/tucker-mcrae</v>
      </c>
      <c r="K412" t="s">
        <v>27</v>
      </c>
      <c r="L412" t="s">
        <v>28</v>
      </c>
      <c r="M412" t="s">
        <v>1296</v>
      </c>
      <c r="N412">
        <v>4</v>
      </c>
      <c r="O412" t="s">
        <v>30</v>
      </c>
      <c r="P412">
        <v>0.01</v>
      </c>
      <c r="Q412" t="s">
        <v>1488</v>
      </c>
      <c r="R412">
        <v>0</v>
      </c>
      <c r="S412">
        <v>0</v>
      </c>
      <c r="T412">
        <v>0</v>
      </c>
      <c r="U412">
        <v>0</v>
      </c>
      <c r="V412">
        <v>0</v>
      </c>
    </row>
    <row r="413" spans="1:22" x14ac:dyDescent="0.25">
      <c r="A413" t="s">
        <v>1718</v>
      </c>
      <c r="B413" t="s">
        <v>174</v>
      </c>
      <c r="C413">
        <v>18</v>
      </c>
      <c r="D413" t="s">
        <v>132</v>
      </c>
      <c r="E413" t="s">
        <v>260</v>
      </c>
      <c r="F413" t="s">
        <v>260</v>
      </c>
      <c r="G413">
        <v>0.06</v>
      </c>
      <c r="H413" t="s">
        <v>26</v>
      </c>
      <c r="I413">
        <v>-6</v>
      </c>
      <c r="J413" t="str">
        <f>HYPERLINK("https://www.eliteprospects.com/player/473290/oscar-plandowski")</f>
        <v>https://www.eliteprospects.com/player/473290/oscar-plandowski</v>
      </c>
      <c r="K413" t="s">
        <v>27</v>
      </c>
      <c r="L413" t="s">
        <v>28</v>
      </c>
      <c r="M413" t="s">
        <v>1296</v>
      </c>
      <c r="N413">
        <v>6</v>
      </c>
      <c r="O413" t="s">
        <v>99</v>
      </c>
      <c r="P413">
        <v>0.01</v>
      </c>
      <c r="Q413" t="s">
        <v>1488</v>
      </c>
      <c r="R413">
        <v>0</v>
      </c>
      <c r="S413">
        <v>0</v>
      </c>
      <c r="T413">
        <v>0</v>
      </c>
      <c r="U413">
        <v>0</v>
      </c>
      <c r="V413">
        <v>0</v>
      </c>
    </row>
    <row r="414" spans="1:22" x14ac:dyDescent="0.25">
      <c r="A414" t="s">
        <v>1719</v>
      </c>
      <c r="B414" t="s">
        <v>119</v>
      </c>
      <c r="C414">
        <v>19</v>
      </c>
      <c r="D414" t="s">
        <v>132</v>
      </c>
      <c r="E414" t="s">
        <v>260</v>
      </c>
      <c r="F414" t="s">
        <v>260</v>
      </c>
      <c r="G414">
        <v>0.05</v>
      </c>
      <c r="H414" t="s">
        <v>57</v>
      </c>
      <c r="I414">
        <v>-6</v>
      </c>
      <c r="J414" t="str">
        <f>HYPERLINK("https://www.eliteprospects.com/player/597843/finn-mclaughlin")</f>
        <v>https://www.eliteprospects.com/player/597843/finn-mclaughlin</v>
      </c>
      <c r="K414" t="s">
        <v>27</v>
      </c>
      <c r="L414" t="s">
        <v>28</v>
      </c>
      <c r="M414" t="s">
        <v>1296</v>
      </c>
      <c r="N414">
        <v>1</v>
      </c>
      <c r="O414" t="s">
        <v>71</v>
      </c>
      <c r="P414">
        <v>0.01</v>
      </c>
      <c r="Q414" t="s">
        <v>1488</v>
      </c>
      <c r="R414">
        <v>0</v>
      </c>
      <c r="S414">
        <v>0</v>
      </c>
      <c r="T414">
        <v>0</v>
      </c>
      <c r="U414">
        <v>0</v>
      </c>
      <c r="V414">
        <v>0</v>
      </c>
    </row>
    <row r="415" spans="1:22" x14ac:dyDescent="0.25">
      <c r="A415" t="s">
        <v>1720</v>
      </c>
      <c r="B415" t="s">
        <v>116</v>
      </c>
      <c r="C415">
        <v>19</v>
      </c>
      <c r="D415" t="s">
        <v>132</v>
      </c>
      <c r="E415" t="s">
        <v>260</v>
      </c>
      <c r="F415" t="s">
        <v>260</v>
      </c>
      <c r="G415">
        <v>0.05</v>
      </c>
      <c r="H415" t="s">
        <v>32</v>
      </c>
      <c r="I415">
        <v>-10</v>
      </c>
      <c r="J415" t="str">
        <f>HYPERLINK("https://www.eliteprospects.com/player/478378/jan-olenginski")</f>
        <v>https://www.eliteprospects.com/player/478378/jan-olenginski</v>
      </c>
      <c r="K415" t="s">
        <v>27</v>
      </c>
      <c r="L415" t="s">
        <v>28</v>
      </c>
      <c r="M415" t="s">
        <v>1296</v>
      </c>
      <c r="N415">
        <v>3</v>
      </c>
      <c r="O415" t="s">
        <v>74</v>
      </c>
      <c r="P415">
        <v>0.01</v>
      </c>
      <c r="Q415" t="s">
        <v>1488</v>
      </c>
      <c r="R415">
        <v>0</v>
      </c>
      <c r="S415">
        <v>0</v>
      </c>
      <c r="T415">
        <v>0</v>
      </c>
      <c r="U415">
        <v>0</v>
      </c>
      <c r="V415">
        <v>0</v>
      </c>
    </row>
    <row r="416" spans="1:22" x14ac:dyDescent="0.25">
      <c r="A416" t="s">
        <v>1721</v>
      </c>
      <c r="B416" t="s">
        <v>163</v>
      </c>
      <c r="C416">
        <v>19</v>
      </c>
      <c r="D416" t="s">
        <v>132</v>
      </c>
      <c r="E416" t="s">
        <v>260</v>
      </c>
      <c r="F416" t="s">
        <v>260</v>
      </c>
      <c r="G416">
        <v>0.05</v>
      </c>
      <c r="H416" t="s">
        <v>39</v>
      </c>
      <c r="I416">
        <v>-2</v>
      </c>
      <c r="J416" t="str">
        <f>HYPERLINK("https://www.eliteprospects.com/player/472442/tomas-machu")</f>
        <v>https://www.eliteprospects.com/player/472442/tomas-machu</v>
      </c>
      <c r="K416" t="s">
        <v>27</v>
      </c>
      <c r="L416" t="s">
        <v>28</v>
      </c>
      <c r="M416" t="s">
        <v>1296</v>
      </c>
      <c r="N416">
        <v>2</v>
      </c>
      <c r="O416" t="s">
        <v>43</v>
      </c>
      <c r="P416">
        <v>0.01</v>
      </c>
      <c r="Q416" t="s">
        <v>1488</v>
      </c>
      <c r="R416">
        <v>0</v>
      </c>
      <c r="S416">
        <v>0</v>
      </c>
      <c r="T416">
        <v>0</v>
      </c>
      <c r="U416">
        <v>0</v>
      </c>
      <c r="V416">
        <v>0</v>
      </c>
    </row>
    <row r="417" spans="1:22" x14ac:dyDescent="0.25">
      <c r="A417" t="s">
        <v>1722</v>
      </c>
      <c r="B417" t="s">
        <v>255</v>
      </c>
      <c r="C417">
        <v>19</v>
      </c>
      <c r="D417" t="s">
        <v>132</v>
      </c>
      <c r="E417" t="s">
        <v>260</v>
      </c>
      <c r="F417" t="s">
        <v>260</v>
      </c>
      <c r="G417">
        <v>0.05</v>
      </c>
      <c r="H417" t="s">
        <v>39</v>
      </c>
      <c r="I417">
        <v>-2</v>
      </c>
      <c r="J417" t="str">
        <f>HYPERLINK("https://www.eliteprospects.com/player/553224/david-posma")</f>
        <v>https://www.eliteprospects.com/player/553224/david-posma</v>
      </c>
      <c r="K417" t="s">
        <v>27</v>
      </c>
      <c r="L417" t="s">
        <v>28</v>
      </c>
      <c r="M417" t="s">
        <v>1296</v>
      </c>
      <c r="N417">
        <v>4</v>
      </c>
      <c r="O417" t="s">
        <v>30</v>
      </c>
      <c r="P417">
        <v>0.01</v>
      </c>
      <c r="Q417" t="s">
        <v>1488</v>
      </c>
      <c r="R417">
        <v>0</v>
      </c>
      <c r="S417">
        <v>0</v>
      </c>
      <c r="T417">
        <v>0</v>
      </c>
      <c r="U417">
        <v>0</v>
      </c>
      <c r="V417">
        <v>0</v>
      </c>
    </row>
    <row r="418" spans="1:22" x14ac:dyDescent="0.25">
      <c r="A418" t="s">
        <v>1723</v>
      </c>
      <c r="B418" t="s">
        <v>205</v>
      </c>
      <c r="C418">
        <v>20</v>
      </c>
      <c r="D418" t="s">
        <v>132</v>
      </c>
      <c r="E418" t="s">
        <v>260</v>
      </c>
      <c r="F418" t="s">
        <v>260</v>
      </c>
      <c r="G418">
        <v>0.05</v>
      </c>
      <c r="H418" t="s">
        <v>84</v>
      </c>
      <c r="I418">
        <v>5</v>
      </c>
      <c r="J418" t="str">
        <f>HYPERLINK("https://www.eliteprospects.com/player/478397/kevin-scott")</f>
        <v>https://www.eliteprospects.com/player/478397/kevin-scott</v>
      </c>
      <c r="K418" t="s">
        <v>27</v>
      </c>
      <c r="L418" t="s">
        <v>28</v>
      </c>
      <c r="M418" t="s">
        <v>1296</v>
      </c>
      <c r="N418">
        <v>3</v>
      </c>
      <c r="O418" t="s">
        <v>74</v>
      </c>
      <c r="P418">
        <v>0.01</v>
      </c>
      <c r="Q418" t="s">
        <v>1488</v>
      </c>
      <c r="R418">
        <v>0</v>
      </c>
      <c r="S418">
        <v>0</v>
      </c>
      <c r="T418">
        <v>0</v>
      </c>
      <c r="U418">
        <v>0</v>
      </c>
      <c r="V418">
        <v>0</v>
      </c>
    </row>
    <row r="419" spans="1:22" x14ac:dyDescent="0.25">
      <c r="A419" t="s">
        <v>1724</v>
      </c>
      <c r="B419" t="s">
        <v>130</v>
      </c>
      <c r="C419">
        <v>20</v>
      </c>
      <c r="D419" t="s">
        <v>132</v>
      </c>
      <c r="E419" t="s">
        <v>260</v>
      </c>
      <c r="F419" t="s">
        <v>260</v>
      </c>
      <c r="G419">
        <v>0.05</v>
      </c>
      <c r="H419" t="s">
        <v>125</v>
      </c>
      <c r="I419">
        <v>3</v>
      </c>
      <c r="J419" t="str">
        <f>HYPERLINK("https://www.eliteprospects.com/player/475353/cameron-kungle")</f>
        <v>https://www.eliteprospects.com/player/475353/cameron-kungle</v>
      </c>
      <c r="K419" t="s">
        <v>27</v>
      </c>
      <c r="L419" t="s">
        <v>28</v>
      </c>
      <c r="M419" t="s">
        <v>1296</v>
      </c>
      <c r="N419">
        <v>3</v>
      </c>
      <c r="O419" t="s">
        <v>74</v>
      </c>
      <c r="P419">
        <v>0.01</v>
      </c>
      <c r="Q419" t="s">
        <v>1488</v>
      </c>
      <c r="R419">
        <v>0</v>
      </c>
      <c r="S419">
        <v>0</v>
      </c>
      <c r="T419">
        <v>0</v>
      </c>
      <c r="U419">
        <v>0</v>
      </c>
      <c r="V419">
        <v>0</v>
      </c>
    </row>
    <row r="420" spans="1:22" x14ac:dyDescent="0.25">
      <c r="A420" t="s">
        <v>1725</v>
      </c>
      <c r="B420" t="s">
        <v>161</v>
      </c>
      <c r="C420">
        <v>21</v>
      </c>
      <c r="D420" t="s">
        <v>132</v>
      </c>
      <c r="E420" t="s">
        <v>260</v>
      </c>
      <c r="F420" t="s">
        <v>260</v>
      </c>
      <c r="G420">
        <v>0.05</v>
      </c>
      <c r="H420" t="s">
        <v>51</v>
      </c>
      <c r="I420">
        <v>2</v>
      </c>
      <c r="J420" t="str">
        <f>HYPERLINK("https://www.eliteprospects.com/player/573945/matteo-mann")</f>
        <v>https://www.eliteprospects.com/player/573945/matteo-mann</v>
      </c>
      <c r="K420" t="s">
        <v>27</v>
      </c>
      <c r="L420" t="s">
        <v>28</v>
      </c>
      <c r="M420" t="s">
        <v>1296</v>
      </c>
      <c r="N420">
        <v>6</v>
      </c>
      <c r="O420" t="s">
        <v>99</v>
      </c>
      <c r="P420">
        <v>0.01</v>
      </c>
      <c r="Q420" t="s">
        <v>1488</v>
      </c>
      <c r="R420">
        <v>0</v>
      </c>
      <c r="S420">
        <v>0</v>
      </c>
      <c r="T420">
        <v>0</v>
      </c>
      <c r="U420">
        <v>0</v>
      </c>
      <c r="V420">
        <v>0</v>
      </c>
    </row>
    <row r="421" spans="1:22" x14ac:dyDescent="0.25">
      <c r="A421" t="s">
        <v>1726</v>
      </c>
      <c r="B421" t="s">
        <v>106</v>
      </c>
      <c r="C421">
        <v>21</v>
      </c>
      <c r="D421" t="s">
        <v>132</v>
      </c>
      <c r="E421" t="s">
        <v>260</v>
      </c>
      <c r="F421" t="s">
        <v>260</v>
      </c>
      <c r="G421">
        <v>0.05</v>
      </c>
      <c r="H421" t="s">
        <v>24</v>
      </c>
      <c r="I421">
        <v>-3</v>
      </c>
      <c r="J421" t="str">
        <f>HYPERLINK("https://www.eliteprospects.com/player/651974/jack-sparkes")</f>
        <v>https://www.eliteprospects.com/player/651974/jack-sparkes</v>
      </c>
      <c r="K421" t="s">
        <v>27</v>
      </c>
      <c r="L421" t="s">
        <v>28</v>
      </c>
      <c r="M421" t="s">
        <v>1296</v>
      </c>
      <c r="N421">
        <v>2</v>
      </c>
      <c r="O421" t="s">
        <v>43</v>
      </c>
      <c r="P421">
        <v>0.01</v>
      </c>
      <c r="Q421" t="s">
        <v>1488</v>
      </c>
      <c r="R421">
        <v>0</v>
      </c>
      <c r="S421">
        <v>0</v>
      </c>
      <c r="T421">
        <v>0</v>
      </c>
      <c r="U421">
        <v>0</v>
      </c>
      <c r="V421">
        <v>0</v>
      </c>
    </row>
    <row r="422" spans="1:22" x14ac:dyDescent="0.25">
      <c r="A422" t="s">
        <v>1727</v>
      </c>
      <c r="B422" t="s">
        <v>146</v>
      </c>
      <c r="C422">
        <v>22</v>
      </c>
      <c r="D422" t="s">
        <v>132</v>
      </c>
      <c r="E422" t="s">
        <v>260</v>
      </c>
      <c r="F422" t="s">
        <v>260</v>
      </c>
      <c r="G422">
        <v>0.05</v>
      </c>
      <c r="H422" t="s">
        <v>132</v>
      </c>
      <c r="I422">
        <v>-3</v>
      </c>
      <c r="J422" t="str">
        <f>HYPERLINK("https://www.eliteprospects.com/player/486071/luke-antonacci")</f>
        <v>https://www.eliteprospects.com/player/486071/luke-antonacci</v>
      </c>
      <c r="K422" t="s">
        <v>27</v>
      </c>
      <c r="L422" t="s">
        <v>28</v>
      </c>
      <c r="M422" t="s">
        <v>1296</v>
      </c>
      <c r="N422">
        <v>4</v>
      </c>
      <c r="O422" t="s">
        <v>30</v>
      </c>
      <c r="P422">
        <v>0.01</v>
      </c>
      <c r="Q422" t="s">
        <v>1488</v>
      </c>
      <c r="R422">
        <v>0</v>
      </c>
      <c r="S422">
        <v>0</v>
      </c>
      <c r="T422">
        <v>0</v>
      </c>
      <c r="U422">
        <v>0</v>
      </c>
      <c r="V422">
        <v>0</v>
      </c>
    </row>
    <row r="423" spans="1:22" x14ac:dyDescent="0.25">
      <c r="A423" t="s">
        <v>1728</v>
      </c>
      <c r="B423" t="s">
        <v>113</v>
      </c>
      <c r="C423">
        <v>22</v>
      </c>
      <c r="D423" t="s">
        <v>132</v>
      </c>
      <c r="E423" t="s">
        <v>260</v>
      </c>
      <c r="F423" t="s">
        <v>260</v>
      </c>
      <c r="G423">
        <v>0.05</v>
      </c>
      <c r="H423" t="s">
        <v>79</v>
      </c>
      <c r="I423">
        <v>0</v>
      </c>
      <c r="J423" t="str">
        <f>HYPERLINK("https://www.eliteprospects.com/player/664617/liam-hupka")</f>
        <v>https://www.eliteprospects.com/player/664617/liam-hupka</v>
      </c>
      <c r="K423" t="s">
        <v>27</v>
      </c>
      <c r="L423" t="s">
        <v>28</v>
      </c>
      <c r="M423" t="s">
        <v>1296</v>
      </c>
      <c r="N423">
        <v>1</v>
      </c>
      <c r="O423" t="s">
        <v>71</v>
      </c>
      <c r="P423">
        <v>0.01</v>
      </c>
      <c r="Q423" t="s">
        <v>1488</v>
      </c>
      <c r="R423">
        <v>0</v>
      </c>
      <c r="S423">
        <v>0</v>
      </c>
      <c r="T423">
        <v>0</v>
      </c>
      <c r="U423">
        <v>0</v>
      </c>
      <c r="V423">
        <v>0</v>
      </c>
    </row>
    <row r="424" spans="1:22" x14ac:dyDescent="0.25">
      <c r="A424" t="s">
        <v>1729</v>
      </c>
      <c r="B424" t="s">
        <v>148</v>
      </c>
      <c r="C424">
        <v>22</v>
      </c>
      <c r="D424" t="s">
        <v>132</v>
      </c>
      <c r="E424" t="s">
        <v>260</v>
      </c>
      <c r="F424" t="s">
        <v>260</v>
      </c>
      <c r="G424">
        <v>0.05</v>
      </c>
      <c r="H424" t="s">
        <v>66</v>
      </c>
      <c r="I424">
        <v>3</v>
      </c>
      <c r="J424" t="str">
        <f>HYPERLINK("https://www.eliteprospects.com/player/497305/will-svenddal")</f>
        <v>https://www.eliteprospects.com/player/497305/will-svenddal</v>
      </c>
      <c r="K424" t="s">
        <v>27</v>
      </c>
      <c r="L424" t="s">
        <v>28</v>
      </c>
      <c r="M424" t="s">
        <v>1296</v>
      </c>
      <c r="N424">
        <v>3</v>
      </c>
      <c r="O424" t="s">
        <v>74</v>
      </c>
      <c r="P424">
        <v>0.01</v>
      </c>
      <c r="Q424" t="s">
        <v>1488</v>
      </c>
      <c r="R424">
        <v>0</v>
      </c>
      <c r="S424">
        <v>0</v>
      </c>
      <c r="T424">
        <v>0</v>
      </c>
      <c r="U424">
        <v>0</v>
      </c>
      <c r="V424">
        <v>0</v>
      </c>
    </row>
    <row r="425" spans="1:22" x14ac:dyDescent="0.25">
      <c r="A425" t="s">
        <v>1730</v>
      </c>
      <c r="B425" t="s">
        <v>215</v>
      </c>
      <c r="C425">
        <v>24</v>
      </c>
      <c r="D425" t="s">
        <v>132</v>
      </c>
      <c r="E425" t="s">
        <v>260</v>
      </c>
      <c r="F425" t="s">
        <v>260</v>
      </c>
      <c r="G425">
        <v>0.04</v>
      </c>
      <c r="H425" t="s">
        <v>32</v>
      </c>
      <c r="I425">
        <v>-11</v>
      </c>
      <c r="J425" t="str">
        <f>HYPERLINK("https://www.eliteprospects.com/player/634009/anthony-cliche")</f>
        <v>https://www.eliteprospects.com/player/634009/anthony-cliche</v>
      </c>
      <c r="K425" t="s">
        <v>27</v>
      </c>
      <c r="L425" t="s">
        <v>28</v>
      </c>
      <c r="M425" t="s">
        <v>1296</v>
      </c>
      <c r="N425">
        <v>2</v>
      </c>
      <c r="O425" t="s">
        <v>43</v>
      </c>
      <c r="P425">
        <v>0.01</v>
      </c>
      <c r="Q425" t="s">
        <v>1488</v>
      </c>
      <c r="R425">
        <v>0</v>
      </c>
      <c r="S425">
        <v>0</v>
      </c>
      <c r="T425">
        <v>0</v>
      </c>
      <c r="U425">
        <v>0</v>
      </c>
      <c r="V425">
        <v>0</v>
      </c>
    </row>
    <row r="426" spans="1:22" x14ac:dyDescent="0.25">
      <c r="A426" t="s">
        <v>1731</v>
      </c>
      <c r="B426" t="s">
        <v>64</v>
      </c>
      <c r="C426">
        <v>10</v>
      </c>
      <c r="D426" t="s">
        <v>132</v>
      </c>
      <c r="E426" t="s">
        <v>132</v>
      </c>
      <c r="F426" t="s">
        <v>132</v>
      </c>
      <c r="G426">
        <v>0</v>
      </c>
      <c r="H426" t="s">
        <v>132</v>
      </c>
      <c r="I426">
        <v>0</v>
      </c>
      <c r="J426" t="str">
        <f>HYPERLINK("https://www.eliteprospects.com/player/645485/carson-peters")</f>
        <v>https://www.eliteprospects.com/player/645485/carson-peters</v>
      </c>
      <c r="K426" t="s">
        <v>27</v>
      </c>
      <c r="L426" t="s">
        <v>28</v>
      </c>
      <c r="M426" t="s">
        <v>1296</v>
      </c>
      <c r="N426">
        <v>4</v>
      </c>
      <c r="O426" t="s">
        <v>30</v>
      </c>
      <c r="P426">
        <v>0</v>
      </c>
      <c r="Q426" t="s">
        <v>1488</v>
      </c>
      <c r="R426">
        <v>0</v>
      </c>
      <c r="S426">
        <v>0</v>
      </c>
      <c r="T426">
        <v>0</v>
      </c>
      <c r="U426">
        <v>0</v>
      </c>
      <c r="V426">
        <v>0</v>
      </c>
    </row>
    <row r="427" spans="1:22" x14ac:dyDescent="0.25">
      <c r="A427" t="s">
        <v>1732</v>
      </c>
      <c r="B427" t="s">
        <v>88</v>
      </c>
      <c r="C427">
        <v>10</v>
      </c>
      <c r="D427" t="s">
        <v>132</v>
      </c>
      <c r="E427" t="s">
        <v>132</v>
      </c>
      <c r="F427" t="s">
        <v>132</v>
      </c>
      <c r="G427">
        <v>0</v>
      </c>
      <c r="H427" t="s">
        <v>132</v>
      </c>
      <c r="I427">
        <v>0</v>
      </c>
      <c r="J427" t="str">
        <f>HYPERLINK("https://www.eliteprospects.com/player/664616/simon-houge")</f>
        <v>https://www.eliteprospects.com/player/664616/simon-houge</v>
      </c>
      <c r="K427" t="s">
        <v>27</v>
      </c>
      <c r="L427" t="s">
        <v>28</v>
      </c>
      <c r="M427" t="s">
        <v>1296</v>
      </c>
      <c r="N427">
        <v>1</v>
      </c>
      <c r="O427" t="s">
        <v>71</v>
      </c>
      <c r="P427">
        <v>0</v>
      </c>
      <c r="Q427" t="s">
        <v>1488</v>
      </c>
      <c r="R427">
        <v>0</v>
      </c>
      <c r="S427">
        <v>0</v>
      </c>
      <c r="T427">
        <v>0</v>
      </c>
      <c r="U427">
        <v>0</v>
      </c>
      <c r="V427">
        <v>0</v>
      </c>
    </row>
    <row r="428" spans="1:22" x14ac:dyDescent="0.25">
      <c r="A428" t="s">
        <v>1733</v>
      </c>
      <c r="B428" t="s">
        <v>162</v>
      </c>
      <c r="C428">
        <v>10</v>
      </c>
      <c r="D428" t="s">
        <v>132</v>
      </c>
      <c r="E428" t="s">
        <v>132</v>
      </c>
      <c r="F428" t="s">
        <v>132</v>
      </c>
      <c r="G428">
        <v>0</v>
      </c>
      <c r="H428" t="s">
        <v>79</v>
      </c>
      <c r="I428">
        <v>0</v>
      </c>
      <c r="J428" t="str">
        <f>HYPERLINK("https://www.eliteprospects.com/player/659502/jack-farrell")</f>
        <v>https://www.eliteprospects.com/player/659502/jack-farrell</v>
      </c>
      <c r="K428" t="s">
        <v>27</v>
      </c>
      <c r="L428" t="s">
        <v>28</v>
      </c>
      <c r="M428" t="s">
        <v>1296</v>
      </c>
      <c r="N428">
        <v>1</v>
      </c>
      <c r="O428" t="s">
        <v>71</v>
      </c>
      <c r="P428">
        <v>0</v>
      </c>
      <c r="Q428" t="s">
        <v>1488</v>
      </c>
      <c r="R428">
        <v>0</v>
      </c>
      <c r="S428">
        <v>0</v>
      </c>
      <c r="T428">
        <v>0</v>
      </c>
      <c r="U428">
        <v>0</v>
      </c>
      <c r="V428">
        <v>0</v>
      </c>
    </row>
    <row r="429" spans="1:22" x14ac:dyDescent="0.25">
      <c r="A429" t="s">
        <v>1734</v>
      </c>
      <c r="B429" t="s">
        <v>312</v>
      </c>
      <c r="C429">
        <v>10</v>
      </c>
      <c r="D429" t="s">
        <v>132</v>
      </c>
      <c r="E429" t="s">
        <v>132</v>
      </c>
      <c r="F429" t="s">
        <v>132</v>
      </c>
      <c r="G429">
        <v>0</v>
      </c>
      <c r="H429" t="s">
        <v>79</v>
      </c>
      <c r="I429">
        <v>-4</v>
      </c>
      <c r="J429" t="str">
        <f>HYPERLINK("https://www.eliteprospects.com/player/479831/nolan-gagnon")</f>
        <v>https://www.eliteprospects.com/player/479831/nolan-gagnon</v>
      </c>
      <c r="K429" t="s">
        <v>27</v>
      </c>
      <c r="L429" t="s">
        <v>28</v>
      </c>
      <c r="M429" t="s">
        <v>1296</v>
      </c>
      <c r="N429">
        <v>2</v>
      </c>
      <c r="O429" t="s">
        <v>43</v>
      </c>
      <c r="P429">
        <v>0</v>
      </c>
      <c r="Q429" t="s">
        <v>1488</v>
      </c>
      <c r="R429">
        <v>0</v>
      </c>
      <c r="S429">
        <v>0</v>
      </c>
      <c r="T429">
        <v>0</v>
      </c>
      <c r="U429">
        <v>0</v>
      </c>
      <c r="V429">
        <v>0</v>
      </c>
    </row>
    <row r="430" spans="1:22" x14ac:dyDescent="0.25">
      <c r="A430" t="s">
        <v>1735</v>
      </c>
      <c r="B430" t="s">
        <v>131</v>
      </c>
      <c r="C430">
        <v>10</v>
      </c>
      <c r="D430" t="s">
        <v>132</v>
      </c>
      <c r="E430" t="s">
        <v>132</v>
      </c>
      <c r="F430" t="s">
        <v>132</v>
      </c>
      <c r="G430">
        <v>0</v>
      </c>
      <c r="H430" t="s">
        <v>79</v>
      </c>
      <c r="I430">
        <v>-1</v>
      </c>
      <c r="J430" t="str">
        <f>HYPERLINK("https://www.eliteprospects.com/player/495925/jon-bell")</f>
        <v>https://www.eliteprospects.com/player/495925/jon-bell</v>
      </c>
      <c r="K430" t="s">
        <v>27</v>
      </c>
      <c r="L430" t="s">
        <v>28</v>
      </c>
      <c r="M430" t="s">
        <v>1296</v>
      </c>
      <c r="N430">
        <v>3</v>
      </c>
      <c r="O430" t="s">
        <v>74</v>
      </c>
      <c r="P430">
        <v>0</v>
      </c>
      <c r="Q430" t="s">
        <v>1488</v>
      </c>
      <c r="R430">
        <v>0</v>
      </c>
      <c r="S430">
        <v>0</v>
      </c>
      <c r="T430">
        <v>0</v>
      </c>
      <c r="U430">
        <v>0</v>
      </c>
      <c r="V430">
        <v>0</v>
      </c>
    </row>
    <row r="431" spans="1:22" x14ac:dyDescent="0.25">
      <c r="A431" t="s">
        <v>1736</v>
      </c>
      <c r="B431" t="s">
        <v>44</v>
      </c>
      <c r="C431">
        <v>10</v>
      </c>
      <c r="D431" t="s">
        <v>132</v>
      </c>
      <c r="E431" t="s">
        <v>132</v>
      </c>
      <c r="F431" t="s">
        <v>132</v>
      </c>
      <c r="G431">
        <v>0</v>
      </c>
      <c r="H431" t="s">
        <v>66</v>
      </c>
      <c r="I431">
        <v>-3</v>
      </c>
      <c r="J431" t="str">
        <f>HYPERLINK("https://www.eliteprospects.com/player/554233/kasper-vaharautio")</f>
        <v>https://www.eliteprospects.com/player/554233/kasper-vaharautio</v>
      </c>
      <c r="K431" t="s">
        <v>27</v>
      </c>
      <c r="L431" t="s">
        <v>28</v>
      </c>
      <c r="M431" t="s">
        <v>1296</v>
      </c>
      <c r="N431">
        <v>4</v>
      </c>
      <c r="O431" t="s">
        <v>30</v>
      </c>
      <c r="P431">
        <v>0</v>
      </c>
      <c r="Q431" t="s">
        <v>1488</v>
      </c>
      <c r="R431">
        <v>0</v>
      </c>
      <c r="S431">
        <v>0</v>
      </c>
      <c r="T431">
        <v>0</v>
      </c>
      <c r="U431">
        <v>0</v>
      </c>
      <c r="V431">
        <v>0</v>
      </c>
    </row>
    <row r="432" spans="1:22" x14ac:dyDescent="0.25">
      <c r="A432" t="s">
        <v>1737</v>
      </c>
      <c r="B432" t="s">
        <v>205</v>
      </c>
      <c r="C432">
        <v>11</v>
      </c>
      <c r="D432" t="s">
        <v>132</v>
      </c>
      <c r="E432" t="s">
        <v>132</v>
      </c>
      <c r="F432" t="s">
        <v>132</v>
      </c>
      <c r="G432">
        <v>0</v>
      </c>
      <c r="H432" t="s">
        <v>79</v>
      </c>
      <c r="I432">
        <v>-5</v>
      </c>
      <c r="J432" t="str">
        <f>HYPERLINK("https://www.eliteprospects.com/player/400904/gustav-blom")</f>
        <v>https://www.eliteprospects.com/player/400904/gustav-blom</v>
      </c>
      <c r="K432" t="s">
        <v>27</v>
      </c>
      <c r="L432" t="s">
        <v>28</v>
      </c>
      <c r="M432" t="s">
        <v>1296</v>
      </c>
      <c r="N432">
        <v>4</v>
      </c>
      <c r="O432" t="s">
        <v>30</v>
      </c>
      <c r="P432">
        <v>0</v>
      </c>
      <c r="Q432" t="s">
        <v>1488</v>
      </c>
      <c r="R432">
        <v>0</v>
      </c>
      <c r="S432">
        <v>0</v>
      </c>
      <c r="T432">
        <v>0</v>
      </c>
      <c r="U432">
        <v>0</v>
      </c>
      <c r="V432">
        <v>0</v>
      </c>
    </row>
    <row r="433" spans="1:22" x14ac:dyDescent="0.25">
      <c r="A433" t="s">
        <v>1738</v>
      </c>
      <c r="B433" t="s">
        <v>234</v>
      </c>
      <c r="C433">
        <v>11</v>
      </c>
      <c r="D433" t="s">
        <v>132</v>
      </c>
      <c r="E433" t="s">
        <v>132</v>
      </c>
      <c r="F433" t="s">
        <v>132</v>
      </c>
      <c r="G433">
        <v>0</v>
      </c>
      <c r="H433" t="s">
        <v>79</v>
      </c>
      <c r="I433">
        <v>1</v>
      </c>
      <c r="J433" t="str">
        <f>HYPERLINK("https://www.eliteprospects.com/player/651979/jack-hewitt")</f>
        <v>https://www.eliteprospects.com/player/651979/jack-hewitt</v>
      </c>
      <c r="K433" t="s">
        <v>27</v>
      </c>
      <c r="L433" t="s">
        <v>28</v>
      </c>
      <c r="M433" t="s">
        <v>1296</v>
      </c>
      <c r="N433">
        <v>2</v>
      </c>
      <c r="O433" t="s">
        <v>43</v>
      </c>
      <c r="P433">
        <v>0</v>
      </c>
      <c r="Q433" t="s">
        <v>1488</v>
      </c>
      <c r="R433">
        <v>0</v>
      </c>
      <c r="S433">
        <v>0</v>
      </c>
      <c r="T433">
        <v>0</v>
      </c>
      <c r="U433">
        <v>0</v>
      </c>
      <c r="V433">
        <v>0</v>
      </c>
    </row>
    <row r="434" spans="1:22" x14ac:dyDescent="0.25">
      <c r="A434" t="s">
        <v>1739</v>
      </c>
      <c r="B434" t="s">
        <v>116</v>
      </c>
      <c r="C434">
        <v>11</v>
      </c>
      <c r="D434" t="s">
        <v>132</v>
      </c>
      <c r="E434" t="s">
        <v>132</v>
      </c>
      <c r="F434" t="s">
        <v>132</v>
      </c>
      <c r="G434">
        <v>0</v>
      </c>
      <c r="H434" t="s">
        <v>66</v>
      </c>
      <c r="I434">
        <v>-4</v>
      </c>
      <c r="J434" t="str">
        <f>HYPERLINK("https://www.eliteprospects.com/player/675870/teddy-mallgrave")</f>
        <v>https://www.eliteprospects.com/player/675870/teddy-mallgrave</v>
      </c>
      <c r="K434" t="s">
        <v>27</v>
      </c>
      <c r="L434" t="s">
        <v>28</v>
      </c>
      <c r="M434" t="s">
        <v>1296</v>
      </c>
      <c r="N434">
        <v>1</v>
      </c>
      <c r="O434" t="s">
        <v>71</v>
      </c>
      <c r="P434">
        <v>0</v>
      </c>
      <c r="Q434" t="s">
        <v>1488</v>
      </c>
      <c r="R434">
        <v>0</v>
      </c>
      <c r="S434">
        <v>0</v>
      </c>
      <c r="T434">
        <v>0</v>
      </c>
      <c r="U434">
        <v>0</v>
      </c>
      <c r="V434">
        <v>0</v>
      </c>
    </row>
    <row r="435" spans="1:22" x14ac:dyDescent="0.25">
      <c r="A435" t="s">
        <v>1740</v>
      </c>
      <c r="B435" t="s">
        <v>288</v>
      </c>
      <c r="C435">
        <v>12</v>
      </c>
      <c r="D435" t="s">
        <v>132</v>
      </c>
      <c r="E435" t="s">
        <v>132</v>
      </c>
      <c r="F435" t="s">
        <v>132</v>
      </c>
      <c r="G435">
        <v>0</v>
      </c>
      <c r="H435" t="s">
        <v>132</v>
      </c>
      <c r="I435">
        <v>-3</v>
      </c>
      <c r="J435" t="str">
        <f>HYPERLINK("https://www.eliteprospects.com/player/701591/charlie-kinsman")</f>
        <v>https://www.eliteprospects.com/player/701591/charlie-kinsman</v>
      </c>
      <c r="K435" t="s">
        <v>27</v>
      </c>
      <c r="L435" t="s">
        <v>28</v>
      </c>
      <c r="M435" t="s">
        <v>1296</v>
      </c>
      <c r="N435">
        <v>2</v>
      </c>
      <c r="O435" t="s">
        <v>43</v>
      </c>
      <c r="P435">
        <v>0</v>
      </c>
      <c r="Q435" t="s">
        <v>1488</v>
      </c>
      <c r="R435">
        <v>0</v>
      </c>
      <c r="S435">
        <v>0</v>
      </c>
      <c r="T435">
        <v>0</v>
      </c>
      <c r="U435">
        <v>0</v>
      </c>
      <c r="V435">
        <v>0</v>
      </c>
    </row>
    <row r="436" spans="1:22" x14ac:dyDescent="0.25">
      <c r="A436" t="s">
        <v>1741</v>
      </c>
      <c r="B436" t="s">
        <v>101</v>
      </c>
      <c r="C436">
        <v>12</v>
      </c>
      <c r="D436" t="s">
        <v>132</v>
      </c>
      <c r="E436" t="s">
        <v>132</v>
      </c>
      <c r="F436" t="s">
        <v>132</v>
      </c>
      <c r="G436">
        <v>0</v>
      </c>
      <c r="H436" t="s">
        <v>79</v>
      </c>
      <c r="I436">
        <v>2</v>
      </c>
      <c r="J436" t="str">
        <f>HYPERLINK("https://www.eliteprospects.com/player/689837/noah-jones")</f>
        <v>https://www.eliteprospects.com/player/689837/noah-jones</v>
      </c>
      <c r="K436" t="s">
        <v>27</v>
      </c>
      <c r="L436" t="s">
        <v>28</v>
      </c>
      <c r="M436" t="s">
        <v>1296</v>
      </c>
      <c r="N436">
        <v>1</v>
      </c>
      <c r="O436" t="s">
        <v>71</v>
      </c>
      <c r="P436">
        <v>0</v>
      </c>
      <c r="Q436" t="s">
        <v>1488</v>
      </c>
      <c r="R436">
        <v>0</v>
      </c>
      <c r="S436">
        <v>0</v>
      </c>
      <c r="T436">
        <v>0</v>
      </c>
      <c r="U436">
        <v>0</v>
      </c>
      <c r="V436">
        <v>0</v>
      </c>
    </row>
    <row r="437" spans="1:22" x14ac:dyDescent="0.25">
      <c r="A437" t="s">
        <v>1742</v>
      </c>
      <c r="B437" t="s">
        <v>222</v>
      </c>
      <c r="C437">
        <v>12</v>
      </c>
      <c r="D437" t="s">
        <v>132</v>
      </c>
      <c r="E437" t="s">
        <v>132</v>
      </c>
      <c r="F437" t="s">
        <v>132</v>
      </c>
      <c r="G437">
        <v>0</v>
      </c>
      <c r="H437" t="s">
        <v>79</v>
      </c>
      <c r="I437">
        <v>-3</v>
      </c>
      <c r="J437" t="str">
        <f>HYPERLINK("https://www.eliteprospects.com/player/478684/bayard-hall")</f>
        <v>https://www.eliteprospects.com/player/478684/bayard-hall</v>
      </c>
      <c r="K437" t="s">
        <v>27</v>
      </c>
      <c r="L437" t="s">
        <v>28</v>
      </c>
      <c r="M437" t="s">
        <v>1296</v>
      </c>
      <c r="N437">
        <v>4</v>
      </c>
      <c r="O437" t="s">
        <v>30</v>
      </c>
      <c r="P437">
        <v>0</v>
      </c>
      <c r="Q437" t="s">
        <v>1488</v>
      </c>
      <c r="R437">
        <v>0</v>
      </c>
      <c r="S437">
        <v>0</v>
      </c>
      <c r="T437">
        <v>0</v>
      </c>
      <c r="U437">
        <v>0</v>
      </c>
      <c r="V437">
        <v>0</v>
      </c>
    </row>
    <row r="438" spans="1:22" x14ac:dyDescent="0.25">
      <c r="A438" t="s">
        <v>1743</v>
      </c>
      <c r="B438" t="s">
        <v>288</v>
      </c>
      <c r="C438">
        <v>12</v>
      </c>
      <c r="D438" t="s">
        <v>132</v>
      </c>
      <c r="E438" t="s">
        <v>132</v>
      </c>
      <c r="F438" t="s">
        <v>132</v>
      </c>
      <c r="G438">
        <v>0</v>
      </c>
      <c r="H438" t="s">
        <v>79</v>
      </c>
      <c r="I438">
        <v>-5</v>
      </c>
      <c r="J438" t="str">
        <f>HYPERLINK("https://www.eliteprospects.com/player/478622/dylan-gratton")</f>
        <v>https://www.eliteprospects.com/player/478622/dylan-gratton</v>
      </c>
      <c r="K438" t="s">
        <v>27</v>
      </c>
      <c r="L438" t="s">
        <v>28</v>
      </c>
      <c r="M438" t="s">
        <v>1296</v>
      </c>
      <c r="N438">
        <v>4</v>
      </c>
      <c r="O438" t="s">
        <v>30</v>
      </c>
      <c r="P438">
        <v>0</v>
      </c>
      <c r="Q438" t="s">
        <v>1488</v>
      </c>
      <c r="R438">
        <v>0</v>
      </c>
      <c r="S438">
        <v>0</v>
      </c>
      <c r="T438">
        <v>0</v>
      </c>
      <c r="U438">
        <v>0</v>
      </c>
      <c r="V438">
        <v>0</v>
      </c>
    </row>
    <row r="439" spans="1:22" x14ac:dyDescent="0.25">
      <c r="A439" t="s">
        <v>1744</v>
      </c>
      <c r="B439" t="s">
        <v>288</v>
      </c>
      <c r="C439">
        <v>12</v>
      </c>
      <c r="D439" t="s">
        <v>132</v>
      </c>
      <c r="E439" t="s">
        <v>132</v>
      </c>
      <c r="F439" t="s">
        <v>132</v>
      </c>
      <c r="G439">
        <v>0</v>
      </c>
      <c r="H439" t="s">
        <v>66</v>
      </c>
      <c r="I439">
        <v>-5</v>
      </c>
      <c r="J439" t="str">
        <f>HYPERLINK("https://www.eliteprospects.com/player/549060/p.j.-forgione")</f>
        <v>https://www.eliteprospects.com/player/549060/p.j.-forgione</v>
      </c>
      <c r="K439" t="s">
        <v>27</v>
      </c>
      <c r="L439" t="s">
        <v>28</v>
      </c>
      <c r="M439" t="s">
        <v>1296</v>
      </c>
      <c r="N439">
        <v>5</v>
      </c>
      <c r="O439" t="s">
        <v>147</v>
      </c>
      <c r="P439">
        <v>0</v>
      </c>
      <c r="Q439" t="s">
        <v>1488</v>
      </c>
      <c r="R439">
        <v>0</v>
      </c>
      <c r="S439">
        <v>0</v>
      </c>
      <c r="T439">
        <v>0</v>
      </c>
      <c r="U439">
        <v>0</v>
      </c>
      <c r="V439">
        <v>0</v>
      </c>
    </row>
    <row r="440" spans="1:22" x14ac:dyDescent="0.25">
      <c r="A440" t="s">
        <v>1745</v>
      </c>
      <c r="B440" t="s">
        <v>130</v>
      </c>
      <c r="C440">
        <v>12</v>
      </c>
      <c r="D440" t="s">
        <v>132</v>
      </c>
      <c r="E440" t="s">
        <v>132</v>
      </c>
      <c r="F440" t="s">
        <v>132</v>
      </c>
      <c r="G440">
        <v>0</v>
      </c>
      <c r="H440" t="s">
        <v>66</v>
      </c>
      <c r="I440">
        <v>-2</v>
      </c>
      <c r="J440" t="str">
        <f>HYPERLINK("https://www.eliteprospects.com/player/551572/matthew-campbell")</f>
        <v>https://www.eliteprospects.com/player/551572/matthew-campbell</v>
      </c>
      <c r="K440" t="s">
        <v>27</v>
      </c>
      <c r="L440" t="s">
        <v>28</v>
      </c>
      <c r="M440" t="s">
        <v>1296</v>
      </c>
      <c r="N440">
        <v>4</v>
      </c>
      <c r="O440" t="s">
        <v>30</v>
      </c>
      <c r="P440">
        <v>0</v>
      </c>
      <c r="Q440" t="s">
        <v>1488</v>
      </c>
      <c r="R440">
        <v>0</v>
      </c>
      <c r="S440">
        <v>0</v>
      </c>
      <c r="T440">
        <v>0</v>
      </c>
      <c r="U440">
        <v>0</v>
      </c>
      <c r="V440">
        <v>0</v>
      </c>
    </row>
    <row r="441" spans="1:22" x14ac:dyDescent="0.25">
      <c r="A441" t="s">
        <v>1746</v>
      </c>
      <c r="B441" t="s">
        <v>215</v>
      </c>
      <c r="C441">
        <v>12</v>
      </c>
      <c r="D441" t="s">
        <v>132</v>
      </c>
      <c r="E441" t="s">
        <v>132</v>
      </c>
      <c r="F441" t="s">
        <v>132</v>
      </c>
      <c r="G441">
        <v>0</v>
      </c>
      <c r="H441" t="s">
        <v>26</v>
      </c>
      <c r="I441">
        <v>-7</v>
      </c>
      <c r="J441" t="str">
        <f>HYPERLINK("https://www.eliteprospects.com/player/535818/evan-johnson")</f>
        <v>https://www.eliteprospects.com/player/535818/evan-johnson</v>
      </c>
      <c r="K441" t="s">
        <v>27</v>
      </c>
      <c r="L441" t="s">
        <v>28</v>
      </c>
      <c r="M441" t="s">
        <v>1296</v>
      </c>
      <c r="N441">
        <v>1</v>
      </c>
      <c r="O441" t="s">
        <v>71</v>
      </c>
      <c r="P441">
        <v>0</v>
      </c>
      <c r="Q441" t="s">
        <v>1488</v>
      </c>
      <c r="R441">
        <v>0</v>
      </c>
      <c r="S441">
        <v>0</v>
      </c>
      <c r="T441">
        <v>0</v>
      </c>
      <c r="U441">
        <v>0</v>
      </c>
      <c r="V441">
        <v>0</v>
      </c>
    </row>
    <row r="442" spans="1:22" x14ac:dyDescent="0.25">
      <c r="A442" t="s">
        <v>1747</v>
      </c>
      <c r="B442" t="s">
        <v>224</v>
      </c>
      <c r="C442">
        <v>13</v>
      </c>
      <c r="D442" t="s">
        <v>132</v>
      </c>
      <c r="E442" t="s">
        <v>132</v>
      </c>
      <c r="F442" t="s">
        <v>132</v>
      </c>
      <c r="G442">
        <v>0</v>
      </c>
      <c r="H442" t="s">
        <v>57</v>
      </c>
      <c r="I442">
        <v>-1</v>
      </c>
      <c r="J442" t="str">
        <f>HYPERLINK("https://www.eliteprospects.com/player/496438/j.r.-ashmead")</f>
        <v>https://www.eliteprospects.com/player/496438/j.r.-ashmead</v>
      </c>
      <c r="K442" t="s">
        <v>27</v>
      </c>
      <c r="L442" t="s">
        <v>28</v>
      </c>
      <c r="M442" t="s">
        <v>1296</v>
      </c>
      <c r="N442">
        <v>2</v>
      </c>
      <c r="O442" t="s">
        <v>43</v>
      </c>
      <c r="P442">
        <v>0</v>
      </c>
      <c r="Q442" t="s">
        <v>1488</v>
      </c>
      <c r="R442">
        <v>0</v>
      </c>
      <c r="S442">
        <v>0</v>
      </c>
      <c r="T442">
        <v>0</v>
      </c>
      <c r="U442">
        <v>0</v>
      </c>
      <c r="V442">
        <v>0</v>
      </c>
    </row>
    <row r="443" spans="1:22" x14ac:dyDescent="0.25">
      <c r="A443" t="s">
        <v>1748</v>
      </c>
      <c r="B443" t="s">
        <v>150</v>
      </c>
      <c r="C443">
        <v>13</v>
      </c>
      <c r="D443" t="s">
        <v>132</v>
      </c>
      <c r="E443" t="s">
        <v>132</v>
      </c>
      <c r="F443" t="s">
        <v>132</v>
      </c>
      <c r="G443">
        <v>0</v>
      </c>
      <c r="H443" t="s">
        <v>57</v>
      </c>
      <c r="I443">
        <v>-6</v>
      </c>
      <c r="J443" t="str">
        <f>HYPERLINK("https://www.eliteprospects.com/player/603640/chris-romaine")</f>
        <v>https://www.eliteprospects.com/player/603640/chris-romaine</v>
      </c>
      <c r="K443" t="s">
        <v>27</v>
      </c>
      <c r="L443" t="s">
        <v>28</v>
      </c>
      <c r="M443" t="s">
        <v>1296</v>
      </c>
      <c r="N443">
        <v>2</v>
      </c>
      <c r="O443" t="s">
        <v>43</v>
      </c>
      <c r="P443">
        <v>0</v>
      </c>
      <c r="Q443" t="s">
        <v>1488</v>
      </c>
      <c r="R443">
        <v>0</v>
      </c>
      <c r="S443">
        <v>0</v>
      </c>
      <c r="T443">
        <v>0</v>
      </c>
      <c r="U443">
        <v>0</v>
      </c>
      <c r="V443">
        <v>0</v>
      </c>
    </row>
    <row r="444" spans="1:22" x14ac:dyDescent="0.25">
      <c r="A444" t="s">
        <v>1749</v>
      </c>
      <c r="B444" t="s">
        <v>103</v>
      </c>
      <c r="C444">
        <v>14</v>
      </c>
      <c r="D444" t="s">
        <v>132</v>
      </c>
      <c r="E444" t="s">
        <v>132</v>
      </c>
      <c r="F444" t="s">
        <v>132</v>
      </c>
      <c r="G444">
        <v>0</v>
      </c>
      <c r="H444" t="s">
        <v>132</v>
      </c>
      <c r="I444">
        <v>-2</v>
      </c>
      <c r="J444" t="str">
        <f>HYPERLINK("https://www.eliteprospects.com/player/723502/coleson-hanrahan")</f>
        <v>https://www.eliteprospects.com/player/723502/coleson-hanrahan</v>
      </c>
      <c r="K444" t="s">
        <v>27</v>
      </c>
      <c r="L444" t="s">
        <v>28</v>
      </c>
      <c r="M444" t="s">
        <v>1296</v>
      </c>
      <c r="N444">
        <v>1</v>
      </c>
      <c r="O444" t="s">
        <v>71</v>
      </c>
      <c r="P444">
        <v>0</v>
      </c>
      <c r="Q444" t="s">
        <v>1488</v>
      </c>
      <c r="R444">
        <v>0</v>
      </c>
      <c r="S444">
        <v>0</v>
      </c>
      <c r="T444">
        <v>0</v>
      </c>
      <c r="U444">
        <v>0</v>
      </c>
      <c r="V444">
        <v>0</v>
      </c>
    </row>
    <row r="445" spans="1:22" x14ac:dyDescent="0.25">
      <c r="A445" t="s">
        <v>1750</v>
      </c>
      <c r="B445" t="s">
        <v>167</v>
      </c>
      <c r="C445">
        <v>14</v>
      </c>
      <c r="D445" t="s">
        <v>132</v>
      </c>
      <c r="E445" t="s">
        <v>132</v>
      </c>
      <c r="F445" t="s">
        <v>132</v>
      </c>
      <c r="G445">
        <v>0</v>
      </c>
      <c r="H445" t="s">
        <v>26</v>
      </c>
      <c r="I445">
        <v>-8</v>
      </c>
      <c r="J445" t="str">
        <f>HYPERLINK("https://www.eliteprospects.com/player/705815/sean-keohane")</f>
        <v>https://www.eliteprospects.com/player/705815/sean-keohane</v>
      </c>
      <c r="K445" t="s">
        <v>27</v>
      </c>
      <c r="L445" t="s">
        <v>28</v>
      </c>
      <c r="M445" t="s">
        <v>1296</v>
      </c>
      <c r="N445">
        <v>2</v>
      </c>
      <c r="O445" t="s">
        <v>43</v>
      </c>
      <c r="P445">
        <v>0</v>
      </c>
      <c r="Q445" t="s">
        <v>1488</v>
      </c>
      <c r="R445">
        <v>0</v>
      </c>
      <c r="S445">
        <v>0</v>
      </c>
      <c r="T445">
        <v>0</v>
      </c>
      <c r="U445">
        <v>0</v>
      </c>
      <c r="V445">
        <v>0</v>
      </c>
    </row>
    <row r="446" spans="1:22" x14ac:dyDescent="0.25">
      <c r="A446" t="s">
        <v>1751</v>
      </c>
      <c r="B446" t="s">
        <v>68</v>
      </c>
      <c r="C446">
        <v>15</v>
      </c>
      <c r="D446" t="s">
        <v>132</v>
      </c>
      <c r="E446" t="s">
        <v>132</v>
      </c>
      <c r="F446" t="s">
        <v>132</v>
      </c>
      <c r="G446">
        <v>0</v>
      </c>
      <c r="H446" t="s">
        <v>132</v>
      </c>
      <c r="I446">
        <v>-3</v>
      </c>
      <c r="J446" t="str">
        <f>HYPERLINK("https://www.eliteprospects.com/player/639712/brady-schultz")</f>
        <v>https://www.eliteprospects.com/player/639712/brady-schultz</v>
      </c>
      <c r="K446" t="s">
        <v>27</v>
      </c>
      <c r="L446" t="s">
        <v>28</v>
      </c>
      <c r="M446" t="s">
        <v>1296</v>
      </c>
      <c r="N446">
        <v>5</v>
      </c>
      <c r="O446" t="s">
        <v>207</v>
      </c>
      <c r="P446">
        <v>0</v>
      </c>
      <c r="Q446" t="s">
        <v>1488</v>
      </c>
      <c r="R446">
        <v>0</v>
      </c>
      <c r="S446">
        <v>0</v>
      </c>
      <c r="T446">
        <v>0</v>
      </c>
      <c r="U446">
        <v>0</v>
      </c>
      <c r="V446">
        <v>0</v>
      </c>
    </row>
    <row r="447" spans="1:22" x14ac:dyDescent="0.25">
      <c r="A447" t="s">
        <v>1752</v>
      </c>
      <c r="B447" t="s">
        <v>124</v>
      </c>
      <c r="C447">
        <v>15</v>
      </c>
      <c r="D447" t="s">
        <v>132</v>
      </c>
      <c r="E447" t="s">
        <v>132</v>
      </c>
      <c r="F447" t="s">
        <v>132</v>
      </c>
      <c r="G447">
        <v>0</v>
      </c>
      <c r="H447" t="s">
        <v>66</v>
      </c>
      <c r="I447">
        <v>-5</v>
      </c>
      <c r="J447" t="str">
        <f>HYPERLINK("https://www.eliteprospects.com/player/201720/nick-donato")</f>
        <v>https://www.eliteprospects.com/player/201720/nick-donato</v>
      </c>
      <c r="K447" t="s">
        <v>27</v>
      </c>
      <c r="L447" t="s">
        <v>28</v>
      </c>
      <c r="M447" t="s">
        <v>1296</v>
      </c>
      <c r="N447">
        <v>4</v>
      </c>
      <c r="O447" t="s">
        <v>30</v>
      </c>
      <c r="P447">
        <v>0</v>
      </c>
      <c r="Q447" t="s">
        <v>1488</v>
      </c>
      <c r="R447">
        <v>0</v>
      </c>
      <c r="S447">
        <v>0</v>
      </c>
      <c r="T447">
        <v>0</v>
      </c>
      <c r="U447">
        <v>0</v>
      </c>
      <c r="V447">
        <v>0</v>
      </c>
    </row>
    <row r="448" spans="1:22" x14ac:dyDescent="0.25">
      <c r="A448" t="s">
        <v>1753</v>
      </c>
      <c r="B448" t="s">
        <v>362</v>
      </c>
      <c r="C448">
        <v>15</v>
      </c>
      <c r="D448" t="s">
        <v>132</v>
      </c>
      <c r="E448" t="s">
        <v>132</v>
      </c>
      <c r="F448" t="s">
        <v>132</v>
      </c>
      <c r="G448">
        <v>0</v>
      </c>
      <c r="H448" t="s">
        <v>66</v>
      </c>
      <c r="I448">
        <v>-4</v>
      </c>
      <c r="J448" t="str">
        <f>HYPERLINK("https://www.eliteprospects.com/player/477550/jaryd-sych")</f>
        <v>https://www.eliteprospects.com/player/477550/jaryd-sych</v>
      </c>
      <c r="K448" t="s">
        <v>27</v>
      </c>
      <c r="L448" t="s">
        <v>28</v>
      </c>
      <c r="M448" t="s">
        <v>1296</v>
      </c>
      <c r="N448">
        <v>3</v>
      </c>
      <c r="O448" t="s">
        <v>74</v>
      </c>
      <c r="P448">
        <v>0</v>
      </c>
      <c r="Q448" t="s">
        <v>1488</v>
      </c>
      <c r="R448">
        <v>0</v>
      </c>
      <c r="S448">
        <v>0</v>
      </c>
      <c r="T448">
        <v>0</v>
      </c>
      <c r="U448">
        <v>0</v>
      </c>
      <c r="V448">
        <v>0</v>
      </c>
    </row>
    <row r="449" spans="1:22" x14ac:dyDescent="0.25">
      <c r="A449" t="s">
        <v>1754</v>
      </c>
      <c r="B449" t="s">
        <v>234</v>
      </c>
      <c r="C449">
        <v>15</v>
      </c>
      <c r="D449" t="s">
        <v>132</v>
      </c>
      <c r="E449" t="s">
        <v>132</v>
      </c>
      <c r="F449" t="s">
        <v>132</v>
      </c>
      <c r="G449">
        <v>0</v>
      </c>
      <c r="H449" t="s">
        <v>57</v>
      </c>
      <c r="I449">
        <v>-2</v>
      </c>
      <c r="J449" t="str">
        <f>HYPERLINK("https://www.eliteprospects.com/player/499084/nick-traggio")</f>
        <v>https://www.eliteprospects.com/player/499084/nick-traggio</v>
      </c>
      <c r="K449" t="s">
        <v>27</v>
      </c>
      <c r="L449" t="s">
        <v>28</v>
      </c>
      <c r="M449" t="s">
        <v>1296</v>
      </c>
      <c r="N449">
        <v>4</v>
      </c>
      <c r="O449" t="s">
        <v>30</v>
      </c>
      <c r="P449">
        <v>0</v>
      </c>
      <c r="Q449" t="s">
        <v>1488</v>
      </c>
      <c r="R449">
        <v>0</v>
      </c>
      <c r="S449">
        <v>0</v>
      </c>
      <c r="T449">
        <v>0</v>
      </c>
      <c r="U449">
        <v>0</v>
      </c>
      <c r="V449">
        <v>0</v>
      </c>
    </row>
    <row r="450" spans="1:22" x14ac:dyDescent="0.25">
      <c r="A450" t="s">
        <v>1755</v>
      </c>
      <c r="B450" t="s">
        <v>362</v>
      </c>
      <c r="C450">
        <v>15</v>
      </c>
      <c r="D450" t="s">
        <v>132</v>
      </c>
      <c r="E450" t="s">
        <v>132</v>
      </c>
      <c r="F450" t="s">
        <v>132</v>
      </c>
      <c r="G450">
        <v>0</v>
      </c>
      <c r="H450" t="s">
        <v>32</v>
      </c>
      <c r="I450">
        <v>-9</v>
      </c>
      <c r="J450" t="str">
        <f>HYPERLINK("https://www.eliteprospects.com/player/675929/kaden-muir")</f>
        <v>https://www.eliteprospects.com/player/675929/kaden-muir</v>
      </c>
      <c r="K450" t="s">
        <v>27</v>
      </c>
      <c r="L450" t="s">
        <v>28</v>
      </c>
      <c r="M450" t="s">
        <v>1296</v>
      </c>
      <c r="N450">
        <v>2</v>
      </c>
      <c r="O450" t="s">
        <v>43</v>
      </c>
      <c r="P450">
        <v>0</v>
      </c>
      <c r="Q450" t="s">
        <v>1488</v>
      </c>
      <c r="R450">
        <v>0</v>
      </c>
      <c r="S450">
        <v>0</v>
      </c>
      <c r="T450">
        <v>0</v>
      </c>
      <c r="U450">
        <v>0</v>
      </c>
      <c r="V450">
        <v>0</v>
      </c>
    </row>
    <row r="451" spans="1:22" x14ac:dyDescent="0.25">
      <c r="A451" t="s">
        <v>1756</v>
      </c>
      <c r="B451" t="s">
        <v>37</v>
      </c>
      <c r="C451">
        <v>16</v>
      </c>
      <c r="D451" t="s">
        <v>132</v>
      </c>
      <c r="E451" t="s">
        <v>132</v>
      </c>
      <c r="F451" t="s">
        <v>132</v>
      </c>
      <c r="G451">
        <v>0</v>
      </c>
      <c r="H451" t="s">
        <v>79</v>
      </c>
      <c r="I451">
        <v>-1</v>
      </c>
      <c r="J451" t="str">
        <f>HYPERLINK("https://www.eliteprospects.com/player/339291/riley-bodnarchuk")</f>
        <v>https://www.eliteprospects.com/player/339291/riley-bodnarchuk</v>
      </c>
      <c r="K451" t="s">
        <v>27</v>
      </c>
      <c r="L451" t="s">
        <v>28</v>
      </c>
      <c r="M451" t="s">
        <v>1296</v>
      </c>
      <c r="N451">
        <v>4</v>
      </c>
      <c r="O451" t="s">
        <v>30</v>
      </c>
      <c r="P451">
        <v>0</v>
      </c>
      <c r="Q451" t="s">
        <v>1488</v>
      </c>
      <c r="R451">
        <v>0</v>
      </c>
      <c r="S451">
        <v>0</v>
      </c>
      <c r="T451">
        <v>0</v>
      </c>
      <c r="U451">
        <v>0</v>
      </c>
      <c r="V451">
        <v>0</v>
      </c>
    </row>
    <row r="452" spans="1:22" x14ac:dyDescent="0.25">
      <c r="A452" t="s">
        <v>1757</v>
      </c>
      <c r="B452" t="s">
        <v>222</v>
      </c>
      <c r="C452">
        <v>16</v>
      </c>
      <c r="D452" t="s">
        <v>132</v>
      </c>
      <c r="E452" t="s">
        <v>132</v>
      </c>
      <c r="F452" t="s">
        <v>132</v>
      </c>
      <c r="G452">
        <v>0</v>
      </c>
      <c r="H452" t="s">
        <v>66</v>
      </c>
      <c r="I452">
        <v>-1</v>
      </c>
      <c r="J452" t="str">
        <f>HYPERLINK("https://www.eliteprospects.com/player/499252/tucker-hartmann")</f>
        <v>https://www.eliteprospects.com/player/499252/tucker-hartmann</v>
      </c>
      <c r="K452" t="s">
        <v>27</v>
      </c>
      <c r="L452" t="s">
        <v>28</v>
      </c>
      <c r="M452" t="s">
        <v>1296</v>
      </c>
      <c r="N452">
        <v>4</v>
      </c>
      <c r="O452" t="s">
        <v>30</v>
      </c>
      <c r="P452">
        <v>0</v>
      </c>
      <c r="Q452" t="s">
        <v>1488</v>
      </c>
      <c r="R452">
        <v>0</v>
      </c>
      <c r="S452">
        <v>0</v>
      </c>
      <c r="T452">
        <v>0</v>
      </c>
      <c r="U452">
        <v>0</v>
      </c>
      <c r="V452">
        <v>0</v>
      </c>
    </row>
    <row r="453" spans="1:22" x14ac:dyDescent="0.25">
      <c r="A453" t="s">
        <v>1758</v>
      </c>
      <c r="B453" t="s">
        <v>362</v>
      </c>
      <c r="C453">
        <v>17</v>
      </c>
      <c r="D453" t="s">
        <v>132</v>
      </c>
      <c r="E453" t="s">
        <v>132</v>
      </c>
      <c r="F453" t="s">
        <v>132</v>
      </c>
      <c r="G453">
        <v>0</v>
      </c>
      <c r="H453" t="s">
        <v>57</v>
      </c>
      <c r="I453">
        <v>-14</v>
      </c>
      <c r="J453" t="str">
        <f>HYPERLINK("https://www.eliteprospects.com/player/364222/caleb-price")</f>
        <v>https://www.eliteprospects.com/player/364222/caleb-price</v>
      </c>
      <c r="K453" t="s">
        <v>27</v>
      </c>
      <c r="L453" t="s">
        <v>28</v>
      </c>
      <c r="M453" t="s">
        <v>1296</v>
      </c>
      <c r="N453">
        <v>4</v>
      </c>
      <c r="O453" t="s">
        <v>30</v>
      </c>
      <c r="P453">
        <v>0</v>
      </c>
      <c r="Q453" t="s">
        <v>1488</v>
      </c>
      <c r="R453">
        <v>0</v>
      </c>
      <c r="S453">
        <v>0</v>
      </c>
      <c r="T453">
        <v>0</v>
      </c>
      <c r="U453">
        <v>0</v>
      </c>
      <c r="V453">
        <v>0</v>
      </c>
    </row>
    <row r="454" spans="1:22" x14ac:dyDescent="0.25">
      <c r="A454" t="s">
        <v>1759</v>
      </c>
      <c r="B454" t="s">
        <v>195</v>
      </c>
      <c r="C454">
        <v>18</v>
      </c>
      <c r="D454" t="s">
        <v>132</v>
      </c>
      <c r="E454" t="s">
        <v>132</v>
      </c>
      <c r="F454" t="s">
        <v>132</v>
      </c>
      <c r="G454">
        <v>0</v>
      </c>
      <c r="H454" t="s">
        <v>23</v>
      </c>
      <c r="I454">
        <v>-7</v>
      </c>
      <c r="J454" t="str">
        <f>HYPERLINK("https://www.eliteprospects.com/player/851367/carter-amico")</f>
        <v>https://www.eliteprospects.com/player/851367/carter-amico</v>
      </c>
      <c r="K454" t="s">
        <v>27</v>
      </c>
      <c r="L454" t="s">
        <v>28</v>
      </c>
      <c r="M454" t="s">
        <v>1296</v>
      </c>
      <c r="N454">
        <v>1</v>
      </c>
      <c r="O454" t="s">
        <v>71</v>
      </c>
      <c r="P454">
        <v>0</v>
      </c>
      <c r="Q454" t="s">
        <v>1488</v>
      </c>
      <c r="R454">
        <v>0</v>
      </c>
      <c r="S454">
        <v>0</v>
      </c>
      <c r="T454">
        <v>0</v>
      </c>
      <c r="U454">
        <v>0</v>
      </c>
      <c r="V454">
        <v>0</v>
      </c>
    </row>
    <row r="455" spans="1:22" x14ac:dyDescent="0.25">
      <c r="A455" t="s">
        <v>1760</v>
      </c>
      <c r="B455" t="s">
        <v>312</v>
      </c>
      <c r="C455">
        <v>18</v>
      </c>
      <c r="D455" t="s">
        <v>132</v>
      </c>
      <c r="E455" t="s">
        <v>132</v>
      </c>
      <c r="F455" t="s">
        <v>132</v>
      </c>
      <c r="G455">
        <v>0</v>
      </c>
      <c r="H455" t="s">
        <v>55</v>
      </c>
      <c r="I455">
        <v>-9</v>
      </c>
      <c r="J455" t="str">
        <f>HYPERLINK("https://www.eliteprospects.com/player/551352/john-paul-steele")</f>
        <v>https://www.eliteprospects.com/player/551352/john-paul-steele</v>
      </c>
      <c r="K455" t="s">
        <v>27</v>
      </c>
      <c r="L455" t="s">
        <v>28</v>
      </c>
      <c r="M455" t="s">
        <v>1296</v>
      </c>
      <c r="N455">
        <v>2</v>
      </c>
      <c r="O455" t="s">
        <v>43</v>
      </c>
      <c r="P455">
        <v>0</v>
      </c>
      <c r="Q455" t="s">
        <v>1488</v>
      </c>
      <c r="R455">
        <v>0</v>
      </c>
      <c r="S455">
        <v>0</v>
      </c>
      <c r="T455">
        <v>0</v>
      </c>
      <c r="U455">
        <v>0</v>
      </c>
      <c r="V455">
        <v>0</v>
      </c>
    </row>
    <row r="456" spans="1:22" x14ac:dyDescent="0.25">
      <c r="A456" t="s">
        <v>1761</v>
      </c>
      <c r="B456" t="s">
        <v>177</v>
      </c>
      <c r="C456">
        <v>19</v>
      </c>
      <c r="D456" t="s">
        <v>132</v>
      </c>
      <c r="E456" t="s">
        <v>132</v>
      </c>
      <c r="F456" t="s">
        <v>132</v>
      </c>
      <c r="G456">
        <v>0</v>
      </c>
      <c r="H456" t="s">
        <v>57</v>
      </c>
      <c r="I456">
        <v>-9</v>
      </c>
      <c r="J456" t="str">
        <f>HYPERLINK("https://www.eliteprospects.com/player/477336/ross-roloson")</f>
        <v>https://www.eliteprospects.com/player/477336/ross-roloson</v>
      </c>
      <c r="K456" t="s">
        <v>27</v>
      </c>
      <c r="L456" t="s">
        <v>28</v>
      </c>
      <c r="M456" t="s">
        <v>1296</v>
      </c>
      <c r="N456">
        <v>3</v>
      </c>
      <c r="O456" t="s">
        <v>74</v>
      </c>
      <c r="P456">
        <v>0</v>
      </c>
      <c r="Q456" t="s">
        <v>1488</v>
      </c>
      <c r="R456">
        <v>0</v>
      </c>
      <c r="S456">
        <v>0</v>
      </c>
      <c r="T456">
        <v>0</v>
      </c>
      <c r="U456">
        <v>0</v>
      </c>
      <c r="V456">
        <v>0</v>
      </c>
    </row>
    <row r="457" spans="1:22" x14ac:dyDescent="0.25">
      <c r="A457" t="s">
        <v>1762</v>
      </c>
      <c r="B457" t="s">
        <v>255</v>
      </c>
      <c r="C457">
        <v>20</v>
      </c>
      <c r="D457" t="s">
        <v>132</v>
      </c>
      <c r="E457" t="s">
        <v>132</v>
      </c>
      <c r="F457" t="s">
        <v>132</v>
      </c>
      <c r="G457">
        <v>0</v>
      </c>
      <c r="H457" t="s">
        <v>66</v>
      </c>
      <c r="I457">
        <v>-9</v>
      </c>
      <c r="J457" t="str">
        <f>HYPERLINK("https://www.eliteprospects.com/player/655465/devon-carlstrom")</f>
        <v>https://www.eliteprospects.com/player/655465/devon-carlstrom</v>
      </c>
      <c r="K457" t="s">
        <v>27</v>
      </c>
      <c r="L457" t="s">
        <v>28</v>
      </c>
      <c r="M457" t="s">
        <v>1296</v>
      </c>
      <c r="N457">
        <v>3</v>
      </c>
      <c r="O457" t="s">
        <v>74</v>
      </c>
      <c r="P457">
        <v>0</v>
      </c>
      <c r="Q457" t="s">
        <v>1488</v>
      </c>
      <c r="R457">
        <v>0</v>
      </c>
      <c r="S457">
        <v>0</v>
      </c>
      <c r="T457">
        <v>0</v>
      </c>
      <c r="U457">
        <v>0</v>
      </c>
      <c r="V457">
        <v>0</v>
      </c>
    </row>
    <row r="458" spans="1:22" x14ac:dyDescent="0.25">
      <c r="A458" t="s">
        <v>1763</v>
      </c>
      <c r="B458" t="s">
        <v>180</v>
      </c>
      <c r="C458">
        <v>20</v>
      </c>
      <c r="D458" t="s">
        <v>132</v>
      </c>
      <c r="E458" t="s">
        <v>132</v>
      </c>
      <c r="F458" t="s">
        <v>132</v>
      </c>
      <c r="G458">
        <v>0</v>
      </c>
      <c r="H458" t="s">
        <v>26</v>
      </c>
      <c r="I458">
        <v>-17</v>
      </c>
      <c r="J458" t="str">
        <f>HYPERLINK("https://www.eliteprospects.com/player/512130/jimmy-jurcev")</f>
        <v>https://www.eliteprospects.com/player/512130/jimmy-jurcev</v>
      </c>
      <c r="K458" t="s">
        <v>27</v>
      </c>
      <c r="L458" t="s">
        <v>28</v>
      </c>
      <c r="M458" t="s">
        <v>1296</v>
      </c>
      <c r="N458">
        <v>2</v>
      </c>
      <c r="O458" t="s">
        <v>43</v>
      </c>
      <c r="P458">
        <v>0</v>
      </c>
      <c r="Q458" t="s">
        <v>1488</v>
      </c>
      <c r="R458">
        <v>0</v>
      </c>
      <c r="S458">
        <v>0</v>
      </c>
      <c r="T458">
        <v>0</v>
      </c>
      <c r="U458">
        <v>0</v>
      </c>
      <c r="V458">
        <v>0</v>
      </c>
    </row>
    <row r="459" spans="1:22" x14ac:dyDescent="0.25">
      <c r="A459" t="s">
        <v>1764</v>
      </c>
      <c r="B459" t="s">
        <v>22</v>
      </c>
      <c r="C459">
        <v>20</v>
      </c>
      <c r="D459" t="s">
        <v>132</v>
      </c>
      <c r="E459" t="s">
        <v>132</v>
      </c>
      <c r="F459" t="s">
        <v>132</v>
      </c>
      <c r="G459">
        <v>0</v>
      </c>
      <c r="H459" t="s">
        <v>55</v>
      </c>
      <c r="I459">
        <v>0</v>
      </c>
      <c r="J459" t="str">
        <f>HYPERLINK("https://www.eliteprospects.com/player/863700/lincoln-kuehne")</f>
        <v>https://www.eliteprospects.com/player/863700/lincoln-kuehne</v>
      </c>
      <c r="K459" t="s">
        <v>27</v>
      </c>
      <c r="L459" t="s">
        <v>28</v>
      </c>
      <c r="M459" t="s">
        <v>1296</v>
      </c>
      <c r="N459">
        <v>1</v>
      </c>
      <c r="O459" t="s">
        <v>71</v>
      </c>
      <c r="P459">
        <v>0</v>
      </c>
      <c r="Q459" t="s">
        <v>1488</v>
      </c>
      <c r="R459">
        <v>0</v>
      </c>
      <c r="S459">
        <v>0</v>
      </c>
      <c r="T459">
        <v>0</v>
      </c>
      <c r="U459">
        <v>0</v>
      </c>
      <c r="V459">
        <v>0</v>
      </c>
    </row>
    <row r="460" spans="1:22" x14ac:dyDescent="0.25">
      <c r="A460" t="s">
        <v>1765</v>
      </c>
      <c r="B460" t="s">
        <v>215</v>
      </c>
      <c r="C460">
        <v>21</v>
      </c>
      <c r="D460" t="s">
        <v>132</v>
      </c>
      <c r="E460" t="s">
        <v>132</v>
      </c>
      <c r="F460" t="s">
        <v>132</v>
      </c>
      <c r="G460">
        <v>0</v>
      </c>
      <c r="H460" t="s">
        <v>57</v>
      </c>
      <c r="I460">
        <v>-12</v>
      </c>
      <c r="J460" t="str">
        <f>HYPERLINK("https://www.eliteprospects.com/player/290337/nicolas-ardanaz")</f>
        <v>https://www.eliteprospects.com/player/290337/nicolas-ardanaz</v>
      </c>
      <c r="K460" t="s">
        <v>27</v>
      </c>
      <c r="L460" t="s">
        <v>28</v>
      </c>
      <c r="M460" t="s">
        <v>1296</v>
      </c>
      <c r="N460">
        <v>4</v>
      </c>
      <c r="O460" t="s">
        <v>30</v>
      </c>
      <c r="P460">
        <v>0</v>
      </c>
      <c r="Q460" t="s">
        <v>1488</v>
      </c>
      <c r="R460">
        <v>0</v>
      </c>
      <c r="S460">
        <v>0</v>
      </c>
      <c r="T460">
        <v>0</v>
      </c>
      <c r="U460">
        <v>0</v>
      </c>
      <c r="V460">
        <v>0</v>
      </c>
    </row>
    <row r="461" spans="1:22" x14ac:dyDescent="0.25">
      <c r="A461" t="s">
        <v>1766</v>
      </c>
      <c r="B461" t="s">
        <v>215</v>
      </c>
      <c r="C461">
        <v>23</v>
      </c>
      <c r="D461" t="s">
        <v>132</v>
      </c>
      <c r="E461" t="s">
        <v>132</v>
      </c>
      <c r="F461" t="s">
        <v>132</v>
      </c>
      <c r="G461">
        <v>0</v>
      </c>
      <c r="H461" t="s">
        <v>23</v>
      </c>
      <c r="I461">
        <v>-11</v>
      </c>
      <c r="J461" t="str">
        <f>HYPERLINK("https://www.eliteprospects.com/player/524857/zane-demsey")</f>
        <v>https://www.eliteprospects.com/player/524857/zane-demsey</v>
      </c>
      <c r="K461" t="s">
        <v>27</v>
      </c>
      <c r="L461" t="s">
        <v>28</v>
      </c>
      <c r="M461" t="s">
        <v>1296</v>
      </c>
      <c r="N461">
        <v>4</v>
      </c>
      <c r="O461" t="s">
        <v>30</v>
      </c>
      <c r="P461">
        <v>0</v>
      </c>
      <c r="Q461" t="s">
        <v>1488</v>
      </c>
      <c r="R461">
        <v>0</v>
      </c>
      <c r="S461">
        <v>0</v>
      </c>
      <c r="T461">
        <v>0</v>
      </c>
      <c r="U461">
        <v>0</v>
      </c>
      <c r="V461">
        <v>0</v>
      </c>
    </row>
    <row r="462" spans="1:22" x14ac:dyDescent="0.25">
      <c r="A462" t="s">
        <v>1767</v>
      </c>
      <c r="B462" t="s">
        <v>520</v>
      </c>
      <c r="C462">
        <v>41</v>
      </c>
      <c r="D462" t="s">
        <v>45</v>
      </c>
      <c r="E462" t="s">
        <v>518</v>
      </c>
      <c r="F462" t="s">
        <v>136</v>
      </c>
      <c r="G462">
        <v>1.1200000000000001</v>
      </c>
      <c r="H462" t="s">
        <v>33</v>
      </c>
      <c r="I462">
        <v>20</v>
      </c>
      <c r="J462" t="str">
        <f>HYPERLINK("https://www.eliteprospects.com/player/617221/carson-woodall")</f>
        <v>https://www.eliteprospects.com/player/617221/carson-woodall</v>
      </c>
      <c r="K462" t="s">
        <v>27</v>
      </c>
      <c r="L462" t="s">
        <v>485</v>
      </c>
      <c r="M462" t="s">
        <v>1296</v>
      </c>
      <c r="N462">
        <v>4</v>
      </c>
      <c r="O462" t="s">
        <v>486</v>
      </c>
      <c r="P462">
        <v>0.16</v>
      </c>
      <c r="Q462" t="s">
        <v>1300</v>
      </c>
      <c r="R462">
        <v>42.9</v>
      </c>
      <c r="S462">
        <v>14.3</v>
      </c>
      <c r="T462">
        <v>7.1</v>
      </c>
      <c r="U462">
        <v>7.1</v>
      </c>
      <c r="V462">
        <v>28.6</v>
      </c>
    </row>
    <row r="463" spans="1:22" x14ac:dyDescent="0.25">
      <c r="A463" t="s">
        <v>1768</v>
      </c>
      <c r="B463" t="s">
        <v>510</v>
      </c>
      <c r="C463">
        <v>34</v>
      </c>
      <c r="D463" t="s">
        <v>41</v>
      </c>
      <c r="E463" t="s">
        <v>84</v>
      </c>
      <c r="F463" t="s">
        <v>53</v>
      </c>
      <c r="G463">
        <v>1.1200000000000001</v>
      </c>
      <c r="H463" t="s">
        <v>40</v>
      </c>
      <c r="I463">
        <v>26</v>
      </c>
      <c r="J463" t="str">
        <f>HYPERLINK("https://www.eliteprospects.com/player/576955/chase-reid")</f>
        <v>https://www.eliteprospects.com/player/576955/chase-reid</v>
      </c>
      <c r="K463" t="s">
        <v>27</v>
      </c>
      <c r="L463" t="s">
        <v>485</v>
      </c>
      <c r="M463" t="s">
        <v>1296</v>
      </c>
      <c r="N463">
        <v>2</v>
      </c>
      <c r="O463" t="s">
        <v>501</v>
      </c>
      <c r="P463">
        <v>0.16</v>
      </c>
      <c r="Q463" t="s">
        <v>1300</v>
      </c>
      <c r="R463">
        <v>42.9</v>
      </c>
      <c r="S463">
        <v>14.3</v>
      </c>
      <c r="T463">
        <v>7.1</v>
      </c>
      <c r="U463">
        <v>7.1</v>
      </c>
      <c r="V463">
        <v>28.6</v>
      </c>
    </row>
    <row r="464" spans="1:22" x14ac:dyDescent="0.25">
      <c r="A464" t="s">
        <v>1769</v>
      </c>
      <c r="B464" t="s">
        <v>520</v>
      </c>
      <c r="C464">
        <v>35</v>
      </c>
      <c r="D464" t="s">
        <v>69</v>
      </c>
      <c r="E464" t="s">
        <v>125</v>
      </c>
      <c r="F464" t="s">
        <v>518</v>
      </c>
      <c r="G464">
        <v>1.06</v>
      </c>
      <c r="H464" t="s">
        <v>32</v>
      </c>
      <c r="I464">
        <v>13</v>
      </c>
      <c r="J464" t="str">
        <f>HYPERLINK("https://www.eliteprospects.com/player/597708/anthony-cristoforo")</f>
        <v>https://www.eliteprospects.com/player/597708/anthony-cristoforo</v>
      </c>
      <c r="K464" t="s">
        <v>27</v>
      </c>
      <c r="L464" t="s">
        <v>485</v>
      </c>
      <c r="M464" t="s">
        <v>1296</v>
      </c>
      <c r="N464">
        <v>4</v>
      </c>
      <c r="O464" t="s">
        <v>486</v>
      </c>
      <c r="P464">
        <v>0.15</v>
      </c>
      <c r="Q464" t="s">
        <v>1309</v>
      </c>
      <c r="R464">
        <v>10</v>
      </c>
      <c r="S464">
        <v>10</v>
      </c>
      <c r="T464">
        <v>20</v>
      </c>
      <c r="U464">
        <v>20</v>
      </c>
      <c r="V464">
        <v>40</v>
      </c>
    </row>
    <row r="465" spans="1:22" x14ac:dyDescent="0.25">
      <c r="A465" t="s">
        <v>1770</v>
      </c>
      <c r="B465" t="s">
        <v>515</v>
      </c>
      <c r="C465">
        <v>30</v>
      </c>
      <c r="D465" t="s">
        <v>33</v>
      </c>
      <c r="E465" t="s">
        <v>41</v>
      </c>
      <c r="F465" t="s">
        <v>280</v>
      </c>
      <c r="G465">
        <v>1.2</v>
      </c>
      <c r="H465" t="s">
        <v>513</v>
      </c>
      <c r="I465">
        <v>24</v>
      </c>
      <c r="J465" t="str">
        <f>HYPERLINK("https://www.eliteprospects.com/player/911129/kashawn-aitcheson")</f>
        <v>https://www.eliteprospects.com/player/911129/kashawn-aitcheson</v>
      </c>
      <c r="K465" t="s">
        <v>27</v>
      </c>
      <c r="L465" t="s">
        <v>485</v>
      </c>
      <c r="M465" t="s">
        <v>1296</v>
      </c>
      <c r="N465">
        <v>4</v>
      </c>
      <c r="O465" t="s">
        <v>486</v>
      </c>
      <c r="P465">
        <v>0.17</v>
      </c>
      <c r="Q465" t="s">
        <v>1300</v>
      </c>
      <c r="R465">
        <v>42.9</v>
      </c>
      <c r="S465">
        <v>14.3</v>
      </c>
      <c r="T465">
        <v>7.1</v>
      </c>
      <c r="U465">
        <v>7.1</v>
      </c>
      <c r="V465">
        <v>28.6</v>
      </c>
    </row>
    <row r="466" spans="1:22" x14ac:dyDescent="0.25">
      <c r="A466" t="s">
        <v>1771</v>
      </c>
      <c r="B466" t="s">
        <v>493</v>
      </c>
      <c r="C466">
        <v>28</v>
      </c>
      <c r="D466" t="s">
        <v>65</v>
      </c>
      <c r="E466" t="s">
        <v>24</v>
      </c>
      <c r="F466" t="s">
        <v>269</v>
      </c>
      <c r="G466">
        <v>1.18</v>
      </c>
      <c r="H466" t="s">
        <v>51</v>
      </c>
      <c r="I466">
        <v>23</v>
      </c>
      <c r="J466" t="str">
        <f>HYPERLINK("https://www.eliteprospects.com/player/755151/adam-ji%C5%99icek")</f>
        <v>https://www.eliteprospects.com/player/755151/adam-ji%C5%99icek</v>
      </c>
      <c r="K466" t="s">
        <v>27</v>
      </c>
      <c r="L466" t="s">
        <v>485</v>
      </c>
      <c r="M466" t="s">
        <v>1296</v>
      </c>
      <c r="N466">
        <v>2</v>
      </c>
      <c r="O466" t="s">
        <v>501</v>
      </c>
      <c r="P466">
        <v>0.17</v>
      </c>
      <c r="Q466" t="s">
        <v>1300</v>
      </c>
      <c r="R466">
        <v>42.9</v>
      </c>
      <c r="S466">
        <v>14.3</v>
      </c>
      <c r="T466">
        <v>7.1</v>
      </c>
      <c r="U466">
        <v>7.1</v>
      </c>
      <c r="V466">
        <v>28.6</v>
      </c>
    </row>
    <row r="467" spans="1:22" x14ac:dyDescent="0.25">
      <c r="A467" t="s">
        <v>1772</v>
      </c>
      <c r="B467" t="s">
        <v>496</v>
      </c>
      <c r="C467">
        <v>41</v>
      </c>
      <c r="D467" t="s">
        <v>78</v>
      </c>
      <c r="E467" t="s">
        <v>125</v>
      </c>
      <c r="F467" t="s">
        <v>269</v>
      </c>
      <c r="G467">
        <v>0.8</v>
      </c>
      <c r="H467" t="s">
        <v>265</v>
      </c>
      <c r="I467">
        <v>-5</v>
      </c>
      <c r="J467" t="str">
        <f>HYPERLINK("https://www.eliteprospects.com/player/747321/levi-harper")</f>
        <v>https://www.eliteprospects.com/player/747321/levi-harper</v>
      </c>
      <c r="K467" t="s">
        <v>27</v>
      </c>
      <c r="L467" t="s">
        <v>485</v>
      </c>
      <c r="M467" t="s">
        <v>1296</v>
      </c>
      <c r="N467">
        <v>1</v>
      </c>
      <c r="O467" t="s">
        <v>494</v>
      </c>
      <c r="P467">
        <v>0.12</v>
      </c>
      <c r="Q467" t="s">
        <v>1300</v>
      </c>
      <c r="R467">
        <v>40</v>
      </c>
      <c r="S467">
        <v>40</v>
      </c>
      <c r="T467">
        <v>0</v>
      </c>
      <c r="U467">
        <v>0</v>
      </c>
      <c r="V467">
        <v>20</v>
      </c>
    </row>
    <row r="468" spans="1:22" x14ac:dyDescent="0.25">
      <c r="A468" t="s">
        <v>1773</v>
      </c>
      <c r="B468" t="s">
        <v>521</v>
      </c>
      <c r="C468">
        <v>41</v>
      </c>
      <c r="D468" t="s">
        <v>140</v>
      </c>
      <c r="E468" t="s">
        <v>61</v>
      </c>
      <c r="F468" t="s">
        <v>40</v>
      </c>
      <c r="G468">
        <v>0.73</v>
      </c>
      <c r="H468" t="s">
        <v>55</v>
      </c>
      <c r="I468">
        <v>23</v>
      </c>
      <c r="J468" t="str">
        <f>HYPERLINK("https://www.eliteprospects.com/player/890491/kohyn-eshkawkogan")</f>
        <v>https://www.eliteprospects.com/player/890491/kohyn-eshkawkogan</v>
      </c>
      <c r="K468" t="s">
        <v>27</v>
      </c>
      <c r="L468" t="s">
        <v>485</v>
      </c>
      <c r="M468" t="s">
        <v>1296</v>
      </c>
      <c r="N468">
        <v>2</v>
      </c>
      <c r="O468" t="s">
        <v>501</v>
      </c>
      <c r="P468">
        <v>0.11</v>
      </c>
      <c r="Q468" t="s">
        <v>1309</v>
      </c>
      <c r="R468">
        <v>25</v>
      </c>
      <c r="S468">
        <v>25</v>
      </c>
      <c r="T468">
        <v>16.7</v>
      </c>
      <c r="U468">
        <v>8.3000000000000007</v>
      </c>
      <c r="V468">
        <v>25</v>
      </c>
    </row>
    <row r="469" spans="1:22" x14ac:dyDescent="0.25">
      <c r="A469" t="s">
        <v>1774</v>
      </c>
      <c r="B469" t="s">
        <v>504</v>
      </c>
      <c r="C469">
        <v>30</v>
      </c>
      <c r="D469" t="s">
        <v>45</v>
      </c>
      <c r="E469" t="s">
        <v>24</v>
      </c>
      <c r="F469" t="s">
        <v>46</v>
      </c>
      <c r="G469">
        <v>0.97</v>
      </c>
      <c r="H469" t="s">
        <v>38</v>
      </c>
      <c r="I469">
        <v>15</v>
      </c>
      <c r="J469" t="str">
        <f>HYPERLINK("https://www.eliteprospects.com/player/577216/cameron-reid")</f>
        <v>https://www.eliteprospects.com/player/577216/cameron-reid</v>
      </c>
      <c r="K469" t="s">
        <v>27</v>
      </c>
      <c r="L469" t="s">
        <v>485</v>
      </c>
      <c r="M469" t="s">
        <v>1296</v>
      </c>
      <c r="N469">
        <v>3</v>
      </c>
      <c r="O469" t="s">
        <v>492</v>
      </c>
      <c r="P469">
        <v>0.14000000000000001</v>
      </c>
      <c r="Q469" t="s">
        <v>1300</v>
      </c>
      <c r="R469">
        <v>42.9</v>
      </c>
      <c r="S469">
        <v>14.3</v>
      </c>
      <c r="T469">
        <v>7.1</v>
      </c>
      <c r="U469">
        <v>7.1</v>
      </c>
      <c r="V469">
        <v>28.6</v>
      </c>
    </row>
    <row r="470" spans="1:22" x14ac:dyDescent="0.25">
      <c r="A470" t="s">
        <v>1775</v>
      </c>
      <c r="B470" t="s">
        <v>488</v>
      </c>
      <c r="C470">
        <v>38</v>
      </c>
      <c r="D470" t="s">
        <v>45</v>
      </c>
      <c r="E470" t="s">
        <v>24</v>
      </c>
      <c r="F470" t="s">
        <v>46</v>
      </c>
      <c r="G470">
        <v>0.76</v>
      </c>
      <c r="H470" t="s">
        <v>55</v>
      </c>
      <c r="I470">
        <v>-14</v>
      </c>
      <c r="J470" t="str">
        <f>HYPERLINK("https://www.eliteprospects.com/player/835568/artyom-gonchar")</f>
        <v>https://www.eliteprospects.com/player/835568/artyom-gonchar</v>
      </c>
      <c r="K470" t="s">
        <v>27</v>
      </c>
      <c r="L470" t="s">
        <v>485</v>
      </c>
      <c r="M470" t="s">
        <v>1296</v>
      </c>
      <c r="N470">
        <v>1</v>
      </c>
      <c r="O470" t="s">
        <v>494</v>
      </c>
      <c r="P470">
        <v>0.11</v>
      </c>
      <c r="Q470" t="s">
        <v>1325</v>
      </c>
      <c r="R470">
        <v>37.5</v>
      </c>
      <c r="S470">
        <v>25</v>
      </c>
      <c r="T470">
        <v>37.5</v>
      </c>
      <c r="U470">
        <v>0</v>
      </c>
      <c r="V470">
        <v>0</v>
      </c>
    </row>
    <row r="471" spans="1:22" x14ac:dyDescent="0.25">
      <c r="A471" t="s">
        <v>1776</v>
      </c>
      <c r="B471" t="s">
        <v>498</v>
      </c>
      <c r="C471">
        <v>41</v>
      </c>
      <c r="D471" t="s">
        <v>78</v>
      </c>
      <c r="E471" t="s">
        <v>47</v>
      </c>
      <c r="F471" t="s">
        <v>46</v>
      </c>
      <c r="G471">
        <v>0.71</v>
      </c>
      <c r="H471" t="s">
        <v>24</v>
      </c>
      <c r="I471">
        <v>2</v>
      </c>
      <c r="J471" t="str">
        <f>HYPERLINK("https://www.eliteprospects.com/player/685530/lenny-greenberg")</f>
        <v>https://www.eliteprospects.com/player/685530/lenny-greenberg</v>
      </c>
      <c r="K471" t="s">
        <v>27</v>
      </c>
      <c r="L471" t="s">
        <v>485</v>
      </c>
      <c r="M471" t="s">
        <v>1296</v>
      </c>
      <c r="N471">
        <v>2</v>
      </c>
      <c r="O471" t="s">
        <v>501</v>
      </c>
      <c r="P471">
        <v>0.1</v>
      </c>
      <c r="Q471" t="s">
        <v>1325</v>
      </c>
      <c r="R471">
        <v>22.2</v>
      </c>
      <c r="S471">
        <v>11.1</v>
      </c>
      <c r="T471">
        <v>44.4</v>
      </c>
      <c r="U471">
        <v>0</v>
      </c>
      <c r="V471">
        <v>22.2</v>
      </c>
    </row>
    <row r="472" spans="1:22" x14ac:dyDescent="0.25">
      <c r="A472" t="s">
        <v>1777</v>
      </c>
      <c r="B472" t="s">
        <v>498</v>
      </c>
      <c r="C472">
        <v>40</v>
      </c>
      <c r="D472" t="s">
        <v>79</v>
      </c>
      <c r="E472" t="s">
        <v>125</v>
      </c>
      <c r="F472" t="s">
        <v>52</v>
      </c>
      <c r="G472">
        <v>0.7</v>
      </c>
      <c r="H472" t="s">
        <v>24</v>
      </c>
      <c r="I472">
        <v>-12</v>
      </c>
      <c r="J472" t="str">
        <f>HYPERLINK("https://www.eliteprospects.com/player/812551/john-alex-banks")</f>
        <v>https://www.eliteprospects.com/player/812551/john-alex-banks</v>
      </c>
      <c r="K472" t="s">
        <v>27</v>
      </c>
      <c r="L472" t="s">
        <v>485</v>
      </c>
      <c r="M472" t="s">
        <v>1296</v>
      </c>
      <c r="N472">
        <v>1</v>
      </c>
      <c r="O472" t="s">
        <v>494</v>
      </c>
      <c r="P472">
        <v>0.1</v>
      </c>
      <c r="Q472" t="s">
        <v>1325</v>
      </c>
      <c r="R472">
        <v>37.5</v>
      </c>
      <c r="S472">
        <v>25</v>
      </c>
      <c r="T472">
        <v>37.5</v>
      </c>
      <c r="U472">
        <v>0</v>
      </c>
      <c r="V472">
        <v>0</v>
      </c>
    </row>
    <row r="473" spans="1:22" x14ac:dyDescent="0.25">
      <c r="A473" t="s">
        <v>1778</v>
      </c>
      <c r="B473" t="s">
        <v>507</v>
      </c>
      <c r="C473">
        <v>39</v>
      </c>
      <c r="D473" t="s">
        <v>69</v>
      </c>
      <c r="E473" t="s">
        <v>38</v>
      </c>
      <c r="F473" t="s">
        <v>61</v>
      </c>
      <c r="G473">
        <v>0.69</v>
      </c>
      <c r="H473" t="s">
        <v>136</v>
      </c>
      <c r="I473">
        <v>15</v>
      </c>
      <c r="J473" t="str">
        <f>HYPERLINK("https://www.eliteprospects.com/player/878802/jared-woolley")</f>
        <v>https://www.eliteprospects.com/player/878802/jared-woolley</v>
      </c>
      <c r="K473" t="s">
        <v>27</v>
      </c>
      <c r="L473" t="s">
        <v>485</v>
      </c>
      <c r="M473" t="s">
        <v>1296</v>
      </c>
      <c r="N473">
        <v>3</v>
      </c>
      <c r="O473" t="s">
        <v>492</v>
      </c>
      <c r="P473">
        <v>0.1</v>
      </c>
      <c r="Q473" t="s">
        <v>1300</v>
      </c>
      <c r="R473">
        <v>37.5</v>
      </c>
      <c r="S473">
        <v>12.5</v>
      </c>
      <c r="T473">
        <v>12.5</v>
      </c>
      <c r="U473">
        <v>12.5</v>
      </c>
      <c r="V473">
        <v>25</v>
      </c>
    </row>
    <row r="474" spans="1:22" x14ac:dyDescent="0.25">
      <c r="A474" t="s">
        <v>1779</v>
      </c>
      <c r="B474" t="s">
        <v>484</v>
      </c>
      <c r="C474">
        <v>41</v>
      </c>
      <c r="D474" t="s">
        <v>57</v>
      </c>
      <c r="E474" t="s">
        <v>33</v>
      </c>
      <c r="F474" t="s">
        <v>61</v>
      </c>
      <c r="G474">
        <v>0.66</v>
      </c>
      <c r="H474" t="s">
        <v>24</v>
      </c>
      <c r="I474">
        <v>9</v>
      </c>
      <c r="J474" t="str">
        <f>HYPERLINK("https://www.eliteprospects.com/player/682666/urban-podrekar")</f>
        <v>https://www.eliteprospects.com/player/682666/urban-podrekar</v>
      </c>
      <c r="K474" t="s">
        <v>27</v>
      </c>
      <c r="L474" t="s">
        <v>485</v>
      </c>
      <c r="M474" t="s">
        <v>1296</v>
      </c>
      <c r="N474">
        <v>3</v>
      </c>
      <c r="O474" t="s">
        <v>492</v>
      </c>
      <c r="P474">
        <v>0.1</v>
      </c>
      <c r="Q474" t="s">
        <v>1300</v>
      </c>
      <c r="R474">
        <v>37.5</v>
      </c>
      <c r="S474">
        <v>12.5</v>
      </c>
      <c r="T474">
        <v>12.5</v>
      </c>
      <c r="U474">
        <v>12.5</v>
      </c>
      <c r="V474">
        <v>25</v>
      </c>
    </row>
    <row r="475" spans="1:22" x14ac:dyDescent="0.25">
      <c r="A475" t="s">
        <v>1780</v>
      </c>
      <c r="B475" t="s">
        <v>507</v>
      </c>
      <c r="C475">
        <v>37</v>
      </c>
      <c r="D475" t="s">
        <v>66</v>
      </c>
      <c r="E475" t="s">
        <v>47</v>
      </c>
      <c r="F475" t="s">
        <v>125</v>
      </c>
      <c r="G475">
        <v>0.7</v>
      </c>
      <c r="H475" t="s">
        <v>544</v>
      </c>
      <c r="I475">
        <v>-6</v>
      </c>
      <c r="J475" t="str">
        <f>HYPERLINK("https://www.eliteprospects.com/player/692910/lukas-fischer")</f>
        <v>https://www.eliteprospects.com/player/692910/lukas-fischer</v>
      </c>
      <c r="K475" t="s">
        <v>27</v>
      </c>
      <c r="L475" t="s">
        <v>485</v>
      </c>
      <c r="M475" t="s">
        <v>1296</v>
      </c>
      <c r="N475">
        <v>4</v>
      </c>
      <c r="O475" t="s">
        <v>486</v>
      </c>
      <c r="P475">
        <v>0.1</v>
      </c>
      <c r="Q475" t="s">
        <v>1325</v>
      </c>
      <c r="R475">
        <v>37.5</v>
      </c>
      <c r="S475">
        <v>25</v>
      </c>
      <c r="T475">
        <v>37.5</v>
      </c>
      <c r="U475">
        <v>0</v>
      </c>
      <c r="V475">
        <v>0</v>
      </c>
    </row>
    <row r="476" spans="1:22" x14ac:dyDescent="0.25">
      <c r="A476" t="s">
        <v>1781</v>
      </c>
      <c r="B476" t="s">
        <v>507</v>
      </c>
      <c r="C476">
        <v>41</v>
      </c>
      <c r="D476" t="s">
        <v>66</v>
      </c>
      <c r="E476" t="s">
        <v>47</v>
      </c>
      <c r="F476" t="s">
        <v>125</v>
      </c>
      <c r="G476">
        <v>0.63</v>
      </c>
      <c r="H476" t="s">
        <v>125</v>
      </c>
      <c r="I476">
        <v>4</v>
      </c>
      <c r="J476" t="str">
        <f>HYPERLINK("https://www.eliteprospects.com/player/814143/parker-von-richter")</f>
        <v>https://www.eliteprospects.com/player/814143/parker-von-richter</v>
      </c>
      <c r="K476" t="s">
        <v>27</v>
      </c>
      <c r="L476" t="s">
        <v>485</v>
      </c>
      <c r="M476" t="s">
        <v>1296</v>
      </c>
      <c r="N476">
        <v>4</v>
      </c>
      <c r="O476" t="s">
        <v>486</v>
      </c>
      <c r="P476">
        <v>0.09</v>
      </c>
      <c r="Q476" t="s">
        <v>1325</v>
      </c>
      <c r="R476">
        <v>22.2</v>
      </c>
      <c r="S476">
        <v>11.1</v>
      </c>
      <c r="T476">
        <v>44.4</v>
      </c>
      <c r="U476">
        <v>0</v>
      </c>
      <c r="V476">
        <v>22.2</v>
      </c>
    </row>
    <row r="477" spans="1:22" x14ac:dyDescent="0.25">
      <c r="A477" t="s">
        <v>1782</v>
      </c>
      <c r="B477" t="s">
        <v>507</v>
      </c>
      <c r="C477">
        <v>29</v>
      </c>
      <c r="D477" t="s">
        <v>26</v>
      </c>
      <c r="E477" t="s">
        <v>60</v>
      </c>
      <c r="F477" t="s">
        <v>75</v>
      </c>
      <c r="G477">
        <v>0.86</v>
      </c>
      <c r="H477" t="s">
        <v>26</v>
      </c>
      <c r="I477">
        <v>10</v>
      </c>
      <c r="J477" t="str">
        <f>HYPERLINK("https://www.eliteprospects.com/player/619063/jakub-fibigr")</f>
        <v>https://www.eliteprospects.com/player/619063/jakub-fibigr</v>
      </c>
      <c r="K477" t="s">
        <v>27</v>
      </c>
      <c r="L477" t="s">
        <v>485</v>
      </c>
      <c r="M477" t="s">
        <v>1296</v>
      </c>
      <c r="N477">
        <v>3</v>
      </c>
      <c r="O477" t="s">
        <v>492</v>
      </c>
      <c r="P477">
        <v>0.12</v>
      </c>
      <c r="Q477" t="s">
        <v>1309</v>
      </c>
      <c r="R477">
        <v>10</v>
      </c>
      <c r="S477">
        <v>10</v>
      </c>
      <c r="T477">
        <v>20</v>
      </c>
      <c r="U477">
        <v>20</v>
      </c>
      <c r="V477">
        <v>40</v>
      </c>
    </row>
    <row r="478" spans="1:22" x14ac:dyDescent="0.25">
      <c r="A478" t="s">
        <v>1783</v>
      </c>
      <c r="B478" t="s">
        <v>507</v>
      </c>
      <c r="C478">
        <v>41</v>
      </c>
      <c r="D478" t="s">
        <v>78</v>
      </c>
      <c r="E478" t="s">
        <v>60</v>
      </c>
      <c r="F478" t="s">
        <v>81</v>
      </c>
      <c r="G478">
        <v>0.59</v>
      </c>
      <c r="H478" t="s">
        <v>55</v>
      </c>
      <c r="I478">
        <v>23</v>
      </c>
      <c r="J478" t="str">
        <f>HYPERLINK("https://www.eliteprospects.com/player/595304/jakub-chromiak")</f>
        <v>https://www.eliteprospects.com/player/595304/jakub-chromiak</v>
      </c>
      <c r="K478" t="s">
        <v>27</v>
      </c>
      <c r="L478" t="s">
        <v>485</v>
      </c>
      <c r="M478" t="s">
        <v>1296</v>
      </c>
      <c r="N478">
        <v>4</v>
      </c>
      <c r="O478" t="s">
        <v>486</v>
      </c>
      <c r="P478">
        <v>0.08</v>
      </c>
      <c r="Q478" t="s">
        <v>1325</v>
      </c>
      <c r="R478">
        <v>44.4</v>
      </c>
      <c r="S478">
        <v>11.1</v>
      </c>
      <c r="T478">
        <v>44.4</v>
      </c>
      <c r="U478">
        <v>0</v>
      </c>
      <c r="V478">
        <v>0</v>
      </c>
    </row>
    <row r="479" spans="1:22" x14ac:dyDescent="0.25">
      <c r="A479" t="s">
        <v>1784</v>
      </c>
      <c r="B479" t="s">
        <v>532</v>
      </c>
      <c r="C479">
        <v>41</v>
      </c>
      <c r="D479" t="s">
        <v>96</v>
      </c>
      <c r="E479" t="s">
        <v>55</v>
      </c>
      <c r="F479" t="s">
        <v>84</v>
      </c>
      <c r="G479">
        <v>0.56000000000000005</v>
      </c>
      <c r="H479" t="s">
        <v>23</v>
      </c>
      <c r="I479">
        <v>7</v>
      </c>
      <c r="J479" t="str">
        <f>HYPERLINK("https://www.eliteprospects.com/player/597699/andoni-fimis")</f>
        <v>https://www.eliteprospects.com/player/597699/andoni-fimis</v>
      </c>
      <c r="K479" t="s">
        <v>27</v>
      </c>
      <c r="L479" t="s">
        <v>485</v>
      </c>
      <c r="M479" t="s">
        <v>1296</v>
      </c>
      <c r="N479">
        <v>2</v>
      </c>
      <c r="O479" t="s">
        <v>501</v>
      </c>
      <c r="P479">
        <v>0.08</v>
      </c>
      <c r="Q479" t="s">
        <v>1300</v>
      </c>
      <c r="R479">
        <v>42.9</v>
      </c>
      <c r="S479">
        <v>28.6</v>
      </c>
      <c r="T479">
        <v>28.6</v>
      </c>
      <c r="U479">
        <v>0</v>
      </c>
      <c r="V479">
        <v>0</v>
      </c>
    </row>
    <row r="480" spans="1:22" x14ac:dyDescent="0.25">
      <c r="A480" t="s">
        <v>1785</v>
      </c>
      <c r="B480" t="s">
        <v>493</v>
      </c>
      <c r="C480">
        <v>37</v>
      </c>
      <c r="D480" t="s">
        <v>79</v>
      </c>
      <c r="E480" t="s">
        <v>33</v>
      </c>
      <c r="F480" t="s">
        <v>84</v>
      </c>
      <c r="G480">
        <v>0.62</v>
      </c>
      <c r="H480" t="s">
        <v>57</v>
      </c>
      <c r="I480">
        <v>25</v>
      </c>
      <c r="J480" t="str">
        <f>HYPERLINK("https://www.eliteprospects.com/player/577016/edison-engle")</f>
        <v>https://www.eliteprospects.com/player/577016/edison-engle</v>
      </c>
      <c r="K480" t="s">
        <v>27</v>
      </c>
      <c r="L480" t="s">
        <v>485</v>
      </c>
      <c r="M480" t="s">
        <v>1296</v>
      </c>
      <c r="N480">
        <v>1</v>
      </c>
      <c r="O480" t="s">
        <v>494</v>
      </c>
      <c r="P480">
        <v>0.09</v>
      </c>
      <c r="Q480" t="s">
        <v>1309</v>
      </c>
      <c r="R480">
        <v>25</v>
      </c>
      <c r="S480">
        <v>25</v>
      </c>
      <c r="T480">
        <v>16.7</v>
      </c>
      <c r="U480">
        <v>8.3000000000000007</v>
      </c>
      <c r="V480">
        <v>25</v>
      </c>
    </row>
    <row r="481" spans="1:22" x14ac:dyDescent="0.25">
      <c r="A481" t="s">
        <v>1786</v>
      </c>
      <c r="B481" t="s">
        <v>532</v>
      </c>
      <c r="C481">
        <v>32</v>
      </c>
      <c r="D481" t="s">
        <v>69</v>
      </c>
      <c r="E481" t="s">
        <v>69</v>
      </c>
      <c r="F481" t="s">
        <v>47</v>
      </c>
      <c r="G481">
        <v>0.69</v>
      </c>
      <c r="H481" t="s">
        <v>513</v>
      </c>
      <c r="I481">
        <v>-17</v>
      </c>
      <c r="J481" t="str">
        <f>HYPERLINK("https://www.eliteprospects.com/player/576953/henry-brzustewicz")</f>
        <v>https://www.eliteprospects.com/player/576953/henry-brzustewicz</v>
      </c>
      <c r="K481" t="s">
        <v>27</v>
      </c>
      <c r="L481" t="s">
        <v>485</v>
      </c>
      <c r="M481" t="s">
        <v>1296</v>
      </c>
      <c r="N481">
        <v>3</v>
      </c>
      <c r="O481" t="s">
        <v>492</v>
      </c>
      <c r="P481">
        <v>0.1</v>
      </c>
      <c r="Q481" t="s">
        <v>1325</v>
      </c>
      <c r="R481">
        <v>37.5</v>
      </c>
      <c r="S481">
        <v>25</v>
      </c>
      <c r="T481">
        <v>37.5</v>
      </c>
      <c r="U481">
        <v>0</v>
      </c>
      <c r="V481">
        <v>0</v>
      </c>
    </row>
    <row r="482" spans="1:22" x14ac:dyDescent="0.25">
      <c r="A482" t="s">
        <v>1787</v>
      </c>
      <c r="B482" t="s">
        <v>561</v>
      </c>
      <c r="C482">
        <v>38</v>
      </c>
      <c r="D482" t="s">
        <v>45</v>
      </c>
      <c r="E482" t="s">
        <v>65</v>
      </c>
      <c r="F482" t="s">
        <v>47</v>
      </c>
      <c r="G482">
        <v>0.57999999999999996</v>
      </c>
      <c r="H482" t="s">
        <v>41</v>
      </c>
      <c r="I482">
        <v>-7</v>
      </c>
      <c r="J482" t="str">
        <f>HYPERLINK("https://www.eliteprospects.com/player/618575/maleek-mcgowan")</f>
        <v>https://www.eliteprospects.com/player/618575/maleek-mcgowan</v>
      </c>
      <c r="K482" t="s">
        <v>27</v>
      </c>
      <c r="L482" t="s">
        <v>485</v>
      </c>
      <c r="M482" t="s">
        <v>1296</v>
      </c>
      <c r="N482">
        <v>5</v>
      </c>
      <c r="O482" t="s">
        <v>508</v>
      </c>
      <c r="P482">
        <v>0.08</v>
      </c>
      <c r="Q482" t="s">
        <v>245</v>
      </c>
      <c r="R482">
        <v>0</v>
      </c>
      <c r="S482">
        <v>44.4</v>
      </c>
      <c r="T482">
        <v>33.299999999999997</v>
      </c>
      <c r="U482">
        <v>0</v>
      </c>
      <c r="V482">
        <v>22.2</v>
      </c>
    </row>
    <row r="483" spans="1:22" x14ac:dyDescent="0.25">
      <c r="A483" t="s">
        <v>1788</v>
      </c>
      <c r="B483" t="s">
        <v>526</v>
      </c>
      <c r="C483">
        <v>28</v>
      </c>
      <c r="D483" t="s">
        <v>140</v>
      </c>
      <c r="E483" t="s">
        <v>51</v>
      </c>
      <c r="F483" t="s">
        <v>47</v>
      </c>
      <c r="G483">
        <v>0.79</v>
      </c>
      <c r="H483" t="s">
        <v>51</v>
      </c>
      <c r="I483">
        <v>-14</v>
      </c>
      <c r="J483" t="str">
        <f>HYPERLINK("https://www.eliteprospects.com/player/618578/james-petrovski")</f>
        <v>https://www.eliteprospects.com/player/618578/james-petrovski</v>
      </c>
      <c r="K483" t="s">
        <v>27</v>
      </c>
      <c r="L483" t="s">
        <v>485</v>
      </c>
      <c r="M483" t="s">
        <v>1296</v>
      </c>
      <c r="N483">
        <v>5</v>
      </c>
      <c r="O483" t="s">
        <v>508</v>
      </c>
      <c r="P483">
        <v>0.11</v>
      </c>
      <c r="Q483" t="s">
        <v>1325</v>
      </c>
      <c r="R483">
        <v>37.5</v>
      </c>
      <c r="S483">
        <v>25</v>
      </c>
      <c r="T483">
        <v>37.5</v>
      </c>
      <c r="U483">
        <v>0</v>
      </c>
      <c r="V483">
        <v>0</v>
      </c>
    </row>
    <row r="484" spans="1:22" x14ac:dyDescent="0.25">
      <c r="A484" t="s">
        <v>1789</v>
      </c>
      <c r="B484" t="s">
        <v>496</v>
      </c>
      <c r="C484">
        <v>41</v>
      </c>
      <c r="D484" t="s">
        <v>140</v>
      </c>
      <c r="E484" t="s">
        <v>51</v>
      </c>
      <c r="F484" t="s">
        <v>47</v>
      </c>
      <c r="G484">
        <v>0.54</v>
      </c>
      <c r="H484" t="s">
        <v>52</v>
      </c>
      <c r="I484">
        <v>-19</v>
      </c>
      <c r="J484" t="str">
        <f>HYPERLINK("https://www.eliteprospects.com/player/603557/james-guo")</f>
        <v>https://www.eliteprospects.com/player/603557/james-guo</v>
      </c>
      <c r="K484" t="s">
        <v>27</v>
      </c>
      <c r="L484" t="s">
        <v>485</v>
      </c>
      <c r="M484" t="s">
        <v>1296</v>
      </c>
      <c r="N484">
        <v>5</v>
      </c>
      <c r="O484" t="s">
        <v>508</v>
      </c>
      <c r="P484">
        <v>0.08</v>
      </c>
      <c r="Q484" t="s">
        <v>245</v>
      </c>
      <c r="R484">
        <v>0</v>
      </c>
      <c r="S484">
        <v>44.4</v>
      </c>
      <c r="T484">
        <v>33.299999999999997</v>
      </c>
      <c r="U484">
        <v>0</v>
      </c>
      <c r="V484">
        <v>22.2</v>
      </c>
    </row>
    <row r="485" spans="1:22" x14ac:dyDescent="0.25">
      <c r="A485" t="s">
        <v>1790</v>
      </c>
      <c r="B485" t="s">
        <v>515</v>
      </c>
      <c r="C485">
        <v>40</v>
      </c>
      <c r="D485" t="s">
        <v>140</v>
      </c>
      <c r="E485" t="s">
        <v>55</v>
      </c>
      <c r="F485" t="s">
        <v>33</v>
      </c>
      <c r="G485">
        <v>0.53</v>
      </c>
      <c r="H485" t="s">
        <v>23</v>
      </c>
      <c r="I485">
        <v>7</v>
      </c>
      <c r="J485" t="str">
        <f>HYPERLINK("https://www.eliteprospects.com/player/942117/cole-emerton")</f>
        <v>https://www.eliteprospects.com/player/942117/cole-emerton</v>
      </c>
      <c r="K485" t="s">
        <v>27</v>
      </c>
      <c r="L485" t="s">
        <v>485</v>
      </c>
      <c r="M485" t="s">
        <v>1296</v>
      </c>
      <c r="N485">
        <v>1</v>
      </c>
      <c r="O485" t="s">
        <v>494</v>
      </c>
      <c r="P485">
        <v>0.08</v>
      </c>
      <c r="Q485" t="s">
        <v>1300</v>
      </c>
      <c r="R485">
        <v>42.9</v>
      </c>
      <c r="S485">
        <v>28.6</v>
      </c>
      <c r="T485">
        <v>28.6</v>
      </c>
      <c r="U485">
        <v>0</v>
      </c>
      <c r="V485">
        <v>0</v>
      </c>
    </row>
    <row r="486" spans="1:22" x14ac:dyDescent="0.25">
      <c r="A486" t="s">
        <v>1791</v>
      </c>
      <c r="B486" t="s">
        <v>493</v>
      </c>
      <c r="C486">
        <v>31</v>
      </c>
      <c r="D486" t="s">
        <v>57</v>
      </c>
      <c r="E486" t="s">
        <v>39</v>
      </c>
      <c r="F486" t="s">
        <v>24</v>
      </c>
      <c r="G486">
        <v>0.65</v>
      </c>
      <c r="H486" t="s">
        <v>55</v>
      </c>
      <c r="I486">
        <v>18</v>
      </c>
      <c r="J486" t="str">
        <f>HYPERLINK("https://www.eliteprospects.com/player/899355/vladimir-dravecky")</f>
        <v>https://www.eliteprospects.com/player/899355/vladimir-dravecky</v>
      </c>
      <c r="K486" t="s">
        <v>27</v>
      </c>
      <c r="L486" t="s">
        <v>485</v>
      </c>
      <c r="M486" t="s">
        <v>1296</v>
      </c>
      <c r="N486">
        <v>1</v>
      </c>
      <c r="O486" t="s">
        <v>494</v>
      </c>
      <c r="P486">
        <v>0.09</v>
      </c>
      <c r="Q486" t="s">
        <v>1309</v>
      </c>
      <c r="R486">
        <v>25</v>
      </c>
      <c r="S486">
        <v>25</v>
      </c>
      <c r="T486">
        <v>16.7</v>
      </c>
      <c r="U486">
        <v>8.3000000000000007</v>
      </c>
      <c r="V486">
        <v>25</v>
      </c>
    </row>
    <row r="487" spans="1:22" x14ac:dyDescent="0.25">
      <c r="A487" t="s">
        <v>1792</v>
      </c>
      <c r="B487" t="s">
        <v>510</v>
      </c>
      <c r="C487">
        <v>35</v>
      </c>
      <c r="D487" t="s">
        <v>57</v>
      </c>
      <c r="E487" t="s">
        <v>65</v>
      </c>
      <c r="F487" t="s">
        <v>51</v>
      </c>
      <c r="G487">
        <v>0.54</v>
      </c>
      <c r="H487" t="s">
        <v>39</v>
      </c>
      <c r="I487">
        <v>14</v>
      </c>
      <c r="J487" t="str">
        <f>HYPERLINK("https://www.eliteprospects.com/player/902024/jakub-winkelhofer")</f>
        <v>https://www.eliteprospects.com/player/902024/jakub-winkelhofer</v>
      </c>
      <c r="K487" t="s">
        <v>27</v>
      </c>
      <c r="L487" t="s">
        <v>485</v>
      </c>
      <c r="M487" t="s">
        <v>1296</v>
      </c>
      <c r="N487">
        <v>1</v>
      </c>
      <c r="O487" t="s">
        <v>494</v>
      </c>
      <c r="P487">
        <v>0.08</v>
      </c>
      <c r="Q487" t="s">
        <v>1300</v>
      </c>
      <c r="R487">
        <v>42.9</v>
      </c>
      <c r="S487">
        <v>28.6</v>
      </c>
      <c r="T487">
        <v>28.6</v>
      </c>
      <c r="U487">
        <v>0</v>
      </c>
      <c r="V487">
        <v>0</v>
      </c>
    </row>
    <row r="488" spans="1:22" x14ac:dyDescent="0.25">
      <c r="A488" t="s">
        <v>1793</v>
      </c>
      <c r="B488" t="s">
        <v>536</v>
      </c>
      <c r="C488">
        <v>36</v>
      </c>
      <c r="D488" t="s">
        <v>140</v>
      </c>
      <c r="E488" t="s">
        <v>38</v>
      </c>
      <c r="F488" t="s">
        <v>51</v>
      </c>
      <c r="G488">
        <v>0.53</v>
      </c>
      <c r="H488" t="s">
        <v>427</v>
      </c>
      <c r="I488">
        <v>-30</v>
      </c>
      <c r="J488" t="str">
        <f>HYPERLINK("https://www.eliteprospects.com/player/726355/mitch-young")</f>
        <v>https://www.eliteprospects.com/player/726355/mitch-young</v>
      </c>
      <c r="K488" t="s">
        <v>27</v>
      </c>
      <c r="L488" t="s">
        <v>485</v>
      </c>
      <c r="M488" t="s">
        <v>1296</v>
      </c>
      <c r="N488">
        <v>4</v>
      </c>
      <c r="O488" t="s">
        <v>486</v>
      </c>
      <c r="P488">
        <v>0.08</v>
      </c>
      <c r="Q488" t="s">
        <v>245</v>
      </c>
      <c r="R488">
        <v>0</v>
      </c>
      <c r="S488">
        <v>44.4</v>
      </c>
      <c r="T488">
        <v>33.299999999999997</v>
      </c>
      <c r="U488">
        <v>0</v>
      </c>
      <c r="V488">
        <v>22.2</v>
      </c>
    </row>
    <row r="489" spans="1:22" x14ac:dyDescent="0.25">
      <c r="A489" t="s">
        <v>1794</v>
      </c>
      <c r="B489" t="s">
        <v>561</v>
      </c>
      <c r="C489">
        <v>42</v>
      </c>
      <c r="D489" t="s">
        <v>260</v>
      </c>
      <c r="E489" t="s">
        <v>55</v>
      </c>
      <c r="F489" t="s">
        <v>51</v>
      </c>
      <c r="G489">
        <v>0.45</v>
      </c>
      <c r="H489" t="s">
        <v>125</v>
      </c>
      <c r="I489">
        <v>-12</v>
      </c>
      <c r="J489" t="str">
        <f>HYPERLINK("https://www.eliteprospects.com/player/577202/vann-williamson")</f>
        <v>https://www.eliteprospects.com/player/577202/vann-williamson</v>
      </c>
      <c r="K489" t="s">
        <v>27</v>
      </c>
      <c r="L489" t="s">
        <v>485</v>
      </c>
      <c r="M489" t="s">
        <v>1296</v>
      </c>
      <c r="N489">
        <v>4</v>
      </c>
      <c r="O489" t="s">
        <v>486</v>
      </c>
      <c r="P489">
        <v>0.06</v>
      </c>
      <c r="Q489" t="s">
        <v>1309</v>
      </c>
      <c r="R489">
        <v>0</v>
      </c>
      <c r="S489">
        <v>20</v>
      </c>
      <c r="T489">
        <v>40</v>
      </c>
      <c r="U489">
        <v>0</v>
      </c>
      <c r="V489">
        <v>40</v>
      </c>
    </row>
    <row r="490" spans="1:22" x14ac:dyDescent="0.25">
      <c r="A490" t="s">
        <v>1795</v>
      </c>
      <c r="B490" t="s">
        <v>504</v>
      </c>
      <c r="C490">
        <v>40</v>
      </c>
      <c r="D490" t="s">
        <v>57</v>
      </c>
      <c r="E490" t="s">
        <v>23</v>
      </c>
      <c r="F490" t="s">
        <v>55</v>
      </c>
      <c r="G490">
        <v>0.45</v>
      </c>
      <c r="H490" t="s">
        <v>81</v>
      </c>
      <c r="I490">
        <v>12</v>
      </c>
      <c r="J490" t="str">
        <f>HYPERLINK("https://www.eliteprospects.com/player/897430/alexander-bilecki")</f>
        <v>https://www.eliteprospects.com/player/897430/alexander-bilecki</v>
      </c>
      <c r="K490" t="s">
        <v>27</v>
      </c>
      <c r="L490" t="s">
        <v>485</v>
      </c>
      <c r="M490" t="s">
        <v>1296</v>
      </c>
      <c r="N490">
        <v>2</v>
      </c>
      <c r="O490" t="s">
        <v>501</v>
      </c>
      <c r="P490">
        <v>0.06</v>
      </c>
      <c r="Q490" t="s">
        <v>1325</v>
      </c>
      <c r="R490">
        <v>18.2</v>
      </c>
      <c r="S490">
        <v>9.1</v>
      </c>
      <c r="T490">
        <v>63.6</v>
      </c>
      <c r="U490">
        <v>0</v>
      </c>
      <c r="V490">
        <v>9.1</v>
      </c>
    </row>
    <row r="491" spans="1:22" x14ac:dyDescent="0.25">
      <c r="A491" t="s">
        <v>1796</v>
      </c>
      <c r="B491" t="s">
        <v>546</v>
      </c>
      <c r="C491">
        <v>39</v>
      </c>
      <c r="D491" t="s">
        <v>66</v>
      </c>
      <c r="E491" t="s">
        <v>39</v>
      </c>
      <c r="F491" t="s">
        <v>55</v>
      </c>
      <c r="G491">
        <v>0.46</v>
      </c>
      <c r="H491" t="s">
        <v>66</v>
      </c>
      <c r="I491">
        <v>4</v>
      </c>
      <c r="J491" t="str">
        <f>HYPERLINK("https://www.eliteprospects.com/player/807372/brandt-harper")</f>
        <v>https://www.eliteprospects.com/player/807372/brandt-harper</v>
      </c>
      <c r="K491" t="s">
        <v>27</v>
      </c>
      <c r="L491" t="s">
        <v>485</v>
      </c>
      <c r="M491" t="s">
        <v>1296</v>
      </c>
      <c r="N491">
        <v>1</v>
      </c>
      <c r="O491" t="s">
        <v>494</v>
      </c>
      <c r="P491">
        <v>7.0000000000000007E-2</v>
      </c>
      <c r="Q491" t="s">
        <v>1325</v>
      </c>
      <c r="R491">
        <v>33.299999999999997</v>
      </c>
      <c r="S491">
        <v>16.7</v>
      </c>
      <c r="T491">
        <v>33.299999999999997</v>
      </c>
      <c r="U491">
        <v>16.7</v>
      </c>
      <c r="V491">
        <v>0</v>
      </c>
    </row>
    <row r="492" spans="1:22" x14ac:dyDescent="0.25">
      <c r="A492" t="s">
        <v>1797</v>
      </c>
      <c r="B492" t="s">
        <v>527</v>
      </c>
      <c r="C492">
        <v>40</v>
      </c>
      <c r="D492" t="s">
        <v>66</v>
      </c>
      <c r="E492" t="s">
        <v>39</v>
      </c>
      <c r="F492" t="s">
        <v>55</v>
      </c>
      <c r="G492">
        <v>0.45</v>
      </c>
      <c r="H492" t="s">
        <v>32</v>
      </c>
      <c r="I492">
        <v>-2</v>
      </c>
      <c r="J492" t="str">
        <f>HYPERLINK("https://www.eliteprospects.com/player/577218/rylan-singh")</f>
        <v>https://www.eliteprospects.com/player/577218/rylan-singh</v>
      </c>
      <c r="K492" t="s">
        <v>27</v>
      </c>
      <c r="L492" t="s">
        <v>485</v>
      </c>
      <c r="M492" t="s">
        <v>1296</v>
      </c>
      <c r="N492">
        <v>3</v>
      </c>
      <c r="O492" t="s">
        <v>492</v>
      </c>
      <c r="P492">
        <v>0.06</v>
      </c>
      <c r="Q492" t="s">
        <v>1300</v>
      </c>
      <c r="R492">
        <v>37.5</v>
      </c>
      <c r="S492">
        <v>37.5</v>
      </c>
      <c r="T492">
        <v>0</v>
      </c>
      <c r="U492">
        <v>12.5</v>
      </c>
      <c r="V492">
        <v>12.5</v>
      </c>
    </row>
    <row r="493" spans="1:22" x14ac:dyDescent="0.25">
      <c r="A493" t="s">
        <v>1798</v>
      </c>
      <c r="B493" t="s">
        <v>521</v>
      </c>
      <c r="C493">
        <v>40</v>
      </c>
      <c r="D493" t="s">
        <v>66</v>
      </c>
      <c r="E493" t="s">
        <v>39</v>
      </c>
      <c r="F493" t="s">
        <v>55</v>
      </c>
      <c r="G493">
        <v>0.45</v>
      </c>
      <c r="H493" t="s">
        <v>544</v>
      </c>
      <c r="I493">
        <v>17</v>
      </c>
      <c r="J493" t="str">
        <f>HYPERLINK("https://www.eliteprospects.com/player/691832/frankie-marrelli")</f>
        <v>https://www.eliteprospects.com/player/691832/frankie-marrelli</v>
      </c>
      <c r="K493" t="s">
        <v>27</v>
      </c>
      <c r="L493" t="s">
        <v>485</v>
      </c>
      <c r="M493" t="s">
        <v>1296</v>
      </c>
      <c r="N493">
        <v>4</v>
      </c>
      <c r="O493" t="s">
        <v>486</v>
      </c>
      <c r="P493">
        <v>0.06</v>
      </c>
      <c r="Q493" t="s">
        <v>1309</v>
      </c>
      <c r="R493">
        <v>14.3</v>
      </c>
      <c r="S493">
        <v>28.6</v>
      </c>
      <c r="T493">
        <v>28.6</v>
      </c>
      <c r="U493">
        <v>0</v>
      </c>
      <c r="V493">
        <v>28.6</v>
      </c>
    </row>
    <row r="494" spans="1:22" x14ac:dyDescent="0.25">
      <c r="A494" t="s">
        <v>1799</v>
      </c>
      <c r="B494" t="s">
        <v>493</v>
      </c>
      <c r="C494">
        <v>37</v>
      </c>
      <c r="D494" t="s">
        <v>140</v>
      </c>
      <c r="E494" t="s">
        <v>41</v>
      </c>
      <c r="F494" t="s">
        <v>55</v>
      </c>
      <c r="G494">
        <v>0.49</v>
      </c>
      <c r="H494" t="s">
        <v>265</v>
      </c>
      <c r="I494">
        <v>32</v>
      </c>
      <c r="J494" t="str">
        <f>HYPERLINK("https://www.eliteprospects.com/player/710847/owen-protz")</f>
        <v>https://www.eliteprospects.com/player/710847/owen-protz</v>
      </c>
      <c r="K494" t="s">
        <v>27</v>
      </c>
      <c r="L494" t="s">
        <v>485</v>
      </c>
      <c r="M494" t="s">
        <v>1296</v>
      </c>
      <c r="N494">
        <v>4</v>
      </c>
      <c r="O494" t="s">
        <v>486</v>
      </c>
      <c r="P494">
        <v>7.0000000000000007E-2</v>
      </c>
      <c r="Q494" t="s">
        <v>1325</v>
      </c>
      <c r="R494">
        <v>44.4</v>
      </c>
      <c r="S494">
        <v>11.1</v>
      </c>
      <c r="T494">
        <v>44.4</v>
      </c>
      <c r="U494">
        <v>0</v>
      </c>
      <c r="V494">
        <v>0</v>
      </c>
    </row>
    <row r="495" spans="1:22" x14ac:dyDescent="0.25">
      <c r="A495" t="s">
        <v>1800</v>
      </c>
      <c r="B495" t="s">
        <v>484</v>
      </c>
      <c r="C495">
        <v>42</v>
      </c>
      <c r="D495" t="s">
        <v>140</v>
      </c>
      <c r="E495" t="s">
        <v>41</v>
      </c>
      <c r="F495" t="s">
        <v>55</v>
      </c>
      <c r="G495">
        <v>0.43</v>
      </c>
      <c r="H495" t="s">
        <v>24</v>
      </c>
      <c r="I495">
        <v>12</v>
      </c>
      <c r="J495" t="str">
        <f>HYPERLINK("https://www.eliteprospects.com/player/577174/dryden-allen")</f>
        <v>https://www.eliteprospects.com/player/577174/dryden-allen</v>
      </c>
      <c r="K495" t="s">
        <v>27</v>
      </c>
      <c r="L495" t="s">
        <v>485</v>
      </c>
      <c r="M495" t="s">
        <v>1296</v>
      </c>
      <c r="N495">
        <v>1</v>
      </c>
      <c r="O495" t="s">
        <v>494</v>
      </c>
      <c r="P495">
        <v>0.06</v>
      </c>
      <c r="Q495" t="s">
        <v>1325</v>
      </c>
      <c r="R495">
        <v>18.2</v>
      </c>
      <c r="S495">
        <v>9.1</v>
      </c>
      <c r="T495">
        <v>63.6</v>
      </c>
      <c r="U495">
        <v>0</v>
      </c>
      <c r="V495">
        <v>9.1</v>
      </c>
    </row>
    <row r="496" spans="1:22" x14ac:dyDescent="0.25">
      <c r="A496" t="s">
        <v>1801</v>
      </c>
      <c r="B496" t="s">
        <v>507</v>
      </c>
      <c r="C496">
        <v>41</v>
      </c>
      <c r="D496" t="s">
        <v>79</v>
      </c>
      <c r="E496" t="s">
        <v>38</v>
      </c>
      <c r="F496" t="s">
        <v>55</v>
      </c>
      <c r="G496">
        <v>0.44</v>
      </c>
      <c r="H496" t="s">
        <v>111</v>
      </c>
      <c r="I496">
        <v>5</v>
      </c>
      <c r="J496" t="str">
        <f>HYPERLINK("https://www.eliteprospects.com/player/738747/david-bedkowski")</f>
        <v>https://www.eliteprospects.com/player/738747/david-bedkowski</v>
      </c>
      <c r="K496" t="s">
        <v>27</v>
      </c>
      <c r="L496" t="s">
        <v>485</v>
      </c>
      <c r="M496" t="s">
        <v>1296</v>
      </c>
      <c r="N496">
        <v>4</v>
      </c>
      <c r="O496" t="s">
        <v>486</v>
      </c>
      <c r="P496">
        <v>0.06</v>
      </c>
      <c r="Q496" t="s">
        <v>1300</v>
      </c>
      <c r="R496">
        <v>57.1</v>
      </c>
      <c r="S496">
        <v>28.6</v>
      </c>
      <c r="T496">
        <v>0</v>
      </c>
      <c r="U496">
        <v>14.3</v>
      </c>
      <c r="V496">
        <v>0</v>
      </c>
    </row>
    <row r="497" spans="1:22" x14ac:dyDescent="0.25">
      <c r="A497" t="s">
        <v>1802</v>
      </c>
      <c r="B497" t="s">
        <v>521</v>
      </c>
      <c r="C497">
        <v>39</v>
      </c>
      <c r="D497" t="s">
        <v>78</v>
      </c>
      <c r="E497" t="s">
        <v>32</v>
      </c>
      <c r="F497" t="s">
        <v>60</v>
      </c>
      <c r="G497">
        <v>0.44</v>
      </c>
      <c r="H497" t="s">
        <v>79</v>
      </c>
      <c r="I497">
        <v>17</v>
      </c>
      <c r="J497" t="str">
        <f>HYPERLINK("https://www.eliteprospects.com/player/917727/ondrej-ruml")</f>
        <v>https://www.eliteprospects.com/player/917727/ondrej-ruml</v>
      </c>
      <c r="K497" t="s">
        <v>27</v>
      </c>
      <c r="L497" t="s">
        <v>485</v>
      </c>
      <c r="M497" t="s">
        <v>1296</v>
      </c>
      <c r="N497">
        <v>1</v>
      </c>
      <c r="O497" t="s">
        <v>494</v>
      </c>
      <c r="P497">
        <v>0.06</v>
      </c>
      <c r="Q497" t="s">
        <v>1309</v>
      </c>
      <c r="R497">
        <v>14.3</v>
      </c>
      <c r="S497">
        <v>28.6</v>
      </c>
      <c r="T497">
        <v>28.6</v>
      </c>
      <c r="U497">
        <v>0</v>
      </c>
      <c r="V497">
        <v>28.6</v>
      </c>
    </row>
    <row r="498" spans="1:22" x14ac:dyDescent="0.25">
      <c r="A498" t="s">
        <v>1803</v>
      </c>
      <c r="B498" t="s">
        <v>527</v>
      </c>
      <c r="C498">
        <v>32</v>
      </c>
      <c r="D498" t="s">
        <v>96</v>
      </c>
      <c r="E498" t="s">
        <v>23</v>
      </c>
      <c r="F498" t="s">
        <v>60</v>
      </c>
      <c r="G498">
        <v>0.53</v>
      </c>
      <c r="H498" t="s">
        <v>125</v>
      </c>
      <c r="I498">
        <v>-14</v>
      </c>
      <c r="J498" t="str">
        <f>HYPERLINK("https://www.eliteprospects.com/player/577043/quinn-beauchesne")</f>
        <v>https://www.eliteprospects.com/player/577043/quinn-beauchesne</v>
      </c>
      <c r="K498" t="s">
        <v>27</v>
      </c>
      <c r="L498" t="s">
        <v>485</v>
      </c>
      <c r="M498" t="s">
        <v>1296</v>
      </c>
      <c r="N498">
        <v>3</v>
      </c>
      <c r="O498" t="s">
        <v>492</v>
      </c>
      <c r="P498">
        <v>0.08</v>
      </c>
      <c r="Q498" t="s">
        <v>245</v>
      </c>
      <c r="R498">
        <v>0</v>
      </c>
      <c r="S498">
        <v>44.4</v>
      </c>
      <c r="T498">
        <v>33.299999999999997</v>
      </c>
      <c r="U498">
        <v>0</v>
      </c>
      <c r="V498">
        <v>22.2</v>
      </c>
    </row>
    <row r="499" spans="1:22" x14ac:dyDescent="0.25">
      <c r="A499" t="s">
        <v>1804</v>
      </c>
      <c r="B499" t="s">
        <v>546</v>
      </c>
      <c r="C499">
        <v>35</v>
      </c>
      <c r="D499" t="s">
        <v>140</v>
      </c>
      <c r="E499" t="s">
        <v>39</v>
      </c>
      <c r="F499" t="s">
        <v>60</v>
      </c>
      <c r="G499">
        <v>0.49</v>
      </c>
      <c r="H499" t="s">
        <v>427</v>
      </c>
      <c r="I499">
        <v>15</v>
      </c>
      <c r="J499" t="str">
        <f>HYPERLINK("https://www.eliteprospects.com/player/603125/bronson-ride")</f>
        <v>https://www.eliteprospects.com/player/603125/bronson-ride</v>
      </c>
      <c r="K499" t="s">
        <v>27</v>
      </c>
      <c r="L499" t="s">
        <v>485</v>
      </c>
      <c r="M499" t="s">
        <v>1296</v>
      </c>
      <c r="N499">
        <v>5</v>
      </c>
      <c r="O499" t="s">
        <v>508</v>
      </c>
      <c r="P499">
        <v>7.0000000000000007E-2</v>
      </c>
      <c r="Q499" t="s">
        <v>1325</v>
      </c>
      <c r="R499">
        <v>44.4</v>
      </c>
      <c r="S499">
        <v>11.1</v>
      </c>
      <c r="T499">
        <v>44.4</v>
      </c>
      <c r="U499">
        <v>0</v>
      </c>
      <c r="V499">
        <v>0</v>
      </c>
    </row>
    <row r="500" spans="1:22" x14ac:dyDescent="0.25">
      <c r="A500" t="s">
        <v>1805</v>
      </c>
      <c r="B500" t="s">
        <v>520</v>
      </c>
      <c r="C500">
        <v>39</v>
      </c>
      <c r="D500" t="s">
        <v>79</v>
      </c>
      <c r="E500" t="s">
        <v>41</v>
      </c>
      <c r="F500" t="s">
        <v>60</v>
      </c>
      <c r="G500">
        <v>0.44</v>
      </c>
      <c r="H500" t="s">
        <v>40</v>
      </c>
      <c r="I500">
        <v>18</v>
      </c>
      <c r="J500" t="str">
        <f>HYPERLINK("https://www.eliteprospects.com/player/649094/wyatt-kennedy")</f>
        <v>https://www.eliteprospects.com/player/649094/wyatt-kennedy</v>
      </c>
      <c r="K500" t="s">
        <v>27</v>
      </c>
      <c r="L500" t="s">
        <v>485</v>
      </c>
      <c r="M500" t="s">
        <v>1296</v>
      </c>
      <c r="N500">
        <v>5</v>
      </c>
      <c r="O500" t="s">
        <v>508</v>
      </c>
      <c r="P500">
        <v>0.06</v>
      </c>
      <c r="Q500" t="s">
        <v>1309</v>
      </c>
      <c r="R500">
        <v>14.3</v>
      </c>
      <c r="S500">
        <v>28.6</v>
      </c>
      <c r="T500">
        <v>28.6</v>
      </c>
      <c r="U500">
        <v>0</v>
      </c>
      <c r="V500">
        <v>28.6</v>
      </c>
    </row>
    <row r="501" spans="1:22" x14ac:dyDescent="0.25">
      <c r="A501" t="s">
        <v>1806</v>
      </c>
      <c r="B501" t="s">
        <v>546</v>
      </c>
      <c r="C501">
        <v>35</v>
      </c>
      <c r="D501" t="s">
        <v>78</v>
      </c>
      <c r="E501" t="s">
        <v>45</v>
      </c>
      <c r="F501" t="s">
        <v>38</v>
      </c>
      <c r="G501">
        <v>0.46</v>
      </c>
      <c r="H501" t="s">
        <v>66</v>
      </c>
      <c r="I501">
        <v>-8</v>
      </c>
      <c r="J501" t="str">
        <f>HYPERLINK("https://www.eliteprospects.com/player/876673/kent-greer")</f>
        <v>https://www.eliteprospects.com/player/876673/kent-greer</v>
      </c>
      <c r="K501" t="s">
        <v>27</v>
      </c>
      <c r="L501" t="s">
        <v>485</v>
      </c>
      <c r="M501" t="s">
        <v>1296</v>
      </c>
      <c r="N501">
        <v>2</v>
      </c>
      <c r="O501" t="s">
        <v>501</v>
      </c>
      <c r="P501">
        <v>7.0000000000000007E-2</v>
      </c>
      <c r="Q501" t="s">
        <v>245</v>
      </c>
      <c r="R501">
        <v>0</v>
      </c>
      <c r="S501">
        <v>44.4</v>
      </c>
      <c r="T501">
        <v>33.299999999999997</v>
      </c>
      <c r="U501">
        <v>0</v>
      </c>
      <c r="V501">
        <v>22.2</v>
      </c>
    </row>
    <row r="502" spans="1:22" x14ac:dyDescent="0.25">
      <c r="A502" t="s">
        <v>1807</v>
      </c>
      <c r="B502" t="s">
        <v>507</v>
      </c>
      <c r="C502">
        <v>39</v>
      </c>
      <c r="D502" t="s">
        <v>78</v>
      </c>
      <c r="E502" t="s">
        <v>45</v>
      </c>
      <c r="F502" t="s">
        <v>38</v>
      </c>
      <c r="G502">
        <v>0.41</v>
      </c>
      <c r="H502" t="s">
        <v>40</v>
      </c>
      <c r="I502">
        <v>-11</v>
      </c>
      <c r="J502" t="str">
        <f>HYPERLINK("https://www.eliteprospects.com/player/710371/lucas-moore")</f>
        <v>https://www.eliteprospects.com/player/710371/lucas-moore</v>
      </c>
      <c r="K502" t="s">
        <v>27</v>
      </c>
      <c r="L502" t="s">
        <v>485</v>
      </c>
      <c r="M502" t="s">
        <v>1296</v>
      </c>
      <c r="N502">
        <v>5</v>
      </c>
      <c r="O502" t="s">
        <v>508</v>
      </c>
      <c r="P502">
        <v>0.06</v>
      </c>
      <c r="Q502" t="s">
        <v>1309</v>
      </c>
      <c r="R502">
        <v>0</v>
      </c>
      <c r="S502">
        <v>20</v>
      </c>
      <c r="T502">
        <v>40</v>
      </c>
      <c r="U502">
        <v>0</v>
      </c>
      <c r="V502">
        <v>40</v>
      </c>
    </row>
    <row r="503" spans="1:22" x14ac:dyDescent="0.25">
      <c r="A503" t="s">
        <v>1808</v>
      </c>
      <c r="B503" t="s">
        <v>484</v>
      </c>
      <c r="C503">
        <v>16</v>
      </c>
      <c r="D503" t="s">
        <v>66</v>
      </c>
      <c r="E503" t="s">
        <v>23</v>
      </c>
      <c r="F503" t="s">
        <v>38</v>
      </c>
      <c r="G503">
        <v>1</v>
      </c>
      <c r="H503" t="s">
        <v>26</v>
      </c>
      <c r="I503">
        <v>10</v>
      </c>
      <c r="J503" t="str">
        <f>HYPERLINK("https://www.eliteprospects.com/player/790097/darels-uljanskis")</f>
        <v>https://www.eliteprospects.com/player/790097/darels-uljanskis</v>
      </c>
      <c r="K503" t="s">
        <v>27</v>
      </c>
      <c r="L503" t="s">
        <v>485</v>
      </c>
      <c r="M503" t="s">
        <v>1296</v>
      </c>
      <c r="N503">
        <v>1</v>
      </c>
      <c r="O503" t="s">
        <v>494</v>
      </c>
      <c r="P503">
        <v>0.14000000000000001</v>
      </c>
      <c r="Q503" t="s">
        <v>1300</v>
      </c>
      <c r="R503">
        <v>42.9</v>
      </c>
      <c r="S503">
        <v>14.3</v>
      </c>
      <c r="T503">
        <v>7.1</v>
      </c>
      <c r="U503">
        <v>7.1</v>
      </c>
      <c r="V503">
        <v>28.6</v>
      </c>
    </row>
    <row r="504" spans="1:22" x14ac:dyDescent="0.25">
      <c r="A504" t="s">
        <v>1809</v>
      </c>
      <c r="B504" t="s">
        <v>507</v>
      </c>
      <c r="C504">
        <v>23</v>
      </c>
      <c r="D504" t="s">
        <v>79</v>
      </c>
      <c r="E504" t="s">
        <v>39</v>
      </c>
      <c r="F504" t="s">
        <v>38</v>
      </c>
      <c r="G504">
        <v>0.7</v>
      </c>
      <c r="H504" t="s">
        <v>45</v>
      </c>
      <c r="I504">
        <v>-2</v>
      </c>
      <c r="J504" t="str">
        <f>HYPERLINK("https://www.eliteprospects.com/player/880423/ben-danford")</f>
        <v>https://www.eliteprospects.com/player/880423/ben-danford</v>
      </c>
      <c r="K504" t="s">
        <v>27</v>
      </c>
      <c r="L504" t="s">
        <v>485</v>
      </c>
      <c r="M504" t="s">
        <v>1296</v>
      </c>
      <c r="N504">
        <v>4</v>
      </c>
      <c r="O504" t="s">
        <v>486</v>
      </c>
      <c r="P504">
        <v>0.1</v>
      </c>
      <c r="Q504" t="s">
        <v>245</v>
      </c>
      <c r="R504">
        <v>14.3</v>
      </c>
      <c r="S504">
        <v>42.9</v>
      </c>
      <c r="T504">
        <v>28.6</v>
      </c>
      <c r="U504">
        <v>0</v>
      </c>
      <c r="V504">
        <v>14.3</v>
      </c>
    </row>
    <row r="505" spans="1:22" x14ac:dyDescent="0.25">
      <c r="A505" t="s">
        <v>1810</v>
      </c>
      <c r="B505" t="s">
        <v>488</v>
      </c>
      <c r="C505">
        <v>35</v>
      </c>
      <c r="D505" t="s">
        <v>260</v>
      </c>
      <c r="E505" t="s">
        <v>41</v>
      </c>
      <c r="F505" t="s">
        <v>38</v>
      </c>
      <c r="G505">
        <v>0.46</v>
      </c>
      <c r="H505" t="s">
        <v>41</v>
      </c>
      <c r="I505">
        <v>-24</v>
      </c>
      <c r="J505" t="str">
        <f>HYPERLINK("https://www.eliteprospects.com/player/911642/luca-blonda")</f>
        <v>https://www.eliteprospects.com/player/911642/luca-blonda</v>
      </c>
      <c r="K505" t="s">
        <v>27</v>
      </c>
      <c r="L505" t="s">
        <v>485</v>
      </c>
      <c r="M505" t="s">
        <v>1296</v>
      </c>
      <c r="N505">
        <v>2</v>
      </c>
      <c r="O505" t="s">
        <v>501</v>
      </c>
      <c r="P505">
        <v>7.0000000000000007E-2</v>
      </c>
      <c r="Q505" t="s">
        <v>245</v>
      </c>
      <c r="R505">
        <v>0</v>
      </c>
      <c r="S505">
        <v>44.4</v>
      </c>
      <c r="T505">
        <v>33.299999999999997</v>
      </c>
      <c r="U505">
        <v>0</v>
      </c>
      <c r="V505">
        <v>22.2</v>
      </c>
    </row>
    <row r="506" spans="1:22" x14ac:dyDescent="0.25">
      <c r="A506" t="s">
        <v>1811</v>
      </c>
      <c r="B506" t="s">
        <v>536</v>
      </c>
      <c r="C506">
        <v>40</v>
      </c>
      <c r="D506" t="s">
        <v>57</v>
      </c>
      <c r="E506" t="s">
        <v>45</v>
      </c>
      <c r="F506" t="s">
        <v>41</v>
      </c>
      <c r="G506">
        <v>0.38</v>
      </c>
      <c r="H506" t="s">
        <v>23</v>
      </c>
      <c r="I506">
        <v>-3</v>
      </c>
      <c r="J506" t="str">
        <f>HYPERLINK("https://www.eliteprospects.com/player/577010/cameron-aucoin")</f>
        <v>https://www.eliteprospects.com/player/577010/cameron-aucoin</v>
      </c>
      <c r="K506" t="s">
        <v>27</v>
      </c>
      <c r="L506" t="s">
        <v>485</v>
      </c>
      <c r="M506" t="s">
        <v>1296</v>
      </c>
      <c r="N506">
        <v>1</v>
      </c>
      <c r="O506" t="s">
        <v>494</v>
      </c>
      <c r="P506">
        <v>0.05</v>
      </c>
      <c r="Q506" t="s">
        <v>1300</v>
      </c>
      <c r="R506">
        <v>37.5</v>
      </c>
      <c r="S506">
        <v>37.5</v>
      </c>
      <c r="T506">
        <v>0</v>
      </c>
      <c r="U506">
        <v>12.5</v>
      </c>
      <c r="V506">
        <v>12.5</v>
      </c>
    </row>
    <row r="507" spans="1:22" x14ac:dyDescent="0.25">
      <c r="A507" t="s">
        <v>1812</v>
      </c>
      <c r="B507" t="s">
        <v>526</v>
      </c>
      <c r="C507">
        <v>36</v>
      </c>
      <c r="D507" t="s">
        <v>96</v>
      </c>
      <c r="E507" t="s">
        <v>32</v>
      </c>
      <c r="F507" t="s">
        <v>41</v>
      </c>
      <c r="G507">
        <v>0.42</v>
      </c>
      <c r="H507" t="s">
        <v>300</v>
      </c>
      <c r="I507">
        <v>6</v>
      </c>
      <c r="J507" t="str">
        <f>HYPERLINK("https://www.eliteprospects.com/player/747988/carson-cameron")</f>
        <v>https://www.eliteprospects.com/player/747988/carson-cameron</v>
      </c>
      <c r="K507" t="s">
        <v>27</v>
      </c>
      <c r="L507" t="s">
        <v>485</v>
      </c>
      <c r="M507" t="s">
        <v>1296</v>
      </c>
      <c r="N507">
        <v>3</v>
      </c>
      <c r="O507" t="s">
        <v>492</v>
      </c>
      <c r="P507">
        <v>0.06</v>
      </c>
      <c r="Q507" t="s">
        <v>1300</v>
      </c>
      <c r="R507">
        <v>57.1</v>
      </c>
      <c r="S507">
        <v>28.6</v>
      </c>
      <c r="T507">
        <v>0</v>
      </c>
      <c r="U507">
        <v>14.3</v>
      </c>
      <c r="V507">
        <v>0</v>
      </c>
    </row>
    <row r="508" spans="1:22" x14ac:dyDescent="0.25">
      <c r="A508" t="s">
        <v>1813</v>
      </c>
      <c r="B508" t="s">
        <v>507</v>
      </c>
      <c r="C508">
        <v>30</v>
      </c>
      <c r="D508" t="s">
        <v>140</v>
      </c>
      <c r="E508" t="s">
        <v>23</v>
      </c>
      <c r="F508" t="s">
        <v>41</v>
      </c>
      <c r="G508">
        <v>0.5</v>
      </c>
      <c r="H508" t="s">
        <v>47</v>
      </c>
      <c r="I508">
        <v>-27</v>
      </c>
      <c r="J508" t="str">
        <f>HYPERLINK("https://www.eliteprospects.com/player/885160/haoxi-wang")</f>
        <v>https://www.eliteprospects.com/player/885160/haoxi-wang</v>
      </c>
      <c r="K508" t="s">
        <v>27</v>
      </c>
      <c r="L508" t="s">
        <v>485</v>
      </c>
      <c r="M508" t="s">
        <v>1296</v>
      </c>
      <c r="N508">
        <v>2</v>
      </c>
      <c r="O508" t="s">
        <v>501</v>
      </c>
      <c r="P508">
        <v>7.0000000000000007E-2</v>
      </c>
      <c r="Q508" t="s">
        <v>245</v>
      </c>
      <c r="R508">
        <v>0</v>
      </c>
      <c r="S508">
        <v>44.4</v>
      </c>
      <c r="T508">
        <v>33.299999999999997</v>
      </c>
      <c r="U508">
        <v>0</v>
      </c>
      <c r="V508">
        <v>22.2</v>
      </c>
    </row>
    <row r="509" spans="1:22" x14ac:dyDescent="0.25">
      <c r="A509" t="s">
        <v>1814</v>
      </c>
      <c r="B509" t="s">
        <v>496</v>
      </c>
      <c r="C509">
        <v>41</v>
      </c>
      <c r="D509" t="s">
        <v>79</v>
      </c>
      <c r="E509" t="s">
        <v>65</v>
      </c>
      <c r="F509" t="s">
        <v>41</v>
      </c>
      <c r="G509">
        <v>0.37</v>
      </c>
      <c r="H509" t="s">
        <v>23</v>
      </c>
      <c r="I509">
        <v>0</v>
      </c>
      <c r="J509" t="str">
        <f>HYPERLINK("https://www.eliteprospects.com/player/752680/graydon-jones")</f>
        <v>https://www.eliteprospects.com/player/752680/graydon-jones</v>
      </c>
      <c r="K509" t="s">
        <v>27</v>
      </c>
      <c r="L509" t="s">
        <v>485</v>
      </c>
      <c r="M509" t="s">
        <v>1296</v>
      </c>
      <c r="N509">
        <v>2</v>
      </c>
      <c r="O509" t="s">
        <v>501</v>
      </c>
      <c r="P509">
        <v>0.05</v>
      </c>
      <c r="Q509" t="s">
        <v>1300</v>
      </c>
      <c r="R509">
        <v>37.5</v>
      </c>
      <c r="S509">
        <v>37.5</v>
      </c>
      <c r="T509">
        <v>0</v>
      </c>
      <c r="U509">
        <v>12.5</v>
      </c>
      <c r="V509">
        <v>12.5</v>
      </c>
    </row>
    <row r="510" spans="1:22" x14ac:dyDescent="0.25">
      <c r="A510" t="s">
        <v>1815</v>
      </c>
      <c r="B510" t="s">
        <v>507</v>
      </c>
      <c r="C510">
        <v>37</v>
      </c>
      <c r="D510" t="s">
        <v>132</v>
      </c>
      <c r="E510" t="s">
        <v>41</v>
      </c>
      <c r="F510" t="s">
        <v>41</v>
      </c>
      <c r="G510">
        <v>0.41</v>
      </c>
      <c r="H510" t="s">
        <v>491</v>
      </c>
      <c r="I510">
        <v>6</v>
      </c>
      <c r="J510" t="str">
        <f>HYPERLINK("https://www.eliteprospects.com/player/723430/zach-sandhu")</f>
        <v>https://www.eliteprospects.com/player/723430/zach-sandhu</v>
      </c>
      <c r="K510" t="s">
        <v>27</v>
      </c>
      <c r="L510" t="s">
        <v>485</v>
      </c>
      <c r="M510" t="s">
        <v>1296</v>
      </c>
      <c r="N510">
        <v>5</v>
      </c>
      <c r="O510" t="s">
        <v>508</v>
      </c>
      <c r="P510">
        <v>0.06</v>
      </c>
      <c r="Q510" t="s">
        <v>1300</v>
      </c>
      <c r="R510">
        <v>57.1</v>
      </c>
      <c r="S510">
        <v>28.6</v>
      </c>
      <c r="T510">
        <v>0</v>
      </c>
      <c r="U510">
        <v>14.3</v>
      </c>
      <c r="V510">
        <v>0</v>
      </c>
    </row>
    <row r="511" spans="1:22" x14ac:dyDescent="0.25">
      <c r="A511" t="s">
        <v>1816</v>
      </c>
      <c r="B511" t="s">
        <v>526</v>
      </c>
      <c r="C511">
        <v>37</v>
      </c>
      <c r="D511" t="s">
        <v>140</v>
      </c>
      <c r="E511" t="s">
        <v>69</v>
      </c>
      <c r="F511" t="s">
        <v>39</v>
      </c>
      <c r="G511">
        <v>0.38</v>
      </c>
      <c r="H511" t="s">
        <v>32</v>
      </c>
      <c r="I511">
        <v>1</v>
      </c>
      <c r="J511" t="str">
        <f>HYPERLINK("https://www.eliteprospects.com/player/966272/matthew-perreault")</f>
        <v>https://www.eliteprospects.com/player/966272/matthew-perreault</v>
      </c>
      <c r="K511" t="s">
        <v>27</v>
      </c>
      <c r="L511" t="s">
        <v>485</v>
      </c>
      <c r="M511" t="s">
        <v>1296</v>
      </c>
      <c r="N511">
        <v>1</v>
      </c>
      <c r="O511" t="s">
        <v>494</v>
      </c>
      <c r="P511">
        <v>0.05</v>
      </c>
      <c r="Q511" t="s">
        <v>1300</v>
      </c>
      <c r="R511">
        <v>57.1</v>
      </c>
      <c r="S511">
        <v>28.6</v>
      </c>
      <c r="T511">
        <v>0</v>
      </c>
      <c r="U511">
        <v>14.3</v>
      </c>
      <c r="V511">
        <v>0</v>
      </c>
    </row>
    <row r="512" spans="1:22" x14ac:dyDescent="0.25">
      <c r="A512" t="s">
        <v>1817</v>
      </c>
      <c r="B512" t="s">
        <v>498</v>
      </c>
      <c r="C512">
        <v>40</v>
      </c>
      <c r="D512" t="s">
        <v>96</v>
      </c>
      <c r="E512" t="s">
        <v>26</v>
      </c>
      <c r="F512" t="s">
        <v>65</v>
      </c>
      <c r="G512">
        <v>0.33</v>
      </c>
      <c r="H512" t="s">
        <v>24</v>
      </c>
      <c r="I512">
        <v>-1</v>
      </c>
      <c r="J512" t="str">
        <f>HYPERLINK("https://www.eliteprospects.com/player/880424/braedyn-rogers")</f>
        <v>https://www.eliteprospects.com/player/880424/braedyn-rogers</v>
      </c>
      <c r="K512" t="s">
        <v>27</v>
      </c>
      <c r="L512" t="s">
        <v>485</v>
      </c>
      <c r="M512" t="s">
        <v>1296</v>
      </c>
      <c r="N512">
        <v>4</v>
      </c>
      <c r="O512" t="s">
        <v>486</v>
      </c>
      <c r="P512">
        <v>0.05</v>
      </c>
      <c r="Q512" t="s">
        <v>1300</v>
      </c>
      <c r="R512">
        <v>37.5</v>
      </c>
      <c r="S512">
        <v>37.5</v>
      </c>
      <c r="T512">
        <v>0</v>
      </c>
      <c r="U512">
        <v>12.5</v>
      </c>
      <c r="V512">
        <v>12.5</v>
      </c>
    </row>
    <row r="513" spans="1:22" x14ac:dyDescent="0.25">
      <c r="A513" t="s">
        <v>1818</v>
      </c>
      <c r="B513" t="s">
        <v>521</v>
      </c>
      <c r="C513">
        <v>34</v>
      </c>
      <c r="D513" t="s">
        <v>140</v>
      </c>
      <c r="E513" t="s">
        <v>32</v>
      </c>
      <c r="F513" t="s">
        <v>65</v>
      </c>
      <c r="G513">
        <v>0.38</v>
      </c>
      <c r="H513" t="s">
        <v>32</v>
      </c>
      <c r="I513">
        <v>7</v>
      </c>
      <c r="J513" t="str">
        <f>HYPERLINK("https://www.eliteprospects.com/player/577187/ryan-white")</f>
        <v>https://www.eliteprospects.com/player/577187/ryan-white</v>
      </c>
      <c r="K513" t="s">
        <v>27</v>
      </c>
      <c r="L513" t="s">
        <v>485</v>
      </c>
      <c r="M513" t="s">
        <v>1296</v>
      </c>
      <c r="N513">
        <v>2</v>
      </c>
      <c r="O513" t="s">
        <v>501</v>
      </c>
      <c r="P513">
        <v>0.05</v>
      </c>
      <c r="Q513" t="s">
        <v>1325</v>
      </c>
      <c r="R513">
        <v>18.2</v>
      </c>
      <c r="S513">
        <v>9.1</v>
      </c>
      <c r="T513">
        <v>63.6</v>
      </c>
      <c r="U513">
        <v>0</v>
      </c>
      <c r="V513">
        <v>9.1</v>
      </c>
    </row>
    <row r="514" spans="1:22" x14ac:dyDescent="0.25">
      <c r="A514" t="s">
        <v>1819</v>
      </c>
      <c r="B514" t="s">
        <v>532</v>
      </c>
      <c r="C514">
        <v>39</v>
      </c>
      <c r="D514" t="s">
        <v>140</v>
      </c>
      <c r="E514" t="s">
        <v>32</v>
      </c>
      <c r="F514" t="s">
        <v>65</v>
      </c>
      <c r="G514">
        <v>0.33</v>
      </c>
      <c r="H514" t="s">
        <v>84</v>
      </c>
      <c r="I514">
        <v>2</v>
      </c>
      <c r="J514" t="str">
        <f>HYPERLINK("https://www.eliteprospects.com/player/866570/linus-funck")</f>
        <v>https://www.eliteprospects.com/player/866570/linus-funck</v>
      </c>
      <c r="K514" t="s">
        <v>27</v>
      </c>
      <c r="L514" t="s">
        <v>485</v>
      </c>
      <c r="M514" t="s">
        <v>1296</v>
      </c>
      <c r="N514">
        <v>1</v>
      </c>
      <c r="O514" t="s">
        <v>494</v>
      </c>
      <c r="P514">
        <v>0.05</v>
      </c>
      <c r="Q514" t="s">
        <v>1300</v>
      </c>
      <c r="R514">
        <v>57.1</v>
      </c>
      <c r="S514">
        <v>28.6</v>
      </c>
      <c r="T514">
        <v>0</v>
      </c>
      <c r="U514">
        <v>14.3</v>
      </c>
      <c r="V514">
        <v>0</v>
      </c>
    </row>
    <row r="515" spans="1:22" x14ac:dyDescent="0.25">
      <c r="A515" t="s">
        <v>1820</v>
      </c>
      <c r="B515" t="s">
        <v>527</v>
      </c>
      <c r="C515">
        <v>34</v>
      </c>
      <c r="D515" t="s">
        <v>79</v>
      </c>
      <c r="E515" t="s">
        <v>69</v>
      </c>
      <c r="F515" t="s">
        <v>65</v>
      </c>
      <c r="G515">
        <v>0.38</v>
      </c>
      <c r="H515" t="s">
        <v>589</v>
      </c>
      <c r="I515">
        <v>2</v>
      </c>
      <c r="J515" t="str">
        <f>HYPERLINK("https://www.eliteprospects.com/player/888277/grant-spada")</f>
        <v>https://www.eliteprospects.com/player/888277/grant-spada</v>
      </c>
      <c r="K515" t="s">
        <v>27</v>
      </c>
      <c r="L515" t="s">
        <v>485</v>
      </c>
      <c r="M515" t="s">
        <v>1296</v>
      </c>
      <c r="N515">
        <v>3</v>
      </c>
      <c r="O515" t="s">
        <v>492</v>
      </c>
      <c r="P515">
        <v>0.05</v>
      </c>
      <c r="Q515" t="s">
        <v>1300</v>
      </c>
      <c r="R515">
        <v>57.1</v>
      </c>
      <c r="S515">
        <v>28.6</v>
      </c>
      <c r="T515">
        <v>0</v>
      </c>
      <c r="U515">
        <v>14.3</v>
      </c>
      <c r="V515">
        <v>0</v>
      </c>
    </row>
    <row r="516" spans="1:22" x14ac:dyDescent="0.25">
      <c r="A516" t="s">
        <v>1821</v>
      </c>
      <c r="B516" t="s">
        <v>546</v>
      </c>
      <c r="C516">
        <v>37</v>
      </c>
      <c r="D516" t="s">
        <v>79</v>
      </c>
      <c r="E516" t="s">
        <v>69</v>
      </c>
      <c r="F516" t="s">
        <v>65</v>
      </c>
      <c r="G516">
        <v>0.35</v>
      </c>
      <c r="H516" t="s">
        <v>23</v>
      </c>
      <c r="I516">
        <v>2</v>
      </c>
      <c r="J516" t="str">
        <f>HYPERLINK("https://www.eliteprospects.com/player/897606/jonathan-kapageridis")</f>
        <v>https://www.eliteprospects.com/player/897606/jonathan-kapageridis</v>
      </c>
      <c r="K516" t="s">
        <v>27</v>
      </c>
      <c r="L516" t="s">
        <v>485</v>
      </c>
      <c r="M516" t="s">
        <v>1296</v>
      </c>
      <c r="N516">
        <v>2</v>
      </c>
      <c r="O516" t="s">
        <v>501</v>
      </c>
      <c r="P516">
        <v>0.05</v>
      </c>
      <c r="Q516" t="s">
        <v>1300</v>
      </c>
      <c r="R516">
        <v>57.1</v>
      </c>
      <c r="S516">
        <v>28.6</v>
      </c>
      <c r="T516">
        <v>0</v>
      </c>
      <c r="U516">
        <v>14.3</v>
      </c>
      <c r="V516">
        <v>0</v>
      </c>
    </row>
    <row r="517" spans="1:22" x14ac:dyDescent="0.25">
      <c r="A517" t="s">
        <v>1822</v>
      </c>
      <c r="B517" t="s">
        <v>484</v>
      </c>
      <c r="C517">
        <v>39</v>
      </c>
      <c r="D517" t="s">
        <v>79</v>
      </c>
      <c r="E517" t="s">
        <v>69</v>
      </c>
      <c r="F517" t="s">
        <v>65</v>
      </c>
      <c r="G517">
        <v>0.33</v>
      </c>
      <c r="H517" t="s">
        <v>75</v>
      </c>
      <c r="I517">
        <v>24</v>
      </c>
      <c r="J517" t="str">
        <f>HYPERLINK("https://www.eliteprospects.com/player/897540/luka-graziano")</f>
        <v>https://www.eliteprospects.com/player/897540/luka-graziano</v>
      </c>
      <c r="K517" t="s">
        <v>27</v>
      </c>
      <c r="L517" t="s">
        <v>485</v>
      </c>
      <c r="M517" t="s">
        <v>1296</v>
      </c>
      <c r="N517">
        <v>1</v>
      </c>
      <c r="O517" t="s">
        <v>494</v>
      </c>
      <c r="P517">
        <v>0.05</v>
      </c>
      <c r="Q517" t="s">
        <v>1309</v>
      </c>
      <c r="R517">
        <v>14.3</v>
      </c>
      <c r="S517">
        <v>28.6</v>
      </c>
      <c r="T517">
        <v>28.6</v>
      </c>
      <c r="U517">
        <v>0</v>
      </c>
      <c r="V517">
        <v>28.6</v>
      </c>
    </row>
    <row r="518" spans="1:22" x14ac:dyDescent="0.25">
      <c r="A518" t="s">
        <v>1823</v>
      </c>
      <c r="B518" t="s">
        <v>536</v>
      </c>
      <c r="C518">
        <v>39</v>
      </c>
      <c r="D518" t="s">
        <v>140</v>
      </c>
      <c r="E518" t="s">
        <v>45</v>
      </c>
      <c r="F518" t="s">
        <v>23</v>
      </c>
      <c r="G518">
        <v>0.31</v>
      </c>
      <c r="H518" t="s">
        <v>489</v>
      </c>
      <c r="I518">
        <v>-6</v>
      </c>
      <c r="J518" t="str">
        <f>HYPERLINK("https://www.eliteprospects.com/player/800060/jacob-reese")</f>
        <v>https://www.eliteprospects.com/player/800060/jacob-reese</v>
      </c>
      <c r="K518" t="s">
        <v>27</v>
      </c>
      <c r="L518" t="s">
        <v>485</v>
      </c>
      <c r="M518" t="s">
        <v>1296</v>
      </c>
      <c r="N518">
        <v>1</v>
      </c>
      <c r="O518" t="s">
        <v>494</v>
      </c>
      <c r="P518">
        <v>0.04</v>
      </c>
      <c r="Q518" t="s">
        <v>1488</v>
      </c>
      <c r="R518">
        <v>0</v>
      </c>
      <c r="S518">
        <v>0</v>
      </c>
      <c r="T518">
        <v>0</v>
      </c>
      <c r="U518">
        <v>0</v>
      </c>
      <c r="V518">
        <v>0</v>
      </c>
    </row>
    <row r="519" spans="1:22" x14ac:dyDescent="0.25">
      <c r="A519" t="s">
        <v>1824</v>
      </c>
      <c r="B519" t="s">
        <v>578</v>
      </c>
      <c r="C519">
        <v>41</v>
      </c>
      <c r="D519" t="s">
        <v>140</v>
      </c>
      <c r="E519" t="s">
        <v>45</v>
      </c>
      <c r="F519" t="s">
        <v>23</v>
      </c>
      <c r="G519">
        <v>0.28999999999999998</v>
      </c>
      <c r="H519" t="s">
        <v>39</v>
      </c>
      <c r="I519">
        <v>-17</v>
      </c>
      <c r="J519" t="str">
        <f>HYPERLINK("https://www.eliteprospects.com/player/597857/tristen-trevino")</f>
        <v>https://www.eliteprospects.com/player/597857/tristen-trevino</v>
      </c>
      <c r="K519" t="s">
        <v>27</v>
      </c>
      <c r="L519" t="s">
        <v>485</v>
      </c>
      <c r="M519" t="s">
        <v>1296</v>
      </c>
      <c r="N519">
        <v>1</v>
      </c>
      <c r="O519" t="s">
        <v>494</v>
      </c>
      <c r="P519">
        <v>0.04</v>
      </c>
      <c r="Q519" t="s">
        <v>1488</v>
      </c>
      <c r="R519">
        <v>0</v>
      </c>
      <c r="S519">
        <v>0</v>
      </c>
      <c r="T519">
        <v>0</v>
      </c>
      <c r="U519">
        <v>0</v>
      </c>
      <c r="V519">
        <v>0</v>
      </c>
    </row>
    <row r="520" spans="1:22" x14ac:dyDescent="0.25">
      <c r="A520" t="s">
        <v>1825</v>
      </c>
      <c r="B520" t="s">
        <v>532</v>
      </c>
      <c r="C520">
        <v>31</v>
      </c>
      <c r="D520" t="s">
        <v>79</v>
      </c>
      <c r="E520" t="s">
        <v>32</v>
      </c>
      <c r="F520" t="s">
        <v>23</v>
      </c>
      <c r="G520">
        <v>0.39</v>
      </c>
      <c r="H520" t="s">
        <v>24</v>
      </c>
      <c r="I520">
        <v>12</v>
      </c>
      <c r="J520" t="str">
        <f>HYPERLINK("https://www.eliteprospects.com/player/628140/caleb-mitchell")</f>
        <v>https://www.eliteprospects.com/player/628140/caleb-mitchell</v>
      </c>
      <c r="K520" t="s">
        <v>27</v>
      </c>
      <c r="L520" t="s">
        <v>485</v>
      </c>
      <c r="M520" t="s">
        <v>1296</v>
      </c>
      <c r="N520">
        <v>2</v>
      </c>
      <c r="O520" t="s">
        <v>501</v>
      </c>
      <c r="P520">
        <v>0.06</v>
      </c>
      <c r="Q520" t="s">
        <v>1325</v>
      </c>
      <c r="R520">
        <v>18.2</v>
      </c>
      <c r="S520">
        <v>9.1</v>
      </c>
      <c r="T520">
        <v>63.6</v>
      </c>
      <c r="U520">
        <v>0</v>
      </c>
      <c r="V520">
        <v>9.1</v>
      </c>
    </row>
    <row r="521" spans="1:22" x14ac:dyDescent="0.25">
      <c r="A521" t="s">
        <v>1826</v>
      </c>
      <c r="B521" t="s">
        <v>498</v>
      </c>
      <c r="C521">
        <v>38</v>
      </c>
      <c r="D521" t="s">
        <v>79</v>
      </c>
      <c r="E521" t="s">
        <v>32</v>
      </c>
      <c r="F521" t="s">
        <v>23</v>
      </c>
      <c r="G521">
        <v>0.32</v>
      </c>
      <c r="H521" t="s">
        <v>544</v>
      </c>
      <c r="I521">
        <v>5</v>
      </c>
      <c r="J521" t="str">
        <f>HYPERLINK("https://www.eliteprospects.com/player/897523/elliot-arnett")</f>
        <v>https://www.eliteprospects.com/player/897523/elliot-arnett</v>
      </c>
      <c r="K521" t="s">
        <v>27</v>
      </c>
      <c r="L521" t="s">
        <v>485</v>
      </c>
      <c r="M521" t="s">
        <v>1296</v>
      </c>
      <c r="N521">
        <v>2</v>
      </c>
      <c r="O521" t="s">
        <v>501</v>
      </c>
      <c r="P521">
        <v>0.05</v>
      </c>
      <c r="Q521" t="s">
        <v>1300</v>
      </c>
      <c r="R521">
        <v>57.1</v>
      </c>
      <c r="S521">
        <v>28.6</v>
      </c>
      <c r="T521">
        <v>0</v>
      </c>
      <c r="U521">
        <v>14.3</v>
      </c>
      <c r="V521">
        <v>0</v>
      </c>
    </row>
    <row r="522" spans="1:22" x14ac:dyDescent="0.25">
      <c r="A522" t="s">
        <v>1827</v>
      </c>
      <c r="B522" t="s">
        <v>507</v>
      </c>
      <c r="C522">
        <v>40</v>
      </c>
      <c r="D522" t="s">
        <v>79</v>
      </c>
      <c r="E522" t="s">
        <v>32</v>
      </c>
      <c r="F522" t="s">
        <v>23</v>
      </c>
      <c r="G522">
        <v>0.3</v>
      </c>
      <c r="H522" t="s">
        <v>739</v>
      </c>
      <c r="I522">
        <v>-4</v>
      </c>
      <c r="J522" t="str">
        <f>HYPERLINK("https://www.eliteprospects.com/player/679516/garrett-frazer")</f>
        <v>https://www.eliteprospects.com/player/679516/garrett-frazer</v>
      </c>
      <c r="K522" t="s">
        <v>27</v>
      </c>
      <c r="L522" t="s">
        <v>485</v>
      </c>
      <c r="M522" t="s">
        <v>1296</v>
      </c>
      <c r="N522">
        <v>2</v>
      </c>
      <c r="O522" t="s">
        <v>501</v>
      </c>
      <c r="P522">
        <v>0.04</v>
      </c>
      <c r="Q522" t="s">
        <v>1488</v>
      </c>
      <c r="R522">
        <v>0</v>
      </c>
      <c r="S522">
        <v>0</v>
      </c>
      <c r="T522">
        <v>0</v>
      </c>
      <c r="U522">
        <v>0</v>
      </c>
      <c r="V522">
        <v>0</v>
      </c>
    </row>
    <row r="523" spans="1:22" x14ac:dyDescent="0.25">
      <c r="A523" t="s">
        <v>1828</v>
      </c>
      <c r="B523" t="s">
        <v>521</v>
      </c>
      <c r="C523">
        <v>39</v>
      </c>
      <c r="D523" t="s">
        <v>260</v>
      </c>
      <c r="E523" t="s">
        <v>69</v>
      </c>
      <c r="F523" t="s">
        <v>23</v>
      </c>
      <c r="G523">
        <v>0.31</v>
      </c>
      <c r="H523" t="s">
        <v>280</v>
      </c>
      <c r="I523">
        <v>16</v>
      </c>
      <c r="J523" t="str">
        <f>HYPERLINK("https://www.eliteprospects.com/player/888273/kaleb-dietsch")</f>
        <v>https://www.eliteprospects.com/player/888273/kaleb-dietsch</v>
      </c>
      <c r="K523" t="s">
        <v>27</v>
      </c>
      <c r="L523" t="s">
        <v>485</v>
      </c>
      <c r="M523" t="s">
        <v>1296</v>
      </c>
      <c r="N523">
        <v>3</v>
      </c>
      <c r="O523" t="s">
        <v>492</v>
      </c>
      <c r="P523">
        <v>0.04</v>
      </c>
      <c r="Q523" t="s">
        <v>1488</v>
      </c>
      <c r="R523">
        <v>0</v>
      </c>
      <c r="S523">
        <v>0</v>
      </c>
      <c r="T523">
        <v>0</v>
      </c>
      <c r="U523">
        <v>0</v>
      </c>
      <c r="V523">
        <v>0</v>
      </c>
    </row>
    <row r="524" spans="1:22" x14ac:dyDescent="0.25">
      <c r="A524" t="s">
        <v>1829</v>
      </c>
      <c r="B524" t="s">
        <v>527</v>
      </c>
      <c r="C524">
        <v>17</v>
      </c>
      <c r="D524" t="s">
        <v>66</v>
      </c>
      <c r="E524" t="s">
        <v>78</v>
      </c>
      <c r="F524" t="s">
        <v>69</v>
      </c>
      <c r="G524">
        <v>0.65</v>
      </c>
      <c r="H524" t="s">
        <v>33</v>
      </c>
      <c r="I524">
        <v>3</v>
      </c>
      <c r="J524" t="str">
        <f>HYPERLINK("https://www.eliteprospects.com/player/881136/noah-jenken")</f>
        <v>https://www.eliteprospects.com/player/881136/noah-jenken</v>
      </c>
      <c r="K524" t="s">
        <v>27</v>
      </c>
      <c r="L524" t="s">
        <v>485</v>
      </c>
      <c r="M524" t="s">
        <v>1296</v>
      </c>
      <c r="N524">
        <v>3</v>
      </c>
      <c r="O524" t="s">
        <v>492</v>
      </c>
      <c r="P524">
        <v>0.09</v>
      </c>
      <c r="Q524" t="s">
        <v>1300</v>
      </c>
      <c r="R524">
        <v>37.5</v>
      </c>
      <c r="S524">
        <v>12.5</v>
      </c>
      <c r="T524">
        <v>12.5</v>
      </c>
      <c r="U524">
        <v>12.5</v>
      </c>
      <c r="V524">
        <v>25</v>
      </c>
    </row>
    <row r="525" spans="1:22" x14ac:dyDescent="0.25">
      <c r="A525" t="s">
        <v>1830</v>
      </c>
      <c r="B525" t="s">
        <v>561</v>
      </c>
      <c r="C525">
        <v>40</v>
      </c>
      <c r="D525" t="s">
        <v>66</v>
      </c>
      <c r="E525" t="s">
        <v>78</v>
      </c>
      <c r="F525" t="s">
        <v>69</v>
      </c>
      <c r="G525">
        <v>0.28000000000000003</v>
      </c>
      <c r="H525" t="s">
        <v>125</v>
      </c>
      <c r="I525">
        <v>14</v>
      </c>
      <c r="J525" t="str">
        <f>HYPERLINK("https://www.eliteprospects.com/player/890383/andre-mondoux")</f>
        <v>https://www.eliteprospects.com/player/890383/andre-mondoux</v>
      </c>
      <c r="K525" t="s">
        <v>27</v>
      </c>
      <c r="L525" t="s">
        <v>485</v>
      </c>
      <c r="M525" t="s">
        <v>1296</v>
      </c>
      <c r="N525">
        <v>2</v>
      </c>
      <c r="O525" t="s">
        <v>501</v>
      </c>
      <c r="P525">
        <v>0.04</v>
      </c>
      <c r="Q525" t="s">
        <v>1488</v>
      </c>
      <c r="R525">
        <v>0</v>
      </c>
      <c r="S525">
        <v>0</v>
      </c>
      <c r="T525">
        <v>0</v>
      </c>
      <c r="U525">
        <v>0</v>
      </c>
      <c r="V525">
        <v>0</v>
      </c>
    </row>
    <row r="526" spans="1:22" x14ac:dyDescent="0.25">
      <c r="A526" t="s">
        <v>1831</v>
      </c>
      <c r="B526" t="s">
        <v>536</v>
      </c>
      <c r="C526">
        <v>28</v>
      </c>
      <c r="D526" t="s">
        <v>260</v>
      </c>
      <c r="E526" t="s">
        <v>32</v>
      </c>
      <c r="F526" t="s">
        <v>69</v>
      </c>
      <c r="G526">
        <v>0.39</v>
      </c>
      <c r="H526" t="s">
        <v>65</v>
      </c>
      <c r="I526">
        <v>-11</v>
      </c>
      <c r="J526" t="str">
        <f>HYPERLINK("https://www.eliteprospects.com/player/888266/james-barr")</f>
        <v>https://www.eliteprospects.com/player/888266/james-barr</v>
      </c>
      <c r="K526" t="s">
        <v>27</v>
      </c>
      <c r="L526" t="s">
        <v>485</v>
      </c>
      <c r="M526" t="s">
        <v>1296</v>
      </c>
      <c r="N526">
        <v>3</v>
      </c>
      <c r="O526" t="s">
        <v>492</v>
      </c>
      <c r="P526">
        <v>0.06</v>
      </c>
      <c r="Q526" t="s">
        <v>1309</v>
      </c>
      <c r="R526">
        <v>0</v>
      </c>
      <c r="S526">
        <v>20</v>
      </c>
      <c r="T526">
        <v>40</v>
      </c>
      <c r="U526">
        <v>0</v>
      </c>
      <c r="V526">
        <v>40</v>
      </c>
    </row>
    <row r="527" spans="1:22" x14ac:dyDescent="0.25">
      <c r="A527" t="s">
        <v>1832</v>
      </c>
      <c r="B527" t="s">
        <v>521</v>
      </c>
      <c r="C527">
        <v>38</v>
      </c>
      <c r="D527" t="s">
        <v>260</v>
      </c>
      <c r="E527" t="s">
        <v>32</v>
      </c>
      <c r="F527" t="s">
        <v>69</v>
      </c>
      <c r="G527">
        <v>0.28999999999999998</v>
      </c>
      <c r="H527" t="s">
        <v>265</v>
      </c>
      <c r="I527">
        <v>17</v>
      </c>
      <c r="J527" t="str">
        <f>HYPERLINK("https://www.eliteprospects.com/player/784713/connor-bewick")</f>
        <v>https://www.eliteprospects.com/player/784713/connor-bewick</v>
      </c>
      <c r="K527" t="s">
        <v>27</v>
      </c>
      <c r="L527" t="s">
        <v>485</v>
      </c>
      <c r="M527" t="s">
        <v>1296</v>
      </c>
      <c r="N527">
        <v>1</v>
      </c>
      <c r="O527" t="s">
        <v>494</v>
      </c>
      <c r="P527">
        <v>0.04</v>
      </c>
      <c r="Q527" t="s">
        <v>1488</v>
      </c>
      <c r="R527">
        <v>0</v>
      </c>
      <c r="S527">
        <v>0</v>
      </c>
      <c r="T527">
        <v>0</v>
      </c>
      <c r="U527">
        <v>0</v>
      </c>
      <c r="V527">
        <v>0</v>
      </c>
    </row>
    <row r="528" spans="1:22" x14ac:dyDescent="0.25">
      <c r="A528" t="s">
        <v>1833</v>
      </c>
      <c r="B528" t="s">
        <v>578</v>
      </c>
      <c r="C528">
        <v>39</v>
      </c>
      <c r="D528" t="s">
        <v>260</v>
      </c>
      <c r="E528" t="s">
        <v>32</v>
      </c>
      <c r="F528" t="s">
        <v>69</v>
      </c>
      <c r="G528">
        <v>0.28000000000000003</v>
      </c>
      <c r="H528" t="s">
        <v>265</v>
      </c>
      <c r="I528">
        <v>-24</v>
      </c>
      <c r="J528" t="str">
        <f>HYPERLINK("https://www.eliteprospects.com/player/897478/lucas-ambrosio")</f>
        <v>https://www.eliteprospects.com/player/897478/lucas-ambrosio</v>
      </c>
      <c r="K528" t="s">
        <v>27</v>
      </c>
      <c r="L528" t="s">
        <v>485</v>
      </c>
      <c r="M528" t="s">
        <v>1296</v>
      </c>
      <c r="N528">
        <v>2</v>
      </c>
      <c r="O528" t="s">
        <v>501</v>
      </c>
      <c r="P528">
        <v>0.04</v>
      </c>
      <c r="Q528" t="s">
        <v>1488</v>
      </c>
      <c r="R528">
        <v>0</v>
      </c>
      <c r="S528">
        <v>0</v>
      </c>
      <c r="T528">
        <v>0</v>
      </c>
      <c r="U528">
        <v>0</v>
      </c>
      <c r="V528">
        <v>0</v>
      </c>
    </row>
    <row r="529" spans="1:22" x14ac:dyDescent="0.25">
      <c r="A529" t="s">
        <v>1834</v>
      </c>
      <c r="B529" t="s">
        <v>490</v>
      </c>
      <c r="C529">
        <v>35</v>
      </c>
      <c r="D529" t="s">
        <v>79</v>
      </c>
      <c r="E529" t="s">
        <v>26</v>
      </c>
      <c r="F529" t="s">
        <v>32</v>
      </c>
      <c r="G529">
        <v>0.28999999999999998</v>
      </c>
      <c r="H529" t="s">
        <v>235</v>
      </c>
      <c r="I529">
        <v>-3</v>
      </c>
      <c r="J529" t="str">
        <f>HYPERLINK("https://www.eliteprospects.com/player/603119/grayson-tiller")</f>
        <v>https://www.eliteprospects.com/player/603119/grayson-tiller</v>
      </c>
      <c r="K529" t="s">
        <v>27</v>
      </c>
      <c r="L529" t="s">
        <v>485</v>
      </c>
      <c r="M529" t="s">
        <v>1296</v>
      </c>
      <c r="N529">
        <v>5</v>
      </c>
      <c r="O529" t="s">
        <v>508</v>
      </c>
      <c r="P529">
        <v>0.04</v>
      </c>
      <c r="Q529" t="s">
        <v>1488</v>
      </c>
      <c r="R529">
        <v>0</v>
      </c>
      <c r="S529">
        <v>0</v>
      </c>
      <c r="T529">
        <v>0</v>
      </c>
      <c r="U529">
        <v>0</v>
      </c>
      <c r="V529">
        <v>0</v>
      </c>
    </row>
    <row r="530" spans="1:22" x14ac:dyDescent="0.25">
      <c r="A530" t="s">
        <v>1835</v>
      </c>
      <c r="B530" t="s">
        <v>520</v>
      </c>
      <c r="C530">
        <v>36</v>
      </c>
      <c r="D530" t="s">
        <v>79</v>
      </c>
      <c r="E530" t="s">
        <v>26</v>
      </c>
      <c r="F530" t="s">
        <v>32</v>
      </c>
      <c r="G530">
        <v>0.28000000000000003</v>
      </c>
      <c r="H530" t="s">
        <v>23</v>
      </c>
      <c r="I530">
        <v>15</v>
      </c>
      <c r="J530" t="str">
        <f>HYPERLINK("https://www.eliteprospects.com/player/906007/andrew-robinson")</f>
        <v>https://www.eliteprospects.com/player/906007/andrew-robinson</v>
      </c>
      <c r="K530" t="s">
        <v>27</v>
      </c>
      <c r="L530" t="s">
        <v>485</v>
      </c>
      <c r="M530" t="s">
        <v>1296</v>
      </c>
      <c r="N530">
        <v>2</v>
      </c>
      <c r="O530" t="s">
        <v>501</v>
      </c>
      <c r="P530">
        <v>0.04</v>
      </c>
      <c r="Q530" t="s">
        <v>1488</v>
      </c>
      <c r="R530">
        <v>0</v>
      </c>
      <c r="S530">
        <v>0</v>
      </c>
      <c r="T530">
        <v>0</v>
      </c>
      <c r="U530">
        <v>0</v>
      </c>
      <c r="V530">
        <v>0</v>
      </c>
    </row>
    <row r="531" spans="1:22" x14ac:dyDescent="0.25">
      <c r="A531" t="s">
        <v>1836</v>
      </c>
      <c r="B531" t="s">
        <v>520</v>
      </c>
      <c r="C531">
        <v>38</v>
      </c>
      <c r="D531" t="s">
        <v>79</v>
      </c>
      <c r="E531" t="s">
        <v>26</v>
      </c>
      <c r="F531" t="s">
        <v>32</v>
      </c>
      <c r="G531">
        <v>0.26</v>
      </c>
      <c r="H531" t="s">
        <v>111</v>
      </c>
      <c r="I531">
        <v>8</v>
      </c>
      <c r="J531" t="str">
        <f>HYPERLINK("https://www.eliteprospects.com/player/911132/conor-walton")</f>
        <v>https://www.eliteprospects.com/player/911132/conor-walton</v>
      </c>
      <c r="K531" t="s">
        <v>27</v>
      </c>
      <c r="L531" t="s">
        <v>485</v>
      </c>
      <c r="M531" t="s">
        <v>1296</v>
      </c>
      <c r="N531">
        <v>4</v>
      </c>
      <c r="O531" t="s">
        <v>486</v>
      </c>
      <c r="P531">
        <v>0.04</v>
      </c>
      <c r="Q531" t="s">
        <v>1488</v>
      </c>
      <c r="R531">
        <v>0</v>
      </c>
      <c r="S531">
        <v>0</v>
      </c>
      <c r="T531">
        <v>0</v>
      </c>
      <c r="U531">
        <v>0</v>
      </c>
      <c r="V531">
        <v>0</v>
      </c>
    </row>
    <row r="532" spans="1:22" x14ac:dyDescent="0.25">
      <c r="A532" t="s">
        <v>1837</v>
      </c>
      <c r="B532" t="s">
        <v>504</v>
      </c>
      <c r="C532">
        <v>24</v>
      </c>
      <c r="D532" t="s">
        <v>260</v>
      </c>
      <c r="E532" t="s">
        <v>45</v>
      </c>
      <c r="F532" t="s">
        <v>32</v>
      </c>
      <c r="G532">
        <v>0.42</v>
      </c>
      <c r="H532" t="s">
        <v>23</v>
      </c>
      <c r="I532">
        <v>0</v>
      </c>
      <c r="J532" t="str">
        <f>HYPERLINK("https://www.eliteprospects.com/player/880425/carson-campbell")</f>
        <v>https://www.eliteprospects.com/player/880425/carson-campbell</v>
      </c>
      <c r="K532" t="s">
        <v>27</v>
      </c>
      <c r="L532" t="s">
        <v>485</v>
      </c>
      <c r="M532" t="s">
        <v>1296</v>
      </c>
      <c r="N532">
        <v>4</v>
      </c>
      <c r="O532" t="s">
        <v>486</v>
      </c>
      <c r="P532">
        <v>0.06</v>
      </c>
      <c r="Q532" t="s">
        <v>1300</v>
      </c>
      <c r="R532">
        <v>37.5</v>
      </c>
      <c r="S532">
        <v>37.5</v>
      </c>
      <c r="T532">
        <v>0</v>
      </c>
      <c r="U532">
        <v>12.5</v>
      </c>
      <c r="V532">
        <v>12.5</v>
      </c>
    </row>
    <row r="533" spans="1:22" x14ac:dyDescent="0.25">
      <c r="A533" t="s">
        <v>1838</v>
      </c>
      <c r="B533" t="s">
        <v>510</v>
      </c>
      <c r="C533">
        <v>39</v>
      </c>
      <c r="D533" t="s">
        <v>260</v>
      </c>
      <c r="E533" t="s">
        <v>45</v>
      </c>
      <c r="F533" t="s">
        <v>32</v>
      </c>
      <c r="G533">
        <v>0.26</v>
      </c>
      <c r="H533" t="s">
        <v>24</v>
      </c>
      <c r="I533">
        <v>7</v>
      </c>
      <c r="J533" t="str">
        <f>HYPERLINK("https://www.eliteprospects.com/player/976483/harris-pangretitsch")</f>
        <v>https://www.eliteprospects.com/player/976483/harris-pangretitsch</v>
      </c>
      <c r="K533" t="s">
        <v>27</v>
      </c>
      <c r="L533" t="s">
        <v>485</v>
      </c>
      <c r="M533" t="s">
        <v>1296</v>
      </c>
      <c r="N533">
        <v>1</v>
      </c>
      <c r="O533" t="s">
        <v>494</v>
      </c>
      <c r="P533">
        <v>0.04</v>
      </c>
      <c r="Q533" t="s">
        <v>1488</v>
      </c>
      <c r="R533">
        <v>0</v>
      </c>
      <c r="S533">
        <v>0</v>
      </c>
      <c r="T533">
        <v>0</v>
      </c>
      <c r="U533">
        <v>0</v>
      </c>
      <c r="V533">
        <v>0</v>
      </c>
    </row>
    <row r="534" spans="1:22" x14ac:dyDescent="0.25">
      <c r="A534" t="s">
        <v>1839</v>
      </c>
      <c r="B534" t="s">
        <v>561</v>
      </c>
      <c r="C534">
        <v>42</v>
      </c>
      <c r="D534" t="s">
        <v>260</v>
      </c>
      <c r="E534" t="s">
        <v>45</v>
      </c>
      <c r="F534" t="s">
        <v>32</v>
      </c>
      <c r="G534">
        <v>0.24</v>
      </c>
      <c r="H534" t="s">
        <v>81</v>
      </c>
      <c r="I534">
        <v>-6</v>
      </c>
      <c r="J534" t="str">
        <f>HYPERLINK("https://www.eliteprospects.com/player/719966/will-bishop")</f>
        <v>https://www.eliteprospects.com/player/719966/will-bishop</v>
      </c>
      <c r="K534" t="s">
        <v>27</v>
      </c>
      <c r="L534" t="s">
        <v>485</v>
      </c>
      <c r="M534" t="s">
        <v>1296</v>
      </c>
      <c r="N534">
        <v>5</v>
      </c>
      <c r="O534" t="s">
        <v>508</v>
      </c>
      <c r="P534">
        <v>0.03</v>
      </c>
      <c r="Q534" t="s">
        <v>1488</v>
      </c>
      <c r="R534">
        <v>0</v>
      </c>
      <c r="S534">
        <v>0</v>
      </c>
      <c r="T534">
        <v>0</v>
      </c>
      <c r="U534">
        <v>0</v>
      </c>
      <c r="V534">
        <v>0</v>
      </c>
    </row>
    <row r="535" spans="1:22" x14ac:dyDescent="0.25">
      <c r="A535" t="s">
        <v>1840</v>
      </c>
      <c r="B535" t="s">
        <v>578</v>
      </c>
      <c r="C535">
        <v>21</v>
      </c>
      <c r="D535" t="s">
        <v>132</v>
      </c>
      <c r="E535" t="s">
        <v>32</v>
      </c>
      <c r="F535" t="s">
        <v>32</v>
      </c>
      <c r="G535">
        <v>0.48</v>
      </c>
      <c r="H535" t="s">
        <v>79</v>
      </c>
      <c r="I535">
        <v>5</v>
      </c>
      <c r="J535" t="str">
        <f>HYPERLINK("https://www.eliteprospects.com/player/628144/michael-d-alessio")</f>
        <v>https://www.eliteprospects.com/player/628144/michael-d-alessio</v>
      </c>
      <c r="K535" t="s">
        <v>27</v>
      </c>
      <c r="L535" t="s">
        <v>485</v>
      </c>
      <c r="M535" t="s">
        <v>1296</v>
      </c>
      <c r="N535">
        <v>2</v>
      </c>
      <c r="O535" t="s">
        <v>501</v>
      </c>
      <c r="P535">
        <v>7.0000000000000007E-2</v>
      </c>
      <c r="Q535" t="s">
        <v>1300</v>
      </c>
      <c r="R535">
        <v>42.9</v>
      </c>
      <c r="S535">
        <v>28.6</v>
      </c>
      <c r="T535">
        <v>28.6</v>
      </c>
      <c r="U535">
        <v>0</v>
      </c>
      <c r="V535">
        <v>0</v>
      </c>
    </row>
    <row r="536" spans="1:22" x14ac:dyDescent="0.25">
      <c r="A536" t="s">
        <v>1841</v>
      </c>
      <c r="B536" t="s">
        <v>496</v>
      </c>
      <c r="C536">
        <v>37</v>
      </c>
      <c r="D536" t="s">
        <v>96</v>
      </c>
      <c r="E536" t="s">
        <v>66</v>
      </c>
      <c r="F536" t="s">
        <v>45</v>
      </c>
      <c r="G536">
        <v>0.24</v>
      </c>
      <c r="H536" t="s">
        <v>75</v>
      </c>
      <c r="I536">
        <v>-8</v>
      </c>
      <c r="J536" t="str">
        <f>HYPERLINK("https://www.eliteprospects.com/player/931230/xander-velliaris")</f>
        <v>https://www.eliteprospects.com/player/931230/xander-velliaris</v>
      </c>
      <c r="K536" t="s">
        <v>27</v>
      </c>
      <c r="L536" t="s">
        <v>485</v>
      </c>
      <c r="M536" t="s">
        <v>1296</v>
      </c>
      <c r="N536">
        <v>3</v>
      </c>
      <c r="O536" t="s">
        <v>492</v>
      </c>
      <c r="P536">
        <v>0.03</v>
      </c>
      <c r="Q536" t="s">
        <v>1488</v>
      </c>
      <c r="R536">
        <v>0</v>
      </c>
      <c r="S536">
        <v>0</v>
      </c>
      <c r="T536">
        <v>0</v>
      </c>
      <c r="U536">
        <v>0</v>
      </c>
      <c r="V536">
        <v>0</v>
      </c>
    </row>
    <row r="537" spans="1:22" x14ac:dyDescent="0.25">
      <c r="A537" t="s">
        <v>1842</v>
      </c>
      <c r="B537" t="s">
        <v>488</v>
      </c>
      <c r="C537">
        <v>39</v>
      </c>
      <c r="D537" t="s">
        <v>140</v>
      </c>
      <c r="E537" t="s">
        <v>57</v>
      </c>
      <c r="F537" t="s">
        <v>45</v>
      </c>
      <c r="G537">
        <v>0.23</v>
      </c>
      <c r="H537" t="s">
        <v>23</v>
      </c>
      <c r="I537">
        <v>-4</v>
      </c>
      <c r="J537" t="str">
        <f>HYPERLINK("https://www.eliteprospects.com/player/710746/gavin-ewles")</f>
        <v>https://www.eliteprospects.com/player/710746/gavin-ewles</v>
      </c>
      <c r="K537" t="s">
        <v>27</v>
      </c>
      <c r="L537" t="s">
        <v>485</v>
      </c>
      <c r="M537" t="s">
        <v>1296</v>
      </c>
      <c r="N537">
        <v>5</v>
      </c>
      <c r="O537" t="s">
        <v>508</v>
      </c>
      <c r="P537">
        <v>0.03</v>
      </c>
      <c r="Q537" t="s">
        <v>1488</v>
      </c>
      <c r="R537">
        <v>0</v>
      </c>
      <c r="S537">
        <v>0</v>
      </c>
      <c r="T537">
        <v>0</v>
      </c>
      <c r="U537">
        <v>0</v>
      </c>
      <c r="V537">
        <v>0</v>
      </c>
    </row>
    <row r="538" spans="1:22" x14ac:dyDescent="0.25">
      <c r="A538" t="s">
        <v>1843</v>
      </c>
      <c r="B538" t="s">
        <v>562</v>
      </c>
      <c r="C538">
        <v>16</v>
      </c>
      <c r="D538" t="s">
        <v>79</v>
      </c>
      <c r="E538" t="s">
        <v>78</v>
      </c>
      <c r="F538" t="s">
        <v>45</v>
      </c>
      <c r="G538">
        <v>0.56000000000000005</v>
      </c>
      <c r="H538" t="s">
        <v>79</v>
      </c>
      <c r="I538">
        <v>-17</v>
      </c>
      <c r="J538" t="str">
        <f>HYPERLINK("https://www.eliteprospects.com/player/628139/zachary-nyman")</f>
        <v>https://www.eliteprospects.com/player/628139/zachary-nyman</v>
      </c>
      <c r="K538" t="s">
        <v>27</v>
      </c>
      <c r="L538" t="s">
        <v>485</v>
      </c>
      <c r="M538" t="s">
        <v>1296</v>
      </c>
      <c r="N538">
        <v>1</v>
      </c>
      <c r="O538" t="s">
        <v>494</v>
      </c>
      <c r="P538">
        <v>0.08</v>
      </c>
      <c r="Q538" t="s">
        <v>245</v>
      </c>
      <c r="R538">
        <v>0</v>
      </c>
      <c r="S538">
        <v>44.4</v>
      </c>
      <c r="T538">
        <v>33.299999999999997</v>
      </c>
      <c r="U538">
        <v>0</v>
      </c>
      <c r="V538">
        <v>22.2</v>
      </c>
    </row>
    <row r="539" spans="1:22" x14ac:dyDescent="0.25">
      <c r="A539" t="s">
        <v>1844</v>
      </c>
      <c r="B539" t="s">
        <v>527</v>
      </c>
      <c r="C539">
        <v>31</v>
      </c>
      <c r="D539" t="s">
        <v>260</v>
      </c>
      <c r="E539" t="s">
        <v>26</v>
      </c>
      <c r="F539" t="s">
        <v>45</v>
      </c>
      <c r="G539">
        <v>0.28999999999999998</v>
      </c>
      <c r="H539" t="s">
        <v>235</v>
      </c>
      <c r="I539">
        <v>-7</v>
      </c>
      <c r="J539" t="str">
        <f>HYPERLINK("https://www.eliteprospects.com/player/618962/rowan-topp")</f>
        <v>https://www.eliteprospects.com/player/618962/rowan-topp</v>
      </c>
      <c r="K539" t="s">
        <v>27</v>
      </c>
      <c r="L539" t="s">
        <v>485</v>
      </c>
      <c r="M539" t="s">
        <v>1296</v>
      </c>
      <c r="N539">
        <v>4</v>
      </c>
      <c r="O539" t="s">
        <v>486</v>
      </c>
      <c r="P539">
        <v>0.04</v>
      </c>
      <c r="Q539" t="s">
        <v>1488</v>
      </c>
      <c r="R539">
        <v>0</v>
      </c>
      <c r="S539">
        <v>0</v>
      </c>
      <c r="T539">
        <v>0</v>
      </c>
      <c r="U539">
        <v>0</v>
      </c>
      <c r="V539">
        <v>0</v>
      </c>
    </row>
    <row r="540" spans="1:22" x14ac:dyDescent="0.25">
      <c r="A540" t="s">
        <v>1845</v>
      </c>
      <c r="B540" t="s">
        <v>488</v>
      </c>
      <c r="C540">
        <v>35</v>
      </c>
      <c r="D540" t="s">
        <v>260</v>
      </c>
      <c r="E540" t="s">
        <v>26</v>
      </c>
      <c r="F540" t="s">
        <v>45</v>
      </c>
      <c r="G540">
        <v>0.26</v>
      </c>
      <c r="H540" t="s">
        <v>57</v>
      </c>
      <c r="I540">
        <v>-12</v>
      </c>
      <c r="J540" t="str">
        <f>HYPERLINK("https://www.eliteprospects.com/player/918221/hudson-martin")</f>
        <v>https://www.eliteprospects.com/player/918221/hudson-martin</v>
      </c>
      <c r="K540" t="s">
        <v>27</v>
      </c>
      <c r="L540" t="s">
        <v>485</v>
      </c>
      <c r="M540" t="s">
        <v>1296</v>
      </c>
      <c r="N540">
        <v>1</v>
      </c>
      <c r="O540" t="s">
        <v>494</v>
      </c>
      <c r="P540">
        <v>0.04</v>
      </c>
      <c r="Q540" t="s">
        <v>1488</v>
      </c>
      <c r="R540">
        <v>0</v>
      </c>
      <c r="S540">
        <v>0</v>
      </c>
      <c r="T540">
        <v>0</v>
      </c>
      <c r="U540">
        <v>0</v>
      </c>
      <c r="V540">
        <v>0</v>
      </c>
    </row>
    <row r="541" spans="1:22" x14ac:dyDescent="0.25">
      <c r="A541" t="s">
        <v>1846</v>
      </c>
      <c r="B541" t="s">
        <v>561</v>
      </c>
      <c r="C541">
        <v>37</v>
      </c>
      <c r="D541" t="s">
        <v>260</v>
      </c>
      <c r="E541" t="s">
        <v>26</v>
      </c>
      <c r="F541" t="s">
        <v>45</v>
      </c>
      <c r="G541">
        <v>0.24</v>
      </c>
      <c r="H541" t="s">
        <v>32</v>
      </c>
      <c r="I541">
        <v>7</v>
      </c>
      <c r="J541" t="str">
        <f>HYPERLINK("https://www.eliteprospects.com/player/701360/matthew-henderson")</f>
        <v>https://www.eliteprospects.com/player/701360/matthew-henderson</v>
      </c>
      <c r="K541" t="s">
        <v>27</v>
      </c>
      <c r="L541" t="s">
        <v>485</v>
      </c>
      <c r="M541" t="s">
        <v>1296</v>
      </c>
      <c r="N541">
        <v>1</v>
      </c>
      <c r="O541" t="s">
        <v>494</v>
      </c>
      <c r="P541">
        <v>0.03</v>
      </c>
      <c r="Q541" t="s">
        <v>1488</v>
      </c>
      <c r="R541">
        <v>0</v>
      </c>
      <c r="S541">
        <v>0</v>
      </c>
      <c r="T541">
        <v>0</v>
      </c>
      <c r="U541">
        <v>0</v>
      </c>
      <c r="V541">
        <v>0</v>
      </c>
    </row>
    <row r="542" spans="1:22" x14ac:dyDescent="0.25">
      <c r="A542" t="s">
        <v>1847</v>
      </c>
      <c r="B542" t="s">
        <v>490</v>
      </c>
      <c r="C542">
        <v>37</v>
      </c>
      <c r="D542" t="s">
        <v>260</v>
      </c>
      <c r="E542" t="s">
        <v>26</v>
      </c>
      <c r="F542" t="s">
        <v>45</v>
      </c>
      <c r="G542">
        <v>0.24</v>
      </c>
      <c r="H542" t="s">
        <v>61</v>
      </c>
      <c r="I542">
        <v>-11</v>
      </c>
      <c r="J542" t="str">
        <f>HYPERLINK("https://www.eliteprospects.com/player/917829/ben-reisnecker")</f>
        <v>https://www.eliteprospects.com/player/917829/ben-reisnecker</v>
      </c>
      <c r="K542" t="s">
        <v>27</v>
      </c>
      <c r="L542" t="s">
        <v>485</v>
      </c>
      <c r="M542" t="s">
        <v>1296</v>
      </c>
      <c r="N542">
        <v>1</v>
      </c>
      <c r="O542" t="s">
        <v>494</v>
      </c>
      <c r="P542">
        <v>0.03</v>
      </c>
      <c r="Q542" t="s">
        <v>1488</v>
      </c>
      <c r="R542">
        <v>0</v>
      </c>
      <c r="S542">
        <v>0</v>
      </c>
      <c r="T542">
        <v>0</v>
      </c>
      <c r="U542">
        <v>0</v>
      </c>
      <c r="V542">
        <v>0</v>
      </c>
    </row>
    <row r="543" spans="1:22" x14ac:dyDescent="0.25">
      <c r="A543" t="s">
        <v>1848</v>
      </c>
      <c r="B543" t="s">
        <v>515</v>
      </c>
      <c r="C543">
        <v>35</v>
      </c>
      <c r="D543" t="s">
        <v>66</v>
      </c>
      <c r="E543" t="s">
        <v>66</v>
      </c>
      <c r="F543" t="s">
        <v>26</v>
      </c>
      <c r="G543">
        <v>0.23</v>
      </c>
      <c r="H543" t="s">
        <v>84</v>
      </c>
      <c r="I543">
        <v>-4</v>
      </c>
      <c r="J543" t="str">
        <f>HYPERLINK("https://www.eliteprospects.com/player/750967/justin-handsor")</f>
        <v>https://www.eliteprospects.com/player/750967/justin-handsor</v>
      </c>
      <c r="K543" t="s">
        <v>27</v>
      </c>
      <c r="L543" t="s">
        <v>485</v>
      </c>
      <c r="M543" t="s">
        <v>1296</v>
      </c>
      <c r="N543">
        <v>3</v>
      </c>
      <c r="O543" t="s">
        <v>492</v>
      </c>
      <c r="P543">
        <v>0.03</v>
      </c>
      <c r="Q543" t="s">
        <v>1488</v>
      </c>
      <c r="R543">
        <v>0</v>
      </c>
      <c r="S543">
        <v>0</v>
      </c>
      <c r="T543">
        <v>0</v>
      </c>
      <c r="U543">
        <v>0</v>
      </c>
      <c r="V543">
        <v>0</v>
      </c>
    </row>
    <row r="544" spans="1:22" x14ac:dyDescent="0.25">
      <c r="A544" t="s">
        <v>1849</v>
      </c>
      <c r="B544" t="s">
        <v>507</v>
      </c>
      <c r="C544">
        <v>37</v>
      </c>
      <c r="D544" t="s">
        <v>140</v>
      </c>
      <c r="E544" t="s">
        <v>96</v>
      </c>
      <c r="F544" t="s">
        <v>26</v>
      </c>
      <c r="G544">
        <v>0.22</v>
      </c>
      <c r="H544" t="s">
        <v>51</v>
      </c>
      <c r="I544">
        <v>-1</v>
      </c>
      <c r="J544" t="str">
        <f>HYPERLINK("https://www.eliteprospects.com/player/881028/hunter-solomon")</f>
        <v>https://www.eliteprospects.com/player/881028/hunter-solomon</v>
      </c>
      <c r="K544" t="s">
        <v>27</v>
      </c>
      <c r="L544" t="s">
        <v>485</v>
      </c>
      <c r="M544" t="s">
        <v>1296</v>
      </c>
      <c r="N544">
        <v>2</v>
      </c>
      <c r="O544" t="s">
        <v>501</v>
      </c>
      <c r="P544">
        <v>0.03</v>
      </c>
      <c r="Q544" t="s">
        <v>1488</v>
      </c>
      <c r="R544">
        <v>0</v>
      </c>
      <c r="S544">
        <v>0</v>
      </c>
      <c r="T544">
        <v>0</v>
      </c>
      <c r="U544">
        <v>0</v>
      </c>
      <c r="V544">
        <v>0</v>
      </c>
    </row>
    <row r="545" spans="1:22" x14ac:dyDescent="0.25">
      <c r="A545" t="s">
        <v>1850</v>
      </c>
      <c r="B545" t="s">
        <v>490</v>
      </c>
      <c r="C545">
        <v>35</v>
      </c>
      <c r="D545" t="s">
        <v>79</v>
      </c>
      <c r="E545" t="s">
        <v>57</v>
      </c>
      <c r="F545" t="s">
        <v>26</v>
      </c>
      <c r="G545">
        <v>0.23</v>
      </c>
      <c r="H545" t="s">
        <v>512</v>
      </c>
      <c r="I545">
        <v>4</v>
      </c>
      <c r="J545" t="str">
        <f>HYPERLINK("https://www.eliteprospects.com/player/879163/liam-spencer")</f>
        <v>https://www.eliteprospects.com/player/879163/liam-spencer</v>
      </c>
      <c r="K545" t="s">
        <v>27</v>
      </c>
      <c r="L545" t="s">
        <v>485</v>
      </c>
      <c r="M545" t="s">
        <v>1296</v>
      </c>
      <c r="N545">
        <v>4</v>
      </c>
      <c r="O545" t="s">
        <v>486</v>
      </c>
      <c r="P545">
        <v>0.03</v>
      </c>
      <c r="Q545" t="s">
        <v>1488</v>
      </c>
      <c r="R545">
        <v>0</v>
      </c>
      <c r="S545">
        <v>0</v>
      </c>
      <c r="T545">
        <v>0</v>
      </c>
      <c r="U545">
        <v>0</v>
      </c>
      <c r="V545">
        <v>0</v>
      </c>
    </row>
    <row r="546" spans="1:22" x14ac:dyDescent="0.25">
      <c r="A546" t="s">
        <v>1851</v>
      </c>
      <c r="B546" t="s">
        <v>562</v>
      </c>
      <c r="C546">
        <v>40</v>
      </c>
      <c r="D546" t="s">
        <v>79</v>
      </c>
      <c r="E546" t="s">
        <v>57</v>
      </c>
      <c r="F546" t="s">
        <v>26</v>
      </c>
      <c r="G546">
        <v>0.2</v>
      </c>
      <c r="H546" t="s">
        <v>38</v>
      </c>
      <c r="I546">
        <v>-7</v>
      </c>
      <c r="J546" t="str">
        <f>HYPERLINK("https://www.eliteprospects.com/player/597685/david-green")</f>
        <v>https://www.eliteprospects.com/player/597685/david-green</v>
      </c>
      <c r="K546" t="s">
        <v>27</v>
      </c>
      <c r="L546" t="s">
        <v>485</v>
      </c>
      <c r="M546" t="s">
        <v>1296</v>
      </c>
      <c r="N546">
        <v>1</v>
      </c>
      <c r="O546" t="s">
        <v>494</v>
      </c>
      <c r="P546">
        <v>0.03</v>
      </c>
      <c r="Q546" t="s">
        <v>1488</v>
      </c>
      <c r="R546">
        <v>0</v>
      </c>
      <c r="S546">
        <v>0</v>
      </c>
      <c r="T546">
        <v>0</v>
      </c>
      <c r="U546">
        <v>0</v>
      </c>
      <c r="V546">
        <v>0</v>
      </c>
    </row>
    <row r="547" spans="1:22" x14ac:dyDescent="0.25">
      <c r="A547" t="s">
        <v>1852</v>
      </c>
      <c r="B547" t="s">
        <v>484</v>
      </c>
      <c r="C547">
        <v>40</v>
      </c>
      <c r="D547" t="s">
        <v>260</v>
      </c>
      <c r="E547" t="s">
        <v>78</v>
      </c>
      <c r="F547" t="s">
        <v>26</v>
      </c>
      <c r="G547">
        <v>0.2</v>
      </c>
      <c r="H547" t="s">
        <v>40</v>
      </c>
      <c r="I547">
        <v>14</v>
      </c>
      <c r="J547" t="str">
        <f>HYPERLINK("https://www.eliteprospects.com/player/871042/rylan-fellinger")</f>
        <v>https://www.eliteprospects.com/player/871042/rylan-fellinger</v>
      </c>
      <c r="K547" t="s">
        <v>27</v>
      </c>
      <c r="L547" t="s">
        <v>485</v>
      </c>
      <c r="M547" t="s">
        <v>1296</v>
      </c>
      <c r="N547">
        <v>3</v>
      </c>
      <c r="O547" t="s">
        <v>492</v>
      </c>
      <c r="P547">
        <v>0.03</v>
      </c>
      <c r="Q547" t="s">
        <v>1488</v>
      </c>
      <c r="R547">
        <v>0</v>
      </c>
      <c r="S547">
        <v>0</v>
      </c>
      <c r="T547">
        <v>0</v>
      </c>
      <c r="U547">
        <v>0</v>
      </c>
      <c r="V547">
        <v>0</v>
      </c>
    </row>
    <row r="548" spans="1:22" x14ac:dyDescent="0.25">
      <c r="A548" t="s">
        <v>1853</v>
      </c>
      <c r="B548" t="s">
        <v>507</v>
      </c>
      <c r="C548">
        <v>38</v>
      </c>
      <c r="D548" t="s">
        <v>132</v>
      </c>
      <c r="E548" t="s">
        <v>26</v>
      </c>
      <c r="F548" t="s">
        <v>26</v>
      </c>
      <c r="G548">
        <v>0.21</v>
      </c>
      <c r="H548" t="s">
        <v>125</v>
      </c>
      <c r="I548">
        <v>0</v>
      </c>
      <c r="J548" t="str">
        <f>HYPERLINK("https://www.eliteprospects.com/player/887104/blake-gowan")</f>
        <v>https://www.eliteprospects.com/player/887104/blake-gowan</v>
      </c>
      <c r="K548" t="s">
        <v>27</v>
      </c>
      <c r="L548" t="s">
        <v>485</v>
      </c>
      <c r="M548" t="s">
        <v>1296</v>
      </c>
      <c r="N548">
        <v>2</v>
      </c>
      <c r="O548" t="s">
        <v>501</v>
      </c>
      <c r="P548">
        <v>0.03</v>
      </c>
      <c r="Q548" t="s">
        <v>1488</v>
      </c>
      <c r="R548">
        <v>0</v>
      </c>
      <c r="S548">
        <v>0</v>
      </c>
      <c r="T548">
        <v>0</v>
      </c>
      <c r="U548">
        <v>0</v>
      </c>
      <c r="V548">
        <v>0</v>
      </c>
    </row>
    <row r="549" spans="1:22" x14ac:dyDescent="0.25">
      <c r="A549" t="s">
        <v>1854</v>
      </c>
      <c r="B549" t="s">
        <v>498</v>
      </c>
      <c r="C549">
        <v>39</v>
      </c>
      <c r="D549" t="s">
        <v>140</v>
      </c>
      <c r="E549" t="s">
        <v>66</v>
      </c>
      <c r="F549" t="s">
        <v>78</v>
      </c>
      <c r="G549">
        <v>0.18</v>
      </c>
      <c r="H549" t="s">
        <v>544</v>
      </c>
      <c r="I549">
        <v>0</v>
      </c>
      <c r="J549" t="str">
        <f>HYPERLINK("https://www.eliteprospects.com/player/738924/noah-roberts")</f>
        <v>https://www.eliteprospects.com/player/738924/noah-roberts</v>
      </c>
      <c r="K549" t="s">
        <v>27</v>
      </c>
      <c r="L549" t="s">
        <v>485</v>
      </c>
      <c r="M549" t="s">
        <v>1296</v>
      </c>
      <c r="N549">
        <v>5</v>
      </c>
      <c r="O549" t="s">
        <v>508</v>
      </c>
      <c r="P549">
        <v>0.03</v>
      </c>
      <c r="Q549" t="s">
        <v>1488</v>
      </c>
      <c r="R549">
        <v>0</v>
      </c>
      <c r="S549">
        <v>0</v>
      </c>
      <c r="T549">
        <v>0</v>
      </c>
      <c r="U549">
        <v>0</v>
      </c>
      <c r="V549">
        <v>0</v>
      </c>
    </row>
    <row r="550" spans="1:22" x14ac:dyDescent="0.25">
      <c r="A550" t="s">
        <v>1855</v>
      </c>
      <c r="B550" t="s">
        <v>546</v>
      </c>
      <c r="C550">
        <v>30</v>
      </c>
      <c r="D550" t="s">
        <v>79</v>
      </c>
      <c r="E550" t="s">
        <v>96</v>
      </c>
      <c r="F550" t="s">
        <v>78</v>
      </c>
      <c r="G550">
        <v>0.23</v>
      </c>
      <c r="H550" t="s">
        <v>51</v>
      </c>
      <c r="I550">
        <v>8</v>
      </c>
      <c r="J550" t="str">
        <f>HYPERLINK("https://www.eliteprospects.com/player/876212/aaron-enright")</f>
        <v>https://www.eliteprospects.com/player/876212/aaron-enright</v>
      </c>
      <c r="K550" t="s">
        <v>27</v>
      </c>
      <c r="L550" t="s">
        <v>485</v>
      </c>
      <c r="M550" t="s">
        <v>1296</v>
      </c>
      <c r="N550">
        <v>2</v>
      </c>
      <c r="O550" t="s">
        <v>501</v>
      </c>
      <c r="P550">
        <v>0.03</v>
      </c>
      <c r="Q550" t="s">
        <v>1488</v>
      </c>
      <c r="R550">
        <v>0</v>
      </c>
      <c r="S550">
        <v>0</v>
      </c>
      <c r="T550">
        <v>0</v>
      </c>
      <c r="U550">
        <v>0</v>
      </c>
      <c r="V550">
        <v>0</v>
      </c>
    </row>
    <row r="551" spans="1:22" x14ac:dyDescent="0.25">
      <c r="A551" t="s">
        <v>1856</v>
      </c>
      <c r="B551" t="s">
        <v>527</v>
      </c>
      <c r="C551">
        <v>31</v>
      </c>
      <c r="D551" t="s">
        <v>79</v>
      </c>
      <c r="E551" t="s">
        <v>96</v>
      </c>
      <c r="F551" t="s">
        <v>78</v>
      </c>
      <c r="G551">
        <v>0.23</v>
      </c>
      <c r="H551" t="s">
        <v>265</v>
      </c>
      <c r="I551">
        <v>-9</v>
      </c>
      <c r="J551" t="str">
        <f>HYPERLINK("https://www.eliteprospects.com/player/897392/eric-frossard")</f>
        <v>https://www.eliteprospects.com/player/897392/eric-frossard</v>
      </c>
      <c r="K551" t="s">
        <v>27</v>
      </c>
      <c r="L551" t="s">
        <v>485</v>
      </c>
      <c r="M551" t="s">
        <v>1296</v>
      </c>
      <c r="N551">
        <v>2</v>
      </c>
      <c r="O551" t="s">
        <v>501</v>
      </c>
      <c r="P551">
        <v>0.03</v>
      </c>
      <c r="Q551" t="s">
        <v>1488</v>
      </c>
      <c r="R551">
        <v>0</v>
      </c>
      <c r="S551">
        <v>0</v>
      </c>
      <c r="T551">
        <v>0</v>
      </c>
      <c r="U551">
        <v>0</v>
      </c>
      <c r="V551">
        <v>0</v>
      </c>
    </row>
    <row r="552" spans="1:22" x14ac:dyDescent="0.25">
      <c r="A552" t="s">
        <v>1857</v>
      </c>
      <c r="B552" t="s">
        <v>507</v>
      </c>
      <c r="C552">
        <v>40</v>
      </c>
      <c r="D552" t="s">
        <v>79</v>
      </c>
      <c r="E552" t="s">
        <v>96</v>
      </c>
      <c r="F552" t="s">
        <v>78</v>
      </c>
      <c r="G552">
        <v>0.18</v>
      </c>
      <c r="H552" t="s">
        <v>589</v>
      </c>
      <c r="I552">
        <v>-4</v>
      </c>
      <c r="J552" t="str">
        <f>HYPERLINK("https://www.eliteprospects.com/player/978463/genc-ula")</f>
        <v>https://www.eliteprospects.com/player/978463/genc-ula</v>
      </c>
      <c r="K552" t="s">
        <v>27</v>
      </c>
      <c r="L552" t="s">
        <v>485</v>
      </c>
      <c r="M552" t="s">
        <v>1296</v>
      </c>
      <c r="N552">
        <v>2</v>
      </c>
      <c r="O552" t="s">
        <v>501</v>
      </c>
      <c r="P552">
        <v>0.03</v>
      </c>
      <c r="Q552" t="s">
        <v>1488</v>
      </c>
      <c r="R552">
        <v>0</v>
      </c>
      <c r="S552">
        <v>0</v>
      </c>
      <c r="T552">
        <v>0</v>
      </c>
      <c r="U552">
        <v>0</v>
      </c>
      <c r="V552">
        <v>0</v>
      </c>
    </row>
    <row r="553" spans="1:22" x14ac:dyDescent="0.25">
      <c r="A553" t="s">
        <v>1858</v>
      </c>
      <c r="B553" t="s">
        <v>507</v>
      </c>
      <c r="C553">
        <v>33</v>
      </c>
      <c r="D553" t="s">
        <v>260</v>
      </c>
      <c r="E553" t="s">
        <v>57</v>
      </c>
      <c r="F553" t="s">
        <v>78</v>
      </c>
      <c r="G553">
        <v>0.21</v>
      </c>
      <c r="H553" t="s">
        <v>84</v>
      </c>
      <c r="I553">
        <v>6</v>
      </c>
      <c r="J553" t="str">
        <f>HYPERLINK("https://www.eliteprospects.com/player/577188/jacob-xu")</f>
        <v>https://www.eliteprospects.com/player/577188/jacob-xu</v>
      </c>
      <c r="K553" t="s">
        <v>27</v>
      </c>
      <c r="L553" t="s">
        <v>485</v>
      </c>
      <c r="M553" t="s">
        <v>1296</v>
      </c>
      <c r="N553">
        <v>2</v>
      </c>
      <c r="O553" t="s">
        <v>501</v>
      </c>
      <c r="P553">
        <v>0.03</v>
      </c>
      <c r="Q553" t="s">
        <v>1488</v>
      </c>
      <c r="R553">
        <v>0</v>
      </c>
      <c r="S553">
        <v>0</v>
      </c>
      <c r="T553">
        <v>0</v>
      </c>
      <c r="U553">
        <v>0</v>
      </c>
      <c r="V553">
        <v>0</v>
      </c>
    </row>
    <row r="554" spans="1:22" x14ac:dyDescent="0.25">
      <c r="A554" t="s">
        <v>1859</v>
      </c>
      <c r="B554" t="s">
        <v>490</v>
      </c>
      <c r="C554">
        <v>36</v>
      </c>
      <c r="D554" t="s">
        <v>260</v>
      </c>
      <c r="E554" t="s">
        <v>57</v>
      </c>
      <c r="F554" t="s">
        <v>78</v>
      </c>
      <c r="G554">
        <v>0.19</v>
      </c>
      <c r="H554" t="s">
        <v>26</v>
      </c>
      <c r="I554">
        <v>0</v>
      </c>
      <c r="J554" t="str">
        <f>HYPERLINK("https://www.eliteprospects.com/player/897651/sebastian-dell-elce")</f>
        <v>https://www.eliteprospects.com/player/897651/sebastian-dell-elce</v>
      </c>
      <c r="K554" t="s">
        <v>27</v>
      </c>
      <c r="L554" t="s">
        <v>485</v>
      </c>
      <c r="M554" t="s">
        <v>1296</v>
      </c>
      <c r="N554">
        <v>1</v>
      </c>
      <c r="O554" t="s">
        <v>494</v>
      </c>
      <c r="P554">
        <v>0.03</v>
      </c>
      <c r="Q554" t="s">
        <v>1488</v>
      </c>
      <c r="R554">
        <v>0</v>
      </c>
      <c r="S554">
        <v>0</v>
      </c>
      <c r="T554">
        <v>0</v>
      </c>
      <c r="U554">
        <v>0</v>
      </c>
      <c r="V554">
        <v>0</v>
      </c>
    </row>
    <row r="555" spans="1:22" x14ac:dyDescent="0.25">
      <c r="A555" t="s">
        <v>1860</v>
      </c>
      <c r="B555" t="s">
        <v>490</v>
      </c>
      <c r="C555">
        <v>36</v>
      </c>
      <c r="D555" t="s">
        <v>260</v>
      </c>
      <c r="E555" t="s">
        <v>57</v>
      </c>
      <c r="F555" t="s">
        <v>78</v>
      </c>
      <c r="G555">
        <v>0.19</v>
      </c>
      <c r="H555" t="s">
        <v>40</v>
      </c>
      <c r="I555">
        <v>4</v>
      </c>
      <c r="J555" t="str">
        <f>HYPERLINK("https://www.eliteprospects.com/player/800110/callum-cheynowski")</f>
        <v>https://www.eliteprospects.com/player/800110/callum-cheynowski</v>
      </c>
      <c r="K555" t="s">
        <v>27</v>
      </c>
      <c r="L555" t="s">
        <v>485</v>
      </c>
      <c r="M555" t="s">
        <v>1296</v>
      </c>
      <c r="N555">
        <v>4</v>
      </c>
      <c r="O555" t="s">
        <v>486</v>
      </c>
      <c r="P555">
        <v>0.03</v>
      </c>
      <c r="Q555" t="s">
        <v>1488</v>
      </c>
      <c r="R555">
        <v>0</v>
      </c>
      <c r="S555">
        <v>0</v>
      </c>
      <c r="T555">
        <v>0</v>
      </c>
      <c r="U555">
        <v>0</v>
      </c>
      <c r="V555">
        <v>0</v>
      </c>
    </row>
    <row r="556" spans="1:22" x14ac:dyDescent="0.25">
      <c r="A556" t="s">
        <v>1861</v>
      </c>
      <c r="B556" t="s">
        <v>507</v>
      </c>
      <c r="C556">
        <v>37</v>
      </c>
      <c r="D556" t="s">
        <v>260</v>
      </c>
      <c r="E556" t="s">
        <v>57</v>
      </c>
      <c r="F556" t="s">
        <v>78</v>
      </c>
      <c r="G556">
        <v>0.19</v>
      </c>
      <c r="H556" t="s">
        <v>499</v>
      </c>
      <c r="I556">
        <v>3</v>
      </c>
      <c r="J556" t="str">
        <f>HYPERLINK("https://www.eliteprospects.com/player/679515/julian-brown")</f>
        <v>https://www.eliteprospects.com/player/679515/julian-brown</v>
      </c>
      <c r="K556" t="s">
        <v>27</v>
      </c>
      <c r="L556" t="s">
        <v>485</v>
      </c>
      <c r="M556" t="s">
        <v>1296</v>
      </c>
      <c r="N556">
        <v>1</v>
      </c>
      <c r="O556" t="s">
        <v>494</v>
      </c>
      <c r="P556">
        <v>0.03</v>
      </c>
      <c r="Q556" t="s">
        <v>1488</v>
      </c>
      <c r="R556">
        <v>0</v>
      </c>
      <c r="S556">
        <v>0</v>
      </c>
      <c r="T556">
        <v>0</v>
      </c>
      <c r="U556">
        <v>0</v>
      </c>
      <c r="V556">
        <v>0</v>
      </c>
    </row>
    <row r="557" spans="1:22" x14ac:dyDescent="0.25">
      <c r="A557" t="s">
        <v>1862</v>
      </c>
      <c r="B557" t="s">
        <v>546</v>
      </c>
      <c r="C557">
        <v>38</v>
      </c>
      <c r="D557" t="s">
        <v>260</v>
      </c>
      <c r="E557" t="s">
        <v>57</v>
      </c>
      <c r="F557" t="s">
        <v>78</v>
      </c>
      <c r="G557">
        <v>0.18</v>
      </c>
      <c r="H557" t="s">
        <v>39</v>
      </c>
      <c r="I557">
        <v>15</v>
      </c>
      <c r="J557" t="str">
        <f>HYPERLINK("https://www.eliteprospects.com/player/897664/adrian-manzo")</f>
        <v>https://www.eliteprospects.com/player/897664/adrian-manzo</v>
      </c>
      <c r="K557" t="s">
        <v>27</v>
      </c>
      <c r="L557" t="s">
        <v>485</v>
      </c>
      <c r="M557" t="s">
        <v>1296</v>
      </c>
      <c r="N557">
        <v>3</v>
      </c>
      <c r="O557" t="s">
        <v>492</v>
      </c>
      <c r="P557">
        <v>0.03</v>
      </c>
      <c r="Q557" t="s">
        <v>1488</v>
      </c>
      <c r="R557">
        <v>0</v>
      </c>
      <c r="S557">
        <v>0</v>
      </c>
      <c r="T557">
        <v>0</v>
      </c>
      <c r="U557">
        <v>0</v>
      </c>
      <c r="V557">
        <v>0</v>
      </c>
    </row>
    <row r="558" spans="1:22" x14ac:dyDescent="0.25">
      <c r="A558" t="s">
        <v>1863</v>
      </c>
      <c r="B558" t="s">
        <v>510</v>
      </c>
      <c r="C558">
        <v>14</v>
      </c>
      <c r="D558" t="s">
        <v>260</v>
      </c>
      <c r="E558" t="s">
        <v>96</v>
      </c>
      <c r="F558" t="s">
        <v>57</v>
      </c>
      <c r="G558">
        <v>0.43</v>
      </c>
      <c r="H558" t="s">
        <v>79</v>
      </c>
      <c r="I558">
        <v>6</v>
      </c>
      <c r="J558" t="str">
        <f>HYPERLINK("https://www.eliteprospects.com/player/779765/brodie-mcconnell-barker")</f>
        <v>https://www.eliteprospects.com/player/779765/brodie-mcconnell-barker</v>
      </c>
      <c r="K558" t="s">
        <v>27</v>
      </c>
      <c r="L558" t="s">
        <v>485</v>
      </c>
      <c r="M558" t="s">
        <v>1296</v>
      </c>
      <c r="N558">
        <v>4</v>
      </c>
      <c r="O558" t="s">
        <v>486</v>
      </c>
      <c r="P558">
        <v>0.06</v>
      </c>
      <c r="Q558" t="s">
        <v>1309</v>
      </c>
      <c r="R558">
        <v>14.3</v>
      </c>
      <c r="S558">
        <v>28.6</v>
      </c>
      <c r="T558">
        <v>28.6</v>
      </c>
      <c r="U558">
        <v>0</v>
      </c>
      <c r="V558">
        <v>28.6</v>
      </c>
    </row>
    <row r="559" spans="1:22" x14ac:dyDescent="0.25">
      <c r="A559" t="s">
        <v>1864</v>
      </c>
      <c r="B559" t="s">
        <v>510</v>
      </c>
      <c r="C559">
        <v>15</v>
      </c>
      <c r="D559" t="s">
        <v>260</v>
      </c>
      <c r="E559" t="s">
        <v>96</v>
      </c>
      <c r="F559" t="s">
        <v>57</v>
      </c>
      <c r="G559">
        <v>0.4</v>
      </c>
      <c r="H559" t="s">
        <v>32</v>
      </c>
      <c r="I559">
        <v>7</v>
      </c>
      <c r="J559" t="str">
        <f>HYPERLINK("https://www.eliteprospects.com/player/628088/callum-croskery")</f>
        <v>https://www.eliteprospects.com/player/628088/callum-croskery</v>
      </c>
      <c r="K559" t="s">
        <v>27</v>
      </c>
      <c r="L559" t="s">
        <v>485</v>
      </c>
      <c r="M559" t="s">
        <v>1296</v>
      </c>
      <c r="N559">
        <v>1</v>
      </c>
      <c r="O559" t="s">
        <v>494</v>
      </c>
      <c r="P559">
        <v>0.06</v>
      </c>
      <c r="Q559" t="s">
        <v>1309</v>
      </c>
      <c r="R559">
        <v>14.3</v>
      </c>
      <c r="S559">
        <v>28.6</v>
      </c>
      <c r="T559">
        <v>28.6</v>
      </c>
      <c r="U559">
        <v>0</v>
      </c>
      <c r="V559">
        <v>28.6</v>
      </c>
    </row>
    <row r="560" spans="1:22" x14ac:dyDescent="0.25">
      <c r="A560" t="s">
        <v>1865</v>
      </c>
      <c r="B560" t="s">
        <v>493</v>
      </c>
      <c r="C560">
        <v>20</v>
      </c>
      <c r="D560" t="s">
        <v>260</v>
      </c>
      <c r="E560" t="s">
        <v>96</v>
      </c>
      <c r="F560" t="s">
        <v>57</v>
      </c>
      <c r="G560">
        <v>0.3</v>
      </c>
      <c r="H560" t="s">
        <v>66</v>
      </c>
      <c r="I560">
        <v>1</v>
      </c>
      <c r="J560" t="str">
        <f>HYPERLINK("https://www.eliteprospects.com/player/689886/camron-hankai")</f>
        <v>https://www.eliteprospects.com/player/689886/camron-hankai</v>
      </c>
      <c r="K560" t="s">
        <v>27</v>
      </c>
      <c r="L560" t="s">
        <v>485</v>
      </c>
      <c r="M560" t="s">
        <v>1296</v>
      </c>
      <c r="N560">
        <v>1</v>
      </c>
      <c r="O560" t="s">
        <v>494</v>
      </c>
      <c r="P560">
        <v>0.04</v>
      </c>
      <c r="Q560" t="s">
        <v>1488</v>
      </c>
      <c r="R560">
        <v>0</v>
      </c>
      <c r="S560">
        <v>0</v>
      </c>
      <c r="T560">
        <v>0</v>
      </c>
      <c r="U560">
        <v>0</v>
      </c>
      <c r="V560">
        <v>0</v>
      </c>
    </row>
    <row r="561" spans="1:22" x14ac:dyDescent="0.25">
      <c r="A561" t="s">
        <v>1866</v>
      </c>
      <c r="B561" t="s">
        <v>515</v>
      </c>
      <c r="C561">
        <v>27</v>
      </c>
      <c r="D561" t="s">
        <v>260</v>
      </c>
      <c r="E561" t="s">
        <v>96</v>
      </c>
      <c r="F561" t="s">
        <v>57</v>
      </c>
      <c r="G561">
        <v>0.22</v>
      </c>
      <c r="H561" t="s">
        <v>32</v>
      </c>
      <c r="I561">
        <v>-4</v>
      </c>
      <c r="J561" t="str">
        <f>HYPERLINK("https://www.eliteprospects.com/player/906000/ethan-armstrong")</f>
        <v>https://www.eliteprospects.com/player/906000/ethan-armstrong</v>
      </c>
      <c r="K561" t="s">
        <v>27</v>
      </c>
      <c r="L561" t="s">
        <v>485</v>
      </c>
      <c r="M561" t="s">
        <v>1296</v>
      </c>
      <c r="N561">
        <v>2</v>
      </c>
      <c r="O561" t="s">
        <v>501</v>
      </c>
      <c r="P561">
        <v>0.03</v>
      </c>
      <c r="Q561" t="s">
        <v>1488</v>
      </c>
      <c r="R561">
        <v>0</v>
      </c>
      <c r="S561">
        <v>0</v>
      </c>
      <c r="T561">
        <v>0</v>
      </c>
      <c r="U561">
        <v>0</v>
      </c>
      <c r="V561">
        <v>0</v>
      </c>
    </row>
    <row r="562" spans="1:22" x14ac:dyDescent="0.25">
      <c r="A562" t="s">
        <v>1867</v>
      </c>
      <c r="B562" t="s">
        <v>510</v>
      </c>
      <c r="C562">
        <v>38</v>
      </c>
      <c r="D562" t="s">
        <v>260</v>
      </c>
      <c r="E562" t="s">
        <v>96</v>
      </c>
      <c r="F562" t="s">
        <v>57</v>
      </c>
      <c r="G562">
        <v>0.16</v>
      </c>
      <c r="H562" t="s">
        <v>491</v>
      </c>
      <c r="I562">
        <v>15</v>
      </c>
      <c r="J562" t="str">
        <f>HYPERLINK("https://www.eliteprospects.com/player/710866/spencer-evans")</f>
        <v>https://www.eliteprospects.com/player/710866/spencer-evans</v>
      </c>
      <c r="K562" t="s">
        <v>27</v>
      </c>
      <c r="L562" t="s">
        <v>485</v>
      </c>
      <c r="M562" t="s">
        <v>1296</v>
      </c>
      <c r="N562">
        <v>8</v>
      </c>
      <c r="O562" t="s">
        <v>1868</v>
      </c>
      <c r="P562">
        <v>0.02</v>
      </c>
      <c r="Q562" t="s">
        <v>1488</v>
      </c>
      <c r="R562">
        <v>0</v>
      </c>
      <c r="S562">
        <v>0</v>
      </c>
      <c r="T562">
        <v>0</v>
      </c>
      <c r="U562">
        <v>0</v>
      </c>
      <c r="V562">
        <v>0</v>
      </c>
    </row>
    <row r="563" spans="1:22" x14ac:dyDescent="0.25">
      <c r="A563" t="s">
        <v>1869</v>
      </c>
      <c r="B563" t="s">
        <v>536</v>
      </c>
      <c r="C563">
        <v>31</v>
      </c>
      <c r="D563" t="s">
        <v>132</v>
      </c>
      <c r="E563" t="s">
        <v>57</v>
      </c>
      <c r="F563" t="s">
        <v>57</v>
      </c>
      <c r="G563">
        <v>0.19</v>
      </c>
      <c r="H563" t="s">
        <v>51</v>
      </c>
      <c r="I563">
        <v>4</v>
      </c>
      <c r="J563" t="str">
        <f>HYPERLINK("https://www.eliteprospects.com/player/764364/hughston-hurt")</f>
        <v>https://www.eliteprospects.com/player/764364/hughston-hurt</v>
      </c>
      <c r="K563" t="s">
        <v>27</v>
      </c>
      <c r="L563" t="s">
        <v>485</v>
      </c>
      <c r="M563" t="s">
        <v>1296</v>
      </c>
      <c r="N563">
        <v>3</v>
      </c>
      <c r="O563" t="s">
        <v>492</v>
      </c>
      <c r="P563">
        <v>0.03</v>
      </c>
      <c r="Q563" t="s">
        <v>1488</v>
      </c>
      <c r="R563">
        <v>0</v>
      </c>
      <c r="S563">
        <v>0</v>
      </c>
      <c r="T563">
        <v>0</v>
      </c>
      <c r="U563">
        <v>0</v>
      </c>
      <c r="V563">
        <v>0</v>
      </c>
    </row>
    <row r="564" spans="1:22" x14ac:dyDescent="0.25">
      <c r="A564" t="s">
        <v>1870</v>
      </c>
      <c r="B564" t="s">
        <v>526</v>
      </c>
      <c r="C564">
        <v>34</v>
      </c>
      <c r="D564" t="s">
        <v>132</v>
      </c>
      <c r="E564" t="s">
        <v>57</v>
      </c>
      <c r="F564" t="s">
        <v>57</v>
      </c>
      <c r="G564">
        <v>0.18</v>
      </c>
      <c r="H564" t="s">
        <v>503</v>
      </c>
      <c r="I564">
        <v>9</v>
      </c>
      <c r="J564" t="str">
        <f>HYPERLINK("https://www.eliteprospects.com/player/862695/grayden-strohack")</f>
        <v>https://www.eliteprospects.com/player/862695/grayden-strohack</v>
      </c>
      <c r="K564" t="s">
        <v>27</v>
      </c>
      <c r="L564" t="s">
        <v>485</v>
      </c>
      <c r="M564" t="s">
        <v>1296</v>
      </c>
      <c r="N564">
        <v>4</v>
      </c>
      <c r="O564" t="s">
        <v>486</v>
      </c>
      <c r="P564">
        <v>0.03</v>
      </c>
      <c r="Q564" t="s">
        <v>1488</v>
      </c>
      <c r="R564">
        <v>0</v>
      </c>
      <c r="S564">
        <v>0</v>
      </c>
      <c r="T564">
        <v>0</v>
      </c>
      <c r="U564">
        <v>0</v>
      </c>
      <c r="V564">
        <v>0</v>
      </c>
    </row>
    <row r="565" spans="1:22" x14ac:dyDescent="0.25">
      <c r="A565" t="s">
        <v>1871</v>
      </c>
      <c r="B565" t="s">
        <v>531</v>
      </c>
      <c r="C565">
        <v>38</v>
      </c>
      <c r="D565" t="s">
        <v>132</v>
      </c>
      <c r="E565" t="s">
        <v>57</v>
      </c>
      <c r="F565" t="s">
        <v>57</v>
      </c>
      <c r="G565">
        <v>0.16</v>
      </c>
      <c r="H565" t="s">
        <v>32</v>
      </c>
      <c r="I565">
        <v>-19</v>
      </c>
      <c r="J565" t="str">
        <f>HYPERLINK("https://www.eliteprospects.com/player/876714/brady-blaseg")</f>
        <v>https://www.eliteprospects.com/player/876714/brady-blaseg</v>
      </c>
      <c r="K565" t="s">
        <v>27</v>
      </c>
      <c r="L565" t="s">
        <v>485</v>
      </c>
      <c r="M565" t="s">
        <v>1296</v>
      </c>
      <c r="N565">
        <v>2</v>
      </c>
      <c r="O565" t="s">
        <v>501</v>
      </c>
      <c r="P565">
        <v>0.02</v>
      </c>
      <c r="Q565" t="s">
        <v>1488</v>
      </c>
      <c r="R565">
        <v>0</v>
      </c>
      <c r="S565">
        <v>0</v>
      </c>
      <c r="T565">
        <v>0</v>
      </c>
      <c r="U565">
        <v>0</v>
      </c>
      <c r="V565">
        <v>0</v>
      </c>
    </row>
    <row r="566" spans="1:22" x14ac:dyDescent="0.25">
      <c r="A566" t="s">
        <v>1872</v>
      </c>
      <c r="B566" t="s">
        <v>507</v>
      </c>
      <c r="C566">
        <v>24</v>
      </c>
      <c r="D566" t="s">
        <v>140</v>
      </c>
      <c r="E566" t="s">
        <v>79</v>
      </c>
      <c r="F566" t="s">
        <v>96</v>
      </c>
      <c r="G566">
        <v>0.21</v>
      </c>
      <c r="H566" t="s">
        <v>33</v>
      </c>
      <c r="I566">
        <v>0</v>
      </c>
      <c r="J566" t="str">
        <f>HYPERLINK("https://www.eliteprospects.com/player/881135/liam-ladds")</f>
        <v>https://www.eliteprospects.com/player/881135/liam-ladds</v>
      </c>
      <c r="K566" t="s">
        <v>27</v>
      </c>
      <c r="L566" t="s">
        <v>485</v>
      </c>
      <c r="M566" t="s">
        <v>1296</v>
      </c>
      <c r="N566">
        <v>3</v>
      </c>
      <c r="O566" t="s">
        <v>492</v>
      </c>
      <c r="P566">
        <v>0.03</v>
      </c>
      <c r="Q566" t="s">
        <v>1488</v>
      </c>
      <c r="R566">
        <v>0</v>
      </c>
      <c r="S566">
        <v>0</v>
      </c>
      <c r="T566">
        <v>0</v>
      </c>
      <c r="U566">
        <v>0</v>
      </c>
      <c r="V566">
        <v>0</v>
      </c>
    </row>
    <row r="567" spans="1:22" x14ac:dyDescent="0.25">
      <c r="A567" t="s">
        <v>1873</v>
      </c>
      <c r="B567" t="s">
        <v>507</v>
      </c>
      <c r="C567">
        <v>38</v>
      </c>
      <c r="D567" t="s">
        <v>140</v>
      </c>
      <c r="E567" t="s">
        <v>79</v>
      </c>
      <c r="F567" t="s">
        <v>96</v>
      </c>
      <c r="G567">
        <v>0.13</v>
      </c>
      <c r="H567" t="s">
        <v>125</v>
      </c>
      <c r="I567">
        <v>-1</v>
      </c>
      <c r="J567" t="str">
        <f>HYPERLINK("https://www.eliteprospects.com/player/897401/carter-hicks")</f>
        <v>https://www.eliteprospects.com/player/897401/carter-hicks</v>
      </c>
      <c r="K567" t="s">
        <v>27</v>
      </c>
      <c r="L567" t="s">
        <v>485</v>
      </c>
      <c r="M567" t="s">
        <v>1296</v>
      </c>
      <c r="N567">
        <v>2</v>
      </c>
      <c r="O567" t="s">
        <v>501</v>
      </c>
      <c r="P567">
        <v>0.02</v>
      </c>
      <c r="Q567" t="s">
        <v>1488</v>
      </c>
      <c r="R567">
        <v>0</v>
      </c>
      <c r="S567">
        <v>0</v>
      </c>
      <c r="T567">
        <v>0</v>
      </c>
      <c r="U567">
        <v>0</v>
      </c>
      <c r="V567">
        <v>0</v>
      </c>
    </row>
    <row r="568" spans="1:22" x14ac:dyDescent="0.25">
      <c r="A568" t="s">
        <v>1874</v>
      </c>
      <c r="B568" t="s">
        <v>578</v>
      </c>
      <c r="C568">
        <v>41</v>
      </c>
      <c r="D568" t="s">
        <v>79</v>
      </c>
      <c r="E568" t="s">
        <v>140</v>
      </c>
      <c r="F568" t="s">
        <v>96</v>
      </c>
      <c r="G568">
        <v>0.12</v>
      </c>
      <c r="H568" t="s">
        <v>47</v>
      </c>
      <c r="I568">
        <v>-17</v>
      </c>
      <c r="J568" t="str">
        <f>HYPERLINK("https://www.eliteprospects.com/player/864166/julius-saari")</f>
        <v>https://www.eliteprospects.com/player/864166/julius-saari</v>
      </c>
      <c r="K568" t="s">
        <v>27</v>
      </c>
      <c r="L568" t="s">
        <v>485</v>
      </c>
      <c r="M568" t="s">
        <v>1296</v>
      </c>
      <c r="N568">
        <v>1</v>
      </c>
      <c r="O568" t="s">
        <v>494</v>
      </c>
      <c r="P568">
        <v>0.02</v>
      </c>
      <c r="Q568" t="s">
        <v>1488</v>
      </c>
      <c r="R568">
        <v>0</v>
      </c>
      <c r="S568">
        <v>0</v>
      </c>
      <c r="T568">
        <v>0</v>
      </c>
      <c r="U568">
        <v>0</v>
      </c>
      <c r="V568">
        <v>0</v>
      </c>
    </row>
    <row r="569" spans="1:22" x14ac:dyDescent="0.25">
      <c r="A569" t="s">
        <v>1875</v>
      </c>
      <c r="B569" t="s">
        <v>488</v>
      </c>
      <c r="C569">
        <v>32</v>
      </c>
      <c r="D569" t="s">
        <v>260</v>
      </c>
      <c r="E569" t="s">
        <v>66</v>
      </c>
      <c r="F569" t="s">
        <v>96</v>
      </c>
      <c r="G569">
        <v>0.16</v>
      </c>
      <c r="H569" t="s">
        <v>39</v>
      </c>
      <c r="I569">
        <v>-12</v>
      </c>
      <c r="J569" t="str">
        <f>HYPERLINK("https://www.eliteprospects.com/player/905936/trevor-o-dell")</f>
        <v>https://www.eliteprospects.com/player/905936/trevor-o-dell</v>
      </c>
      <c r="K569" t="s">
        <v>27</v>
      </c>
      <c r="L569" t="s">
        <v>485</v>
      </c>
      <c r="M569" t="s">
        <v>1296</v>
      </c>
      <c r="N569">
        <v>3</v>
      </c>
      <c r="O569" t="s">
        <v>492</v>
      </c>
      <c r="P569">
        <v>0.02</v>
      </c>
      <c r="Q569" t="s">
        <v>1488</v>
      </c>
      <c r="R569">
        <v>0</v>
      </c>
      <c r="S569">
        <v>0</v>
      </c>
      <c r="T569">
        <v>0</v>
      </c>
      <c r="U569">
        <v>0</v>
      </c>
      <c r="V569">
        <v>0</v>
      </c>
    </row>
    <row r="570" spans="1:22" x14ac:dyDescent="0.25">
      <c r="A570" t="s">
        <v>1876</v>
      </c>
      <c r="B570" t="s">
        <v>515</v>
      </c>
      <c r="C570">
        <v>35</v>
      </c>
      <c r="D570" t="s">
        <v>260</v>
      </c>
      <c r="E570" t="s">
        <v>66</v>
      </c>
      <c r="F570" t="s">
        <v>96</v>
      </c>
      <c r="G570">
        <v>0.14000000000000001</v>
      </c>
      <c r="H570" t="s">
        <v>763</v>
      </c>
      <c r="I570">
        <v>1</v>
      </c>
      <c r="J570" t="str">
        <f>HYPERLINK("https://www.eliteprospects.com/player/618997/gabriel-eliasson")</f>
        <v>https://www.eliteprospects.com/player/618997/gabriel-eliasson</v>
      </c>
      <c r="K570" t="s">
        <v>27</v>
      </c>
      <c r="L570" t="s">
        <v>485</v>
      </c>
      <c r="M570" t="s">
        <v>1296</v>
      </c>
      <c r="N570">
        <v>2</v>
      </c>
      <c r="O570" t="s">
        <v>501</v>
      </c>
      <c r="P570">
        <v>0.02</v>
      </c>
      <c r="Q570" t="s">
        <v>1488</v>
      </c>
      <c r="R570">
        <v>0</v>
      </c>
      <c r="S570">
        <v>0</v>
      </c>
      <c r="T570">
        <v>0</v>
      </c>
      <c r="U570">
        <v>0</v>
      </c>
      <c r="V570">
        <v>0</v>
      </c>
    </row>
    <row r="571" spans="1:22" x14ac:dyDescent="0.25">
      <c r="A571" t="s">
        <v>1877</v>
      </c>
      <c r="B571" t="s">
        <v>515</v>
      </c>
      <c r="C571">
        <v>30</v>
      </c>
      <c r="D571" t="s">
        <v>132</v>
      </c>
      <c r="E571" t="s">
        <v>96</v>
      </c>
      <c r="F571" t="s">
        <v>96</v>
      </c>
      <c r="G571">
        <v>0.17</v>
      </c>
      <c r="H571" t="s">
        <v>39</v>
      </c>
      <c r="I571">
        <v>7</v>
      </c>
      <c r="J571" t="str">
        <f>HYPERLINK("https://www.eliteprospects.com/player/881099/teague-vader")</f>
        <v>https://www.eliteprospects.com/player/881099/teague-vader</v>
      </c>
      <c r="K571" t="s">
        <v>27</v>
      </c>
      <c r="L571" t="s">
        <v>485</v>
      </c>
      <c r="M571" t="s">
        <v>1296</v>
      </c>
      <c r="N571">
        <v>2</v>
      </c>
      <c r="O571" t="s">
        <v>501</v>
      </c>
      <c r="P571">
        <v>0.02</v>
      </c>
      <c r="Q571" t="s">
        <v>1488</v>
      </c>
      <c r="R571">
        <v>0</v>
      </c>
      <c r="S571">
        <v>0</v>
      </c>
      <c r="T571">
        <v>0</v>
      </c>
      <c r="U571">
        <v>0</v>
      </c>
      <c r="V571">
        <v>0</v>
      </c>
    </row>
    <row r="572" spans="1:22" x14ac:dyDescent="0.25">
      <c r="A572" t="s">
        <v>1878</v>
      </c>
      <c r="B572" t="s">
        <v>531</v>
      </c>
      <c r="C572">
        <v>30</v>
      </c>
      <c r="D572" t="s">
        <v>132</v>
      </c>
      <c r="E572" t="s">
        <v>96</v>
      </c>
      <c r="F572" t="s">
        <v>96</v>
      </c>
      <c r="G572">
        <v>0.17</v>
      </c>
      <c r="H572" t="s">
        <v>39</v>
      </c>
      <c r="I572">
        <v>-12</v>
      </c>
      <c r="J572" t="str">
        <f>HYPERLINK("https://www.eliteprospects.com/player/961410/colin-feeley")</f>
        <v>https://www.eliteprospects.com/player/961410/colin-feeley</v>
      </c>
      <c r="K572" t="s">
        <v>27</v>
      </c>
      <c r="L572" t="s">
        <v>485</v>
      </c>
      <c r="M572" t="s">
        <v>1296</v>
      </c>
      <c r="N572">
        <v>1</v>
      </c>
      <c r="O572" t="s">
        <v>494</v>
      </c>
      <c r="P572">
        <v>0.02</v>
      </c>
      <c r="Q572" t="s">
        <v>1488</v>
      </c>
      <c r="R572">
        <v>0</v>
      </c>
      <c r="S572">
        <v>0</v>
      </c>
      <c r="T572">
        <v>0</v>
      </c>
      <c r="U572">
        <v>0</v>
      </c>
      <c r="V572">
        <v>0</v>
      </c>
    </row>
    <row r="573" spans="1:22" x14ac:dyDescent="0.25">
      <c r="A573" t="s">
        <v>1879</v>
      </c>
      <c r="B573" t="s">
        <v>507</v>
      </c>
      <c r="C573">
        <v>31</v>
      </c>
      <c r="D573" t="s">
        <v>132</v>
      </c>
      <c r="E573" t="s">
        <v>96</v>
      </c>
      <c r="F573" t="s">
        <v>96</v>
      </c>
      <c r="G573">
        <v>0.16</v>
      </c>
      <c r="H573" t="s">
        <v>66</v>
      </c>
      <c r="I573">
        <v>-2</v>
      </c>
      <c r="J573" t="str">
        <f>HYPERLINK("https://www.eliteprospects.com/player/887886/patrick-babin")</f>
        <v>https://www.eliteprospects.com/player/887886/patrick-babin</v>
      </c>
      <c r="K573" t="s">
        <v>27</v>
      </c>
      <c r="L573" t="s">
        <v>485</v>
      </c>
      <c r="M573" t="s">
        <v>1296</v>
      </c>
      <c r="N573">
        <v>2</v>
      </c>
      <c r="O573" t="s">
        <v>501</v>
      </c>
      <c r="P573">
        <v>0.02</v>
      </c>
      <c r="Q573" t="s">
        <v>1488</v>
      </c>
      <c r="R573">
        <v>0</v>
      </c>
      <c r="S573">
        <v>0</v>
      </c>
      <c r="T573">
        <v>0</v>
      </c>
      <c r="U573">
        <v>0</v>
      </c>
      <c r="V573">
        <v>0</v>
      </c>
    </row>
    <row r="574" spans="1:22" x14ac:dyDescent="0.25">
      <c r="A574" t="s">
        <v>1880</v>
      </c>
      <c r="B574" t="s">
        <v>507</v>
      </c>
      <c r="C574">
        <v>36</v>
      </c>
      <c r="D574" t="s">
        <v>132</v>
      </c>
      <c r="E574" t="s">
        <v>96</v>
      </c>
      <c r="F574" t="s">
        <v>96</v>
      </c>
      <c r="G574">
        <v>0.14000000000000001</v>
      </c>
      <c r="H574" t="s">
        <v>178</v>
      </c>
      <c r="I574">
        <v>1</v>
      </c>
      <c r="J574" t="str">
        <f>HYPERLINK("https://www.eliteprospects.com/player/881106/hayden-barch")</f>
        <v>https://www.eliteprospects.com/player/881106/hayden-barch</v>
      </c>
      <c r="K574" t="s">
        <v>27</v>
      </c>
      <c r="L574" t="s">
        <v>485</v>
      </c>
      <c r="M574" t="s">
        <v>1296</v>
      </c>
      <c r="N574">
        <v>2</v>
      </c>
      <c r="O574" t="s">
        <v>501</v>
      </c>
      <c r="P574">
        <v>0.02</v>
      </c>
      <c r="Q574" t="s">
        <v>1488</v>
      </c>
      <c r="R574">
        <v>0</v>
      </c>
      <c r="S574">
        <v>0</v>
      </c>
      <c r="T574">
        <v>0</v>
      </c>
      <c r="U574">
        <v>0</v>
      </c>
      <c r="V574">
        <v>0</v>
      </c>
    </row>
    <row r="575" spans="1:22" x14ac:dyDescent="0.25">
      <c r="A575" t="s">
        <v>1881</v>
      </c>
      <c r="B575" t="s">
        <v>531</v>
      </c>
      <c r="C575">
        <v>35</v>
      </c>
      <c r="D575" t="s">
        <v>79</v>
      </c>
      <c r="E575" t="s">
        <v>79</v>
      </c>
      <c r="F575" t="s">
        <v>66</v>
      </c>
      <c r="G575">
        <v>0.11</v>
      </c>
      <c r="H575" t="s">
        <v>57</v>
      </c>
      <c r="I575">
        <v>-22</v>
      </c>
      <c r="J575" t="str">
        <f>HYPERLINK("https://www.eliteprospects.com/player/690049/anthony-timmerman")</f>
        <v>https://www.eliteprospects.com/player/690049/anthony-timmerman</v>
      </c>
      <c r="K575" t="s">
        <v>27</v>
      </c>
      <c r="L575" t="s">
        <v>485</v>
      </c>
      <c r="M575" t="s">
        <v>1296</v>
      </c>
      <c r="N575">
        <v>1</v>
      </c>
      <c r="O575" t="s">
        <v>494</v>
      </c>
      <c r="P575">
        <v>0.02</v>
      </c>
      <c r="Q575" t="s">
        <v>1488</v>
      </c>
      <c r="R575">
        <v>0</v>
      </c>
      <c r="S575">
        <v>0</v>
      </c>
      <c r="T575">
        <v>0</v>
      </c>
      <c r="U575">
        <v>0</v>
      </c>
      <c r="V575">
        <v>0</v>
      </c>
    </row>
    <row r="576" spans="1:22" x14ac:dyDescent="0.25">
      <c r="A576" t="s">
        <v>1882</v>
      </c>
      <c r="B576" t="s">
        <v>515</v>
      </c>
      <c r="C576">
        <v>40</v>
      </c>
      <c r="D576" t="s">
        <v>79</v>
      </c>
      <c r="E576" t="s">
        <v>79</v>
      </c>
      <c r="F576" t="s">
        <v>66</v>
      </c>
      <c r="G576">
        <v>0.1</v>
      </c>
      <c r="H576" t="s">
        <v>513</v>
      </c>
      <c r="I576">
        <v>9</v>
      </c>
      <c r="J576" t="str">
        <f>HYPERLINK("https://www.eliteprospects.com/player/880891/evan-passmore")</f>
        <v>https://www.eliteprospects.com/player/880891/evan-passmore</v>
      </c>
      <c r="K576" t="s">
        <v>27</v>
      </c>
      <c r="L576" t="s">
        <v>485</v>
      </c>
      <c r="M576" t="s">
        <v>1296</v>
      </c>
      <c r="N576">
        <v>3</v>
      </c>
      <c r="O576" t="s">
        <v>492</v>
      </c>
      <c r="P576">
        <v>0.01</v>
      </c>
      <c r="Q576" t="s">
        <v>1488</v>
      </c>
      <c r="R576">
        <v>0</v>
      </c>
      <c r="S576">
        <v>0</v>
      </c>
      <c r="T576">
        <v>0</v>
      </c>
      <c r="U576">
        <v>0</v>
      </c>
      <c r="V576">
        <v>0</v>
      </c>
    </row>
    <row r="577" spans="1:22" x14ac:dyDescent="0.25">
      <c r="A577" t="s">
        <v>1883</v>
      </c>
      <c r="B577" t="s">
        <v>490</v>
      </c>
      <c r="C577">
        <v>20</v>
      </c>
      <c r="D577" t="s">
        <v>260</v>
      </c>
      <c r="E577" t="s">
        <v>140</v>
      </c>
      <c r="F577" t="s">
        <v>66</v>
      </c>
      <c r="G577">
        <v>0.2</v>
      </c>
      <c r="H577" t="s">
        <v>57</v>
      </c>
      <c r="I577">
        <v>4</v>
      </c>
      <c r="J577" t="str">
        <f>HYPERLINK("https://www.eliteprospects.com/player/597859/blake-barnes")</f>
        <v>https://www.eliteprospects.com/player/597859/blake-barnes</v>
      </c>
      <c r="K577" t="s">
        <v>27</v>
      </c>
      <c r="L577" t="s">
        <v>485</v>
      </c>
      <c r="M577" t="s">
        <v>1296</v>
      </c>
      <c r="N577">
        <v>3</v>
      </c>
      <c r="O577" t="s">
        <v>492</v>
      </c>
      <c r="P577">
        <v>0.03</v>
      </c>
      <c r="Q577" t="s">
        <v>1488</v>
      </c>
      <c r="R577">
        <v>0</v>
      </c>
      <c r="S577">
        <v>0</v>
      </c>
      <c r="T577">
        <v>0</v>
      </c>
      <c r="U577">
        <v>0</v>
      </c>
      <c r="V577">
        <v>0</v>
      </c>
    </row>
    <row r="578" spans="1:22" x14ac:dyDescent="0.25">
      <c r="A578" t="s">
        <v>1884</v>
      </c>
      <c r="B578" t="s">
        <v>531</v>
      </c>
      <c r="C578">
        <v>33</v>
      </c>
      <c r="D578" t="s">
        <v>260</v>
      </c>
      <c r="E578" t="s">
        <v>140</v>
      </c>
      <c r="F578" t="s">
        <v>66</v>
      </c>
      <c r="G578">
        <v>0.12</v>
      </c>
      <c r="H578" t="s">
        <v>34</v>
      </c>
      <c r="I578">
        <v>-5</v>
      </c>
      <c r="J578" t="str">
        <f>HYPERLINK("https://www.eliteprospects.com/player/1004154/brady-murnane")</f>
        <v>https://www.eliteprospects.com/player/1004154/brady-murnane</v>
      </c>
      <c r="K578" t="s">
        <v>27</v>
      </c>
      <c r="L578" t="s">
        <v>485</v>
      </c>
      <c r="M578" t="s">
        <v>1296</v>
      </c>
      <c r="N578">
        <v>1</v>
      </c>
      <c r="O578" t="s">
        <v>494</v>
      </c>
      <c r="P578">
        <v>0.02</v>
      </c>
      <c r="Q578" t="s">
        <v>1488</v>
      </c>
      <c r="R578">
        <v>0</v>
      </c>
      <c r="S578">
        <v>0</v>
      </c>
      <c r="T578">
        <v>0</v>
      </c>
      <c r="U578">
        <v>0</v>
      </c>
      <c r="V578">
        <v>0</v>
      </c>
    </row>
    <row r="579" spans="1:22" x14ac:dyDescent="0.25">
      <c r="A579" t="s">
        <v>1885</v>
      </c>
      <c r="B579" t="s">
        <v>504</v>
      </c>
      <c r="C579">
        <v>33</v>
      </c>
      <c r="D579" t="s">
        <v>260</v>
      </c>
      <c r="E579" t="s">
        <v>140</v>
      </c>
      <c r="F579" t="s">
        <v>66</v>
      </c>
      <c r="G579">
        <v>0.12</v>
      </c>
      <c r="H579" t="s">
        <v>53</v>
      </c>
      <c r="I579">
        <v>4</v>
      </c>
      <c r="J579" t="str">
        <f>HYPERLINK("https://www.eliteprospects.com/player/890367/andrew-macniel")</f>
        <v>https://www.eliteprospects.com/player/890367/andrew-macniel</v>
      </c>
      <c r="K579" t="s">
        <v>27</v>
      </c>
      <c r="L579" t="s">
        <v>485</v>
      </c>
      <c r="M579" t="s">
        <v>1296</v>
      </c>
      <c r="N579">
        <v>3</v>
      </c>
      <c r="O579" t="s">
        <v>492</v>
      </c>
      <c r="P579">
        <v>0.02</v>
      </c>
      <c r="Q579" t="s">
        <v>1488</v>
      </c>
      <c r="R579">
        <v>0</v>
      </c>
      <c r="S579">
        <v>0</v>
      </c>
      <c r="T579">
        <v>0</v>
      </c>
      <c r="U579">
        <v>0</v>
      </c>
      <c r="V579">
        <v>0</v>
      </c>
    </row>
    <row r="580" spans="1:22" x14ac:dyDescent="0.25">
      <c r="A580" t="s">
        <v>1886</v>
      </c>
      <c r="B580" t="s">
        <v>562</v>
      </c>
      <c r="C580">
        <v>33</v>
      </c>
      <c r="D580" t="s">
        <v>260</v>
      </c>
      <c r="E580" t="s">
        <v>140</v>
      </c>
      <c r="F580" t="s">
        <v>66</v>
      </c>
      <c r="G580">
        <v>0.12</v>
      </c>
      <c r="H580" t="s">
        <v>235</v>
      </c>
      <c r="I580">
        <v>-6</v>
      </c>
      <c r="J580" t="str">
        <f>HYPERLINK("https://www.eliteprospects.com/player/987181/peter-green")</f>
        <v>https://www.eliteprospects.com/player/987181/peter-green</v>
      </c>
      <c r="K580" t="s">
        <v>27</v>
      </c>
      <c r="L580" t="s">
        <v>485</v>
      </c>
      <c r="M580" t="s">
        <v>1296</v>
      </c>
      <c r="N580">
        <v>1</v>
      </c>
      <c r="O580" t="s">
        <v>494</v>
      </c>
      <c r="P580">
        <v>0.02</v>
      </c>
      <c r="Q580" t="s">
        <v>1488</v>
      </c>
      <c r="R580">
        <v>0</v>
      </c>
      <c r="S580">
        <v>0</v>
      </c>
      <c r="T580">
        <v>0</v>
      </c>
      <c r="U580">
        <v>0</v>
      </c>
      <c r="V580">
        <v>0</v>
      </c>
    </row>
    <row r="581" spans="1:22" x14ac:dyDescent="0.25">
      <c r="A581" t="s">
        <v>1887</v>
      </c>
      <c r="B581" t="s">
        <v>561</v>
      </c>
      <c r="C581">
        <v>37</v>
      </c>
      <c r="D581" t="s">
        <v>260</v>
      </c>
      <c r="E581" t="s">
        <v>140</v>
      </c>
      <c r="F581" t="s">
        <v>66</v>
      </c>
      <c r="G581">
        <v>0.11</v>
      </c>
      <c r="H581" t="s">
        <v>55</v>
      </c>
      <c r="I581">
        <v>12</v>
      </c>
      <c r="J581" t="str">
        <f>HYPERLINK("https://www.eliteprospects.com/player/890365/lukas-moore")</f>
        <v>https://www.eliteprospects.com/player/890365/lukas-moore</v>
      </c>
      <c r="K581" t="s">
        <v>27</v>
      </c>
      <c r="L581" t="s">
        <v>485</v>
      </c>
      <c r="M581" t="s">
        <v>1296</v>
      </c>
      <c r="N581">
        <v>2</v>
      </c>
      <c r="O581" t="s">
        <v>501</v>
      </c>
      <c r="P581">
        <v>0.02</v>
      </c>
      <c r="Q581" t="s">
        <v>1488</v>
      </c>
      <c r="R581">
        <v>0</v>
      </c>
      <c r="S581">
        <v>0</v>
      </c>
      <c r="T581">
        <v>0</v>
      </c>
      <c r="U581">
        <v>0</v>
      </c>
      <c r="V581">
        <v>0</v>
      </c>
    </row>
    <row r="582" spans="1:22" x14ac:dyDescent="0.25">
      <c r="A582" t="s">
        <v>1888</v>
      </c>
      <c r="B582" t="s">
        <v>521</v>
      </c>
      <c r="C582">
        <v>15</v>
      </c>
      <c r="D582" t="s">
        <v>132</v>
      </c>
      <c r="E582" t="s">
        <v>66</v>
      </c>
      <c r="F582" t="s">
        <v>66</v>
      </c>
      <c r="G582">
        <v>0.27</v>
      </c>
      <c r="H582" t="s">
        <v>57</v>
      </c>
      <c r="I582">
        <v>5</v>
      </c>
      <c r="J582" t="str">
        <f>HYPERLINK("https://www.eliteprospects.com/player/918214/nolan-jackson")</f>
        <v>https://www.eliteprospects.com/player/918214/nolan-jackson</v>
      </c>
      <c r="K582" t="s">
        <v>27</v>
      </c>
      <c r="L582" t="s">
        <v>485</v>
      </c>
      <c r="M582" t="s">
        <v>1296</v>
      </c>
      <c r="N582">
        <v>3</v>
      </c>
      <c r="O582" t="s">
        <v>492</v>
      </c>
      <c r="P582">
        <v>0.04</v>
      </c>
      <c r="Q582" t="s">
        <v>1488</v>
      </c>
      <c r="R582">
        <v>0</v>
      </c>
      <c r="S582">
        <v>0</v>
      </c>
      <c r="T582">
        <v>0</v>
      </c>
      <c r="U582">
        <v>0</v>
      </c>
      <c r="V582">
        <v>0</v>
      </c>
    </row>
    <row r="583" spans="1:22" x14ac:dyDescent="0.25">
      <c r="A583" t="s">
        <v>1889</v>
      </c>
      <c r="B583" t="s">
        <v>507</v>
      </c>
      <c r="C583">
        <v>41</v>
      </c>
      <c r="D583" t="s">
        <v>132</v>
      </c>
      <c r="E583" t="s">
        <v>66</v>
      </c>
      <c r="F583" t="s">
        <v>66</v>
      </c>
      <c r="G583">
        <v>0.1</v>
      </c>
      <c r="H583" t="s">
        <v>40</v>
      </c>
      <c r="I583">
        <v>-6</v>
      </c>
      <c r="J583" t="str">
        <f>HYPERLINK("https://www.eliteprospects.com/player/836555/artyom-frolov")</f>
        <v>https://www.eliteprospects.com/player/836555/artyom-frolov</v>
      </c>
      <c r="K583" t="s">
        <v>27</v>
      </c>
      <c r="L583" t="s">
        <v>485</v>
      </c>
      <c r="M583" t="s">
        <v>1296</v>
      </c>
      <c r="N583">
        <v>3</v>
      </c>
      <c r="O583" t="s">
        <v>492</v>
      </c>
      <c r="P583">
        <v>0.01</v>
      </c>
      <c r="Q583" t="s">
        <v>1488</v>
      </c>
      <c r="R583">
        <v>0</v>
      </c>
      <c r="S583">
        <v>0</v>
      </c>
      <c r="T583">
        <v>0</v>
      </c>
      <c r="U583">
        <v>0</v>
      </c>
      <c r="V583">
        <v>0</v>
      </c>
    </row>
    <row r="584" spans="1:22" x14ac:dyDescent="0.25">
      <c r="A584" t="s">
        <v>1890</v>
      </c>
      <c r="B584" t="s">
        <v>496</v>
      </c>
      <c r="C584">
        <v>41</v>
      </c>
      <c r="D584" t="s">
        <v>132</v>
      </c>
      <c r="E584" t="s">
        <v>66</v>
      </c>
      <c r="F584" t="s">
        <v>66</v>
      </c>
      <c r="G584">
        <v>0.1</v>
      </c>
      <c r="H584" t="s">
        <v>491</v>
      </c>
      <c r="I584">
        <v>8</v>
      </c>
      <c r="J584" t="str">
        <f>HYPERLINK("https://www.eliteprospects.com/player/879064/joshua-glavin")</f>
        <v>https://www.eliteprospects.com/player/879064/joshua-glavin</v>
      </c>
      <c r="K584" t="s">
        <v>27</v>
      </c>
      <c r="L584" t="s">
        <v>485</v>
      </c>
      <c r="M584" t="s">
        <v>1296</v>
      </c>
      <c r="N584">
        <v>4</v>
      </c>
      <c r="O584" t="s">
        <v>486</v>
      </c>
      <c r="P584">
        <v>0.01</v>
      </c>
      <c r="Q584" t="s">
        <v>1488</v>
      </c>
      <c r="R584">
        <v>0</v>
      </c>
      <c r="S584">
        <v>0</v>
      </c>
      <c r="T584">
        <v>0</v>
      </c>
      <c r="U584">
        <v>0</v>
      </c>
      <c r="V584">
        <v>0</v>
      </c>
    </row>
    <row r="585" spans="1:22" x14ac:dyDescent="0.25">
      <c r="A585" t="s">
        <v>1891</v>
      </c>
      <c r="B585" t="s">
        <v>498</v>
      </c>
      <c r="C585">
        <v>21</v>
      </c>
      <c r="D585" t="s">
        <v>79</v>
      </c>
      <c r="E585" t="s">
        <v>260</v>
      </c>
      <c r="F585" t="s">
        <v>140</v>
      </c>
      <c r="G585">
        <v>0.14000000000000001</v>
      </c>
      <c r="H585" t="s">
        <v>79</v>
      </c>
      <c r="I585">
        <v>2</v>
      </c>
      <c r="J585" t="str">
        <f>HYPERLINK("https://www.eliteprospects.com/player/968474/blake-munnings")</f>
        <v>https://www.eliteprospects.com/player/968474/blake-munnings</v>
      </c>
      <c r="K585" t="s">
        <v>27</v>
      </c>
      <c r="L585" t="s">
        <v>485</v>
      </c>
      <c r="M585" t="s">
        <v>1296</v>
      </c>
      <c r="N585">
        <v>1</v>
      </c>
      <c r="O585" t="s">
        <v>494</v>
      </c>
      <c r="P585">
        <v>0.02</v>
      </c>
      <c r="Q585" t="s">
        <v>1488</v>
      </c>
      <c r="R585">
        <v>0</v>
      </c>
      <c r="S585">
        <v>0</v>
      </c>
      <c r="T585">
        <v>0</v>
      </c>
      <c r="U585">
        <v>0</v>
      </c>
      <c r="V585">
        <v>0</v>
      </c>
    </row>
    <row r="586" spans="1:22" x14ac:dyDescent="0.25">
      <c r="A586" t="s">
        <v>1892</v>
      </c>
      <c r="B586" t="s">
        <v>536</v>
      </c>
      <c r="C586">
        <v>34</v>
      </c>
      <c r="D586" t="s">
        <v>260</v>
      </c>
      <c r="E586" t="s">
        <v>79</v>
      </c>
      <c r="F586" t="s">
        <v>140</v>
      </c>
      <c r="G586">
        <v>0.09</v>
      </c>
      <c r="H586" t="s">
        <v>513</v>
      </c>
      <c r="I586">
        <v>-9</v>
      </c>
      <c r="J586" t="str">
        <f>HYPERLINK("https://www.eliteprospects.com/player/678283/kaden-aucoin")</f>
        <v>https://www.eliteprospects.com/player/678283/kaden-aucoin</v>
      </c>
      <c r="K586" t="s">
        <v>27</v>
      </c>
      <c r="L586" t="s">
        <v>485</v>
      </c>
      <c r="M586" t="s">
        <v>1296</v>
      </c>
      <c r="N586">
        <v>1</v>
      </c>
      <c r="O586" t="s">
        <v>494</v>
      </c>
      <c r="P586">
        <v>0.01</v>
      </c>
      <c r="Q586" t="s">
        <v>1488</v>
      </c>
      <c r="R586">
        <v>0</v>
      </c>
      <c r="S586">
        <v>0</v>
      </c>
      <c r="T586">
        <v>0</v>
      </c>
      <c r="U586">
        <v>0</v>
      </c>
      <c r="V586">
        <v>0</v>
      </c>
    </row>
    <row r="587" spans="1:22" x14ac:dyDescent="0.25">
      <c r="A587" t="s">
        <v>1893</v>
      </c>
      <c r="B587" t="s">
        <v>520</v>
      </c>
      <c r="C587">
        <v>41</v>
      </c>
      <c r="D587" t="s">
        <v>260</v>
      </c>
      <c r="E587" t="s">
        <v>79</v>
      </c>
      <c r="F587" t="s">
        <v>140</v>
      </c>
      <c r="G587">
        <v>7.0000000000000007E-2</v>
      </c>
      <c r="H587" t="s">
        <v>84</v>
      </c>
      <c r="I587">
        <v>16</v>
      </c>
      <c r="J587" t="str">
        <f>HYPERLINK("https://www.eliteprospects.com/player/689876/jonathan-brown")</f>
        <v>https://www.eliteprospects.com/player/689876/jonathan-brown</v>
      </c>
      <c r="K587" t="s">
        <v>27</v>
      </c>
      <c r="L587" t="s">
        <v>485</v>
      </c>
      <c r="M587" t="s">
        <v>1296</v>
      </c>
      <c r="N587">
        <v>1</v>
      </c>
      <c r="O587" t="s">
        <v>494</v>
      </c>
      <c r="P587">
        <v>0.01</v>
      </c>
      <c r="Q587" t="s">
        <v>1488</v>
      </c>
      <c r="R587">
        <v>0</v>
      </c>
      <c r="S587">
        <v>0</v>
      </c>
      <c r="T587">
        <v>0</v>
      </c>
      <c r="U587">
        <v>0</v>
      </c>
      <c r="V587">
        <v>0</v>
      </c>
    </row>
    <row r="588" spans="1:22" x14ac:dyDescent="0.25">
      <c r="A588" t="s">
        <v>1894</v>
      </c>
      <c r="B588" t="s">
        <v>510</v>
      </c>
      <c r="C588">
        <v>22</v>
      </c>
      <c r="D588" t="s">
        <v>132</v>
      </c>
      <c r="E588" t="s">
        <v>140</v>
      </c>
      <c r="F588" t="s">
        <v>140</v>
      </c>
      <c r="G588">
        <v>0.14000000000000001</v>
      </c>
      <c r="H588" t="s">
        <v>32</v>
      </c>
      <c r="I588">
        <v>3</v>
      </c>
      <c r="J588" t="str">
        <f>HYPERLINK("https://www.eliteprospects.com/player/576954/keegan-gillen")</f>
        <v>https://www.eliteprospects.com/player/576954/keegan-gillen</v>
      </c>
      <c r="K588" t="s">
        <v>27</v>
      </c>
      <c r="L588" t="s">
        <v>485</v>
      </c>
      <c r="M588" t="s">
        <v>1296</v>
      </c>
      <c r="N588">
        <v>2</v>
      </c>
      <c r="O588" t="s">
        <v>501</v>
      </c>
      <c r="P588">
        <v>0.02</v>
      </c>
      <c r="Q588" t="s">
        <v>1488</v>
      </c>
      <c r="R588">
        <v>0</v>
      </c>
      <c r="S588">
        <v>0</v>
      </c>
      <c r="T588">
        <v>0</v>
      </c>
      <c r="U588">
        <v>0</v>
      </c>
      <c r="V588">
        <v>0</v>
      </c>
    </row>
    <row r="589" spans="1:22" x14ac:dyDescent="0.25">
      <c r="A589" t="s">
        <v>1895</v>
      </c>
      <c r="B589" t="s">
        <v>532</v>
      </c>
      <c r="C589">
        <v>22</v>
      </c>
      <c r="D589" t="s">
        <v>132</v>
      </c>
      <c r="E589" t="s">
        <v>140</v>
      </c>
      <c r="F589" t="s">
        <v>140</v>
      </c>
      <c r="G589">
        <v>0.14000000000000001</v>
      </c>
      <c r="H589" t="s">
        <v>25</v>
      </c>
      <c r="I589">
        <v>2</v>
      </c>
      <c r="J589" t="str">
        <f>HYPERLINK("https://www.eliteprospects.com/player/896007/maxim-sokolovsky")</f>
        <v>https://www.eliteprospects.com/player/896007/maxim-sokolovsky</v>
      </c>
      <c r="K589" t="s">
        <v>27</v>
      </c>
      <c r="L589" t="s">
        <v>485</v>
      </c>
      <c r="M589" t="s">
        <v>1296</v>
      </c>
      <c r="N589">
        <v>1</v>
      </c>
      <c r="O589" t="s">
        <v>494</v>
      </c>
      <c r="P589">
        <v>0.02</v>
      </c>
      <c r="Q589" t="s">
        <v>1488</v>
      </c>
      <c r="R589">
        <v>0</v>
      </c>
      <c r="S589">
        <v>0</v>
      </c>
      <c r="T589">
        <v>0</v>
      </c>
      <c r="U589">
        <v>0</v>
      </c>
      <c r="V589">
        <v>0</v>
      </c>
    </row>
    <row r="590" spans="1:22" x14ac:dyDescent="0.25">
      <c r="A590" t="s">
        <v>1896</v>
      </c>
      <c r="B590" t="s">
        <v>546</v>
      </c>
      <c r="C590">
        <v>29</v>
      </c>
      <c r="D590" t="s">
        <v>132</v>
      </c>
      <c r="E590" t="s">
        <v>140</v>
      </c>
      <c r="F590" t="s">
        <v>140</v>
      </c>
      <c r="G590">
        <v>0.1</v>
      </c>
      <c r="H590" t="s">
        <v>69</v>
      </c>
      <c r="I590">
        <v>-3</v>
      </c>
      <c r="J590" t="str">
        <f>HYPERLINK("https://www.eliteprospects.com/player/985399/carter-kunopaski")</f>
        <v>https://www.eliteprospects.com/player/985399/carter-kunopaski</v>
      </c>
      <c r="K590" t="s">
        <v>27</v>
      </c>
      <c r="L590" t="s">
        <v>485</v>
      </c>
      <c r="M590" t="s">
        <v>1296</v>
      </c>
      <c r="N590">
        <v>1</v>
      </c>
      <c r="O590" t="s">
        <v>494</v>
      </c>
      <c r="P590">
        <v>0.01</v>
      </c>
      <c r="Q590" t="s">
        <v>1488</v>
      </c>
      <c r="R590">
        <v>0</v>
      </c>
      <c r="S590">
        <v>0</v>
      </c>
      <c r="T590">
        <v>0</v>
      </c>
      <c r="U590">
        <v>0</v>
      </c>
      <c r="V590">
        <v>0</v>
      </c>
    </row>
    <row r="591" spans="1:22" x14ac:dyDescent="0.25">
      <c r="A591" t="s">
        <v>1897</v>
      </c>
      <c r="B591" t="s">
        <v>562</v>
      </c>
      <c r="C591">
        <v>31</v>
      </c>
      <c r="D591" t="s">
        <v>132</v>
      </c>
      <c r="E591" t="s">
        <v>140</v>
      </c>
      <c r="F591" t="s">
        <v>140</v>
      </c>
      <c r="G591">
        <v>0.1</v>
      </c>
      <c r="H591" t="s">
        <v>500</v>
      </c>
      <c r="I591">
        <v>-14</v>
      </c>
      <c r="J591" t="str">
        <f>HYPERLINK("https://www.eliteprospects.com/player/880429/reed-gee")</f>
        <v>https://www.eliteprospects.com/player/880429/reed-gee</v>
      </c>
      <c r="K591" t="s">
        <v>27</v>
      </c>
      <c r="L591" t="s">
        <v>485</v>
      </c>
      <c r="M591" t="s">
        <v>1296</v>
      </c>
      <c r="N591">
        <v>4</v>
      </c>
      <c r="O591" t="s">
        <v>486</v>
      </c>
      <c r="P591">
        <v>0.01</v>
      </c>
      <c r="Q591" t="s">
        <v>1488</v>
      </c>
      <c r="R591">
        <v>0</v>
      </c>
      <c r="S591">
        <v>0</v>
      </c>
      <c r="T591">
        <v>0</v>
      </c>
      <c r="U591">
        <v>0</v>
      </c>
      <c r="V591">
        <v>0</v>
      </c>
    </row>
    <row r="592" spans="1:22" x14ac:dyDescent="0.25">
      <c r="A592" t="s">
        <v>1898</v>
      </c>
      <c r="B592" t="s">
        <v>504</v>
      </c>
      <c r="C592">
        <v>15</v>
      </c>
      <c r="D592" t="s">
        <v>79</v>
      </c>
      <c r="E592" t="s">
        <v>132</v>
      </c>
      <c r="F592" t="s">
        <v>79</v>
      </c>
      <c r="G592">
        <v>0.13</v>
      </c>
      <c r="H592" t="s">
        <v>57</v>
      </c>
      <c r="I592">
        <v>-2</v>
      </c>
      <c r="J592" t="str">
        <f>HYPERLINK("https://www.eliteprospects.com/player/805219/kaden-schneider")</f>
        <v>https://www.eliteprospects.com/player/805219/kaden-schneider</v>
      </c>
      <c r="K592" t="s">
        <v>27</v>
      </c>
      <c r="L592" t="s">
        <v>485</v>
      </c>
      <c r="M592" t="s">
        <v>1296</v>
      </c>
      <c r="N592">
        <v>2</v>
      </c>
      <c r="O592" t="s">
        <v>501</v>
      </c>
      <c r="P592">
        <v>0.02</v>
      </c>
      <c r="Q592" t="s">
        <v>1488</v>
      </c>
      <c r="R592">
        <v>0</v>
      </c>
      <c r="S592">
        <v>0</v>
      </c>
      <c r="T592">
        <v>0</v>
      </c>
      <c r="U592">
        <v>0</v>
      </c>
      <c r="V592">
        <v>0</v>
      </c>
    </row>
    <row r="593" spans="1:22" x14ac:dyDescent="0.25">
      <c r="A593" t="s">
        <v>1899</v>
      </c>
      <c r="B593" t="s">
        <v>484</v>
      </c>
      <c r="C593">
        <v>16</v>
      </c>
      <c r="D593" t="s">
        <v>260</v>
      </c>
      <c r="E593" t="s">
        <v>260</v>
      </c>
      <c r="F593" t="s">
        <v>79</v>
      </c>
      <c r="G593">
        <v>0.13</v>
      </c>
      <c r="H593" t="s">
        <v>24</v>
      </c>
      <c r="I593">
        <v>1</v>
      </c>
      <c r="J593" t="str">
        <f>HYPERLINK("https://www.eliteprospects.com/player/976477/christian-colosimo")</f>
        <v>https://www.eliteprospects.com/player/976477/christian-colosimo</v>
      </c>
      <c r="K593" t="s">
        <v>27</v>
      </c>
      <c r="L593" t="s">
        <v>485</v>
      </c>
      <c r="M593" t="s">
        <v>1296</v>
      </c>
      <c r="N593">
        <v>2</v>
      </c>
      <c r="O593" t="s">
        <v>501</v>
      </c>
      <c r="P593">
        <v>0.02</v>
      </c>
      <c r="Q593" t="s">
        <v>1488</v>
      </c>
      <c r="R593">
        <v>0</v>
      </c>
      <c r="S593">
        <v>0</v>
      </c>
      <c r="T593">
        <v>0</v>
      </c>
      <c r="U593">
        <v>0</v>
      </c>
      <c r="V593">
        <v>0</v>
      </c>
    </row>
    <row r="594" spans="1:22" x14ac:dyDescent="0.25">
      <c r="A594" t="s">
        <v>1900</v>
      </c>
      <c r="B594" t="s">
        <v>531</v>
      </c>
      <c r="C594">
        <v>23</v>
      </c>
      <c r="D594" t="s">
        <v>260</v>
      </c>
      <c r="E594" t="s">
        <v>260</v>
      </c>
      <c r="F594" t="s">
        <v>79</v>
      </c>
      <c r="G594">
        <v>0.09</v>
      </c>
      <c r="H594" t="s">
        <v>45</v>
      </c>
      <c r="I594">
        <v>-6</v>
      </c>
      <c r="J594" t="str">
        <f>HYPERLINK("https://www.eliteprospects.com/player/862024/leo-laschon")</f>
        <v>https://www.eliteprospects.com/player/862024/leo-laschon</v>
      </c>
      <c r="K594" t="s">
        <v>27</v>
      </c>
      <c r="L594" t="s">
        <v>485</v>
      </c>
      <c r="M594" t="s">
        <v>1296</v>
      </c>
      <c r="N594">
        <v>1</v>
      </c>
      <c r="O594" t="s">
        <v>494</v>
      </c>
      <c r="P594">
        <v>0.01</v>
      </c>
      <c r="Q594" t="s">
        <v>1488</v>
      </c>
      <c r="R594">
        <v>0</v>
      </c>
      <c r="S594">
        <v>0</v>
      </c>
      <c r="T594">
        <v>0</v>
      </c>
      <c r="U594">
        <v>0</v>
      </c>
      <c r="V594">
        <v>0</v>
      </c>
    </row>
    <row r="595" spans="1:22" x14ac:dyDescent="0.25">
      <c r="A595" t="s">
        <v>1901</v>
      </c>
      <c r="B595" t="s">
        <v>562</v>
      </c>
      <c r="C595">
        <v>11</v>
      </c>
      <c r="D595" t="s">
        <v>132</v>
      </c>
      <c r="E595" t="s">
        <v>79</v>
      </c>
      <c r="F595" t="s">
        <v>79</v>
      </c>
      <c r="G595">
        <v>0.18</v>
      </c>
      <c r="H595" t="s">
        <v>79</v>
      </c>
      <c r="I595">
        <v>-2</v>
      </c>
      <c r="J595" t="str">
        <f>HYPERLINK("https://www.eliteprospects.com/player/890943/sean-matthew-goyette")</f>
        <v>https://www.eliteprospects.com/player/890943/sean-matthew-goyette</v>
      </c>
      <c r="K595" t="s">
        <v>27</v>
      </c>
      <c r="L595" t="s">
        <v>485</v>
      </c>
      <c r="M595" t="s">
        <v>1296</v>
      </c>
      <c r="N595">
        <v>1</v>
      </c>
      <c r="O595" t="s">
        <v>494</v>
      </c>
      <c r="P595">
        <v>0.03</v>
      </c>
      <c r="Q595" t="s">
        <v>1488</v>
      </c>
      <c r="R595">
        <v>0</v>
      </c>
      <c r="S595">
        <v>0</v>
      </c>
      <c r="T595">
        <v>0</v>
      </c>
      <c r="U595">
        <v>0</v>
      </c>
      <c r="V595">
        <v>0</v>
      </c>
    </row>
    <row r="596" spans="1:22" x14ac:dyDescent="0.25">
      <c r="A596" t="s">
        <v>1902</v>
      </c>
      <c r="B596" t="s">
        <v>561</v>
      </c>
      <c r="C596">
        <v>14</v>
      </c>
      <c r="D596" t="s">
        <v>132</v>
      </c>
      <c r="E596" t="s">
        <v>79</v>
      </c>
      <c r="F596" t="s">
        <v>79</v>
      </c>
      <c r="G596">
        <v>0.14000000000000001</v>
      </c>
      <c r="H596" t="s">
        <v>79</v>
      </c>
      <c r="I596">
        <v>-3</v>
      </c>
      <c r="J596" t="str">
        <f>HYPERLINK("https://www.eliteprospects.com/player/888237/niko-krmpotic")</f>
        <v>https://www.eliteprospects.com/player/888237/niko-krmpotic</v>
      </c>
      <c r="K596" t="s">
        <v>27</v>
      </c>
      <c r="L596" t="s">
        <v>485</v>
      </c>
      <c r="M596" t="s">
        <v>1296</v>
      </c>
      <c r="N596">
        <v>3</v>
      </c>
      <c r="O596" t="s">
        <v>492</v>
      </c>
      <c r="P596">
        <v>0.02</v>
      </c>
      <c r="Q596" t="s">
        <v>1488</v>
      </c>
      <c r="R596">
        <v>0</v>
      </c>
      <c r="S596">
        <v>0</v>
      </c>
      <c r="T596">
        <v>0</v>
      </c>
      <c r="U596">
        <v>0</v>
      </c>
      <c r="V596">
        <v>0</v>
      </c>
    </row>
    <row r="597" spans="1:22" x14ac:dyDescent="0.25">
      <c r="A597" t="s">
        <v>1903</v>
      </c>
      <c r="B597" t="s">
        <v>493</v>
      </c>
      <c r="C597">
        <v>15</v>
      </c>
      <c r="D597" t="s">
        <v>132</v>
      </c>
      <c r="E597" t="s">
        <v>79</v>
      </c>
      <c r="F597" t="s">
        <v>79</v>
      </c>
      <c r="G597">
        <v>0.13</v>
      </c>
      <c r="H597" t="s">
        <v>79</v>
      </c>
      <c r="I597">
        <v>-2</v>
      </c>
      <c r="J597" t="str">
        <f>HYPERLINK("https://www.eliteprospects.com/player/966263/david-buchman")</f>
        <v>https://www.eliteprospects.com/player/966263/david-buchman</v>
      </c>
      <c r="K597" t="s">
        <v>27</v>
      </c>
      <c r="L597" t="s">
        <v>485</v>
      </c>
      <c r="M597" t="s">
        <v>1296</v>
      </c>
      <c r="N597">
        <v>1</v>
      </c>
      <c r="O597" t="s">
        <v>494</v>
      </c>
      <c r="P597">
        <v>0.02</v>
      </c>
      <c r="Q597" t="s">
        <v>1488</v>
      </c>
      <c r="R597">
        <v>0</v>
      </c>
      <c r="S597">
        <v>0</v>
      </c>
      <c r="T597">
        <v>0</v>
      </c>
      <c r="U597">
        <v>0</v>
      </c>
      <c r="V597">
        <v>0</v>
      </c>
    </row>
    <row r="598" spans="1:22" x14ac:dyDescent="0.25">
      <c r="A598" t="s">
        <v>1904</v>
      </c>
      <c r="B598" t="s">
        <v>562</v>
      </c>
      <c r="C598">
        <v>15</v>
      </c>
      <c r="D598" t="s">
        <v>132</v>
      </c>
      <c r="E598" t="s">
        <v>79</v>
      </c>
      <c r="F598" t="s">
        <v>79</v>
      </c>
      <c r="G598">
        <v>0.13</v>
      </c>
      <c r="H598" t="s">
        <v>518</v>
      </c>
      <c r="I598">
        <v>-8</v>
      </c>
      <c r="J598" t="str">
        <f>HYPERLINK("https://www.eliteprospects.com/player/814149/luke-dragusica")</f>
        <v>https://www.eliteprospects.com/player/814149/luke-dragusica</v>
      </c>
      <c r="K598" t="s">
        <v>27</v>
      </c>
      <c r="L598" t="s">
        <v>485</v>
      </c>
      <c r="M598" t="s">
        <v>1296</v>
      </c>
      <c r="N598">
        <v>3</v>
      </c>
      <c r="O598" t="s">
        <v>492</v>
      </c>
      <c r="P598">
        <v>0.02</v>
      </c>
      <c r="Q598" t="s">
        <v>1488</v>
      </c>
      <c r="R598">
        <v>0</v>
      </c>
      <c r="S598">
        <v>0</v>
      </c>
      <c r="T598">
        <v>0</v>
      </c>
      <c r="U598">
        <v>0</v>
      </c>
      <c r="V598">
        <v>0</v>
      </c>
    </row>
    <row r="599" spans="1:22" x14ac:dyDescent="0.25">
      <c r="A599" t="s">
        <v>1905</v>
      </c>
      <c r="B599" t="s">
        <v>562</v>
      </c>
      <c r="C599">
        <v>23</v>
      </c>
      <c r="D599" t="s">
        <v>132</v>
      </c>
      <c r="E599" t="s">
        <v>79</v>
      </c>
      <c r="F599" t="s">
        <v>79</v>
      </c>
      <c r="G599">
        <v>0.09</v>
      </c>
      <c r="H599" t="s">
        <v>26</v>
      </c>
      <c r="I599">
        <v>1</v>
      </c>
      <c r="J599" t="str">
        <f>HYPERLINK("https://www.eliteprospects.com/player/897532/owen-cartwright")</f>
        <v>https://www.eliteprospects.com/player/897532/owen-cartwright</v>
      </c>
      <c r="K599" t="s">
        <v>27</v>
      </c>
      <c r="L599" t="s">
        <v>485</v>
      </c>
      <c r="M599" t="s">
        <v>1296</v>
      </c>
      <c r="N599">
        <v>2</v>
      </c>
      <c r="O599" t="s">
        <v>501</v>
      </c>
      <c r="P599">
        <v>0.01</v>
      </c>
      <c r="Q599" t="s">
        <v>1488</v>
      </c>
      <c r="R599">
        <v>0</v>
      </c>
      <c r="S599">
        <v>0</v>
      </c>
      <c r="T599">
        <v>0</v>
      </c>
      <c r="U599">
        <v>0</v>
      </c>
      <c r="V599">
        <v>0</v>
      </c>
    </row>
    <row r="600" spans="1:22" x14ac:dyDescent="0.25">
      <c r="A600" t="s">
        <v>1906</v>
      </c>
      <c r="B600" t="s">
        <v>504</v>
      </c>
      <c r="C600">
        <v>32</v>
      </c>
      <c r="D600" t="s">
        <v>132</v>
      </c>
      <c r="E600" t="s">
        <v>79</v>
      </c>
      <c r="F600" t="s">
        <v>79</v>
      </c>
      <c r="G600">
        <v>0.06</v>
      </c>
      <c r="H600" t="s">
        <v>1907</v>
      </c>
      <c r="I600">
        <v>0</v>
      </c>
      <c r="J600" t="str">
        <f>HYPERLINK("https://www.eliteprospects.com/player/880621/maxim-dirracolo")</f>
        <v>https://www.eliteprospects.com/player/880621/maxim-dirracolo</v>
      </c>
      <c r="K600" t="s">
        <v>27</v>
      </c>
      <c r="L600" t="s">
        <v>485</v>
      </c>
      <c r="M600" t="s">
        <v>1296</v>
      </c>
      <c r="N600">
        <v>3</v>
      </c>
      <c r="O600" t="s">
        <v>492</v>
      </c>
      <c r="P600">
        <v>0.01</v>
      </c>
      <c r="Q600" t="s">
        <v>1488</v>
      </c>
      <c r="R600">
        <v>0</v>
      </c>
      <c r="S600">
        <v>0</v>
      </c>
      <c r="T600">
        <v>0</v>
      </c>
      <c r="U600">
        <v>0</v>
      </c>
      <c r="V600">
        <v>0</v>
      </c>
    </row>
    <row r="601" spans="1:22" x14ac:dyDescent="0.25">
      <c r="A601" t="s">
        <v>1528</v>
      </c>
      <c r="B601" t="s">
        <v>510</v>
      </c>
      <c r="C601">
        <v>16</v>
      </c>
      <c r="D601" t="s">
        <v>132</v>
      </c>
      <c r="E601" t="s">
        <v>260</v>
      </c>
      <c r="F601" t="s">
        <v>260</v>
      </c>
      <c r="G601">
        <v>0.06</v>
      </c>
      <c r="H601" t="s">
        <v>23</v>
      </c>
      <c r="I601">
        <v>-2</v>
      </c>
      <c r="J601" t="str">
        <f>HYPERLINK("https://www.eliteprospects.com/player/603040/jack-o-brien")</f>
        <v>https://www.eliteprospects.com/player/603040/jack-o-brien</v>
      </c>
      <c r="K601" t="s">
        <v>27</v>
      </c>
      <c r="L601" t="s">
        <v>485</v>
      </c>
      <c r="M601" t="s">
        <v>1296</v>
      </c>
      <c r="N601">
        <v>6</v>
      </c>
      <c r="O601" t="s">
        <v>1529</v>
      </c>
      <c r="P601">
        <v>0.01</v>
      </c>
      <c r="Q601" t="s">
        <v>1488</v>
      </c>
      <c r="R601">
        <v>0</v>
      </c>
      <c r="S601">
        <v>0</v>
      </c>
      <c r="T601">
        <v>0</v>
      </c>
      <c r="U601">
        <v>0</v>
      </c>
      <c r="V601">
        <v>0</v>
      </c>
    </row>
    <row r="602" spans="1:22" x14ac:dyDescent="0.25">
      <c r="A602" t="s">
        <v>1908</v>
      </c>
      <c r="B602" t="s">
        <v>526</v>
      </c>
      <c r="C602">
        <v>18</v>
      </c>
      <c r="D602" t="s">
        <v>132</v>
      </c>
      <c r="E602" t="s">
        <v>260</v>
      </c>
      <c r="F602" t="s">
        <v>260</v>
      </c>
      <c r="G602">
        <v>0.06</v>
      </c>
      <c r="H602" t="s">
        <v>79</v>
      </c>
      <c r="I602">
        <v>-5</v>
      </c>
      <c r="J602" t="str">
        <f>HYPERLINK("https://www.eliteprospects.com/player/876197/calum-hartnell")</f>
        <v>https://www.eliteprospects.com/player/876197/calum-hartnell</v>
      </c>
      <c r="K602" t="s">
        <v>27</v>
      </c>
      <c r="L602" t="s">
        <v>485</v>
      </c>
      <c r="M602" t="s">
        <v>1296</v>
      </c>
      <c r="N602">
        <v>2</v>
      </c>
      <c r="O602" t="s">
        <v>501</v>
      </c>
      <c r="P602">
        <v>0.01</v>
      </c>
      <c r="Q602" t="s">
        <v>1488</v>
      </c>
      <c r="R602">
        <v>0</v>
      </c>
      <c r="S602">
        <v>0</v>
      </c>
      <c r="T602">
        <v>0</v>
      </c>
      <c r="U602">
        <v>0</v>
      </c>
      <c r="V602">
        <v>0</v>
      </c>
    </row>
    <row r="603" spans="1:22" x14ac:dyDescent="0.25">
      <c r="A603" t="s">
        <v>1909</v>
      </c>
      <c r="B603" t="s">
        <v>484</v>
      </c>
      <c r="C603">
        <v>23</v>
      </c>
      <c r="D603" t="s">
        <v>132</v>
      </c>
      <c r="E603" t="s">
        <v>260</v>
      </c>
      <c r="F603" t="s">
        <v>260</v>
      </c>
      <c r="G603">
        <v>0.04</v>
      </c>
      <c r="H603" t="s">
        <v>66</v>
      </c>
      <c r="I603">
        <v>7</v>
      </c>
      <c r="J603" t="str">
        <f>HYPERLINK("https://www.eliteprospects.com/player/905984/james-paul")</f>
        <v>https://www.eliteprospects.com/player/905984/james-paul</v>
      </c>
      <c r="K603" t="s">
        <v>27</v>
      </c>
      <c r="L603" t="s">
        <v>485</v>
      </c>
      <c r="M603" t="s">
        <v>1296</v>
      </c>
      <c r="N603">
        <v>2</v>
      </c>
      <c r="O603" t="s">
        <v>501</v>
      </c>
      <c r="P603">
        <v>0.01</v>
      </c>
      <c r="Q603" t="s">
        <v>1488</v>
      </c>
      <c r="R603">
        <v>0</v>
      </c>
      <c r="S603">
        <v>0</v>
      </c>
      <c r="T603">
        <v>0</v>
      </c>
      <c r="U603">
        <v>0</v>
      </c>
      <c r="V603">
        <v>0</v>
      </c>
    </row>
    <row r="604" spans="1:22" x14ac:dyDescent="0.25">
      <c r="A604" t="s">
        <v>1910</v>
      </c>
      <c r="B604" t="s">
        <v>578</v>
      </c>
      <c r="C604">
        <v>31</v>
      </c>
      <c r="D604" t="s">
        <v>132</v>
      </c>
      <c r="E604" t="s">
        <v>260</v>
      </c>
      <c r="F604" t="s">
        <v>260</v>
      </c>
      <c r="G604">
        <v>0.03</v>
      </c>
      <c r="H604" t="s">
        <v>277</v>
      </c>
      <c r="I604">
        <v>-9</v>
      </c>
      <c r="J604" t="str">
        <f>HYPERLINK("https://www.eliteprospects.com/player/577219/oliver-turner")</f>
        <v>https://www.eliteprospects.com/player/577219/oliver-turner</v>
      </c>
      <c r="K604" t="s">
        <v>27</v>
      </c>
      <c r="L604" t="s">
        <v>485</v>
      </c>
      <c r="M604" t="s">
        <v>1296</v>
      </c>
      <c r="N604">
        <v>2</v>
      </c>
      <c r="O604" t="s">
        <v>501</v>
      </c>
      <c r="P604">
        <v>0</v>
      </c>
      <c r="Q604" t="s">
        <v>1488</v>
      </c>
      <c r="R604">
        <v>0</v>
      </c>
      <c r="S604">
        <v>0</v>
      </c>
      <c r="T604">
        <v>0</v>
      </c>
      <c r="U604">
        <v>0</v>
      </c>
      <c r="V604">
        <v>0</v>
      </c>
    </row>
    <row r="605" spans="1:22" x14ac:dyDescent="0.25">
      <c r="A605" t="s">
        <v>1911</v>
      </c>
      <c r="B605" t="s">
        <v>484</v>
      </c>
      <c r="C605">
        <v>32</v>
      </c>
      <c r="D605" t="s">
        <v>132</v>
      </c>
      <c r="E605" t="s">
        <v>260</v>
      </c>
      <c r="F605" t="s">
        <v>260</v>
      </c>
      <c r="G605">
        <v>0.03</v>
      </c>
      <c r="H605" t="s">
        <v>60</v>
      </c>
      <c r="I605">
        <v>0</v>
      </c>
      <c r="J605" t="str">
        <f>HYPERLINK("https://www.eliteprospects.com/player/906442/george-komadoski")</f>
        <v>https://www.eliteprospects.com/player/906442/george-komadoski</v>
      </c>
      <c r="K605" t="s">
        <v>27</v>
      </c>
      <c r="L605" t="s">
        <v>485</v>
      </c>
      <c r="M605" t="s">
        <v>1296</v>
      </c>
      <c r="N605">
        <v>1</v>
      </c>
      <c r="O605" t="s">
        <v>494</v>
      </c>
      <c r="P605">
        <v>0</v>
      </c>
      <c r="Q605" t="s">
        <v>1488</v>
      </c>
      <c r="R605">
        <v>0</v>
      </c>
      <c r="S605">
        <v>0</v>
      </c>
      <c r="T605">
        <v>0</v>
      </c>
      <c r="U605">
        <v>0</v>
      </c>
      <c r="V605">
        <v>0</v>
      </c>
    </row>
    <row r="606" spans="1:22" x14ac:dyDescent="0.25">
      <c r="A606" t="s">
        <v>1912</v>
      </c>
      <c r="B606" t="s">
        <v>526</v>
      </c>
      <c r="C606">
        <v>37</v>
      </c>
      <c r="D606" t="s">
        <v>132</v>
      </c>
      <c r="E606" t="s">
        <v>260</v>
      </c>
      <c r="F606" t="s">
        <v>260</v>
      </c>
      <c r="G606">
        <v>0.03</v>
      </c>
      <c r="H606" t="s">
        <v>739</v>
      </c>
      <c r="I606">
        <v>-6</v>
      </c>
      <c r="J606" t="str">
        <f>HYPERLINK("https://www.eliteprospects.com/player/881014/thanasi-marentette")</f>
        <v>https://www.eliteprospects.com/player/881014/thanasi-marentette</v>
      </c>
      <c r="K606" t="s">
        <v>27</v>
      </c>
      <c r="L606" t="s">
        <v>485</v>
      </c>
      <c r="M606" t="s">
        <v>1296</v>
      </c>
      <c r="N606">
        <v>2</v>
      </c>
      <c r="O606" t="s">
        <v>501</v>
      </c>
      <c r="P606">
        <v>0</v>
      </c>
      <c r="Q606" t="s">
        <v>1488</v>
      </c>
      <c r="R606">
        <v>0</v>
      </c>
      <c r="S606">
        <v>0</v>
      </c>
      <c r="T606">
        <v>0</v>
      </c>
      <c r="U606">
        <v>0</v>
      </c>
      <c r="V606">
        <v>0</v>
      </c>
    </row>
    <row r="607" spans="1:22" x14ac:dyDescent="0.25">
      <c r="A607" t="s">
        <v>1913</v>
      </c>
      <c r="B607" t="s">
        <v>578</v>
      </c>
      <c r="C607">
        <v>15</v>
      </c>
      <c r="D607" t="s">
        <v>132</v>
      </c>
      <c r="E607" t="s">
        <v>132</v>
      </c>
      <c r="F607" t="s">
        <v>132</v>
      </c>
      <c r="G607">
        <v>0</v>
      </c>
      <c r="H607" t="s">
        <v>132</v>
      </c>
      <c r="I607">
        <v>-5</v>
      </c>
      <c r="J607" t="str">
        <f>HYPERLINK("https://www.eliteprospects.com/player/916540/nick-frasca")</f>
        <v>https://www.eliteprospects.com/player/916540/nick-frasca</v>
      </c>
      <c r="K607" t="s">
        <v>27</v>
      </c>
      <c r="L607" t="s">
        <v>485</v>
      </c>
      <c r="M607" t="s">
        <v>1296</v>
      </c>
      <c r="N607">
        <v>2</v>
      </c>
      <c r="O607" t="s">
        <v>501</v>
      </c>
      <c r="P607">
        <v>0</v>
      </c>
      <c r="Q607" t="s">
        <v>1488</v>
      </c>
      <c r="R607">
        <v>0</v>
      </c>
      <c r="S607">
        <v>0</v>
      </c>
      <c r="T607">
        <v>0</v>
      </c>
      <c r="U607">
        <v>0</v>
      </c>
      <c r="V607">
        <v>0</v>
      </c>
    </row>
    <row r="608" spans="1:22" x14ac:dyDescent="0.25">
      <c r="A608" t="s">
        <v>1914</v>
      </c>
      <c r="B608" t="s">
        <v>507</v>
      </c>
      <c r="C608">
        <v>19</v>
      </c>
      <c r="D608" t="s">
        <v>132</v>
      </c>
      <c r="E608" t="s">
        <v>132</v>
      </c>
      <c r="F608" t="s">
        <v>132</v>
      </c>
      <c r="G608">
        <v>0</v>
      </c>
      <c r="H608" t="s">
        <v>79</v>
      </c>
      <c r="I608">
        <v>-10</v>
      </c>
      <c r="J608" t="str">
        <f>HYPERLINK("https://www.eliteprospects.com/player/888195/mason-roy")</f>
        <v>https://www.eliteprospects.com/player/888195/mason-roy</v>
      </c>
      <c r="K608" t="s">
        <v>27</v>
      </c>
      <c r="L608" t="s">
        <v>485</v>
      </c>
      <c r="M608" t="s">
        <v>1296</v>
      </c>
      <c r="N608">
        <v>2</v>
      </c>
      <c r="O608" t="s">
        <v>501</v>
      </c>
      <c r="P608">
        <v>0</v>
      </c>
      <c r="Q608" t="s">
        <v>1488</v>
      </c>
      <c r="R608">
        <v>0</v>
      </c>
      <c r="S608">
        <v>0</v>
      </c>
      <c r="T608">
        <v>0</v>
      </c>
      <c r="U608">
        <v>0</v>
      </c>
      <c r="V608">
        <v>0</v>
      </c>
    </row>
    <row r="609" spans="1:22" x14ac:dyDescent="0.25">
      <c r="A609" t="s">
        <v>1915</v>
      </c>
      <c r="B609" t="s">
        <v>488</v>
      </c>
      <c r="C609">
        <v>23</v>
      </c>
      <c r="D609" t="s">
        <v>132</v>
      </c>
      <c r="E609" t="s">
        <v>132</v>
      </c>
      <c r="F609" t="s">
        <v>132</v>
      </c>
      <c r="G609">
        <v>0</v>
      </c>
      <c r="H609" t="s">
        <v>24</v>
      </c>
      <c r="I609">
        <v>-4</v>
      </c>
      <c r="J609" t="str">
        <f>HYPERLINK("https://www.eliteprospects.com/player/890508/brady-smith")</f>
        <v>https://www.eliteprospects.com/player/890508/brady-smith</v>
      </c>
      <c r="K609" t="s">
        <v>27</v>
      </c>
      <c r="L609" t="s">
        <v>485</v>
      </c>
      <c r="M609" t="s">
        <v>1296</v>
      </c>
      <c r="N609">
        <v>3</v>
      </c>
      <c r="O609" t="s">
        <v>505</v>
      </c>
      <c r="P609">
        <v>0</v>
      </c>
      <c r="Q609" t="s">
        <v>1488</v>
      </c>
      <c r="R609">
        <v>0</v>
      </c>
      <c r="S609">
        <v>0</v>
      </c>
      <c r="T609">
        <v>0</v>
      </c>
      <c r="U609">
        <v>0</v>
      </c>
      <c r="V609">
        <v>0</v>
      </c>
    </row>
    <row r="610" spans="1:22" x14ac:dyDescent="0.25">
      <c r="A610" t="s">
        <v>1883</v>
      </c>
      <c r="B610" t="s">
        <v>496</v>
      </c>
      <c r="C610">
        <v>33</v>
      </c>
      <c r="D610" t="s">
        <v>132</v>
      </c>
      <c r="E610" t="s">
        <v>132</v>
      </c>
      <c r="F610" t="s">
        <v>132</v>
      </c>
      <c r="G610">
        <v>0</v>
      </c>
      <c r="H610" t="s">
        <v>60</v>
      </c>
      <c r="I610">
        <v>-11</v>
      </c>
      <c r="J610" t="str">
        <f>HYPERLINK("https://www.eliteprospects.com/player/897420/blake-barnes")</f>
        <v>https://www.eliteprospects.com/player/897420/blake-barnes</v>
      </c>
      <c r="K610" t="s">
        <v>27</v>
      </c>
      <c r="L610" t="s">
        <v>485</v>
      </c>
      <c r="M610" t="s">
        <v>1296</v>
      </c>
      <c r="N610">
        <v>3</v>
      </c>
      <c r="O610" t="s">
        <v>492</v>
      </c>
      <c r="P610">
        <v>0</v>
      </c>
      <c r="Q610" t="s">
        <v>1488</v>
      </c>
      <c r="R610">
        <v>0</v>
      </c>
      <c r="S610">
        <v>0</v>
      </c>
      <c r="T610">
        <v>0</v>
      </c>
      <c r="U610">
        <v>0</v>
      </c>
      <c r="V610">
        <v>0</v>
      </c>
    </row>
    <row r="611" spans="1:22" x14ac:dyDescent="0.25">
      <c r="A611" t="s">
        <v>1916</v>
      </c>
      <c r="B611" t="s">
        <v>637</v>
      </c>
      <c r="C611">
        <v>38</v>
      </c>
      <c r="D611" t="s">
        <v>25</v>
      </c>
      <c r="E611" t="s">
        <v>52</v>
      </c>
      <c r="F611" t="s">
        <v>1907</v>
      </c>
      <c r="G611">
        <v>1.58</v>
      </c>
      <c r="H611" t="s">
        <v>235</v>
      </c>
      <c r="I611">
        <v>47</v>
      </c>
      <c r="J611" t="str">
        <f>HYPERLINK("https://www.eliteprospects.com/player/733570/bryce-pickford")</f>
        <v>https://www.eliteprospects.com/player/733570/bryce-pickford</v>
      </c>
      <c r="K611" t="s">
        <v>27</v>
      </c>
      <c r="L611" t="s">
        <v>631</v>
      </c>
      <c r="M611" t="s">
        <v>1296</v>
      </c>
      <c r="N611">
        <v>5</v>
      </c>
      <c r="O611" t="s">
        <v>645</v>
      </c>
      <c r="P611">
        <v>0.22</v>
      </c>
      <c r="Q611" t="s">
        <v>31</v>
      </c>
      <c r="R611">
        <v>0</v>
      </c>
      <c r="S611">
        <v>0</v>
      </c>
      <c r="T611">
        <v>0</v>
      </c>
      <c r="U611">
        <v>0</v>
      </c>
      <c r="V611">
        <v>0</v>
      </c>
    </row>
    <row r="612" spans="1:22" x14ac:dyDescent="0.25">
      <c r="A612" t="s">
        <v>1917</v>
      </c>
      <c r="B612" t="s">
        <v>637</v>
      </c>
      <c r="C612">
        <v>33</v>
      </c>
      <c r="D612" t="s">
        <v>24</v>
      </c>
      <c r="E612" t="s">
        <v>280</v>
      </c>
      <c r="F612" t="s">
        <v>739</v>
      </c>
      <c r="G612">
        <v>1.7</v>
      </c>
      <c r="H612" t="s">
        <v>269</v>
      </c>
      <c r="I612">
        <v>51</v>
      </c>
      <c r="J612" t="str">
        <f>HYPERLINK("https://www.eliteprospects.com/player/597734/jonas-woo")</f>
        <v>https://www.eliteprospects.com/player/597734/jonas-woo</v>
      </c>
      <c r="K612" t="s">
        <v>27</v>
      </c>
      <c r="L612" t="s">
        <v>631</v>
      </c>
      <c r="M612" t="s">
        <v>1296</v>
      </c>
      <c r="N612">
        <v>5</v>
      </c>
      <c r="O612" t="s">
        <v>645</v>
      </c>
      <c r="P612">
        <v>0.24</v>
      </c>
      <c r="Q612" t="s">
        <v>31</v>
      </c>
      <c r="R612">
        <v>0</v>
      </c>
      <c r="S612">
        <v>0</v>
      </c>
      <c r="T612">
        <v>0</v>
      </c>
      <c r="U612">
        <v>0</v>
      </c>
      <c r="V612">
        <v>0</v>
      </c>
    </row>
    <row r="613" spans="1:22" x14ac:dyDescent="0.25">
      <c r="A613" t="s">
        <v>1918</v>
      </c>
      <c r="B613" t="s">
        <v>702</v>
      </c>
      <c r="C613">
        <v>42</v>
      </c>
      <c r="D613" t="s">
        <v>69</v>
      </c>
      <c r="E613" t="s">
        <v>187</v>
      </c>
      <c r="F613" t="s">
        <v>491</v>
      </c>
      <c r="G613">
        <v>1.19</v>
      </c>
      <c r="H613" t="s">
        <v>269</v>
      </c>
      <c r="I613">
        <v>-10</v>
      </c>
      <c r="J613" t="str">
        <f>HYPERLINK("https://www.eliteprospects.com/player/628112/ryan-lin")</f>
        <v>https://www.eliteprospects.com/player/628112/ryan-lin</v>
      </c>
      <c r="K613" t="s">
        <v>27</v>
      </c>
      <c r="L613" t="s">
        <v>631</v>
      </c>
      <c r="M613" t="s">
        <v>1296</v>
      </c>
      <c r="N613">
        <v>3</v>
      </c>
      <c r="O613" t="s">
        <v>639</v>
      </c>
      <c r="P613">
        <v>0.17</v>
      </c>
      <c r="Q613" t="s">
        <v>1300</v>
      </c>
      <c r="R613">
        <v>40</v>
      </c>
      <c r="S613">
        <v>40</v>
      </c>
      <c r="T613">
        <v>0</v>
      </c>
      <c r="U613">
        <v>0</v>
      </c>
      <c r="V613">
        <v>20</v>
      </c>
    </row>
    <row r="614" spans="1:22" x14ac:dyDescent="0.25">
      <c r="A614" t="s">
        <v>1919</v>
      </c>
      <c r="B614" t="s">
        <v>507</v>
      </c>
      <c r="C614">
        <v>74</v>
      </c>
      <c r="D614" t="s">
        <v>24</v>
      </c>
      <c r="E614" t="s">
        <v>52</v>
      </c>
      <c r="F614" t="s">
        <v>499</v>
      </c>
      <c r="G614">
        <v>0.65</v>
      </c>
      <c r="H614" t="s">
        <v>1920</v>
      </c>
      <c r="I614">
        <v>-22</v>
      </c>
      <c r="J614" t="str">
        <f>HYPERLINK("https://www.eliteprospects.com/player/812664/kayd-ruedig")</f>
        <v>https://www.eliteprospects.com/player/812664/kayd-ruedig</v>
      </c>
      <c r="K614" t="s">
        <v>27</v>
      </c>
      <c r="L614" t="s">
        <v>631</v>
      </c>
      <c r="M614" t="s">
        <v>1296</v>
      </c>
      <c r="N614">
        <v>3</v>
      </c>
      <c r="O614" t="s">
        <v>639</v>
      </c>
      <c r="P614">
        <v>0.09</v>
      </c>
      <c r="Q614" t="s">
        <v>1325</v>
      </c>
      <c r="R614">
        <v>37.5</v>
      </c>
      <c r="S614">
        <v>25</v>
      </c>
      <c r="T614">
        <v>37.5</v>
      </c>
      <c r="U614">
        <v>0</v>
      </c>
      <c r="V614">
        <v>0</v>
      </c>
    </row>
    <row r="615" spans="1:22" x14ac:dyDescent="0.25">
      <c r="A615" t="s">
        <v>1921</v>
      </c>
      <c r="B615" t="s">
        <v>651</v>
      </c>
      <c r="C615">
        <v>38</v>
      </c>
      <c r="D615" t="s">
        <v>55</v>
      </c>
      <c r="E615" t="s">
        <v>81</v>
      </c>
      <c r="F615" t="s">
        <v>512</v>
      </c>
      <c r="G615">
        <v>1.1100000000000001</v>
      </c>
      <c r="H615" t="s">
        <v>280</v>
      </c>
      <c r="I615">
        <v>9</v>
      </c>
      <c r="J615" t="str">
        <f>HYPERLINK("https://www.eliteprospects.com/player/628069/daxon-rudolph")</f>
        <v>https://www.eliteprospects.com/player/628069/daxon-rudolph</v>
      </c>
      <c r="K615" t="s">
        <v>27</v>
      </c>
      <c r="L615" t="s">
        <v>631</v>
      </c>
      <c r="M615" t="s">
        <v>1296</v>
      </c>
      <c r="N615">
        <v>2</v>
      </c>
      <c r="O615" t="s">
        <v>636</v>
      </c>
      <c r="P615">
        <v>0.16</v>
      </c>
      <c r="Q615" t="s">
        <v>1309</v>
      </c>
      <c r="R615">
        <v>10</v>
      </c>
      <c r="S615">
        <v>10</v>
      </c>
      <c r="T615">
        <v>20</v>
      </c>
      <c r="U615">
        <v>20</v>
      </c>
      <c r="V615">
        <v>40</v>
      </c>
    </row>
    <row r="616" spans="1:22" x14ac:dyDescent="0.25">
      <c r="A616" t="s">
        <v>1922</v>
      </c>
      <c r="B616" t="s">
        <v>647</v>
      </c>
      <c r="C616">
        <v>36</v>
      </c>
      <c r="D616" t="s">
        <v>78</v>
      </c>
      <c r="E616" t="s">
        <v>178</v>
      </c>
      <c r="F616" t="s">
        <v>277</v>
      </c>
      <c r="G616">
        <v>1.1399999999999999</v>
      </c>
      <c r="H616" t="s">
        <v>265</v>
      </c>
      <c r="I616">
        <v>12</v>
      </c>
      <c r="J616" t="str">
        <f>HYPERLINK("https://www.eliteprospects.com/player/648210/grayson-burzynski")</f>
        <v>https://www.eliteprospects.com/player/648210/grayson-burzynski</v>
      </c>
      <c r="K616" t="s">
        <v>27</v>
      </c>
      <c r="L616" t="s">
        <v>631</v>
      </c>
      <c r="M616" t="s">
        <v>1296</v>
      </c>
      <c r="N616">
        <v>5</v>
      </c>
      <c r="O616" t="s">
        <v>645</v>
      </c>
      <c r="P616">
        <v>0.16</v>
      </c>
      <c r="Q616" t="s">
        <v>1309</v>
      </c>
      <c r="R616">
        <v>10</v>
      </c>
      <c r="S616">
        <v>10</v>
      </c>
      <c r="T616">
        <v>20</v>
      </c>
      <c r="U616">
        <v>20</v>
      </c>
      <c r="V616">
        <v>40</v>
      </c>
    </row>
    <row r="617" spans="1:22" x14ac:dyDescent="0.25">
      <c r="A617" t="s">
        <v>1923</v>
      </c>
      <c r="B617" t="s">
        <v>649</v>
      </c>
      <c r="C617">
        <v>37</v>
      </c>
      <c r="D617" t="s">
        <v>78</v>
      </c>
      <c r="E617" t="s">
        <v>25</v>
      </c>
      <c r="F617" t="s">
        <v>187</v>
      </c>
      <c r="G617">
        <v>1.05</v>
      </c>
      <c r="H617" t="s">
        <v>737</v>
      </c>
      <c r="I617">
        <v>32</v>
      </c>
      <c r="J617" t="str">
        <f>HYPERLINK("https://www.eliteprospects.com/player/597801/tarin-smith")</f>
        <v>https://www.eliteprospects.com/player/597801/tarin-smith</v>
      </c>
      <c r="K617" t="s">
        <v>27</v>
      </c>
      <c r="L617" t="s">
        <v>631</v>
      </c>
      <c r="M617" t="s">
        <v>1296</v>
      </c>
      <c r="N617">
        <v>5</v>
      </c>
      <c r="O617" t="s">
        <v>645</v>
      </c>
      <c r="P617">
        <v>0.15</v>
      </c>
      <c r="Q617" t="s">
        <v>1300</v>
      </c>
      <c r="R617">
        <v>42.9</v>
      </c>
      <c r="S617">
        <v>14.3</v>
      </c>
      <c r="T617">
        <v>7.1</v>
      </c>
      <c r="U617">
        <v>7.1</v>
      </c>
      <c r="V617">
        <v>28.6</v>
      </c>
    </row>
    <row r="618" spans="1:22" x14ac:dyDescent="0.25">
      <c r="A618" t="s">
        <v>1924</v>
      </c>
      <c r="B618" t="s">
        <v>507</v>
      </c>
      <c r="C618">
        <v>40</v>
      </c>
      <c r="D618" t="s">
        <v>57</v>
      </c>
      <c r="E618" t="s">
        <v>269</v>
      </c>
      <c r="F618" t="s">
        <v>187</v>
      </c>
      <c r="G618">
        <v>0.98</v>
      </c>
      <c r="H618" t="s">
        <v>564</v>
      </c>
      <c r="I618">
        <v>-12</v>
      </c>
      <c r="J618" t="str">
        <f>HYPERLINK("https://www.eliteprospects.com/player/599349/carter-sotheran")</f>
        <v>https://www.eliteprospects.com/player/599349/carter-sotheran</v>
      </c>
      <c r="K618" t="s">
        <v>27</v>
      </c>
      <c r="L618" t="s">
        <v>631</v>
      </c>
      <c r="M618" t="s">
        <v>1296</v>
      </c>
      <c r="N618">
        <v>4</v>
      </c>
      <c r="O618" t="s">
        <v>632</v>
      </c>
      <c r="P618">
        <v>0.14000000000000001</v>
      </c>
      <c r="Q618" t="s">
        <v>1300</v>
      </c>
      <c r="R618">
        <v>40</v>
      </c>
      <c r="S618">
        <v>40</v>
      </c>
      <c r="T618">
        <v>0</v>
      </c>
      <c r="U618">
        <v>0</v>
      </c>
      <c r="V618">
        <v>20</v>
      </c>
    </row>
    <row r="619" spans="1:22" x14ac:dyDescent="0.25">
      <c r="A619" t="s">
        <v>1925</v>
      </c>
      <c r="B619" t="s">
        <v>660</v>
      </c>
      <c r="C619">
        <v>39</v>
      </c>
      <c r="D619" t="s">
        <v>69</v>
      </c>
      <c r="E619" t="s">
        <v>81</v>
      </c>
      <c r="F619" t="s">
        <v>265</v>
      </c>
      <c r="G619">
        <v>0.9</v>
      </c>
      <c r="H619" t="s">
        <v>38</v>
      </c>
      <c r="I619">
        <v>0</v>
      </c>
      <c r="J619" t="str">
        <f>HYPERLINK("https://www.eliteprospects.com/player/645754/aiden-ziprick")</f>
        <v>https://www.eliteprospects.com/player/645754/aiden-ziprick</v>
      </c>
      <c r="K619" t="s">
        <v>27</v>
      </c>
      <c r="L619" t="s">
        <v>631</v>
      </c>
      <c r="M619" t="s">
        <v>1296</v>
      </c>
      <c r="N619">
        <v>4</v>
      </c>
      <c r="O619" t="s">
        <v>632</v>
      </c>
      <c r="P619">
        <v>0.13</v>
      </c>
      <c r="Q619" t="s">
        <v>1309</v>
      </c>
      <c r="R619">
        <v>25</v>
      </c>
      <c r="S619">
        <v>25</v>
      </c>
      <c r="T619">
        <v>0</v>
      </c>
      <c r="U619">
        <v>0</v>
      </c>
      <c r="V619">
        <v>50</v>
      </c>
    </row>
    <row r="620" spans="1:22" x14ac:dyDescent="0.25">
      <c r="A620" t="s">
        <v>1926</v>
      </c>
      <c r="B620" t="s">
        <v>635</v>
      </c>
      <c r="C620">
        <v>32</v>
      </c>
      <c r="D620" t="s">
        <v>32</v>
      </c>
      <c r="E620" t="s">
        <v>81</v>
      </c>
      <c r="F620" t="s">
        <v>178</v>
      </c>
      <c r="G620">
        <v>1.06</v>
      </c>
      <c r="H620" t="s">
        <v>38</v>
      </c>
      <c r="I620">
        <v>22</v>
      </c>
      <c r="J620" t="str">
        <f>HYPERLINK("https://www.eliteprospects.com/player/618968/ethan-mackenzie")</f>
        <v>https://www.eliteprospects.com/player/618968/ethan-mackenzie</v>
      </c>
      <c r="K620" t="s">
        <v>27</v>
      </c>
      <c r="L620" t="s">
        <v>631</v>
      </c>
      <c r="M620" t="s">
        <v>1296</v>
      </c>
      <c r="N620">
        <v>4</v>
      </c>
      <c r="O620" t="s">
        <v>632</v>
      </c>
      <c r="P620">
        <v>0.15</v>
      </c>
      <c r="Q620" t="s">
        <v>1300</v>
      </c>
      <c r="R620">
        <v>42.9</v>
      </c>
      <c r="S620">
        <v>14.3</v>
      </c>
      <c r="T620">
        <v>7.1</v>
      </c>
      <c r="U620">
        <v>7.1</v>
      </c>
      <c r="V620">
        <v>28.6</v>
      </c>
    </row>
    <row r="621" spans="1:22" x14ac:dyDescent="0.25">
      <c r="A621" t="s">
        <v>1927</v>
      </c>
      <c r="B621" t="s">
        <v>644</v>
      </c>
      <c r="C621">
        <v>32</v>
      </c>
      <c r="D621" t="s">
        <v>45</v>
      </c>
      <c r="E621" t="s">
        <v>75</v>
      </c>
      <c r="F621" t="s">
        <v>178</v>
      </c>
      <c r="G621">
        <v>1.06</v>
      </c>
      <c r="H621" t="s">
        <v>53</v>
      </c>
      <c r="I621">
        <v>1</v>
      </c>
      <c r="J621" t="str">
        <f>HYPERLINK("https://www.eliteprospects.com/player/878533/carson-carels")</f>
        <v>https://www.eliteprospects.com/player/878533/carson-carels</v>
      </c>
      <c r="K621" t="s">
        <v>27</v>
      </c>
      <c r="L621" t="s">
        <v>631</v>
      </c>
      <c r="M621" t="s">
        <v>1296</v>
      </c>
      <c r="N621">
        <v>3</v>
      </c>
      <c r="O621" t="s">
        <v>639</v>
      </c>
      <c r="P621">
        <v>0.15</v>
      </c>
      <c r="Q621" t="s">
        <v>1300</v>
      </c>
      <c r="R621">
        <v>33.299999999999997</v>
      </c>
      <c r="S621">
        <v>33.299999999999997</v>
      </c>
      <c r="T621">
        <v>16.7</v>
      </c>
      <c r="U621">
        <v>16.7</v>
      </c>
      <c r="V621">
        <v>0</v>
      </c>
    </row>
    <row r="622" spans="1:22" x14ac:dyDescent="0.25">
      <c r="A622" t="s">
        <v>1928</v>
      </c>
      <c r="B622" t="s">
        <v>653</v>
      </c>
      <c r="C622">
        <v>38</v>
      </c>
      <c r="D622" t="s">
        <v>45</v>
      </c>
      <c r="E622" t="s">
        <v>81</v>
      </c>
      <c r="F622" t="s">
        <v>269</v>
      </c>
      <c r="G622">
        <v>0.87</v>
      </c>
      <c r="H622" t="s">
        <v>499</v>
      </c>
      <c r="I622">
        <v>1</v>
      </c>
      <c r="J622" t="str">
        <f>HYPERLINK("https://www.eliteprospects.com/player/565459/mazden-leslie")</f>
        <v>https://www.eliteprospects.com/player/565459/mazden-leslie</v>
      </c>
      <c r="K622" t="s">
        <v>27</v>
      </c>
      <c r="L622" t="s">
        <v>631</v>
      </c>
      <c r="M622" t="s">
        <v>1296</v>
      </c>
      <c r="N622">
        <v>6</v>
      </c>
      <c r="O622" t="s">
        <v>643</v>
      </c>
      <c r="P622">
        <v>0.12</v>
      </c>
      <c r="Q622" t="s">
        <v>1300</v>
      </c>
      <c r="R622">
        <v>33.299999999999997</v>
      </c>
      <c r="S622">
        <v>33.299999999999997</v>
      </c>
      <c r="T622">
        <v>16.7</v>
      </c>
      <c r="U622">
        <v>16.7</v>
      </c>
      <c r="V622">
        <v>0</v>
      </c>
    </row>
    <row r="623" spans="1:22" x14ac:dyDescent="0.25">
      <c r="A623" t="s">
        <v>1929</v>
      </c>
      <c r="B623" t="s">
        <v>649</v>
      </c>
      <c r="C623">
        <v>34</v>
      </c>
      <c r="D623" t="s">
        <v>32</v>
      </c>
      <c r="E623" t="s">
        <v>47</v>
      </c>
      <c r="F623" t="s">
        <v>25</v>
      </c>
      <c r="G623">
        <v>0.94</v>
      </c>
      <c r="H623" t="s">
        <v>81</v>
      </c>
      <c r="I623">
        <v>26</v>
      </c>
      <c r="J623" t="str">
        <f>HYPERLINK("https://www.eliteprospects.com/player/701503/landon-dupont")</f>
        <v>https://www.eliteprospects.com/player/701503/landon-dupont</v>
      </c>
      <c r="K623" t="s">
        <v>27</v>
      </c>
      <c r="L623" t="s">
        <v>631</v>
      </c>
      <c r="M623" t="s">
        <v>1296</v>
      </c>
      <c r="N623">
        <v>2</v>
      </c>
      <c r="O623" t="s">
        <v>636</v>
      </c>
      <c r="P623">
        <v>0.13</v>
      </c>
      <c r="Q623" t="s">
        <v>1300</v>
      </c>
      <c r="R623">
        <v>42.9</v>
      </c>
      <c r="S623">
        <v>14.3</v>
      </c>
      <c r="T623">
        <v>7.1</v>
      </c>
      <c r="U623">
        <v>7.1</v>
      </c>
      <c r="V623">
        <v>28.6</v>
      </c>
    </row>
    <row r="624" spans="1:22" x14ac:dyDescent="0.25">
      <c r="A624" t="s">
        <v>1930</v>
      </c>
      <c r="B624" t="s">
        <v>657</v>
      </c>
      <c r="C624">
        <v>39</v>
      </c>
      <c r="D624" t="s">
        <v>78</v>
      </c>
      <c r="E624" t="s">
        <v>75</v>
      </c>
      <c r="F624" t="s">
        <v>25</v>
      </c>
      <c r="G624">
        <v>0.82</v>
      </c>
      <c r="H624" t="s">
        <v>38</v>
      </c>
      <c r="I624">
        <v>3</v>
      </c>
      <c r="J624" t="str">
        <f>HYPERLINK("https://www.eliteprospects.com/player/845626/timofei-runtso")</f>
        <v>https://www.eliteprospects.com/player/845626/timofei-runtso</v>
      </c>
      <c r="K624" t="s">
        <v>27</v>
      </c>
      <c r="L624" t="s">
        <v>631</v>
      </c>
      <c r="M624" t="s">
        <v>1296</v>
      </c>
      <c r="N624">
        <v>1</v>
      </c>
      <c r="O624" t="s">
        <v>634</v>
      </c>
      <c r="P624">
        <v>0.12</v>
      </c>
      <c r="Q624" t="s">
        <v>1300</v>
      </c>
      <c r="R624">
        <v>33.299999999999997</v>
      </c>
      <c r="S624">
        <v>33.299999999999997</v>
      </c>
      <c r="T624">
        <v>16.7</v>
      </c>
      <c r="U624">
        <v>16.7</v>
      </c>
      <c r="V624">
        <v>0</v>
      </c>
    </row>
    <row r="625" spans="1:22" x14ac:dyDescent="0.25">
      <c r="A625" t="s">
        <v>1931</v>
      </c>
      <c r="B625" t="s">
        <v>684</v>
      </c>
      <c r="C625">
        <v>40</v>
      </c>
      <c r="D625" t="s">
        <v>140</v>
      </c>
      <c r="E625" t="s">
        <v>61</v>
      </c>
      <c r="F625" t="s">
        <v>40</v>
      </c>
      <c r="G625">
        <v>0.75</v>
      </c>
      <c r="H625" t="s">
        <v>24</v>
      </c>
      <c r="I625">
        <v>-10</v>
      </c>
      <c r="J625" t="str">
        <f>HYPERLINK("https://www.eliteprospects.com/player/846595/joshua-toll")</f>
        <v>https://www.eliteprospects.com/player/846595/joshua-toll</v>
      </c>
      <c r="K625" t="s">
        <v>27</v>
      </c>
      <c r="L625" t="s">
        <v>631</v>
      </c>
      <c r="M625" t="s">
        <v>1417</v>
      </c>
      <c r="N625">
        <v>1</v>
      </c>
      <c r="O625" t="s">
        <v>634</v>
      </c>
      <c r="P625">
        <v>0.11</v>
      </c>
      <c r="Q625" t="s">
        <v>1325</v>
      </c>
      <c r="R625">
        <v>37.5</v>
      </c>
      <c r="S625">
        <v>25</v>
      </c>
      <c r="T625">
        <v>37.5</v>
      </c>
      <c r="U625">
        <v>0</v>
      </c>
      <c r="V625">
        <v>0</v>
      </c>
    </row>
    <row r="626" spans="1:22" x14ac:dyDescent="0.25">
      <c r="A626" t="s">
        <v>1932</v>
      </c>
      <c r="B626" t="s">
        <v>671</v>
      </c>
      <c r="C626">
        <v>40</v>
      </c>
      <c r="D626" t="s">
        <v>78</v>
      </c>
      <c r="E626" t="s">
        <v>47</v>
      </c>
      <c r="F626" t="s">
        <v>46</v>
      </c>
      <c r="G626">
        <v>0.73</v>
      </c>
      <c r="H626" t="s">
        <v>178</v>
      </c>
      <c r="I626">
        <v>12</v>
      </c>
      <c r="J626" t="str">
        <f>HYPERLINK("https://www.eliteprospects.com/player/628072/rhett-sather")</f>
        <v>https://www.eliteprospects.com/player/628072/rhett-sather</v>
      </c>
      <c r="K626" t="s">
        <v>27</v>
      </c>
      <c r="L626" t="s">
        <v>631</v>
      </c>
      <c r="M626" t="s">
        <v>1296</v>
      </c>
      <c r="N626">
        <v>2</v>
      </c>
      <c r="O626" t="s">
        <v>636</v>
      </c>
      <c r="P626">
        <v>0.1</v>
      </c>
      <c r="Q626" t="s">
        <v>1300</v>
      </c>
      <c r="R626">
        <v>37.5</v>
      </c>
      <c r="S626">
        <v>12.5</v>
      </c>
      <c r="T626">
        <v>12.5</v>
      </c>
      <c r="U626">
        <v>12.5</v>
      </c>
      <c r="V626">
        <v>25</v>
      </c>
    </row>
    <row r="627" spans="1:22" x14ac:dyDescent="0.25">
      <c r="A627" t="s">
        <v>1933</v>
      </c>
      <c r="B627" t="s">
        <v>646</v>
      </c>
      <c r="C627">
        <v>37</v>
      </c>
      <c r="D627" t="s">
        <v>57</v>
      </c>
      <c r="E627" t="s">
        <v>84</v>
      </c>
      <c r="F627" t="s">
        <v>46</v>
      </c>
      <c r="G627">
        <v>0.78</v>
      </c>
      <c r="H627" t="s">
        <v>23</v>
      </c>
      <c r="I627">
        <v>11</v>
      </c>
      <c r="J627" t="str">
        <f>HYPERLINK("https://www.eliteprospects.com/player/628079/ben-macbeath")</f>
        <v>https://www.eliteprospects.com/player/628079/ben-macbeath</v>
      </c>
      <c r="K627" t="s">
        <v>27</v>
      </c>
      <c r="L627" t="s">
        <v>631</v>
      </c>
      <c r="M627" t="s">
        <v>1296</v>
      </c>
      <c r="N627">
        <v>1</v>
      </c>
      <c r="O627" t="s">
        <v>634</v>
      </c>
      <c r="P627">
        <v>0.11</v>
      </c>
      <c r="Q627" t="s">
        <v>1300</v>
      </c>
      <c r="R627">
        <v>37.5</v>
      </c>
      <c r="S627">
        <v>12.5</v>
      </c>
      <c r="T627">
        <v>12.5</v>
      </c>
      <c r="U627">
        <v>12.5</v>
      </c>
      <c r="V627">
        <v>25</v>
      </c>
    </row>
    <row r="628" spans="1:22" x14ac:dyDescent="0.25">
      <c r="A628" t="s">
        <v>1934</v>
      </c>
      <c r="B628" t="s">
        <v>667</v>
      </c>
      <c r="C628">
        <v>39</v>
      </c>
      <c r="D628" t="s">
        <v>140</v>
      </c>
      <c r="E628" t="s">
        <v>125</v>
      </c>
      <c r="F628" t="s">
        <v>46</v>
      </c>
      <c r="G628">
        <v>0.74</v>
      </c>
      <c r="H628" t="s">
        <v>24</v>
      </c>
      <c r="I628">
        <v>-1</v>
      </c>
      <c r="J628" t="str">
        <f>HYPERLINK("https://www.eliteprospects.com/player/795984/brayden-klimpke")</f>
        <v>https://www.eliteprospects.com/player/795984/brayden-klimpke</v>
      </c>
      <c r="K628" t="s">
        <v>27</v>
      </c>
      <c r="L628" t="s">
        <v>631</v>
      </c>
      <c r="M628" t="s">
        <v>1296</v>
      </c>
      <c r="N628">
        <v>3</v>
      </c>
      <c r="O628" t="s">
        <v>639</v>
      </c>
      <c r="P628">
        <v>0.1</v>
      </c>
      <c r="Q628" t="s">
        <v>245</v>
      </c>
      <c r="R628">
        <v>14.3</v>
      </c>
      <c r="S628">
        <v>42.9</v>
      </c>
      <c r="T628">
        <v>28.6</v>
      </c>
      <c r="U628">
        <v>0</v>
      </c>
      <c r="V628">
        <v>14.3</v>
      </c>
    </row>
    <row r="629" spans="1:22" x14ac:dyDescent="0.25">
      <c r="A629" t="s">
        <v>1935</v>
      </c>
      <c r="B629" t="s">
        <v>676</v>
      </c>
      <c r="C629">
        <v>38</v>
      </c>
      <c r="D629" t="s">
        <v>26</v>
      </c>
      <c r="E629" t="s">
        <v>24</v>
      </c>
      <c r="F629" t="s">
        <v>52</v>
      </c>
      <c r="G629">
        <v>0.74</v>
      </c>
      <c r="H629" t="s">
        <v>47</v>
      </c>
      <c r="I629">
        <v>-17</v>
      </c>
      <c r="J629" t="str">
        <f>HYPERLINK("https://www.eliteprospects.com/player/599304/ephram-mcnutt")</f>
        <v>https://www.eliteprospects.com/player/599304/ephram-mcnutt</v>
      </c>
      <c r="K629" t="s">
        <v>27</v>
      </c>
      <c r="L629" t="s">
        <v>631</v>
      </c>
      <c r="M629" t="s">
        <v>1296</v>
      </c>
      <c r="N629">
        <v>5</v>
      </c>
      <c r="O629" t="s">
        <v>645</v>
      </c>
      <c r="P629">
        <v>0.1</v>
      </c>
      <c r="Q629" t="s">
        <v>1325</v>
      </c>
      <c r="R629">
        <v>37.5</v>
      </c>
      <c r="S629">
        <v>25</v>
      </c>
      <c r="T629">
        <v>37.5</v>
      </c>
      <c r="U629">
        <v>0</v>
      </c>
      <c r="V629">
        <v>0</v>
      </c>
    </row>
    <row r="630" spans="1:22" x14ac:dyDescent="0.25">
      <c r="A630" t="s">
        <v>1936</v>
      </c>
      <c r="B630" t="s">
        <v>641</v>
      </c>
      <c r="C630">
        <v>40</v>
      </c>
      <c r="D630" t="s">
        <v>57</v>
      </c>
      <c r="E630" t="s">
        <v>47</v>
      </c>
      <c r="F630" t="s">
        <v>52</v>
      </c>
      <c r="G630">
        <v>0.7</v>
      </c>
      <c r="H630" t="s">
        <v>81</v>
      </c>
      <c r="I630">
        <v>17</v>
      </c>
      <c r="J630" t="str">
        <f>HYPERLINK("https://www.eliteprospects.com/player/679639/ethan-weber")</f>
        <v>https://www.eliteprospects.com/player/679639/ethan-weber</v>
      </c>
      <c r="K630" t="s">
        <v>27</v>
      </c>
      <c r="L630" t="s">
        <v>631</v>
      </c>
      <c r="M630" t="s">
        <v>1296</v>
      </c>
      <c r="N630">
        <v>1</v>
      </c>
      <c r="O630" t="s">
        <v>634</v>
      </c>
      <c r="P630">
        <v>0.1</v>
      </c>
      <c r="Q630" t="s">
        <v>1309</v>
      </c>
      <c r="R630">
        <v>25</v>
      </c>
      <c r="S630">
        <v>25</v>
      </c>
      <c r="T630">
        <v>16.7</v>
      </c>
      <c r="U630">
        <v>8.3000000000000007</v>
      </c>
      <c r="V630">
        <v>25</v>
      </c>
    </row>
    <row r="631" spans="1:22" x14ac:dyDescent="0.25">
      <c r="A631" t="s">
        <v>1937</v>
      </c>
      <c r="B631" t="s">
        <v>641</v>
      </c>
      <c r="C631">
        <v>40</v>
      </c>
      <c r="D631" t="s">
        <v>66</v>
      </c>
      <c r="E631" t="s">
        <v>81</v>
      </c>
      <c r="F631" t="s">
        <v>52</v>
      </c>
      <c r="G631">
        <v>0.7</v>
      </c>
      <c r="H631" t="s">
        <v>39</v>
      </c>
      <c r="I631">
        <v>1</v>
      </c>
      <c r="J631" t="str">
        <f>HYPERLINK("https://www.eliteprospects.com/player/647196/nolan-stevenson")</f>
        <v>https://www.eliteprospects.com/player/647196/nolan-stevenson</v>
      </c>
      <c r="K631" t="s">
        <v>27</v>
      </c>
      <c r="L631" t="s">
        <v>631</v>
      </c>
      <c r="M631" t="s">
        <v>1296</v>
      </c>
      <c r="N631">
        <v>1</v>
      </c>
      <c r="O631" t="s">
        <v>634</v>
      </c>
      <c r="P631">
        <v>0.1</v>
      </c>
      <c r="Q631" t="s">
        <v>1325</v>
      </c>
      <c r="R631">
        <v>22.2</v>
      </c>
      <c r="S631">
        <v>11.1</v>
      </c>
      <c r="T631">
        <v>44.4</v>
      </c>
      <c r="U631">
        <v>0</v>
      </c>
      <c r="V631">
        <v>22.2</v>
      </c>
    </row>
    <row r="632" spans="1:22" x14ac:dyDescent="0.25">
      <c r="A632" t="s">
        <v>1938</v>
      </c>
      <c r="B632" t="s">
        <v>660</v>
      </c>
      <c r="C632">
        <v>37</v>
      </c>
      <c r="D632" t="s">
        <v>65</v>
      </c>
      <c r="E632" t="s">
        <v>39</v>
      </c>
      <c r="F632" t="s">
        <v>61</v>
      </c>
      <c r="G632">
        <v>0.73</v>
      </c>
      <c r="H632" t="s">
        <v>280</v>
      </c>
      <c r="I632">
        <v>-2</v>
      </c>
      <c r="J632" t="str">
        <f>HYPERLINK("https://www.eliteprospects.com/player/742505/connor-schmidt")</f>
        <v>https://www.eliteprospects.com/player/742505/connor-schmidt</v>
      </c>
      <c r="K632" t="s">
        <v>27</v>
      </c>
      <c r="L632" t="s">
        <v>631</v>
      </c>
      <c r="M632" t="s">
        <v>1296</v>
      </c>
      <c r="N632">
        <v>4</v>
      </c>
      <c r="O632" t="s">
        <v>632</v>
      </c>
      <c r="P632">
        <v>0.1</v>
      </c>
      <c r="Q632" t="s">
        <v>245</v>
      </c>
      <c r="R632">
        <v>14.3</v>
      </c>
      <c r="S632">
        <v>42.9</v>
      </c>
      <c r="T632">
        <v>28.6</v>
      </c>
      <c r="U632">
        <v>0</v>
      </c>
      <c r="V632">
        <v>14.3</v>
      </c>
    </row>
    <row r="633" spans="1:22" x14ac:dyDescent="0.25">
      <c r="A633" t="s">
        <v>1939</v>
      </c>
      <c r="B633" t="s">
        <v>694</v>
      </c>
      <c r="C633">
        <v>40</v>
      </c>
      <c r="D633" t="s">
        <v>66</v>
      </c>
      <c r="E633" t="s">
        <v>84</v>
      </c>
      <c r="F633" t="s">
        <v>61</v>
      </c>
      <c r="G633">
        <v>0.68</v>
      </c>
      <c r="H633" t="s">
        <v>280</v>
      </c>
      <c r="I633">
        <v>-15</v>
      </c>
      <c r="J633" t="str">
        <f>HYPERLINK("https://www.eliteprospects.com/player/723945/nathan-maloney")</f>
        <v>https://www.eliteprospects.com/player/723945/nathan-maloney</v>
      </c>
      <c r="K633" t="s">
        <v>27</v>
      </c>
      <c r="L633" t="s">
        <v>631</v>
      </c>
      <c r="M633" t="s">
        <v>1296</v>
      </c>
      <c r="N633">
        <v>1</v>
      </c>
      <c r="O633" t="s">
        <v>634</v>
      </c>
      <c r="P633">
        <v>0.1</v>
      </c>
      <c r="Q633" t="s">
        <v>1325</v>
      </c>
      <c r="R633">
        <v>37.5</v>
      </c>
      <c r="S633">
        <v>25</v>
      </c>
      <c r="T633">
        <v>37.5</v>
      </c>
      <c r="U633">
        <v>0</v>
      </c>
      <c r="V633">
        <v>0</v>
      </c>
    </row>
    <row r="634" spans="1:22" x14ac:dyDescent="0.25">
      <c r="A634" t="s">
        <v>1940</v>
      </c>
      <c r="B634" t="s">
        <v>644</v>
      </c>
      <c r="C634">
        <v>41</v>
      </c>
      <c r="D634" t="s">
        <v>140</v>
      </c>
      <c r="E634" t="s">
        <v>81</v>
      </c>
      <c r="F634" t="s">
        <v>61</v>
      </c>
      <c r="G634">
        <v>0.66</v>
      </c>
      <c r="H634" t="s">
        <v>280</v>
      </c>
      <c r="I634">
        <v>6</v>
      </c>
      <c r="J634" t="str">
        <f>HYPERLINK("https://www.eliteprospects.com/player/1071112/arseni-anisimov")</f>
        <v>https://www.eliteprospects.com/player/1071112/arseni-anisimov</v>
      </c>
      <c r="K634" t="s">
        <v>27</v>
      </c>
      <c r="L634" t="s">
        <v>631</v>
      </c>
      <c r="M634" t="s">
        <v>1296</v>
      </c>
      <c r="N634">
        <v>2</v>
      </c>
      <c r="O634" t="s">
        <v>636</v>
      </c>
      <c r="P634">
        <v>0.09</v>
      </c>
      <c r="Q634" t="s">
        <v>1325</v>
      </c>
      <c r="R634">
        <v>22.2</v>
      </c>
      <c r="S634">
        <v>11.1</v>
      </c>
      <c r="T634">
        <v>44.4</v>
      </c>
      <c r="U634">
        <v>0</v>
      </c>
      <c r="V634">
        <v>22.2</v>
      </c>
    </row>
    <row r="635" spans="1:22" x14ac:dyDescent="0.25">
      <c r="A635" t="s">
        <v>1941</v>
      </c>
      <c r="B635" t="s">
        <v>660</v>
      </c>
      <c r="C635">
        <v>33</v>
      </c>
      <c r="D635" t="s">
        <v>96</v>
      </c>
      <c r="E635" t="s">
        <v>24</v>
      </c>
      <c r="F635" t="s">
        <v>75</v>
      </c>
      <c r="G635">
        <v>0.76</v>
      </c>
      <c r="H635" t="s">
        <v>26</v>
      </c>
      <c r="I635">
        <v>-6</v>
      </c>
      <c r="J635" t="str">
        <f>HYPERLINK("https://www.eliteprospects.com/player/701499/colt-carter")</f>
        <v>https://www.eliteprospects.com/player/701499/colt-carter</v>
      </c>
      <c r="K635" t="s">
        <v>27</v>
      </c>
      <c r="L635" t="s">
        <v>631</v>
      </c>
      <c r="M635" t="s">
        <v>1296</v>
      </c>
      <c r="N635">
        <v>2</v>
      </c>
      <c r="O635" t="s">
        <v>636</v>
      </c>
      <c r="P635">
        <v>0.11</v>
      </c>
      <c r="Q635" t="s">
        <v>1325</v>
      </c>
      <c r="R635">
        <v>37.5</v>
      </c>
      <c r="S635">
        <v>25</v>
      </c>
      <c r="T635">
        <v>37.5</v>
      </c>
      <c r="U635">
        <v>0</v>
      </c>
      <c r="V635">
        <v>0</v>
      </c>
    </row>
    <row r="636" spans="1:22" x14ac:dyDescent="0.25">
      <c r="A636" t="s">
        <v>1942</v>
      </c>
      <c r="B636" t="s">
        <v>676</v>
      </c>
      <c r="C636">
        <v>38</v>
      </c>
      <c r="D636" t="s">
        <v>96</v>
      </c>
      <c r="E636" t="s">
        <v>24</v>
      </c>
      <c r="F636" t="s">
        <v>75</v>
      </c>
      <c r="G636">
        <v>0.66</v>
      </c>
      <c r="H636" t="s">
        <v>24</v>
      </c>
      <c r="I636">
        <v>-13</v>
      </c>
      <c r="J636" t="str">
        <f>HYPERLINK("https://www.eliteprospects.com/player/577088/matthew-paranych")</f>
        <v>https://www.eliteprospects.com/player/577088/matthew-paranych</v>
      </c>
      <c r="K636" t="s">
        <v>27</v>
      </c>
      <c r="L636" t="s">
        <v>631</v>
      </c>
      <c r="M636" t="s">
        <v>1296</v>
      </c>
      <c r="N636">
        <v>3</v>
      </c>
      <c r="O636" t="s">
        <v>639</v>
      </c>
      <c r="P636">
        <v>0.09</v>
      </c>
      <c r="Q636" t="s">
        <v>1325</v>
      </c>
      <c r="R636">
        <v>37.5</v>
      </c>
      <c r="S636">
        <v>25</v>
      </c>
      <c r="T636">
        <v>37.5</v>
      </c>
      <c r="U636">
        <v>0</v>
      </c>
      <c r="V636">
        <v>0</v>
      </c>
    </row>
    <row r="637" spans="1:22" x14ac:dyDescent="0.25">
      <c r="A637" t="s">
        <v>1943</v>
      </c>
      <c r="B637" t="s">
        <v>667</v>
      </c>
      <c r="C637">
        <v>37</v>
      </c>
      <c r="D637" t="s">
        <v>96</v>
      </c>
      <c r="E637" t="s">
        <v>51</v>
      </c>
      <c r="F637" t="s">
        <v>81</v>
      </c>
      <c r="G637">
        <v>0.65</v>
      </c>
      <c r="H637" t="s">
        <v>41</v>
      </c>
      <c r="I637">
        <v>6</v>
      </c>
      <c r="J637" t="str">
        <f>HYPERLINK("https://www.eliteprospects.com/player/687833/tristen-doyle")</f>
        <v>https://www.eliteprospects.com/player/687833/tristen-doyle</v>
      </c>
      <c r="K637" t="s">
        <v>27</v>
      </c>
      <c r="L637" t="s">
        <v>631</v>
      </c>
      <c r="M637" t="s">
        <v>1296</v>
      </c>
      <c r="N637">
        <v>5</v>
      </c>
      <c r="O637" t="s">
        <v>645</v>
      </c>
      <c r="P637">
        <v>0.09</v>
      </c>
      <c r="Q637" t="s">
        <v>1325</v>
      </c>
      <c r="R637">
        <v>22.2</v>
      </c>
      <c r="S637">
        <v>11.1</v>
      </c>
      <c r="T637">
        <v>44.4</v>
      </c>
      <c r="U637">
        <v>0</v>
      </c>
      <c r="V637">
        <v>22.2</v>
      </c>
    </row>
    <row r="638" spans="1:22" x14ac:dyDescent="0.25">
      <c r="A638" t="s">
        <v>1944</v>
      </c>
      <c r="B638" t="s">
        <v>676</v>
      </c>
      <c r="C638">
        <v>38</v>
      </c>
      <c r="D638" t="s">
        <v>66</v>
      </c>
      <c r="E638" t="s">
        <v>24</v>
      </c>
      <c r="F638" t="s">
        <v>81</v>
      </c>
      <c r="G638">
        <v>0.63</v>
      </c>
      <c r="H638" t="s">
        <v>32</v>
      </c>
      <c r="I638">
        <v>0</v>
      </c>
      <c r="J638" t="str">
        <f>HYPERLINK("https://www.eliteprospects.com/player/577065/reese-hamilton")</f>
        <v>https://www.eliteprospects.com/player/577065/reese-hamilton</v>
      </c>
      <c r="K638" t="s">
        <v>27</v>
      </c>
      <c r="L638" t="s">
        <v>631</v>
      </c>
      <c r="M638" t="s">
        <v>1296</v>
      </c>
      <c r="N638">
        <v>3</v>
      </c>
      <c r="O638" t="s">
        <v>639</v>
      </c>
      <c r="P638">
        <v>0.09</v>
      </c>
      <c r="Q638" t="s">
        <v>245</v>
      </c>
      <c r="R638">
        <v>14.3</v>
      </c>
      <c r="S638">
        <v>42.9</v>
      </c>
      <c r="T638">
        <v>28.6</v>
      </c>
      <c r="U638">
        <v>0</v>
      </c>
      <c r="V638">
        <v>14.3</v>
      </c>
    </row>
    <row r="639" spans="1:22" x14ac:dyDescent="0.25">
      <c r="A639" t="s">
        <v>1945</v>
      </c>
      <c r="B639" t="s">
        <v>633</v>
      </c>
      <c r="C639">
        <v>39</v>
      </c>
      <c r="D639" t="s">
        <v>140</v>
      </c>
      <c r="E639" t="s">
        <v>24</v>
      </c>
      <c r="F639" t="s">
        <v>84</v>
      </c>
      <c r="G639">
        <v>0.59</v>
      </c>
      <c r="H639" t="s">
        <v>84</v>
      </c>
      <c r="I639">
        <v>-2</v>
      </c>
      <c r="J639" t="str">
        <f>HYPERLINK("https://www.eliteprospects.com/player/647535/ryan-michael")</f>
        <v>https://www.eliteprospects.com/player/647535/ryan-michael</v>
      </c>
      <c r="K639" t="s">
        <v>27</v>
      </c>
      <c r="L639" t="s">
        <v>631</v>
      </c>
      <c r="M639" t="s">
        <v>1296</v>
      </c>
      <c r="N639">
        <v>5</v>
      </c>
      <c r="O639" t="s">
        <v>645</v>
      </c>
      <c r="P639">
        <v>0.08</v>
      </c>
      <c r="Q639" t="s">
        <v>1300</v>
      </c>
      <c r="R639">
        <v>33.299999999999997</v>
      </c>
      <c r="S639">
        <v>22.2</v>
      </c>
      <c r="T639">
        <v>22.2</v>
      </c>
      <c r="U639">
        <v>11.1</v>
      </c>
      <c r="V639">
        <v>11.1</v>
      </c>
    </row>
    <row r="640" spans="1:22" x14ac:dyDescent="0.25">
      <c r="A640" t="s">
        <v>1946</v>
      </c>
      <c r="B640" t="s">
        <v>651</v>
      </c>
      <c r="C640">
        <v>34</v>
      </c>
      <c r="D640" t="s">
        <v>69</v>
      </c>
      <c r="E640" t="s">
        <v>69</v>
      </c>
      <c r="F640" t="s">
        <v>47</v>
      </c>
      <c r="G640">
        <v>0.65</v>
      </c>
      <c r="H640" t="s">
        <v>300</v>
      </c>
      <c r="I640">
        <v>4</v>
      </c>
      <c r="J640" t="str">
        <f>HYPERLINK("https://www.eliteprospects.com/player/643384/justice-christensen")</f>
        <v>https://www.eliteprospects.com/player/643384/justice-christensen</v>
      </c>
      <c r="K640" t="s">
        <v>27</v>
      </c>
      <c r="L640" t="s">
        <v>631</v>
      </c>
      <c r="M640" t="s">
        <v>1296</v>
      </c>
      <c r="N640">
        <v>4</v>
      </c>
      <c r="O640" t="s">
        <v>632</v>
      </c>
      <c r="P640">
        <v>0.09</v>
      </c>
      <c r="Q640" t="s">
        <v>1325</v>
      </c>
      <c r="R640">
        <v>22.2</v>
      </c>
      <c r="S640">
        <v>11.1</v>
      </c>
      <c r="T640">
        <v>44.4</v>
      </c>
      <c r="U640">
        <v>0</v>
      </c>
      <c r="V640">
        <v>22.2</v>
      </c>
    </row>
    <row r="641" spans="1:22" x14ac:dyDescent="0.25">
      <c r="A641" t="s">
        <v>1947</v>
      </c>
      <c r="B641" t="s">
        <v>635</v>
      </c>
      <c r="C641">
        <v>36</v>
      </c>
      <c r="D641" t="s">
        <v>78</v>
      </c>
      <c r="E641" t="s">
        <v>41</v>
      </c>
      <c r="F641" t="s">
        <v>47</v>
      </c>
      <c r="G641">
        <v>0.61</v>
      </c>
      <c r="H641" t="s">
        <v>81</v>
      </c>
      <c r="I641">
        <v>22</v>
      </c>
      <c r="J641" t="str">
        <f>HYPERLINK("https://www.eliteprospects.com/player/577017/blake-fiddler")</f>
        <v>https://www.eliteprospects.com/player/577017/blake-fiddler</v>
      </c>
      <c r="K641" t="s">
        <v>27</v>
      </c>
      <c r="L641" t="s">
        <v>631</v>
      </c>
      <c r="M641" t="s">
        <v>1296</v>
      </c>
      <c r="N641">
        <v>3</v>
      </c>
      <c r="O641" t="s">
        <v>639</v>
      </c>
      <c r="P641">
        <v>0.09</v>
      </c>
      <c r="Q641" t="s">
        <v>1309</v>
      </c>
      <c r="R641">
        <v>25</v>
      </c>
      <c r="S641">
        <v>25</v>
      </c>
      <c r="T641">
        <v>16.7</v>
      </c>
      <c r="U641">
        <v>8.3000000000000007</v>
      </c>
      <c r="V641">
        <v>25</v>
      </c>
    </row>
    <row r="642" spans="1:22" x14ac:dyDescent="0.25">
      <c r="A642" t="s">
        <v>1948</v>
      </c>
      <c r="B642" t="s">
        <v>507</v>
      </c>
      <c r="C642">
        <v>39</v>
      </c>
      <c r="D642" t="s">
        <v>57</v>
      </c>
      <c r="E642" t="s">
        <v>38</v>
      </c>
      <c r="F642" t="s">
        <v>47</v>
      </c>
      <c r="G642">
        <v>0.56000000000000005</v>
      </c>
      <c r="H642" t="s">
        <v>512</v>
      </c>
      <c r="I642">
        <v>-10</v>
      </c>
      <c r="J642" t="str">
        <f>HYPERLINK("https://www.eliteprospects.com/player/685905/keith-mcinnis")</f>
        <v>https://www.eliteprospects.com/player/685905/keith-mcinnis</v>
      </c>
      <c r="K642" t="s">
        <v>27</v>
      </c>
      <c r="L642" t="s">
        <v>631</v>
      </c>
      <c r="M642" t="s">
        <v>1296</v>
      </c>
      <c r="N642">
        <v>1</v>
      </c>
      <c r="O642" t="s">
        <v>634</v>
      </c>
      <c r="P642">
        <v>0.08</v>
      </c>
      <c r="Q642" t="s">
        <v>245</v>
      </c>
      <c r="R642">
        <v>0</v>
      </c>
      <c r="S642">
        <v>44.4</v>
      </c>
      <c r="T642">
        <v>33.299999999999997</v>
      </c>
      <c r="U642">
        <v>0</v>
      </c>
      <c r="V642">
        <v>22.2</v>
      </c>
    </row>
    <row r="643" spans="1:22" x14ac:dyDescent="0.25">
      <c r="A643" t="s">
        <v>1949</v>
      </c>
      <c r="B643" t="s">
        <v>633</v>
      </c>
      <c r="C643">
        <v>40</v>
      </c>
      <c r="D643" t="s">
        <v>57</v>
      </c>
      <c r="E643" t="s">
        <v>38</v>
      </c>
      <c r="F643" t="s">
        <v>47</v>
      </c>
      <c r="G643">
        <v>0.55000000000000004</v>
      </c>
      <c r="H643" t="s">
        <v>52</v>
      </c>
      <c r="I643">
        <v>1</v>
      </c>
      <c r="J643" t="str">
        <f>HYPERLINK("https://www.eliteprospects.com/player/748428/isa-guram")</f>
        <v>https://www.eliteprospects.com/player/748428/isa-guram</v>
      </c>
      <c r="K643" t="s">
        <v>27</v>
      </c>
      <c r="L643" t="s">
        <v>631</v>
      </c>
      <c r="M643" t="s">
        <v>1296</v>
      </c>
      <c r="N643">
        <v>3</v>
      </c>
      <c r="O643" t="s">
        <v>639</v>
      </c>
      <c r="P643">
        <v>0.08</v>
      </c>
      <c r="Q643" t="s">
        <v>1325</v>
      </c>
      <c r="R643">
        <v>33.299999999999997</v>
      </c>
      <c r="S643">
        <v>16.7</v>
      </c>
      <c r="T643">
        <v>33.299999999999997</v>
      </c>
      <c r="U643">
        <v>16.7</v>
      </c>
      <c r="V643">
        <v>0</v>
      </c>
    </row>
    <row r="644" spans="1:22" x14ac:dyDescent="0.25">
      <c r="A644" t="s">
        <v>1950</v>
      </c>
      <c r="B644" t="s">
        <v>651</v>
      </c>
      <c r="C644">
        <v>38</v>
      </c>
      <c r="D644" t="s">
        <v>66</v>
      </c>
      <c r="E644" t="s">
        <v>55</v>
      </c>
      <c r="F644" t="s">
        <v>47</v>
      </c>
      <c r="G644">
        <v>0.57999999999999996</v>
      </c>
      <c r="H644" t="s">
        <v>300</v>
      </c>
      <c r="I644">
        <v>36</v>
      </c>
      <c r="J644" t="str">
        <f>HYPERLINK("https://www.eliteprospects.com/player/679535/linden-burrett")</f>
        <v>https://www.eliteprospects.com/player/679535/linden-burrett</v>
      </c>
      <c r="K644" t="s">
        <v>27</v>
      </c>
      <c r="L644" t="s">
        <v>631</v>
      </c>
      <c r="M644" t="s">
        <v>1296</v>
      </c>
      <c r="N644">
        <v>2</v>
      </c>
      <c r="O644" t="s">
        <v>636</v>
      </c>
      <c r="P644">
        <v>0.08</v>
      </c>
      <c r="Q644" t="s">
        <v>1325</v>
      </c>
      <c r="R644">
        <v>44.4</v>
      </c>
      <c r="S644">
        <v>11.1</v>
      </c>
      <c r="T644">
        <v>44.4</v>
      </c>
      <c r="U644">
        <v>0</v>
      </c>
      <c r="V644">
        <v>0</v>
      </c>
    </row>
    <row r="645" spans="1:22" x14ac:dyDescent="0.25">
      <c r="A645" t="s">
        <v>1951</v>
      </c>
      <c r="B645" t="s">
        <v>659</v>
      </c>
      <c r="C645">
        <v>30</v>
      </c>
      <c r="D645" t="s">
        <v>26</v>
      </c>
      <c r="E645" t="s">
        <v>65</v>
      </c>
      <c r="F645" t="s">
        <v>33</v>
      </c>
      <c r="G645">
        <v>0.7</v>
      </c>
      <c r="H645" t="s">
        <v>39</v>
      </c>
      <c r="I645">
        <v>2</v>
      </c>
      <c r="J645" t="str">
        <f>HYPERLINK("https://www.eliteprospects.com/player/917755/jakub-vanecek")</f>
        <v>https://www.eliteprospects.com/player/917755/jakub-vanecek</v>
      </c>
      <c r="K645" t="s">
        <v>27</v>
      </c>
      <c r="L645" t="s">
        <v>631</v>
      </c>
      <c r="M645" t="s">
        <v>1296</v>
      </c>
      <c r="N645">
        <v>1</v>
      </c>
      <c r="O645" t="s">
        <v>634</v>
      </c>
      <c r="P645">
        <v>0.1</v>
      </c>
      <c r="Q645" t="s">
        <v>1325</v>
      </c>
      <c r="R645">
        <v>22.2</v>
      </c>
      <c r="S645">
        <v>11.1</v>
      </c>
      <c r="T645">
        <v>44.4</v>
      </c>
      <c r="U645">
        <v>0</v>
      </c>
      <c r="V645">
        <v>22.2</v>
      </c>
    </row>
    <row r="646" spans="1:22" x14ac:dyDescent="0.25">
      <c r="A646" t="s">
        <v>1952</v>
      </c>
      <c r="B646" t="s">
        <v>640</v>
      </c>
      <c r="C646">
        <v>41</v>
      </c>
      <c r="D646" t="s">
        <v>78</v>
      </c>
      <c r="E646" t="s">
        <v>39</v>
      </c>
      <c r="F646" t="s">
        <v>33</v>
      </c>
      <c r="G646">
        <v>0.51</v>
      </c>
      <c r="H646" t="s">
        <v>32</v>
      </c>
      <c r="I646">
        <v>12</v>
      </c>
      <c r="J646" t="str">
        <f>HYPERLINK("https://www.eliteprospects.com/player/628070/will-mclaughlin")</f>
        <v>https://www.eliteprospects.com/player/628070/will-mclaughlin</v>
      </c>
      <c r="K646" t="s">
        <v>27</v>
      </c>
      <c r="L646" t="s">
        <v>631</v>
      </c>
      <c r="M646" t="s">
        <v>1296</v>
      </c>
      <c r="N646">
        <v>1</v>
      </c>
      <c r="O646" t="s">
        <v>634</v>
      </c>
      <c r="P646">
        <v>7.0000000000000007E-2</v>
      </c>
      <c r="Q646" t="s">
        <v>1300</v>
      </c>
      <c r="R646">
        <v>42.9</v>
      </c>
      <c r="S646">
        <v>28.6</v>
      </c>
      <c r="T646">
        <v>28.6</v>
      </c>
      <c r="U646">
        <v>0</v>
      </c>
      <c r="V646">
        <v>0</v>
      </c>
    </row>
    <row r="647" spans="1:22" x14ac:dyDescent="0.25">
      <c r="A647" t="s">
        <v>1953</v>
      </c>
      <c r="B647" t="s">
        <v>644</v>
      </c>
      <c r="C647">
        <v>34</v>
      </c>
      <c r="D647" t="s">
        <v>57</v>
      </c>
      <c r="E647" t="s">
        <v>41</v>
      </c>
      <c r="F647" t="s">
        <v>33</v>
      </c>
      <c r="G647">
        <v>0.62</v>
      </c>
      <c r="H647" t="s">
        <v>51</v>
      </c>
      <c r="I647">
        <v>0</v>
      </c>
      <c r="J647" t="str">
        <f>HYPERLINK("https://www.eliteprospects.com/player/603578/bauer-dumanski")</f>
        <v>https://www.eliteprospects.com/player/603578/bauer-dumanski</v>
      </c>
      <c r="K647" t="s">
        <v>27</v>
      </c>
      <c r="L647" t="s">
        <v>631</v>
      </c>
      <c r="M647" t="s">
        <v>1296</v>
      </c>
      <c r="N647">
        <v>5</v>
      </c>
      <c r="O647" t="s">
        <v>645</v>
      </c>
      <c r="P647">
        <v>0.09</v>
      </c>
      <c r="Q647" t="s">
        <v>245</v>
      </c>
      <c r="R647">
        <v>14.3</v>
      </c>
      <c r="S647">
        <v>42.9</v>
      </c>
      <c r="T647">
        <v>28.6</v>
      </c>
      <c r="U647">
        <v>0</v>
      </c>
      <c r="V647">
        <v>14.3</v>
      </c>
    </row>
    <row r="648" spans="1:22" x14ac:dyDescent="0.25">
      <c r="A648" t="s">
        <v>1954</v>
      </c>
      <c r="B648" t="s">
        <v>709</v>
      </c>
      <c r="C648">
        <v>39</v>
      </c>
      <c r="D648" t="s">
        <v>78</v>
      </c>
      <c r="E648" t="s">
        <v>65</v>
      </c>
      <c r="F648" t="s">
        <v>24</v>
      </c>
      <c r="G648">
        <v>0.51</v>
      </c>
      <c r="H648" t="s">
        <v>32</v>
      </c>
      <c r="I648">
        <v>-21</v>
      </c>
      <c r="J648" t="str">
        <f>HYPERLINK("https://www.eliteprospects.com/player/825498/jace-mcfaul")</f>
        <v>https://www.eliteprospects.com/player/825498/jace-mcfaul</v>
      </c>
      <c r="K648" t="s">
        <v>27</v>
      </c>
      <c r="L648" t="s">
        <v>631</v>
      </c>
      <c r="M648" t="s">
        <v>1296</v>
      </c>
      <c r="N648">
        <v>3</v>
      </c>
      <c r="O648" t="s">
        <v>639</v>
      </c>
      <c r="P648">
        <v>7.0000000000000007E-2</v>
      </c>
      <c r="Q648" t="s">
        <v>245</v>
      </c>
      <c r="R648">
        <v>0</v>
      </c>
      <c r="S648">
        <v>44.4</v>
      </c>
      <c r="T648">
        <v>33.299999999999997</v>
      </c>
      <c r="U648">
        <v>0</v>
      </c>
      <c r="V648">
        <v>22.2</v>
      </c>
    </row>
    <row r="649" spans="1:22" x14ac:dyDescent="0.25">
      <c r="A649" t="s">
        <v>1955</v>
      </c>
      <c r="B649" t="s">
        <v>671</v>
      </c>
      <c r="C649">
        <v>38</v>
      </c>
      <c r="D649" t="s">
        <v>66</v>
      </c>
      <c r="E649" t="s">
        <v>38</v>
      </c>
      <c r="F649" t="s">
        <v>24</v>
      </c>
      <c r="G649">
        <v>0.53</v>
      </c>
      <c r="H649" t="s">
        <v>47</v>
      </c>
      <c r="I649">
        <v>11</v>
      </c>
      <c r="J649" t="str">
        <f>HYPERLINK("https://www.eliteprospects.com/player/597558/william-mcisaac")</f>
        <v>https://www.eliteprospects.com/player/597558/william-mcisaac</v>
      </c>
      <c r="K649" t="s">
        <v>27</v>
      </c>
      <c r="L649" t="s">
        <v>631</v>
      </c>
      <c r="M649" t="s">
        <v>1296</v>
      </c>
      <c r="N649">
        <v>5</v>
      </c>
      <c r="O649" t="s">
        <v>645</v>
      </c>
      <c r="P649">
        <v>7.0000000000000007E-2</v>
      </c>
      <c r="Q649" t="s">
        <v>1300</v>
      </c>
      <c r="R649">
        <v>42.9</v>
      </c>
      <c r="S649">
        <v>28.6</v>
      </c>
      <c r="T649">
        <v>28.6</v>
      </c>
      <c r="U649">
        <v>0</v>
      </c>
      <c r="V649">
        <v>0</v>
      </c>
    </row>
    <row r="650" spans="1:22" x14ac:dyDescent="0.25">
      <c r="A650" t="s">
        <v>1956</v>
      </c>
      <c r="B650" t="s">
        <v>651</v>
      </c>
      <c r="C650">
        <v>32</v>
      </c>
      <c r="D650" t="s">
        <v>140</v>
      </c>
      <c r="E650" t="s">
        <v>60</v>
      </c>
      <c r="F650" t="s">
        <v>24</v>
      </c>
      <c r="G650">
        <v>0.63</v>
      </c>
      <c r="H650" t="s">
        <v>57</v>
      </c>
      <c r="I650">
        <v>11</v>
      </c>
      <c r="J650" t="str">
        <f>HYPERLINK("https://www.eliteprospects.com/player/701389/brock-cripps")</f>
        <v>https://www.eliteprospects.com/player/701389/brock-cripps</v>
      </c>
      <c r="K650" t="s">
        <v>27</v>
      </c>
      <c r="L650" t="s">
        <v>631</v>
      </c>
      <c r="M650" t="s">
        <v>1296</v>
      </c>
      <c r="N650">
        <v>2</v>
      </c>
      <c r="O650" t="s">
        <v>636</v>
      </c>
      <c r="P650">
        <v>0.09</v>
      </c>
      <c r="Q650" t="s">
        <v>1300</v>
      </c>
      <c r="R650">
        <v>37.5</v>
      </c>
      <c r="S650">
        <v>12.5</v>
      </c>
      <c r="T650">
        <v>12.5</v>
      </c>
      <c r="U650">
        <v>12.5</v>
      </c>
      <c r="V650">
        <v>25</v>
      </c>
    </row>
    <row r="651" spans="1:22" x14ac:dyDescent="0.25">
      <c r="A651" t="s">
        <v>1957</v>
      </c>
      <c r="B651" t="s">
        <v>709</v>
      </c>
      <c r="C651">
        <v>39</v>
      </c>
      <c r="D651" t="s">
        <v>140</v>
      </c>
      <c r="E651" t="s">
        <v>60</v>
      </c>
      <c r="F651" t="s">
        <v>24</v>
      </c>
      <c r="G651">
        <v>0.51</v>
      </c>
      <c r="H651" t="s">
        <v>512</v>
      </c>
      <c r="I651">
        <v>-20</v>
      </c>
      <c r="J651" t="str">
        <f>HYPERLINK("https://www.eliteprospects.com/player/577136/josh-mcgregor")</f>
        <v>https://www.eliteprospects.com/player/577136/josh-mcgregor</v>
      </c>
      <c r="K651" t="s">
        <v>27</v>
      </c>
      <c r="L651" t="s">
        <v>631</v>
      </c>
      <c r="M651" t="s">
        <v>1296</v>
      </c>
      <c r="N651">
        <v>2</v>
      </c>
      <c r="O651" t="s">
        <v>636</v>
      </c>
      <c r="P651">
        <v>7.0000000000000007E-2</v>
      </c>
      <c r="Q651" t="s">
        <v>245</v>
      </c>
      <c r="R651">
        <v>0</v>
      </c>
      <c r="S651">
        <v>44.4</v>
      </c>
      <c r="T651">
        <v>33.299999999999997</v>
      </c>
      <c r="U651">
        <v>0</v>
      </c>
      <c r="V651">
        <v>22.2</v>
      </c>
    </row>
    <row r="652" spans="1:22" x14ac:dyDescent="0.25">
      <c r="A652" t="s">
        <v>1958</v>
      </c>
      <c r="B652" t="s">
        <v>646</v>
      </c>
      <c r="C652">
        <v>34</v>
      </c>
      <c r="D652" t="s">
        <v>260</v>
      </c>
      <c r="E652" t="s">
        <v>51</v>
      </c>
      <c r="F652" t="s">
        <v>24</v>
      </c>
      <c r="G652">
        <v>0.59</v>
      </c>
      <c r="H652" t="s">
        <v>33</v>
      </c>
      <c r="I652">
        <v>0</v>
      </c>
      <c r="J652" t="str">
        <f>HYPERLINK("https://www.eliteprospects.com/player/878966/hunter-aura")</f>
        <v>https://www.eliteprospects.com/player/878966/hunter-aura</v>
      </c>
      <c r="K652" t="s">
        <v>27</v>
      </c>
      <c r="L652" t="s">
        <v>631</v>
      </c>
      <c r="M652" t="s">
        <v>1296</v>
      </c>
      <c r="N652">
        <v>2</v>
      </c>
      <c r="O652" t="s">
        <v>636</v>
      </c>
      <c r="P652">
        <v>0.08</v>
      </c>
      <c r="Q652" t="s">
        <v>1300</v>
      </c>
      <c r="R652">
        <v>33.299999999999997</v>
      </c>
      <c r="S652">
        <v>22.2</v>
      </c>
      <c r="T652">
        <v>22.2</v>
      </c>
      <c r="U652">
        <v>11.1</v>
      </c>
      <c r="V652">
        <v>11.1</v>
      </c>
    </row>
    <row r="653" spans="1:22" x14ac:dyDescent="0.25">
      <c r="A653" t="s">
        <v>1959</v>
      </c>
      <c r="B653" t="s">
        <v>646</v>
      </c>
      <c r="C653">
        <v>37</v>
      </c>
      <c r="D653" t="s">
        <v>79</v>
      </c>
      <c r="E653" t="s">
        <v>60</v>
      </c>
      <c r="F653" t="s">
        <v>51</v>
      </c>
      <c r="G653">
        <v>0.51</v>
      </c>
      <c r="H653" t="s">
        <v>25</v>
      </c>
      <c r="I653">
        <v>9</v>
      </c>
      <c r="J653" t="str">
        <f>HYPERLINK("https://www.eliteprospects.com/player/577089/wyatt-pisarczyk")</f>
        <v>https://www.eliteprospects.com/player/577089/wyatt-pisarczyk</v>
      </c>
      <c r="K653" t="s">
        <v>27</v>
      </c>
      <c r="L653" t="s">
        <v>631</v>
      </c>
      <c r="M653" t="s">
        <v>1296</v>
      </c>
      <c r="N653">
        <v>3</v>
      </c>
      <c r="O653" t="s">
        <v>639</v>
      </c>
      <c r="P653">
        <v>7.0000000000000007E-2</v>
      </c>
      <c r="Q653" t="s">
        <v>1300</v>
      </c>
      <c r="R653">
        <v>42.9</v>
      </c>
      <c r="S653">
        <v>28.6</v>
      </c>
      <c r="T653">
        <v>28.6</v>
      </c>
      <c r="U653">
        <v>0</v>
      </c>
      <c r="V653">
        <v>0</v>
      </c>
    </row>
    <row r="654" spans="1:22" x14ac:dyDescent="0.25">
      <c r="A654" t="s">
        <v>1960</v>
      </c>
      <c r="B654" t="s">
        <v>647</v>
      </c>
      <c r="C654">
        <v>39</v>
      </c>
      <c r="D654" t="s">
        <v>79</v>
      </c>
      <c r="E654" t="s">
        <v>60</v>
      </c>
      <c r="F654" t="s">
        <v>51</v>
      </c>
      <c r="G654">
        <v>0.49</v>
      </c>
      <c r="H654" t="s">
        <v>125</v>
      </c>
      <c r="I654">
        <v>4</v>
      </c>
      <c r="J654" t="str">
        <f>HYPERLINK("https://www.eliteprospects.com/player/619705/giorgos-pantelas")</f>
        <v>https://www.eliteprospects.com/player/619705/giorgos-pantelas</v>
      </c>
      <c r="K654" t="s">
        <v>27</v>
      </c>
      <c r="L654" t="s">
        <v>631</v>
      </c>
      <c r="M654" t="s">
        <v>1296</v>
      </c>
      <c r="N654">
        <v>3</v>
      </c>
      <c r="O654" t="s">
        <v>639</v>
      </c>
      <c r="P654">
        <v>7.0000000000000007E-2</v>
      </c>
      <c r="Q654" t="s">
        <v>1325</v>
      </c>
      <c r="R654">
        <v>33.299999999999997</v>
      </c>
      <c r="S654">
        <v>16.7</v>
      </c>
      <c r="T654">
        <v>33.299999999999997</v>
      </c>
      <c r="U654">
        <v>16.7</v>
      </c>
      <c r="V654">
        <v>0</v>
      </c>
    </row>
    <row r="655" spans="1:22" x14ac:dyDescent="0.25">
      <c r="A655" t="s">
        <v>1961</v>
      </c>
      <c r="B655" t="s">
        <v>641</v>
      </c>
      <c r="C655">
        <v>39</v>
      </c>
      <c r="D655" t="s">
        <v>260</v>
      </c>
      <c r="E655" t="s">
        <v>55</v>
      </c>
      <c r="F655" t="s">
        <v>51</v>
      </c>
      <c r="G655">
        <v>0.49</v>
      </c>
      <c r="H655" t="s">
        <v>84</v>
      </c>
      <c r="I655">
        <v>12</v>
      </c>
      <c r="J655" t="str">
        <f>HYPERLINK("https://www.eliteprospects.com/player/576974/callum-stone")</f>
        <v>https://www.eliteprospects.com/player/576974/callum-stone</v>
      </c>
      <c r="K655" t="s">
        <v>27</v>
      </c>
      <c r="L655" t="s">
        <v>631</v>
      </c>
      <c r="M655" t="s">
        <v>1296</v>
      </c>
      <c r="N655">
        <v>1</v>
      </c>
      <c r="O655" t="s">
        <v>634</v>
      </c>
      <c r="P655">
        <v>7.0000000000000007E-2</v>
      </c>
      <c r="Q655" t="s">
        <v>1300</v>
      </c>
      <c r="R655">
        <v>42.9</v>
      </c>
      <c r="S655">
        <v>28.6</v>
      </c>
      <c r="T655">
        <v>28.6</v>
      </c>
      <c r="U655">
        <v>0</v>
      </c>
      <c r="V655">
        <v>0</v>
      </c>
    </row>
    <row r="656" spans="1:22" x14ac:dyDescent="0.25">
      <c r="A656" t="s">
        <v>1962</v>
      </c>
      <c r="B656" t="s">
        <v>637</v>
      </c>
      <c r="C656">
        <v>30</v>
      </c>
      <c r="D656" t="s">
        <v>66</v>
      </c>
      <c r="E656" t="s">
        <v>39</v>
      </c>
      <c r="F656" t="s">
        <v>55</v>
      </c>
      <c r="G656">
        <v>0.6</v>
      </c>
      <c r="H656" t="s">
        <v>47</v>
      </c>
      <c r="I656">
        <v>5</v>
      </c>
      <c r="J656" t="str">
        <f>HYPERLINK("https://www.eliteprospects.com/player/793158/veeti-vaisanen")</f>
        <v>https://www.eliteprospects.com/player/793158/veeti-vaisanen</v>
      </c>
      <c r="K656" t="s">
        <v>27</v>
      </c>
      <c r="L656" t="s">
        <v>631</v>
      </c>
      <c r="M656" t="s">
        <v>1296</v>
      </c>
      <c r="N656">
        <v>2</v>
      </c>
      <c r="O656" t="s">
        <v>636</v>
      </c>
      <c r="P656">
        <v>0.08</v>
      </c>
      <c r="Q656" t="s">
        <v>1325</v>
      </c>
      <c r="R656">
        <v>33.299999999999997</v>
      </c>
      <c r="S656">
        <v>16.7</v>
      </c>
      <c r="T656">
        <v>33.299999999999997</v>
      </c>
      <c r="U656">
        <v>16.7</v>
      </c>
      <c r="V656">
        <v>0</v>
      </c>
    </row>
    <row r="657" spans="1:22" x14ac:dyDescent="0.25">
      <c r="A657" t="s">
        <v>1963</v>
      </c>
      <c r="B657" t="s">
        <v>667</v>
      </c>
      <c r="C657">
        <v>39</v>
      </c>
      <c r="D657" t="s">
        <v>140</v>
      </c>
      <c r="E657" t="s">
        <v>41</v>
      </c>
      <c r="F657" t="s">
        <v>55</v>
      </c>
      <c r="G657">
        <v>0.46</v>
      </c>
      <c r="H657" t="s">
        <v>34</v>
      </c>
      <c r="I657">
        <v>9</v>
      </c>
      <c r="J657" t="str">
        <f>HYPERLINK("https://www.eliteprospects.com/player/576972/jordan-martin")</f>
        <v>https://www.eliteprospects.com/player/576972/jordan-martin</v>
      </c>
      <c r="K657" t="s">
        <v>27</v>
      </c>
      <c r="L657" t="s">
        <v>631</v>
      </c>
      <c r="M657" t="s">
        <v>1296</v>
      </c>
      <c r="N657">
        <v>3</v>
      </c>
      <c r="O657" t="s">
        <v>639</v>
      </c>
      <c r="P657">
        <v>0.06</v>
      </c>
      <c r="Q657" t="s">
        <v>1325</v>
      </c>
      <c r="R657">
        <v>18.2</v>
      </c>
      <c r="S657">
        <v>9.1</v>
      </c>
      <c r="T657">
        <v>63.6</v>
      </c>
      <c r="U657">
        <v>0</v>
      </c>
      <c r="V657">
        <v>9.1</v>
      </c>
    </row>
    <row r="658" spans="1:22" x14ac:dyDescent="0.25">
      <c r="A658" t="s">
        <v>1964</v>
      </c>
      <c r="B658" t="s">
        <v>507</v>
      </c>
      <c r="C658">
        <v>38</v>
      </c>
      <c r="D658" t="s">
        <v>96</v>
      </c>
      <c r="E658" t="s">
        <v>23</v>
      </c>
      <c r="F658" t="s">
        <v>60</v>
      </c>
      <c r="G658">
        <v>0.45</v>
      </c>
      <c r="H658" t="s">
        <v>75</v>
      </c>
      <c r="I658">
        <v>2</v>
      </c>
      <c r="J658" t="str">
        <f>HYPERLINK("https://www.eliteprospects.com/player/855986/kyle-heger")</f>
        <v>https://www.eliteprospects.com/player/855986/kyle-heger</v>
      </c>
      <c r="K658" t="s">
        <v>27</v>
      </c>
      <c r="L658" t="s">
        <v>631</v>
      </c>
      <c r="M658" t="s">
        <v>1296</v>
      </c>
      <c r="N658">
        <v>1</v>
      </c>
      <c r="O658" t="s">
        <v>634</v>
      </c>
      <c r="P658">
        <v>0.06</v>
      </c>
      <c r="Q658" t="s">
        <v>1300</v>
      </c>
      <c r="R658">
        <v>57.1</v>
      </c>
      <c r="S658">
        <v>28.6</v>
      </c>
      <c r="T658">
        <v>0</v>
      </c>
      <c r="U658">
        <v>14.3</v>
      </c>
      <c r="V658">
        <v>0</v>
      </c>
    </row>
    <row r="659" spans="1:22" x14ac:dyDescent="0.25">
      <c r="A659" t="s">
        <v>1965</v>
      </c>
      <c r="B659" t="s">
        <v>637</v>
      </c>
      <c r="C659">
        <v>31</v>
      </c>
      <c r="D659" t="s">
        <v>78</v>
      </c>
      <c r="E659" t="s">
        <v>45</v>
      </c>
      <c r="F659" t="s">
        <v>38</v>
      </c>
      <c r="G659">
        <v>0.52</v>
      </c>
      <c r="H659" t="s">
        <v>26</v>
      </c>
      <c r="I659">
        <v>8</v>
      </c>
      <c r="J659" t="str">
        <f>HYPERLINK("https://www.eliteprospects.com/player/805920/tyson-moss")</f>
        <v>https://www.eliteprospects.com/player/805920/tyson-moss</v>
      </c>
      <c r="K659" t="s">
        <v>27</v>
      </c>
      <c r="L659" t="s">
        <v>631</v>
      </c>
      <c r="M659" t="s">
        <v>1296</v>
      </c>
      <c r="N659">
        <v>2</v>
      </c>
      <c r="O659" t="s">
        <v>636</v>
      </c>
      <c r="P659">
        <v>7.0000000000000007E-2</v>
      </c>
      <c r="Q659" t="s">
        <v>1300</v>
      </c>
      <c r="R659">
        <v>42.9</v>
      </c>
      <c r="S659">
        <v>28.6</v>
      </c>
      <c r="T659">
        <v>28.6</v>
      </c>
      <c r="U659">
        <v>0</v>
      </c>
      <c r="V659">
        <v>0</v>
      </c>
    </row>
    <row r="660" spans="1:22" x14ac:dyDescent="0.25">
      <c r="A660" t="s">
        <v>1966</v>
      </c>
      <c r="B660" t="s">
        <v>649</v>
      </c>
      <c r="C660">
        <v>35</v>
      </c>
      <c r="D660" t="s">
        <v>96</v>
      </c>
      <c r="E660" t="s">
        <v>69</v>
      </c>
      <c r="F660" t="s">
        <v>38</v>
      </c>
      <c r="G660">
        <v>0.46</v>
      </c>
      <c r="H660" t="s">
        <v>55</v>
      </c>
      <c r="I660">
        <v>30</v>
      </c>
      <c r="J660" t="str">
        <f>HYPERLINK("https://www.eliteprospects.com/player/577135/brek-liske")</f>
        <v>https://www.eliteprospects.com/player/577135/brek-liske</v>
      </c>
      <c r="K660" t="s">
        <v>27</v>
      </c>
      <c r="L660" t="s">
        <v>631</v>
      </c>
      <c r="M660" t="s">
        <v>1296</v>
      </c>
      <c r="N660">
        <v>3</v>
      </c>
      <c r="O660" t="s">
        <v>639</v>
      </c>
      <c r="P660">
        <v>0.06</v>
      </c>
      <c r="Q660" t="s">
        <v>1309</v>
      </c>
      <c r="R660">
        <v>14.3</v>
      </c>
      <c r="S660">
        <v>28.6</v>
      </c>
      <c r="T660">
        <v>28.6</v>
      </c>
      <c r="U660">
        <v>0</v>
      </c>
      <c r="V660">
        <v>28.6</v>
      </c>
    </row>
    <row r="661" spans="1:22" x14ac:dyDescent="0.25">
      <c r="A661" t="s">
        <v>1967</v>
      </c>
      <c r="B661" t="s">
        <v>507</v>
      </c>
      <c r="C661">
        <v>34</v>
      </c>
      <c r="D661" t="s">
        <v>140</v>
      </c>
      <c r="E661" t="s">
        <v>65</v>
      </c>
      <c r="F661" t="s">
        <v>38</v>
      </c>
      <c r="G661">
        <v>0.47</v>
      </c>
      <c r="H661" t="s">
        <v>39</v>
      </c>
      <c r="I661">
        <v>0</v>
      </c>
      <c r="J661" t="str">
        <f>HYPERLINK("https://www.eliteprospects.com/player/576980/will-sharpe")</f>
        <v>https://www.eliteprospects.com/player/576980/will-sharpe</v>
      </c>
      <c r="K661" t="s">
        <v>27</v>
      </c>
      <c r="L661" t="s">
        <v>631</v>
      </c>
      <c r="M661" t="s">
        <v>1296</v>
      </c>
      <c r="N661">
        <v>4</v>
      </c>
      <c r="O661" t="s">
        <v>632</v>
      </c>
      <c r="P661">
        <v>7.0000000000000007E-2</v>
      </c>
      <c r="Q661" t="s">
        <v>1300</v>
      </c>
      <c r="R661">
        <v>33.299999999999997</v>
      </c>
      <c r="S661">
        <v>22.2</v>
      </c>
      <c r="T661">
        <v>22.2</v>
      </c>
      <c r="U661">
        <v>11.1</v>
      </c>
      <c r="V661">
        <v>11.1</v>
      </c>
    </row>
    <row r="662" spans="1:22" x14ac:dyDescent="0.25">
      <c r="A662" t="s">
        <v>1968</v>
      </c>
      <c r="B662" t="s">
        <v>662</v>
      </c>
      <c r="C662">
        <v>14</v>
      </c>
      <c r="D662" t="s">
        <v>260</v>
      </c>
      <c r="E662" t="s">
        <v>41</v>
      </c>
      <c r="F662" t="s">
        <v>38</v>
      </c>
      <c r="G662">
        <v>1.1399999999999999</v>
      </c>
      <c r="H662" t="s">
        <v>65</v>
      </c>
      <c r="I662">
        <v>4</v>
      </c>
      <c r="J662" t="str">
        <f>HYPERLINK("https://www.eliteprospects.com/player/872673/radim-mrtka")</f>
        <v>https://www.eliteprospects.com/player/872673/radim-mrtka</v>
      </c>
      <c r="K662" t="s">
        <v>27</v>
      </c>
      <c r="L662" t="s">
        <v>631</v>
      </c>
      <c r="M662" t="s">
        <v>1296</v>
      </c>
      <c r="N662">
        <v>2</v>
      </c>
      <c r="O662" t="s">
        <v>636</v>
      </c>
      <c r="P662">
        <v>0.16</v>
      </c>
      <c r="Q662" t="s">
        <v>1309</v>
      </c>
      <c r="R662">
        <v>10</v>
      </c>
      <c r="S662">
        <v>10</v>
      </c>
      <c r="T662">
        <v>20</v>
      </c>
      <c r="U662">
        <v>20</v>
      </c>
      <c r="V662">
        <v>40</v>
      </c>
    </row>
    <row r="663" spans="1:22" x14ac:dyDescent="0.25">
      <c r="A663" t="s">
        <v>1969</v>
      </c>
      <c r="B663" t="s">
        <v>641</v>
      </c>
      <c r="C663">
        <v>38</v>
      </c>
      <c r="D663" t="s">
        <v>66</v>
      </c>
      <c r="E663" t="s">
        <v>69</v>
      </c>
      <c r="F663" t="s">
        <v>41</v>
      </c>
      <c r="G663">
        <v>0.39</v>
      </c>
      <c r="H663" t="s">
        <v>55</v>
      </c>
      <c r="I663">
        <v>22</v>
      </c>
      <c r="J663" t="str">
        <f>HYPERLINK("https://www.eliteprospects.com/player/817739/doogan-pederson")</f>
        <v>https://www.eliteprospects.com/player/817739/doogan-pederson</v>
      </c>
      <c r="K663" t="s">
        <v>27</v>
      </c>
      <c r="L663" t="s">
        <v>631</v>
      </c>
      <c r="M663" t="s">
        <v>1296</v>
      </c>
      <c r="N663">
        <v>3</v>
      </c>
      <c r="O663" t="s">
        <v>639</v>
      </c>
      <c r="P663">
        <v>0.05</v>
      </c>
      <c r="Q663" t="s">
        <v>1309</v>
      </c>
      <c r="R663">
        <v>14.3</v>
      </c>
      <c r="S663">
        <v>28.6</v>
      </c>
      <c r="T663">
        <v>28.6</v>
      </c>
      <c r="U663">
        <v>0</v>
      </c>
      <c r="V663">
        <v>28.6</v>
      </c>
    </row>
    <row r="664" spans="1:22" x14ac:dyDescent="0.25">
      <c r="A664" t="s">
        <v>1970</v>
      </c>
      <c r="B664" t="s">
        <v>507</v>
      </c>
      <c r="C664">
        <v>34</v>
      </c>
      <c r="D664" t="s">
        <v>140</v>
      </c>
      <c r="E664" t="s">
        <v>23</v>
      </c>
      <c r="F664" t="s">
        <v>41</v>
      </c>
      <c r="G664">
        <v>0.44</v>
      </c>
      <c r="H664" t="s">
        <v>25</v>
      </c>
      <c r="I664">
        <v>29</v>
      </c>
      <c r="J664" t="str">
        <f>HYPERLINK("https://www.eliteprospects.com/player/709618/parker-alcos")</f>
        <v>https://www.eliteprospects.com/player/709618/parker-alcos</v>
      </c>
      <c r="K664" t="s">
        <v>27</v>
      </c>
      <c r="L664" t="s">
        <v>631</v>
      </c>
      <c r="M664" t="s">
        <v>1296</v>
      </c>
      <c r="N664">
        <v>4</v>
      </c>
      <c r="O664" t="s">
        <v>632</v>
      </c>
      <c r="P664">
        <v>0.06</v>
      </c>
      <c r="Q664" t="s">
        <v>1309</v>
      </c>
      <c r="R664">
        <v>14.3</v>
      </c>
      <c r="S664">
        <v>28.6</v>
      </c>
      <c r="T664">
        <v>28.6</v>
      </c>
      <c r="U664">
        <v>0</v>
      </c>
      <c r="V664">
        <v>28.6</v>
      </c>
    </row>
    <row r="665" spans="1:22" x14ac:dyDescent="0.25">
      <c r="A665" t="s">
        <v>1971</v>
      </c>
      <c r="B665" t="s">
        <v>694</v>
      </c>
      <c r="C665">
        <v>33</v>
      </c>
      <c r="D665" t="s">
        <v>79</v>
      </c>
      <c r="E665" t="s">
        <v>65</v>
      </c>
      <c r="F665" t="s">
        <v>41</v>
      </c>
      <c r="G665">
        <v>0.45</v>
      </c>
      <c r="H665" t="s">
        <v>26</v>
      </c>
      <c r="I665">
        <v>-17</v>
      </c>
      <c r="J665" t="str">
        <f>HYPERLINK("https://www.eliteprospects.com/player/628098/william-scott")</f>
        <v>https://www.eliteprospects.com/player/628098/william-scott</v>
      </c>
      <c r="K665" t="s">
        <v>27</v>
      </c>
      <c r="L665" t="s">
        <v>631</v>
      </c>
      <c r="M665" t="s">
        <v>1296</v>
      </c>
      <c r="N665">
        <v>2</v>
      </c>
      <c r="O665" t="s">
        <v>636</v>
      </c>
      <c r="P665">
        <v>0.06</v>
      </c>
      <c r="Q665" t="s">
        <v>1309</v>
      </c>
      <c r="R665">
        <v>0</v>
      </c>
      <c r="S665">
        <v>20</v>
      </c>
      <c r="T665">
        <v>40</v>
      </c>
      <c r="U665">
        <v>0</v>
      </c>
      <c r="V665">
        <v>40</v>
      </c>
    </row>
    <row r="666" spans="1:22" x14ac:dyDescent="0.25">
      <c r="A666" t="s">
        <v>1972</v>
      </c>
      <c r="B666" t="s">
        <v>662</v>
      </c>
      <c r="C666">
        <v>38</v>
      </c>
      <c r="D666" t="s">
        <v>79</v>
      </c>
      <c r="E666" t="s">
        <v>65</v>
      </c>
      <c r="F666" t="s">
        <v>41</v>
      </c>
      <c r="G666">
        <v>0.39</v>
      </c>
      <c r="H666" t="s">
        <v>178</v>
      </c>
      <c r="I666">
        <v>-4</v>
      </c>
      <c r="J666" t="str">
        <f>HYPERLINK("https://www.eliteprospects.com/player/805205/tai-riley")</f>
        <v>https://www.eliteprospects.com/player/805205/tai-riley</v>
      </c>
      <c r="K666" t="s">
        <v>27</v>
      </c>
      <c r="L666" t="s">
        <v>631</v>
      </c>
      <c r="M666" t="s">
        <v>1296</v>
      </c>
      <c r="N666">
        <v>2</v>
      </c>
      <c r="O666" t="s">
        <v>636</v>
      </c>
      <c r="P666">
        <v>0.05</v>
      </c>
      <c r="Q666" t="s">
        <v>1300</v>
      </c>
      <c r="R666">
        <v>37.5</v>
      </c>
      <c r="S666">
        <v>37.5</v>
      </c>
      <c r="T666">
        <v>0</v>
      </c>
      <c r="U666">
        <v>12.5</v>
      </c>
      <c r="V666">
        <v>12.5</v>
      </c>
    </row>
    <row r="667" spans="1:22" x14ac:dyDescent="0.25">
      <c r="A667" t="s">
        <v>1973</v>
      </c>
      <c r="B667" t="s">
        <v>653</v>
      </c>
      <c r="C667">
        <v>38</v>
      </c>
      <c r="D667" t="s">
        <v>132</v>
      </c>
      <c r="E667" t="s">
        <v>41</v>
      </c>
      <c r="F667" t="s">
        <v>41</v>
      </c>
      <c r="G667">
        <v>0.39</v>
      </c>
      <c r="H667" t="s">
        <v>489</v>
      </c>
      <c r="I667">
        <v>10</v>
      </c>
      <c r="J667" t="str">
        <f>HYPERLINK("https://www.eliteprospects.com/player/719093/rowan-guest")</f>
        <v>https://www.eliteprospects.com/player/719093/rowan-guest</v>
      </c>
      <c r="K667" t="s">
        <v>27</v>
      </c>
      <c r="L667" t="s">
        <v>631</v>
      </c>
      <c r="M667" t="s">
        <v>1296</v>
      </c>
      <c r="N667">
        <v>2</v>
      </c>
      <c r="O667" t="s">
        <v>636</v>
      </c>
      <c r="P667">
        <v>0.05</v>
      </c>
      <c r="Q667" t="s">
        <v>1325</v>
      </c>
      <c r="R667">
        <v>18.2</v>
      </c>
      <c r="S667">
        <v>9.1</v>
      </c>
      <c r="T667">
        <v>63.6</v>
      </c>
      <c r="U667">
        <v>0</v>
      </c>
      <c r="V667">
        <v>9.1</v>
      </c>
    </row>
    <row r="668" spans="1:22" x14ac:dyDescent="0.25">
      <c r="A668" t="s">
        <v>1974</v>
      </c>
      <c r="B668" t="s">
        <v>667</v>
      </c>
      <c r="C668">
        <v>39</v>
      </c>
      <c r="D668" t="s">
        <v>57</v>
      </c>
      <c r="E668" t="s">
        <v>26</v>
      </c>
      <c r="F668" t="s">
        <v>39</v>
      </c>
      <c r="G668">
        <v>0.36</v>
      </c>
      <c r="H668" t="s">
        <v>66</v>
      </c>
      <c r="I668">
        <v>4</v>
      </c>
      <c r="J668" t="str">
        <f>HYPERLINK("https://www.eliteprospects.com/player/577084/jack-kachkowski")</f>
        <v>https://www.eliteprospects.com/player/577084/jack-kachkowski</v>
      </c>
      <c r="K668" t="s">
        <v>27</v>
      </c>
      <c r="L668" t="s">
        <v>631</v>
      </c>
      <c r="M668" t="s">
        <v>1296</v>
      </c>
      <c r="N668">
        <v>3</v>
      </c>
      <c r="O668" t="s">
        <v>639</v>
      </c>
      <c r="P668">
        <v>0.05</v>
      </c>
      <c r="Q668" t="s">
        <v>1300</v>
      </c>
      <c r="R668">
        <v>57.1</v>
      </c>
      <c r="S668">
        <v>28.6</v>
      </c>
      <c r="T668">
        <v>0</v>
      </c>
      <c r="U668">
        <v>14.3</v>
      </c>
      <c r="V668">
        <v>0</v>
      </c>
    </row>
    <row r="669" spans="1:22" x14ac:dyDescent="0.25">
      <c r="A669" t="s">
        <v>1975</v>
      </c>
      <c r="B669" t="s">
        <v>659</v>
      </c>
      <c r="C669">
        <v>37</v>
      </c>
      <c r="D669" t="s">
        <v>140</v>
      </c>
      <c r="E669" t="s">
        <v>69</v>
      </c>
      <c r="F669" t="s">
        <v>39</v>
      </c>
      <c r="G669">
        <v>0.38</v>
      </c>
      <c r="H669" t="s">
        <v>34</v>
      </c>
      <c r="I669">
        <v>8</v>
      </c>
      <c r="J669" t="str">
        <f>HYPERLINK("https://www.eliteprospects.com/player/597844/charlie-elick")</f>
        <v>https://www.eliteprospects.com/player/597844/charlie-elick</v>
      </c>
      <c r="K669" t="s">
        <v>27</v>
      </c>
      <c r="L669" t="s">
        <v>631</v>
      </c>
      <c r="M669" t="s">
        <v>1296</v>
      </c>
      <c r="N669">
        <v>5</v>
      </c>
      <c r="O669" t="s">
        <v>645</v>
      </c>
      <c r="P669">
        <v>0.05</v>
      </c>
      <c r="Q669" t="s">
        <v>1325</v>
      </c>
      <c r="R669">
        <v>18.2</v>
      </c>
      <c r="S669">
        <v>9.1</v>
      </c>
      <c r="T669">
        <v>63.6</v>
      </c>
      <c r="U669">
        <v>0</v>
      </c>
      <c r="V669">
        <v>9.1</v>
      </c>
    </row>
    <row r="670" spans="1:22" x14ac:dyDescent="0.25">
      <c r="A670" t="s">
        <v>1976</v>
      </c>
      <c r="B670" t="s">
        <v>651</v>
      </c>
      <c r="C670">
        <v>37</v>
      </c>
      <c r="D670" t="s">
        <v>140</v>
      </c>
      <c r="E670" t="s">
        <v>69</v>
      </c>
      <c r="F670" t="s">
        <v>39</v>
      </c>
      <c r="G670">
        <v>0.38</v>
      </c>
      <c r="H670" t="s">
        <v>178</v>
      </c>
      <c r="I670">
        <v>28</v>
      </c>
      <c r="J670" t="str">
        <f>HYPERLINK("https://www.eliteprospects.com/player/879768/bennett-kelly")</f>
        <v>https://www.eliteprospects.com/player/879768/bennett-kelly</v>
      </c>
      <c r="K670" t="s">
        <v>27</v>
      </c>
      <c r="L670" t="s">
        <v>631</v>
      </c>
      <c r="M670" t="s">
        <v>1296</v>
      </c>
      <c r="N670">
        <v>2</v>
      </c>
      <c r="O670" t="s">
        <v>636</v>
      </c>
      <c r="P670">
        <v>0.05</v>
      </c>
      <c r="Q670" t="s">
        <v>1309</v>
      </c>
      <c r="R670">
        <v>14.3</v>
      </c>
      <c r="S670">
        <v>28.6</v>
      </c>
      <c r="T670">
        <v>28.6</v>
      </c>
      <c r="U670">
        <v>0</v>
      </c>
      <c r="V670">
        <v>28.6</v>
      </c>
    </row>
    <row r="671" spans="1:22" x14ac:dyDescent="0.25">
      <c r="A671" t="s">
        <v>1977</v>
      </c>
      <c r="B671" t="s">
        <v>659</v>
      </c>
      <c r="C671">
        <v>39</v>
      </c>
      <c r="D671" t="s">
        <v>66</v>
      </c>
      <c r="E671" t="s">
        <v>45</v>
      </c>
      <c r="F671" t="s">
        <v>65</v>
      </c>
      <c r="G671">
        <v>0.33</v>
      </c>
      <c r="H671" t="s">
        <v>65</v>
      </c>
      <c r="I671">
        <v>6</v>
      </c>
      <c r="J671" t="str">
        <f>HYPERLINK("https://www.eliteprospects.com/player/576987/dylan-lebret")</f>
        <v>https://www.eliteprospects.com/player/576987/dylan-lebret</v>
      </c>
      <c r="K671" t="s">
        <v>27</v>
      </c>
      <c r="L671" t="s">
        <v>631</v>
      </c>
      <c r="M671" t="s">
        <v>1296</v>
      </c>
      <c r="N671">
        <v>1</v>
      </c>
      <c r="O671" t="s">
        <v>634</v>
      </c>
      <c r="P671">
        <v>0.05</v>
      </c>
      <c r="Q671" t="s">
        <v>1300</v>
      </c>
      <c r="R671">
        <v>57.1</v>
      </c>
      <c r="S671">
        <v>28.6</v>
      </c>
      <c r="T671">
        <v>0</v>
      </c>
      <c r="U671">
        <v>14.3</v>
      </c>
      <c r="V671">
        <v>0</v>
      </c>
    </row>
    <row r="672" spans="1:22" x14ac:dyDescent="0.25">
      <c r="A672" t="s">
        <v>1978</v>
      </c>
      <c r="B672" t="s">
        <v>684</v>
      </c>
      <c r="C672">
        <v>36</v>
      </c>
      <c r="D672" t="s">
        <v>140</v>
      </c>
      <c r="E672" t="s">
        <v>32</v>
      </c>
      <c r="F672" t="s">
        <v>65</v>
      </c>
      <c r="G672">
        <v>0.36</v>
      </c>
      <c r="H672" t="s">
        <v>53</v>
      </c>
      <c r="I672">
        <v>-5</v>
      </c>
      <c r="J672" t="str">
        <f>HYPERLINK("https://www.eliteprospects.com/player/966908/boston-tait")</f>
        <v>https://www.eliteprospects.com/player/966908/boston-tait</v>
      </c>
      <c r="K672" t="s">
        <v>27</v>
      </c>
      <c r="L672" t="s">
        <v>631</v>
      </c>
      <c r="M672" t="s">
        <v>1296</v>
      </c>
      <c r="N672">
        <v>2</v>
      </c>
      <c r="O672" t="s">
        <v>636</v>
      </c>
      <c r="P672">
        <v>0.05</v>
      </c>
      <c r="Q672" t="s">
        <v>1309</v>
      </c>
      <c r="R672">
        <v>0</v>
      </c>
      <c r="S672">
        <v>20</v>
      </c>
      <c r="T672">
        <v>40</v>
      </c>
      <c r="U672">
        <v>0</v>
      </c>
      <c r="V672">
        <v>40</v>
      </c>
    </row>
    <row r="673" spans="1:22" x14ac:dyDescent="0.25">
      <c r="A673" t="s">
        <v>1979</v>
      </c>
      <c r="B673" t="s">
        <v>659</v>
      </c>
      <c r="C673">
        <v>33</v>
      </c>
      <c r="D673" t="s">
        <v>260</v>
      </c>
      <c r="E673" t="s">
        <v>23</v>
      </c>
      <c r="F673" t="s">
        <v>65</v>
      </c>
      <c r="G673">
        <v>0.39</v>
      </c>
      <c r="H673" t="s">
        <v>60</v>
      </c>
      <c r="I673">
        <v>15</v>
      </c>
      <c r="J673" t="str">
        <f>HYPERLINK("https://www.eliteprospects.com/player/647519/carter-savage")</f>
        <v>https://www.eliteprospects.com/player/647519/carter-savage</v>
      </c>
      <c r="K673" t="s">
        <v>27</v>
      </c>
      <c r="L673" t="s">
        <v>631</v>
      </c>
      <c r="M673" t="s">
        <v>1296</v>
      </c>
      <c r="N673">
        <v>5</v>
      </c>
      <c r="O673" t="s">
        <v>645</v>
      </c>
      <c r="P673">
        <v>0.05</v>
      </c>
      <c r="Q673" t="s">
        <v>1309</v>
      </c>
      <c r="R673">
        <v>14.3</v>
      </c>
      <c r="S673">
        <v>28.6</v>
      </c>
      <c r="T673">
        <v>28.6</v>
      </c>
      <c r="U673">
        <v>0</v>
      </c>
      <c r="V673">
        <v>28.6</v>
      </c>
    </row>
    <row r="674" spans="1:22" x14ac:dyDescent="0.25">
      <c r="A674" t="s">
        <v>1980</v>
      </c>
      <c r="B674" t="s">
        <v>640</v>
      </c>
      <c r="C674">
        <v>40</v>
      </c>
      <c r="D674" t="s">
        <v>260</v>
      </c>
      <c r="E674" t="s">
        <v>23</v>
      </c>
      <c r="F674" t="s">
        <v>65</v>
      </c>
      <c r="G674">
        <v>0.33</v>
      </c>
      <c r="H674" t="s">
        <v>52</v>
      </c>
      <c r="I674">
        <v>-3</v>
      </c>
      <c r="J674" t="str">
        <f>HYPERLINK("https://www.eliteprospects.com/player/597726/cole-slobodian")</f>
        <v>https://www.eliteprospects.com/player/597726/cole-slobodian</v>
      </c>
      <c r="K674" t="s">
        <v>27</v>
      </c>
      <c r="L674" t="s">
        <v>631</v>
      </c>
      <c r="M674" t="s">
        <v>1296</v>
      </c>
      <c r="N674">
        <v>3</v>
      </c>
      <c r="O674" t="s">
        <v>639</v>
      </c>
      <c r="P674">
        <v>0.05</v>
      </c>
      <c r="Q674" t="s">
        <v>1300</v>
      </c>
      <c r="R674">
        <v>37.5</v>
      </c>
      <c r="S674">
        <v>37.5</v>
      </c>
      <c r="T674">
        <v>0</v>
      </c>
      <c r="U674">
        <v>12.5</v>
      </c>
      <c r="V674">
        <v>12.5</v>
      </c>
    </row>
    <row r="675" spans="1:22" x14ac:dyDescent="0.25">
      <c r="A675" t="s">
        <v>1981</v>
      </c>
      <c r="B675" t="s">
        <v>644</v>
      </c>
      <c r="C675">
        <v>34</v>
      </c>
      <c r="D675" t="s">
        <v>96</v>
      </c>
      <c r="E675" t="s">
        <v>78</v>
      </c>
      <c r="F675" t="s">
        <v>23</v>
      </c>
      <c r="G675">
        <v>0.35</v>
      </c>
      <c r="H675" t="s">
        <v>46</v>
      </c>
      <c r="I675">
        <v>-7</v>
      </c>
      <c r="J675" t="str">
        <f>HYPERLINK("https://www.eliteprospects.com/player/617229/corbin-vaughan")</f>
        <v>https://www.eliteprospects.com/player/617229/corbin-vaughan</v>
      </c>
      <c r="K675" t="s">
        <v>27</v>
      </c>
      <c r="L675" t="s">
        <v>631</v>
      </c>
      <c r="M675" t="s">
        <v>1296</v>
      </c>
      <c r="N675">
        <v>5</v>
      </c>
      <c r="O675" t="s">
        <v>645</v>
      </c>
      <c r="P675">
        <v>0.05</v>
      </c>
      <c r="Q675" t="s">
        <v>1309</v>
      </c>
      <c r="R675">
        <v>0</v>
      </c>
      <c r="S675">
        <v>20</v>
      </c>
      <c r="T675">
        <v>40</v>
      </c>
      <c r="U675">
        <v>0</v>
      </c>
      <c r="V675">
        <v>40</v>
      </c>
    </row>
    <row r="676" spans="1:22" x14ac:dyDescent="0.25">
      <c r="A676" t="s">
        <v>1982</v>
      </c>
      <c r="B676" t="s">
        <v>646</v>
      </c>
      <c r="C676">
        <v>25</v>
      </c>
      <c r="D676" t="s">
        <v>140</v>
      </c>
      <c r="E676" t="s">
        <v>45</v>
      </c>
      <c r="F676" t="s">
        <v>23</v>
      </c>
      <c r="G676">
        <v>0.48</v>
      </c>
      <c r="H676" t="s">
        <v>38</v>
      </c>
      <c r="I676">
        <v>-10</v>
      </c>
      <c r="J676" t="str">
        <f>HYPERLINK("https://www.eliteprospects.com/player/966880/calder-hamilton")</f>
        <v>https://www.eliteprospects.com/player/966880/calder-hamilton</v>
      </c>
      <c r="K676" t="s">
        <v>27</v>
      </c>
      <c r="L676" t="s">
        <v>631</v>
      </c>
      <c r="M676" t="s">
        <v>1296</v>
      </c>
      <c r="N676">
        <v>1</v>
      </c>
      <c r="O676" t="s">
        <v>634</v>
      </c>
      <c r="P676">
        <v>7.0000000000000007E-2</v>
      </c>
      <c r="Q676" t="s">
        <v>245</v>
      </c>
      <c r="R676">
        <v>0</v>
      </c>
      <c r="S676">
        <v>44.4</v>
      </c>
      <c r="T676">
        <v>33.299999999999997</v>
      </c>
      <c r="U676">
        <v>0</v>
      </c>
      <c r="V676">
        <v>22.2</v>
      </c>
    </row>
    <row r="677" spans="1:22" x14ac:dyDescent="0.25">
      <c r="A677" t="s">
        <v>1983</v>
      </c>
      <c r="B677" t="s">
        <v>686</v>
      </c>
      <c r="C677">
        <v>37</v>
      </c>
      <c r="D677" t="s">
        <v>140</v>
      </c>
      <c r="E677" t="s">
        <v>45</v>
      </c>
      <c r="F677" t="s">
        <v>23</v>
      </c>
      <c r="G677">
        <v>0.32</v>
      </c>
      <c r="H677" t="s">
        <v>38</v>
      </c>
      <c r="I677">
        <v>-2</v>
      </c>
      <c r="J677" t="str">
        <f>HYPERLINK("https://www.eliteprospects.com/player/878987/nate-yellowaga")</f>
        <v>https://www.eliteprospects.com/player/878987/nate-yellowaga</v>
      </c>
      <c r="K677" t="s">
        <v>27</v>
      </c>
      <c r="L677" t="s">
        <v>631</v>
      </c>
      <c r="M677" t="s">
        <v>1296</v>
      </c>
      <c r="N677">
        <v>1</v>
      </c>
      <c r="O677" t="s">
        <v>634</v>
      </c>
      <c r="P677">
        <v>0.05</v>
      </c>
      <c r="Q677" t="s">
        <v>1300</v>
      </c>
      <c r="R677">
        <v>37.5</v>
      </c>
      <c r="S677">
        <v>37.5</v>
      </c>
      <c r="T677">
        <v>0</v>
      </c>
      <c r="U677">
        <v>12.5</v>
      </c>
      <c r="V677">
        <v>12.5</v>
      </c>
    </row>
    <row r="678" spans="1:22" x14ac:dyDescent="0.25">
      <c r="A678" t="s">
        <v>1984</v>
      </c>
      <c r="B678" t="s">
        <v>640</v>
      </c>
      <c r="C678">
        <v>26</v>
      </c>
      <c r="D678" t="s">
        <v>79</v>
      </c>
      <c r="E678" t="s">
        <v>32</v>
      </c>
      <c r="F678" t="s">
        <v>23</v>
      </c>
      <c r="G678">
        <v>0.46</v>
      </c>
      <c r="H678" t="s">
        <v>52</v>
      </c>
      <c r="I678">
        <v>0</v>
      </c>
      <c r="J678" t="str">
        <f>HYPERLINK("https://www.eliteprospects.com/player/690440/max-psenicka")</f>
        <v>https://www.eliteprospects.com/player/690440/max-psenicka</v>
      </c>
      <c r="K678" t="s">
        <v>27</v>
      </c>
      <c r="L678" t="s">
        <v>631</v>
      </c>
      <c r="M678" t="s">
        <v>1296</v>
      </c>
      <c r="N678">
        <v>2</v>
      </c>
      <c r="O678" t="s">
        <v>636</v>
      </c>
      <c r="P678">
        <v>0.06</v>
      </c>
      <c r="Q678" t="s">
        <v>1300</v>
      </c>
      <c r="R678">
        <v>37.5</v>
      </c>
      <c r="S678">
        <v>37.5</v>
      </c>
      <c r="T678">
        <v>0</v>
      </c>
      <c r="U678">
        <v>12.5</v>
      </c>
      <c r="V678">
        <v>12.5</v>
      </c>
    </row>
    <row r="679" spans="1:22" x14ac:dyDescent="0.25">
      <c r="A679" t="s">
        <v>1985</v>
      </c>
      <c r="B679" t="s">
        <v>662</v>
      </c>
      <c r="C679">
        <v>33</v>
      </c>
      <c r="D679" t="s">
        <v>79</v>
      </c>
      <c r="E679" t="s">
        <v>32</v>
      </c>
      <c r="F679" t="s">
        <v>23</v>
      </c>
      <c r="G679">
        <v>0.36</v>
      </c>
      <c r="H679" t="s">
        <v>638</v>
      </c>
      <c r="I679">
        <v>15</v>
      </c>
      <c r="J679" t="str">
        <f>HYPERLINK("https://www.eliteprospects.com/player/661822/ashton-cumby")</f>
        <v>https://www.eliteprospects.com/player/661822/ashton-cumby</v>
      </c>
      <c r="K679" t="s">
        <v>27</v>
      </c>
      <c r="L679" t="s">
        <v>631</v>
      </c>
      <c r="M679" t="s">
        <v>1296</v>
      </c>
      <c r="N679">
        <v>5</v>
      </c>
      <c r="O679" t="s">
        <v>645</v>
      </c>
      <c r="P679">
        <v>0.05</v>
      </c>
      <c r="Q679" t="s">
        <v>1309</v>
      </c>
      <c r="R679">
        <v>14.3</v>
      </c>
      <c r="S679">
        <v>28.6</v>
      </c>
      <c r="T679">
        <v>28.6</v>
      </c>
      <c r="U679">
        <v>0</v>
      </c>
      <c r="V679">
        <v>28.6</v>
      </c>
    </row>
    <row r="680" spans="1:22" x14ac:dyDescent="0.25">
      <c r="A680" t="s">
        <v>1986</v>
      </c>
      <c r="B680" t="s">
        <v>647</v>
      </c>
      <c r="C680">
        <v>34</v>
      </c>
      <c r="D680" t="s">
        <v>260</v>
      </c>
      <c r="E680" t="s">
        <v>69</v>
      </c>
      <c r="F680" t="s">
        <v>23</v>
      </c>
      <c r="G680">
        <v>0.35</v>
      </c>
      <c r="H680" t="s">
        <v>235</v>
      </c>
      <c r="I680">
        <v>12</v>
      </c>
      <c r="J680" t="str">
        <f>HYPERLINK("https://www.eliteprospects.com/player/883618/nigel-boehm")</f>
        <v>https://www.eliteprospects.com/player/883618/nigel-boehm</v>
      </c>
      <c r="K680" t="s">
        <v>27</v>
      </c>
      <c r="L680" t="s">
        <v>631</v>
      </c>
      <c r="M680" t="s">
        <v>1296</v>
      </c>
      <c r="N680">
        <v>2</v>
      </c>
      <c r="O680" t="s">
        <v>636</v>
      </c>
      <c r="P680">
        <v>0.05</v>
      </c>
      <c r="Q680" t="s">
        <v>1325</v>
      </c>
      <c r="R680">
        <v>18.2</v>
      </c>
      <c r="S680">
        <v>9.1</v>
      </c>
      <c r="T680">
        <v>63.6</v>
      </c>
      <c r="U680">
        <v>0</v>
      </c>
      <c r="V680">
        <v>9.1</v>
      </c>
    </row>
    <row r="681" spans="1:22" x14ac:dyDescent="0.25">
      <c r="A681" t="s">
        <v>1987</v>
      </c>
      <c r="B681" t="s">
        <v>647</v>
      </c>
      <c r="C681">
        <v>34</v>
      </c>
      <c r="D681" t="s">
        <v>66</v>
      </c>
      <c r="E681" t="s">
        <v>78</v>
      </c>
      <c r="F681" t="s">
        <v>69</v>
      </c>
      <c r="G681">
        <v>0.32</v>
      </c>
      <c r="H681" t="s">
        <v>23</v>
      </c>
      <c r="I681">
        <v>3</v>
      </c>
      <c r="J681" t="str">
        <f>HYPERLINK("https://www.eliteprospects.com/player/725709/dylan-ronald")</f>
        <v>https://www.eliteprospects.com/player/725709/dylan-ronald</v>
      </c>
      <c r="K681" t="s">
        <v>27</v>
      </c>
      <c r="L681" t="s">
        <v>631</v>
      </c>
      <c r="M681" t="s">
        <v>1296</v>
      </c>
      <c r="N681">
        <v>2</v>
      </c>
      <c r="O681" t="s">
        <v>636</v>
      </c>
      <c r="P681">
        <v>0.05</v>
      </c>
      <c r="Q681" t="s">
        <v>1300</v>
      </c>
      <c r="R681">
        <v>57.1</v>
      </c>
      <c r="S681">
        <v>28.6</v>
      </c>
      <c r="T681">
        <v>0</v>
      </c>
      <c r="U681">
        <v>14.3</v>
      </c>
      <c r="V681">
        <v>0</v>
      </c>
    </row>
    <row r="682" spans="1:22" x14ac:dyDescent="0.25">
      <c r="A682" t="s">
        <v>1988</v>
      </c>
      <c r="B682" t="s">
        <v>657</v>
      </c>
      <c r="C682">
        <v>29</v>
      </c>
      <c r="D682" t="s">
        <v>79</v>
      </c>
      <c r="E682" t="s">
        <v>45</v>
      </c>
      <c r="F682" t="s">
        <v>69</v>
      </c>
      <c r="G682">
        <v>0.38</v>
      </c>
      <c r="H682" t="s">
        <v>66</v>
      </c>
      <c r="I682">
        <v>-2</v>
      </c>
      <c r="J682" t="str">
        <f>HYPERLINK("https://www.eliteprospects.com/player/710805/landon-young")</f>
        <v>https://www.eliteprospects.com/player/710805/landon-young</v>
      </c>
      <c r="K682" t="s">
        <v>27</v>
      </c>
      <c r="L682" t="s">
        <v>631</v>
      </c>
      <c r="M682" t="s">
        <v>1296</v>
      </c>
      <c r="N682">
        <v>4</v>
      </c>
      <c r="O682" t="s">
        <v>632</v>
      </c>
      <c r="P682">
        <v>0.05</v>
      </c>
      <c r="Q682" t="s">
        <v>1300</v>
      </c>
      <c r="R682">
        <v>37.5</v>
      </c>
      <c r="S682">
        <v>37.5</v>
      </c>
      <c r="T682">
        <v>0</v>
      </c>
      <c r="U682">
        <v>12.5</v>
      </c>
      <c r="V682">
        <v>12.5</v>
      </c>
    </row>
    <row r="683" spans="1:22" x14ac:dyDescent="0.25">
      <c r="A683" t="s">
        <v>1989</v>
      </c>
      <c r="B683" t="s">
        <v>694</v>
      </c>
      <c r="C683">
        <v>33</v>
      </c>
      <c r="D683" t="s">
        <v>79</v>
      </c>
      <c r="E683" t="s">
        <v>45</v>
      </c>
      <c r="F683" t="s">
        <v>69</v>
      </c>
      <c r="G683">
        <v>0.33</v>
      </c>
      <c r="H683" t="s">
        <v>564</v>
      </c>
      <c r="I683">
        <v>-13</v>
      </c>
      <c r="J683" t="str">
        <f>HYPERLINK("https://www.eliteprospects.com/player/643473/matteo-fabrizi")</f>
        <v>https://www.eliteprospects.com/player/643473/matteo-fabrizi</v>
      </c>
      <c r="K683" t="s">
        <v>27</v>
      </c>
      <c r="L683" t="s">
        <v>631</v>
      </c>
      <c r="M683" t="s">
        <v>1296</v>
      </c>
      <c r="N683">
        <v>5</v>
      </c>
      <c r="O683" t="s">
        <v>645</v>
      </c>
      <c r="P683">
        <v>0.05</v>
      </c>
      <c r="Q683" t="s">
        <v>1309</v>
      </c>
      <c r="R683">
        <v>0</v>
      </c>
      <c r="S683">
        <v>20</v>
      </c>
      <c r="T683">
        <v>40</v>
      </c>
      <c r="U683">
        <v>0</v>
      </c>
      <c r="V683">
        <v>40</v>
      </c>
    </row>
    <row r="684" spans="1:22" x14ac:dyDescent="0.25">
      <c r="A684" t="s">
        <v>1990</v>
      </c>
      <c r="B684" t="s">
        <v>660</v>
      </c>
      <c r="C684">
        <v>39</v>
      </c>
      <c r="D684" t="s">
        <v>79</v>
      </c>
      <c r="E684" t="s">
        <v>45</v>
      </c>
      <c r="F684" t="s">
        <v>69</v>
      </c>
      <c r="G684">
        <v>0.28000000000000003</v>
      </c>
      <c r="H684" t="s">
        <v>1991</v>
      </c>
      <c r="I684">
        <v>-21</v>
      </c>
      <c r="J684" t="str">
        <f>HYPERLINK("https://www.eliteprospects.com/player/661701/brady-ness")</f>
        <v>https://www.eliteprospects.com/player/661701/brady-ness</v>
      </c>
      <c r="K684" t="s">
        <v>27</v>
      </c>
      <c r="L684" t="s">
        <v>631</v>
      </c>
      <c r="M684" t="s">
        <v>1296</v>
      </c>
      <c r="N684">
        <v>5</v>
      </c>
      <c r="O684" t="s">
        <v>645</v>
      </c>
      <c r="P684">
        <v>0.04</v>
      </c>
      <c r="Q684" t="s">
        <v>1488</v>
      </c>
      <c r="R684">
        <v>0</v>
      </c>
      <c r="S684">
        <v>0</v>
      </c>
      <c r="T684">
        <v>0</v>
      </c>
      <c r="U684">
        <v>0</v>
      </c>
      <c r="V684">
        <v>0</v>
      </c>
    </row>
    <row r="685" spans="1:22" x14ac:dyDescent="0.25">
      <c r="A685" t="s">
        <v>1992</v>
      </c>
      <c r="B685" t="s">
        <v>671</v>
      </c>
      <c r="C685">
        <v>30</v>
      </c>
      <c r="D685" t="s">
        <v>132</v>
      </c>
      <c r="E685" t="s">
        <v>69</v>
      </c>
      <c r="F685" t="s">
        <v>69</v>
      </c>
      <c r="G685">
        <v>0.37</v>
      </c>
      <c r="H685" t="s">
        <v>513</v>
      </c>
      <c r="I685">
        <v>-9</v>
      </c>
      <c r="J685" t="str">
        <f>HYPERLINK("https://www.eliteprospects.com/player/577091/owen-schoettler")</f>
        <v>https://www.eliteprospects.com/player/577091/owen-schoettler</v>
      </c>
      <c r="K685" t="s">
        <v>27</v>
      </c>
      <c r="L685" t="s">
        <v>631</v>
      </c>
      <c r="M685" t="s">
        <v>1296</v>
      </c>
      <c r="N685">
        <v>4</v>
      </c>
      <c r="O685" t="s">
        <v>632</v>
      </c>
      <c r="P685">
        <v>0.05</v>
      </c>
      <c r="Q685" t="s">
        <v>1309</v>
      </c>
      <c r="R685">
        <v>0</v>
      </c>
      <c r="S685">
        <v>20</v>
      </c>
      <c r="T685">
        <v>40</v>
      </c>
      <c r="U685">
        <v>0</v>
      </c>
      <c r="V685">
        <v>40</v>
      </c>
    </row>
    <row r="686" spans="1:22" x14ac:dyDescent="0.25">
      <c r="A686" t="s">
        <v>1993</v>
      </c>
      <c r="B686" t="s">
        <v>507</v>
      </c>
      <c r="C686">
        <v>31</v>
      </c>
      <c r="D686" t="s">
        <v>66</v>
      </c>
      <c r="E686" t="s">
        <v>57</v>
      </c>
      <c r="F686" t="s">
        <v>32</v>
      </c>
      <c r="G686">
        <v>0.32</v>
      </c>
      <c r="H686" t="s">
        <v>38</v>
      </c>
      <c r="I686">
        <v>-7</v>
      </c>
      <c r="J686" t="str">
        <f>HYPERLINK("https://www.eliteprospects.com/player/647040/rylan-pearce")</f>
        <v>https://www.eliteprospects.com/player/647040/rylan-pearce</v>
      </c>
      <c r="K686" t="s">
        <v>27</v>
      </c>
      <c r="L686" t="s">
        <v>631</v>
      </c>
      <c r="M686" t="s">
        <v>1296</v>
      </c>
      <c r="N686">
        <v>4</v>
      </c>
      <c r="O686" t="s">
        <v>632</v>
      </c>
      <c r="P686">
        <v>0.05</v>
      </c>
      <c r="Q686" t="s">
        <v>1309</v>
      </c>
      <c r="R686">
        <v>0</v>
      </c>
      <c r="S686">
        <v>20</v>
      </c>
      <c r="T686">
        <v>40</v>
      </c>
      <c r="U686">
        <v>0</v>
      </c>
      <c r="V686">
        <v>40</v>
      </c>
    </row>
    <row r="687" spans="1:22" x14ac:dyDescent="0.25">
      <c r="A687" t="s">
        <v>1994</v>
      </c>
      <c r="B687" t="s">
        <v>635</v>
      </c>
      <c r="C687">
        <v>38</v>
      </c>
      <c r="D687" t="s">
        <v>66</v>
      </c>
      <c r="E687" t="s">
        <v>57</v>
      </c>
      <c r="F687" t="s">
        <v>32</v>
      </c>
      <c r="G687">
        <v>0.26</v>
      </c>
      <c r="H687" t="s">
        <v>23</v>
      </c>
      <c r="I687">
        <v>18</v>
      </c>
      <c r="J687" t="str">
        <f>HYPERLINK("https://www.eliteprospects.com/player/628106/josh-lee")</f>
        <v>https://www.eliteprospects.com/player/628106/josh-lee</v>
      </c>
      <c r="K687" t="s">
        <v>27</v>
      </c>
      <c r="L687" t="s">
        <v>631</v>
      </c>
      <c r="M687" t="s">
        <v>1296</v>
      </c>
      <c r="N687">
        <v>2</v>
      </c>
      <c r="O687" t="s">
        <v>636</v>
      </c>
      <c r="P687">
        <v>0.04</v>
      </c>
      <c r="Q687" t="s">
        <v>1488</v>
      </c>
      <c r="R687">
        <v>0</v>
      </c>
      <c r="S687">
        <v>0</v>
      </c>
      <c r="T687">
        <v>0</v>
      </c>
      <c r="U687">
        <v>0</v>
      </c>
      <c r="V687">
        <v>0</v>
      </c>
    </row>
    <row r="688" spans="1:22" x14ac:dyDescent="0.25">
      <c r="A688" t="s">
        <v>1995</v>
      </c>
      <c r="B688" t="s">
        <v>694</v>
      </c>
      <c r="C688">
        <v>39</v>
      </c>
      <c r="D688" t="s">
        <v>66</v>
      </c>
      <c r="E688" t="s">
        <v>57</v>
      </c>
      <c r="F688" t="s">
        <v>32</v>
      </c>
      <c r="G688">
        <v>0.26</v>
      </c>
      <c r="H688" t="s">
        <v>512</v>
      </c>
      <c r="I688">
        <v>-19</v>
      </c>
      <c r="J688" t="str">
        <f>HYPERLINK("https://www.eliteprospects.com/player/577060/carsen-adair")</f>
        <v>https://www.eliteprospects.com/player/577060/carsen-adair</v>
      </c>
      <c r="K688" t="s">
        <v>27</v>
      </c>
      <c r="L688" t="s">
        <v>631</v>
      </c>
      <c r="M688" t="s">
        <v>1296</v>
      </c>
      <c r="N688">
        <v>3</v>
      </c>
      <c r="O688" t="s">
        <v>639</v>
      </c>
      <c r="P688">
        <v>0.04</v>
      </c>
      <c r="Q688" t="s">
        <v>1488</v>
      </c>
      <c r="R688">
        <v>0</v>
      </c>
      <c r="S688">
        <v>0</v>
      </c>
      <c r="T688">
        <v>0</v>
      </c>
      <c r="U688">
        <v>0</v>
      </c>
      <c r="V688">
        <v>0</v>
      </c>
    </row>
    <row r="689" spans="1:22" x14ac:dyDescent="0.25">
      <c r="A689" t="s">
        <v>1996</v>
      </c>
      <c r="B689" t="s">
        <v>507</v>
      </c>
      <c r="C689">
        <v>42</v>
      </c>
      <c r="D689" t="s">
        <v>66</v>
      </c>
      <c r="E689" t="s">
        <v>57</v>
      </c>
      <c r="F689" t="s">
        <v>32</v>
      </c>
      <c r="G689">
        <v>0.24</v>
      </c>
      <c r="H689" t="s">
        <v>178</v>
      </c>
      <c r="I689">
        <v>-6</v>
      </c>
      <c r="J689" t="str">
        <f>HYPERLINK("https://www.eliteprospects.com/player/710606/marek-howell")</f>
        <v>https://www.eliteprospects.com/player/710606/marek-howell</v>
      </c>
      <c r="K689" t="s">
        <v>27</v>
      </c>
      <c r="L689" t="s">
        <v>631</v>
      </c>
      <c r="M689" t="s">
        <v>1296</v>
      </c>
      <c r="N689">
        <v>5</v>
      </c>
      <c r="O689" t="s">
        <v>645</v>
      </c>
      <c r="P689">
        <v>0.03</v>
      </c>
      <c r="Q689" t="s">
        <v>1488</v>
      </c>
      <c r="R689">
        <v>0</v>
      </c>
      <c r="S689">
        <v>0</v>
      </c>
      <c r="T689">
        <v>0</v>
      </c>
      <c r="U689">
        <v>0</v>
      </c>
      <c r="V689">
        <v>0</v>
      </c>
    </row>
    <row r="690" spans="1:22" x14ac:dyDescent="0.25">
      <c r="A690" t="s">
        <v>1997</v>
      </c>
      <c r="B690" t="s">
        <v>659</v>
      </c>
      <c r="C690">
        <v>39</v>
      </c>
      <c r="D690" t="s">
        <v>140</v>
      </c>
      <c r="E690" t="s">
        <v>78</v>
      </c>
      <c r="F690" t="s">
        <v>32</v>
      </c>
      <c r="G690">
        <v>0.26</v>
      </c>
      <c r="H690" t="s">
        <v>529</v>
      </c>
      <c r="I690">
        <v>-7</v>
      </c>
      <c r="J690" t="str">
        <f>HYPERLINK("https://www.eliteprospects.com/player/577076/jaxen-adam")</f>
        <v>https://www.eliteprospects.com/player/577076/jaxen-adam</v>
      </c>
      <c r="K690" t="s">
        <v>27</v>
      </c>
      <c r="L690" t="s">
        <v>631</v>
      </c>
      <c r="M690" t="s">
        <v>1296</v>
      </c>
      <c r="N690">
        <v>3</v>
      </c>
      <c r="O690" t="s">
        <v>639</v>
      </c>
      <c r="P690">
        <v>0.04</v>
      </c>
      <c r="Q690" t="s">
        <v>1488</v>
      </c>
      <c r="R690">
        <v>0</v>
      </c>
      <c r="S690">
        <v>0</v>
      </c>
      <c r="T690">
        <v>0</v>
      </c>
      <c r="U690">
        <v>0</v>
      </c>
      <c r="V690">
        <v>0</v>
      </c>
    </row>
    <row r="691" spans="1:22" x14ac:dyDescent="0.25">
      <c r="A691" t="s">
        <v>1998</v>
      </c>
      <c r="B691" t="s">
        <v>657</v>
      </c>
      <c r="C691">
        <v>36</v>
      </c>
      <c r="D691" t="s">
        <v>79</v>
      </c>
      <c r="E691" t="s">
        <v>26</v>
      </c>
      <c r="F691" t="s">
        <v>32</v>
      </c>
      <c r="G691">
        <v>0.28000000000000003</v>
      </c>
      <c r="H691" t="s">
        <v>39</v>
      </c>
      <c r="I691">
        <v>2</v>
      </c>
      <c r="J691" t="str">
        <f>HYPERLINK("https://www.eliteprospects.com/player/862394/odin-vauhkonen")</f>
        <v>https://www.eliteprospects.com/player/862394/odin-vauhkonen</v>
      </c>
      <c r="K691" t="s">
        <v>27</v>
      </c>
      <c r="L691" t="s">
        <v>631</v>
      </c>
      <c r="M691" t="s">
        <v>1296</v>
      </c>
      <c r="N691">
        <v>1</v>
      </c>
      <c r="O691" t="s">
        <v>634</v>
      </c>
      <c r="P691">
        <v>0.04</v>
      </c>
      <c r="Q691" t="s">
        <v>1488</v>
      </c>
      <c r="R691">
        <v>0</v>
      </c>
      <c r="S691">
        <v>0</v>
      </c>
      <c r="T691">
        <v>0</v>
      </c>
      <c r="U691">
        <v>0</v>
      </c>
      <c r="V691">
        <v>0</v>
      </c>
    </row>
    <row r="692" spans="1:22" x14ac:dyDescent="0.25">
      <c r="A692" t="s">
        <v>1999</v>
      </c>
      <c r="B692" t="s">
        <v>702</v>
      </c>
      <c r="C692">
        <v>37</v>
      </c>
      <c r="D692" t="s">
        <v>79</v>
      </c>
      <c r="E692" t="s">
        <v>26</v>
      </c>
      <c r="F692" t="s">
        <v>32</v>
      </c>
      <c r="G692">
        <v>0.27</v>
      </c>
      <c r="H692" t="s">
        <v>544</v>
      </c>
      <c r="I692">
        <v>-3</v>
      </c>
      <c r="J692" t="str">
        <f>HYPERLINK("https://www.eliteprospects.com/player/758760/ethan-mittelsteadt")</f>
        <v>https://www.eliteprospects.com/player/758760/ethan-mittelsteadt</v>
      </c>
      <c r="K692" t="s">
        <v>27</v>
      </c>
      <c r="L692" t="s">
        <v>631</v>
      </c>
      <c r="M692" t="s">
        <v>1296</v>
      </c>
      <c r="N692">
        <v>5</v>
      </c>
      <c r="O692" t="s">
        <v>645</v>
      </c>
      <c r="P692">
        <v>0.04</v>
      </c>
      <c r="Q692" t="s">
        <v>1488</v>
      </c>
      <c r="R692">
        <v>0</v>
      </c>
      <c r="S692">
        <v>0</v>
      </c>
      <c r="T692">
        <v>0</v>
      </c>
      <c r="U692">
        <v>0</v>
      </c>
      <c r="V692">
        <v>0</v>
      </c>
    </row>
    <row r="693" spans="1:22" x14ac:dyDescent="0.25">
      <c r="A693" t="s">
        <v>2000</v>
      </c>
      <c r="B693" t="s">
        <v>507</v>
      </c>
      <c r="C693">
        <v>39</v>
      </c>
      <c r="D693" t="s">
        <v>79</v>
      </c>
      <c r="E693" t="s">
        <v>26</v>
      </c>
      <c r="F693" t="s">
        <v>32</v>
      </c>
      <c r="G693">
        <v>0.26</v>
      </c>
      <c r="H693" t="s">
        <v>512</v>
      </c>
      <c r="I693">
        <v>0</v>
      </c>
      <c r="J693" t="str">
        <f>HYPERLINK("https://www.eliteprospects.com/player/719326/carson-olsen")</f>
        <v>https://www.eliteprospects.com/player/719326/carson-olsen</v>
      </c>
      <c r="K693" t="s">
        <v>27</v>
      </c>
      <c r="L693" t="s">
        <v>631</v>
      </c>
      <c r="M693" t="s">
        <v>1296</v>
      </c>
      <c r="N693">
        <v>1</v>
      </c>
      <c r="O693" t="s">
        <v>634</v>
      </c>
      <c r="P693">
        <v>0.04</v>
      </c>
      <c r="Q693" t="s">
        <v>1488</v>
      </c>
      <c r="R693">
        <v>0</v>
      </c>
      <c r="S693">
        <v>0</v>
      </c>
      <c r="T693">
        <v>0</v>
      </c>
      <c r="U693">
        <v>0</v>
      </c>
      <c r="V693">
        <v>0</v>
      </c>
    </row>
    <row r="694" spans="1:22" x14ac:dyDescent="0.25">
      <c r="A694" t="s">
        <v>2001</v>
      </c>
      <c r="B694" t="s">
        <v>684</v>
      </c>
      <c r="C694">
        <v>38</v>
      </c>
      <c r="D694" t="s">
        <v>260</v>
      </c>
      <c r="E694" t="s">
        <v>45</v>
      </c>
      <c r="F694" t="s">
        <v>32</v>
      </c>
      <c r="G694">
        <v>0.26</v>
      </c>
      <c r="H694" t="s">
        <v>638</v>
      </c>
      <c r="I694">
        <v>-23</v>
      </c>
      <c r="J694" t="str">
        <f>HYPERLINK("https://www.eliteprospects.com/player/878405/brandon-osborne")</f>
        <v>https://www.eliteprospects.com/player/878405/brandon-osborne</v>
      </c>
      <c r="K694" t="s">
        <v>27</v>
      </c>
      <c r="L694" t="s">
        <v>631</v>
      </c>
      <c r="M694" t="s">
        <v>1296</v>
      </c>
      <c r="N694">
        <v>3</v>
      </c>
      <c r="O694" t="s">
        <v>639</v>
      </c>
      <c r="P694">
        <v>0.04</v>
      </c>
      <c r="Q694" t="s">
        <v>1488</v>
      </c>
      <c r="R694">
        <v>0</v>
      </c>
      <c r="S694">
        <v>0</v>
      </c>
      <c r="T694">
        <v>0</v>
      </c>
      <c r="U694">
        <v>0</v>
      </c>
      <c r="V694">
        <v>0</v>
      </c>
    </row>
    <row r="695" spans="1:22" x14ac:dyDescent="0.25">
      <c r="A695" t="s">
        <v>2002</v>
      </c>
      <c r="B695" t="s">
        <v>684</v>
      </c>
      <c r="C695">
        <v>19</v>
      </c>
      <c r="D695" t="s">
        <v>66</v>
      </c>
      <c r="E695" t="s">
        <v>96</v>
      </c>
      <c r="F695" t="s">
        <v>45</v>
      </c>
      <c r="G695">
        <v>0.47</v>
      </c>
      <c r="H695" t="s">
        <v>24</v>
      </c>
      <c r="I695">
        <v>10</v>
      </c>
      <c r="J695" t="str">
        <f>HYPERLINK("https://www.eliteprospects.com/player/597715/josh-fluker")</f>
        <v>https://www.eliteprospects.com/player/597715/josh-fluker</v>
      </c>
      <c r="K695" t="s">
        <v>27</v>
      </c>
      <c r="L695" t="s">
        <v>631</v>
      </c>
      <c r="M695" t="s">
        <v>1296</v>
      </c>
      <c r="N695">
        <v>5</v>
      </c>
      <c r="O695" t="s">
        <v>645</v>
      </c>
      <c r="P695">
        <v>7.0000000000000007E-2</v>
      </c>
      <c r="Q695" t="s">
        <v>1325</v>
      </c>
      <c r="R695">
        <v>44.4</v>
      </c>
      <c r="S695">
        <v>11.1</v>
      </c>
      <c r="T695">
        <v>44.4</v>
      </c>
      <c r="U695">
        <v>0</v>
      </c>
      <c r="V695">
        <v>0</v>
      </c>
    </row>
    <row r="696" spans="1:22" x14ac:dyDescent="0.25">
      <c r="A696" t="s">
        <v>2003</v>
      </c>
      <c r="B696" t="s">
        <v>633</v>
      </c>
      <c r="C696">
        <v>27</v>
      </c>
      <c r="D696" t="s">
        <v>66</v>
      </c>
      <c r="E696" t="s">
        <v>96</v>
      </c>
      <c r="F696" t="s">
        <v>45</v>
      </c>
      <c r="G696">
        <v>0.33</v>
      </c>
      <c r="H696" t="s">
        <v>75</v>
      </c>
      <c r="I696">
        <v>11</v>
      </c>
      <c r="J696" t="str">
        <f>HYPERLINK("https://www.eliteprospects.com/player/603567/rhett-ravndahl")</f>
        <v>https://www.eliteprospects.com/player/603567/rhett-ravndahl</v>
      </c>
      <c r="K696" t="s">
        <v>27</v>
      </c>
      <c r="L696" t="s">
        <v>631</v>
      </c>
      <c r="M696" t="s">
        <v>1296</v>
      </c>
      <c r="N696">
        <v>5</v>
      </c>
      <c r="O696" t="s">
        <v>645</v>
      </c>
      <c r="P696">
        <v>0.05</v>
      </c>
      <c r="Q696" t="s">
        <v>1325</v>
      </c>
      <c r="R696">
        <v>18.2</v>
      </c>
      <c r="S696">
        <v>9.1</v>
      </c>
      <c r="T696">
        <v>63.6</v>
      </c>
      <c r="U696">
        <v>0</v>
      </c>
      <c r="V696">
        <v>9.1</v>
      </c>
    </row>
    <row r="697" spans="1:22" x14ac:dyDescent="0.25">
      <c r="A697" t="s">
        <v>2004</v>
      </c>
      <c r="B697" t="s">
        <v>637</v>
      </c>
      <c r="C697">
        <v>23</v>
      </c>
      <c r="D697" t="s">
        <v>140</v>
      </c>
      <c r="E697" t="s">
        <v>57</v>
      </c>
      <c r="F697" t="s">
        <v>45</v>
      </c>
      <c r="G697">
        <v>0.39</v>
      </c>
      <c r="H697" t="s">
        <v>65</v>
      </c>
      <c r="I697">
        <v>1</v>
      </c>
      <c r="J697" t="str">
        <f>HYPERLINK("https://www.eliteprospects.com/player/642601/josh-van-mulligen")</f>
        <v>https://www.eliteprospects.com/player/642601/josh-van-mulligen</v>
      </c>
      <c r="K697" t="s">
        <v>27</v>
      </c>
      <c r="L697" t="s">
        <v>631</v>
      </c>
      <c r="M697" t="s">
        <v>1296</v>
      </c>
      <c r="N697">
        <v>5</v>
      </c>
      <c r="O697" t="s">
        <v>645</v>
      </c>
      <c r="P697">
        <v>0.05</v>
      </c>
      <c r="Q697" t="s">
        <v>1300</v>
      </c>
      <c r="R697">
        <v>57.1</v>
      </c>
      <c r="S697">
        <v>28.6</v>
      </c>
      <c r="T697">
        <v>0</v>
      </c>
      <c r="U697">
        <v>14.3</v>
      </c>
      <c r="V697">
        <v>0</v>
      </c>
    </row>
    <row r="698" spans="1:22" x14ac:dyDescent="0.25">
      <c r="A698" t="s">
        <v>2005</v>
      </c>
      <c r="B698" t="s">
        <v>507</v>
      </c>
      <c r="C698">
        <v>24</v>
      </c>
      <c r="D698" t="s">
        <v>79</v>
      </c>
      <c r="E698" t="s">
        <v>78</v>
      </c>
      <c r="F698" t="s">
        <v>45</v>
      </c>
      <c r="G698">
        <v>0.38</v>
      </c>
      <c r="H698" t="s">
        <v>32</v>
      </c>
      <c r="I698">
        <v>2</v>
      </c>
      <c r="J698" t="str">
        <f>HYPERLINK("https://www.eliteprospects.com/player/905934/ji%C5%99i-kamas")</f>
        <v>https://www.eliteprospects.com/player/905934/ji%C5%99i-kamas</v>
      </c>
      <c r="K698" t="s">
        <v>27</v>
      </c>
      <c r="L698" t="s">
        <v>631</v>
      </c>
      <c r="M698" t="s">
        <v>1296</v>
      </c>
      <c r="N698">
        <v>1</v>
      </c>
      <c r="O698" t="s">
        <v>634</v>
      </c>
      <c r="P698">
        <v>0.05</v>
      </c>
      <c r="Q698" t="s">
        <v>1300</v>
      </c>
      <c r="R698">
        <v>57.1</v>
      </c>
      <c r="S698">
        <v>28.6</v>
      </c>
      <c r="T698">
        <v>0</v>
      </c>
      <c r="U698">
        <v>14.3</v>
      </c>
      <c r="V698">
        <v>0</v>
      </c>
    </row>
    <row r="699" spans="1:22" x14ac:dyDescent="0.25">
      <c r="A699" t="s">
        <v>2006</v>
      </c>
      <c r="B699" t="s">
        <v>647</v>
      </c>
      <c r="C699">
        <v>34</v>
      </c>
      <c r="D699" t="s">
        <v>79</v>
      </c>
      <c r="E699" t="s">
        <v>78</v>
      </c>
      <c r="F699" t="s">
        <v>45</v>
      </c>
      <c r="G699">
        <v>0.26</v>
      </c>
      <c r="H699" t="s">
        <v>23</v>
      </c>
      <c r="I699">
        <v>9</v>
      </c>
      <c r="J699" t="str">
        <f>HYPERLINK("https://www.eliteprospects.com/player/883541/cameron-allard")</f>
        <v>https://www.eliteprospects.com/player/883541/cameron-allard</v>
      </c>
      <c r="K699" t="s">
        <v>27</v>
      </c>
      <c r="L699" t="s">
        <v>631</v>
      </c>
      <c r="M699" t="s">
        <v>1296</v>
      </c>
      <c r="N699">
        <v>2</v>
      </c>
      <c r="O699" t="s">
        <v>636</v>
      </c>
      <c r="P699">
        <v>0.04</v>
      </c>
      <c r="Q699" t="s">
        <v>1488</v>
      </c>
      <c r="R699">
        <v>0</v>
      </c>
      <c r="S699">
        <v>0</v>
      </c>
      <c r="T699">
        <v>0</v>
      </c>
      <c r="U699">
        <v>0</v>
      </c>
      <c r="V699">
        <v>0</v>
      </c>
    </row>
    <row r="700" spans="1:22" x14ac:dyDescent="0.25">
      <c r="A700" t="s">
        <v>2007</v>
      </c>
      <c r="B700" t="s">
        <v>686</v>
      </c>
      <c r="C700">
        <v>32</v>
      </c>
      <c r="D700" t="s">
        <v>140</v>
      </c>
      <c r="E700" t="s">
        <v>96</v>
      </c>
      <c r="F700" t="s">
        <v>26</v>
      </c>
      <c r="G700">
        <v>0.25</v>
      </c>
      <c r="H700" t="s">
        <v>26</v>
      </c>
      <c r="I700">
        <v>2</v>
      </c>
      <c r="J700" t="str">
        <f>HYPERLINK("https://www.eliteprospects.com/player/806018/matus-lisy")</f>
        <v>https://www.eliteprospects.com/player/806018/matus-lisy</v>
      </c>
      <c r="K700" t="s">
        <v>27</v>
      </c>
      <c r="L700" t="s">
        <v>631</v>
      </c>
      <c r="M700" t="s">
        <v>1296</v>
      </c>
      <c r="N700">
        <v>1</v>
      </c>
      <c r="O700" t="s">
        <v>634</v>
      </c>
      <c r="P700">
        <v>0.04</v>
      </c>
      <c r="Q700" t="s">
        <v>1488</v>
      </c>
      <c r="R700">
        <v>0</v>
      </c>
      <c r="S700">
        <v>0</v>
      </c>
      <c r="T700">
        <v>0</v>
      </c>
      <c r="U700">
        <v>0</v>
      </c>
      <c r="V700">
        <v>0</v>
      </c>
    </row>
    <row r="701" spans="1:22" x14ac:dyDescent="0.25">
      <c r="A701" t="s">
        <v>2008</v>
      </c>
      <c r="B701" t="s">
        <v>646</v>
      </c>
      <c r="C701">
        <v>34</v>
      </c>
      <c r="D701" t="s">
        <v>140</v>
      </c>
      <c r="E701" t="s">
        <v>96</v>
      </c>
      <c r="F701" t="s">
        <v>26</v>
      </c>
      <c r="G701">
        <v>0.24</v>
      </c>
      <c r="H701" t="s">
        <v>61</v>
      </c>
      <c r="I701">
        <v>12</v>
      </c>
      <c r="J701" t="str">
        <f>HYPERLINK("https://www.eliteprospects.com/player/640415/axel-hurtig")</f>
        <v>https://www.eliteprospects.com/player/640415/axel-hurtig</v>
      </c>
      <c r="K701" t="s">
        <v>27</v>
      </c>
      <c r="L701" t="s">
        <v>631</v>
      </c>
      <c r="M701" t="s">
        <v>1296</v>
      </c>
      <c r="N701">
        <v>2</v>
      </c>
      <c r="O701" t="s">
        <v>636</v>
      </c>
      <c r="P701">
        <v>0.03</v>
      </c>
      <c r="Q701" t="s">
        <v>1488</v>
      </c>
      <c r="R701">
        <v>0</v>
      </c>
      <c r="S701">
        <v>0</v>
      </c>
      <c r="T701">
        <v>0</v>
      </c>
      <c r="U701">
        <v>0</v>
      </c>
      <c r="V701">
        <v>0</v>
      </c>
    </row>
    <row r="702" spans="1:22" x14ac:dyDescent="0.25">
      <c r="A702" t="s">
        <v>2009</v>
      </c>
      <c r="B702" t="s">
        <v>507</v>
      </c>
      <c r="C702">
        <v>35</v>
      </c>
      <c r="D702" t="s">
        <v>140</v>
      </c>
      <c r="E702" t="s">
        <v>96</v>
      </c>
      <c r="F702" t="s">
        <v>26</v>
      </c>
      <c r="G702">
        <v>0.23</v>
      </c>
      <c r="H702" t="s">
        <v>47</v>
      </c>
      <c r="I702">
        <v>-1</v>
      </c>
      <c r="J702" t="str">
        <f>HYPERLINK("https://www.eliteprospects.com/player/597812/tyrone-sobry")</f>
        <v>https://www.eliteprospects.com/player/597812/tyrone-sobry</v>
      </c>
      <c r="K702" t="s">
        <v>27</v>
      </c>
      <c r="L702" t="s">
        <v>631</v>
      </c>
      <c r="M702" t="s">
        <v>1296</v>
      </c>
      <c r="N702">
        <v>3</v>
      </c>
      <c r="O702" t="s">
        <v>639</v>
      </c>
      <c r="P702">
        <v>0.03</v>
      </c>
      <c r="Q702" t="s">
        <v>1488</v>
      </c>
      <c r="R702">
        <v>0</v>
      </c>
      <c r="S702">
        <v>0</v>
      </c>
      <c r="T702">
        <v>0</v>
      </c>
      <c r="U702">
        <v>0</v>
      </c>
      <c r="V702">
        <v>0</v>
      </c>
    </row>
    <row r="703" spans="1:22" x14ac:dyDescent="0.25">
      <c r="A703" t="s">
        <v>2010</v>
      </c>
      <c r="B703" t="s">
        <v>507</v>
      </c>
      <c r="C703">
        <v>36</v>
      </c>
      <c r="D703" t="s">
        <v>140</v>
      </c>
      <c r="E703" t="s">
        <v>96</v>
      </c>
      <c r="F703" t="s">
        <v>26</v>
      </c>
      <c r="G703">
        <v>0.22</v>
      </c>
      <c r="H703" t="s">
        <v>1907</v>
      </c>
      <c r="I703">
        <v>5</v>
      </c>
      <c r="J703" t="str">
        <f>HYPERLINK("https://www.eliteprospects.com/player/804750/kaleb-hartmann")</f>
        <v>https://www.eliteprospects.com/player/804750/kaleb-hartmann</v>
      </c>
      <c r="K703" t="s">
        <v>27</v>
      </c>
      <c r="L703" t="s">
        <v>631</v>
      </c>
      <c r="M703" t="s">
        <v>1296</v>
      </c>
      <c r="N703">
        <v>4</v>
      </c>
      <c r="O703" t="s">
        <v>632</v>
      </c>
      <c r="P703">
        <v>0.03</v>
      </c>
      <c r="Q703" t="s">
        <v>1488</v>
      </c>
      <c r="R703">
        <v>0</v>
      </c>
      <c r="S703">
        <v>0</v>
      </c>
      <c r="T703">
        <v>0</v>
      </c>
      <c r="U703">
        <v>0</v>
      </c>
      <c r="V703">
        <v>0</v>
      </c>
    </row>
    <row r="704" spans="1:22" x14ac:dyDescent="0.25">
      <c r="A704" t="s">
        <v>2011</v>
      </c>
      <c r="B704" t="s">
        <v>671</v>
      </c>
      <c r="C704">
        <v>28</v>
      </c>
      <c r="D704" t="s">
        <v>79</v>
      </c>
      <c r="E704" t="s">
        <v>57</v>
      </c>
      <c r="F704" t="s">
        <v>26</v>
      </c>
      <c r="G704">
        <v>0.28999999999999998</v>
      </c>
      <c r="H704" t="s">
        <v>132</v>
      </c>
      <c r="I704">
        <v>6</v>
      </c>
      <c r="J704" t="str">
        <f>HYPERLINK("https://www.eliteprospects.com/player/628057/nolan-saunderson")</f>
        <v>https://www.eliteprospects.com/player/628057/nolan-saunderson</v>
      </c>
      <c r="K704" t="s">
        <v>27</v>
      </c>
      <c r="L704" t="s">
        <v>631</v>
      </c>
      <c r="M704" t="s">
        <v>1296</v>
      </c>
      <c r="N704">
        <v>2</v>
      </c>
      <c r="O704" t="s">
        <v>636</v>
      </c>
      <c r="P704">
        <v>0.04</v>
      </c>
      <c r="Q704" t="s">
        <v>1488</v>
      </c>
      <c r="R704">
        <v>0</v>
      </c>
      <c r="S704">
        <v>0</v>
      </c>
      <c r="T704">
        <v>0</v>
      </c>
      <c r="U704">
        <v>0</v>
      </c>
      <c r="V704">
        <v>0</v>
      </c>
    </row>
    <row r="705" spans="1:22" x14ac:dyDescent="0.25">
      <c r="A705" t="s">
        <v>2012</v>
      </c>
      <c r="B705" t="s">
        <v>653</v>
      </c>
      <c r="C705">
        <v>38</v>
      </c>
      <c r="D705" t="s">
        <v>79</v>
      </c>
      <c r="E705" t="s">
        <v>57</v>
      </c>
      <c r="F705" t="s">
        <v>26</v>
      </c>
      <c r="G705">
        <v>0.21</v>
      </c>
      <c r="H705" t="s">
        <v>57</v>
      </c>
      <c r="I705">
        <v>-2</v>
      </c>
      <c r="J705" t="str">
        <f>HYPERLINK("https://www.eliteprospects.com/player/628111/jacob-henderson")</f>
        <v>https://www.eliteprospects.com/player/628111/jacob-henderson</v>
      </c>
      <c r="K705" t="s">
        <v>27</v>
      </c>
      <c r="L705" t="s">
        <v>631</v>
      </c>
      <c r="M705" t="s">
        <v>1296</v>
      </c>
      <c r="N705">
        <v>2</v>
      </c>
      <c r="O705" t="s">
        <v>636</v>
      </c>
      <c r="P705">
        <v>0.03</v>
      </c>
      <c r="Q705" t="s">
        <v>1488</v>
      </c>
      <c r="R705">
        <v>0</v>
      </c>
      <c r="S705">
        <v>0</v>
      </c>
      <c r="T705">
        <v>0</v>
      </c>
      <c r="U705">
        <v>0</v>
      </c>
      <c r="V705">
        <v>0</v>
      </c>
    </row>
    <row r="706" spans="1:22" x14ac:dyDescent="0.25">
      <c r="A706" t="s">
        <v>2013</v>
      </c>
      <c r="B706" t="s">
        <v>684</v>
      </c>
      <c r="C706">
        <v>27</v>
      </c>
      <c r="D706" t="s">
        <v>260</v>
      </c>
      <c r="E706" t="s">
        <v>78</v>
      </c>
      <c r="F706" t="s">
        <v>26</v>
      </c>
      <c r="G706">
        <v>0.3</v>
      </c>
      <c r="H706" t="s">
        <v>178</v>
      </c>
      <c r="I706">
        <v>4</v>
      </c>
      <c r="J706" t="str">
        <f>HYPERLINK("https://www.eliteprospects.com/player/690458/michal-capos")</f>
        <v>https://www.eliteprospects.com/player/690458/michal-capos</v>
      </c>
      <c r="K706" t="s">
        <v>27</v>
      </c>
      <c r="L706" t="s">
        <v>631</v>
      </c>
      <c r="M706" t="s">
        <v>1296</v>
      </c>
      <c r="N706">
        <v>1</v>
      </c>
      <c r="O706" t="s">
        <v>634</v>
      </c>
      <c r="P706">
        <v>0.04</v>
      </c>
      <c r="Q706" t="s">
        <v>1488</v>
      </c>
      <c r="R706">
        <v>0</v>
      </c>
      <c r="S706">
        <v>0</v>
      </c>
      <c r="T706">
        <v>0</v>
      </c>
      <c r="U706">
        <v>0</v>
      </c>
      <c r="V706">
        <v>0</v>
      </c>
    </row>
    <row r="707" spans="1:22" x14ac:dyDescent="0.25">
      <c r="A707" t="s">
        <v>2014</v>
      </c>
      <c r="B707" t="s">
        <v>662</v>
      </c>
      <c r="C707">
        <v>30</v>
      </c>
      <c r="D707" t="s">
        <v>260</v>
      </c>
      <c r="E707" t="s">
        <v>78</v>
      </c>
      <c r="F707" t="s">
        <v>26</v>
      </c>
      <c r="G707">
        <v>0.27</v>
      </c>
      <c r="H707" t="s">
        <v>26</v>
      </c>
      <c r="I707">
        <v>-2</v>
      </c>
      <c r="J707" t="str">
        <f>HYPERLINK("https://www.eliteprospects.com/player/701393/grayson-tash")</f>
        <v>https://www.eliteprospects.com/player/701393/grayson-tash</v>
      </c>
      <c r="K707" t="s">
        <v>27</v>
      </c>
      <c r="L707" t="s">
        <v>631</v>
      </c>
      <c r="M707" t="s">
        <v>1296</v>
      </c>
      <c r="N707">
        <v>2</v>
      </c>
      <c r="O707" t="s">
        <v>636</v>
      </c>
      <c r="P707">
        <v>0.04</v>
      </c>
      <c r="Q707" t="s">
        <v>1488</v>
      </c>
      <c r="R707">
        <v>0</v>
      </c>
      <c r="S707">
        <v>0</v>
      </c>
      <c r="T707">
        <v>0</v>
      </c>
      <c r="U707">
        <v>0</v>
      </c>
      <c r="V707">
        <v>0</v>
      </c>
    </row>
    <row r="708" spans="1:22" x14ac:dyDescent="0.25">
      <c r="A708" t="s">
        <v>2015</v>
      </c>
      <c r="B708" t="s">
        <v>507</v>
      </c>
      <c r="C708">
        <v>34</v>
      </c>
      <c r="D708" t="s">
        <v>260</v>
      </c>
      <c r="E708" t="s">
        <v>78</v>
      </c>
      <c r="F708" t="s">
        <v>26</v>
      </c>
      <c r="G708">
        <v>0.24</v>
      </c>
      <c r="H708" t="s">
        <v>81</v>
      </c>
      <c r="I708">
        <v>12</v>
      </c>
      <c r="J708" t="str">
        <f>HYPERLINK("https://www.eliteprospects.com/player/917782/jakub-seidl")</f>
        <v>https://www.eliteprospects.com/player/917782/jakub-seidl</v>
      </c>
      <c r="K708" t="s">
        <v>27</v>
      </c>
      <c r="L708" t="s">
        <v>631</v>
      </c>
      <c r="M708" t="s">
        <v>1296</v>
      </c>
      <c r="N708">
        <v>1</v>
      </c>
      <c r="O708" t="s">
        <v>634</v>
      </c>
      <c r="P708">
        <v>0.03</v>
      </c>
      <c r="Q708" t="s">
        <v>1488</v>
      </c>
      <c r="R708">
        <v>0</v>
      </c>
      <c r="S708">
        <v>0</v>
      </c>
      <c r="T708">
        <v>0</v>
      </c>
      <c r="U708">
        <v>0</v>
      </c>
      <c r="V708">
        <v>0</v>
      </c>
    </row>
    <row r="709" spans="1:22" x14ac:dyDescent="0.25">
      <c r="A709" t="s">
        <v>2016</v>
      </c>
      <c r="B709" t="s">
        <v>657</v>
      </c>
      <c r="C709">
        <v>38</v>
      </c>
      <c r="D709" t="s">
        <v>260</v>
      </c>
      <c r="E709" t="s">
        <v>78</v>
      </c>
      <c r="F709" t="s">
        <v>26</v>
      </c>
      <c r="G709">
        <v>0.21</v>
      </c>
      <c r="H709" t="s">
        <v>75</v>
      </c>
      <c r="I709">
        <v>-10</v>
      </c>
      <c r="J709" t="str">
        <f>HYPERLINK("https://www.eliteprospects.com/player/846583/henry-peterson")</f>
        <v>https://www.eliteprospects.com/player/846583/henry-peterson</v>
      </c>
      <c r="K709" t="s">
        <v>27</v>
      </c>
      <c r="L709" t="s">
        <v>631</v>
      </c>
      <c r="M709" t="s">
        <v>1296</v>
      </c>
      <c r="N709">
        <v>1</v>
      </c>
      <c r="O709" t="s">
        <v>634</v>
      </c>
      <c r="P709">
        <v>0.03</v>
      </c>
      <c r="Q709" t="s">
        <v>1488</v>
      </c>
      <c r="R709">
        <v>0</v>
      </c>
      <c r="S709">
        <v>0</v>
      </c>
      <c r="T709">
        <v>0</v>
      </c>
      <c r="U709">
        <v>0</v>
      </c>
      <c r="V709">
        <v>0</v>
      </c>
    </row>
    <row r="710" spans="1:22" x14ac:dyDescent="0.25">
      <c r="A710" t="s">
        <v>2017</v>
      </c>
      <c r="B710" t="s">
        <v>633</v>
      </c>
      <c r="C710">
        <v>40</v>
      </c>
      <c r="D710" t="s">
        <v>260</v>
      </c>
      <c r="E710" t="s">
        <v>78</v>
      </c>
      <c r="F710" t="s">
        <v>26</v>
      </c>
      <c r="G710">
        <v>0.2</v>
      </c>
      <c r="H710" t="s">
        <v>79</v>
      </c>
      <c r="I710">
        <v>-1</v>
      </c>
      <c r="J710" t="str">
        <f>HYPERLINK("https://www.eliteprospects.com/player/883672/dryden-deobald")</f>
        <v>https://www.eliteprospects.com/player/883672/dryden-deobald</v>
      </c>
      <c r="K710" t="s">
        <v>27</v>
      </c>
      <c r="L710" t="s">
        <v>631</v>
      </c>
      <c r="M710" t="s">
        <v>1296</v>
      </c>
      <c r="N710">
        <v>2</v>
      </c>
      <c r="O710" t="s">
        <v>636</v>
      </c>
      <c r="P710">
        <v>0.03</v>
      </c>
      <c r="Q710" t="s">
        <v>1488</v>
      </c>
      <c r="R710">
        <v>0</v>
      </c>
      <c r="S710">
        <v>0</v>
      </c>
      <c r="T710">
        <v>0</v>
      </c>
      <c r="U710">
        <v>0</v>
      </c>
      <c r="V710">
        <v>0</v>
      </c>
    </row>
    <row r="711" spans="1:22" x14ac:dyDescent="0.25">
      <c r="A711" t="s">
        <v>2018</v>
      </c>
      <c r="B711" t="s">
        <v>507</v>
      </c>
      <c r="C711">
        <v>35</v>
      </c>
      <c r="D711" t="s">
        <v>132</v>
      </c>
      <c r="E711" t="s">
        <v>26</v>
      </c>
      <c r="F711" t="s">
        <v>26</v>
      </c>
      <c r="G711">
        <v>0.23</v>
      </c>
      <c r="H711" t="s">
        <v>52</v>
      </c>
      <c r="I711">
        <v>10</v>
      </c>
      <c r="J711" t="str">
        <f>HYPERLINK("https://www.eliteprospects.com/player/801843/luke-vlooswyk")</f>
        <v>https://www.eliteprospects.com/player/801843/luke-vlooswyk</v>
      </c>
      <c r="K711" t="s">
        <v>27</v>
      </c>
      <c r="L711" t="s">
        <v>631</v>
      </c>
      <c r="M711" t="s">
        <v>1296</v>
      </c>
      <c r="N711">
        <v>4</v>
      </c>
      <c r="O711" t="s">
        <v>632</v>
      </c>
      <c r="P711">
        <v>0.03</v>
      </c>
      <c r="Q711" t="s">
        <v>1488</v>
      </c>
      <c r="R711">
        <v>0</v>
      </c>
      <c r="S711">
        <v>0</v>
      </c>
      <c r="T711">
        <v>0</v>
      </c>
      <c r="U711">
        <v>0</v>
      </c>
      <c r="V711">
        <v>0</v>
      </c>
    </row>
    <row r="712" spans="1:22" x14ac:dyDescent="0.25">
      <c r="A712" t="s">
        <v>2019</v>
      </c>
      <c r="B712" t="s">
        <v>660</v>
      </c>
      <c r="C712">
        <v>13</v>
      </c>
      <c r="D712" t="s">
        <v>96</v>
      </c>
      <c r="E712" t="s">
        <v>79</v>
      </c>
      <c r="F712" t="s">
        <v>78</v>
      </c>
      <c r="G712">
        <v>0.54</v>
      </c>
      <c r="H712" t="s">
        <v>66</v>
      </c>
      <c r="I712">
        <v>5</v>
      </c>
      <c r="J712" t="str">
        <f>HYPERLINK("https://www.eliteprospects.com/player/804047/nolan-paquette")</f>
        <v>https://www.eliteprospects.com/player/804047/nolan-paquette</v>
      </c>
      <c r="K712" t="s">
        <v>27</v>
      </c>
      <c r="L712" t="s">
        <v>631</v>
      </c>
      <c r="M712" t="s">
        <v>1296</v>
      </c>
      <c r="N712">
        <v>2</v>
      </c>
      <c r="O712" t="s">
        <v>636</v>
      </c>
      <c r="P712">
        <v>0.08</v>
      </c>
      <c r="Q712" t="s">
        <v>1300</v>
      </c>
      <c r="R712">
        <v>42.9</v>
      </c>
      <c r="S712">
        <v>28.6</v>
      </c>
      <c r="T712">
        <v>28.6</v>
      </c>
      <c r="U712">
        <v>0</v>
      </c>
      <c r="V712">
        <v>0</v>
      </c>
    </row>
    <row r="713" spans="1:22" x14ac:dyDescent="0.25">
      <c r="A713" t="s">
        <v>2020</v>
      </c>
      <c r="B713" t="s">
        <v>507</v>
      </c>
      <c r="C713">
        <v>27</v>
      </c>
      <c r="D713" t="s">
        <v>79</v>
      </c>
      <c r="E713" t="s">
        <v>96</v>
      </c>
      <c r="F713" t="s">
        <v>78</v>
      </c>
      <c r="G713">
        <v>0.26</v>
      </c>
      <c r="H713" t="s">
        <v>26</v>
      </c>
      <c r="I713">
        <v>-4</v>
      </c>
      <c r="J713" t="str">
        <f>HYPERLINK("https://www.eliteprospects.com/player/597842/hyde-davidson")</f>
        <v>https://www.eliteprospects.com/player/597842/hyde-davidson</v>
      </c>
      <c r="K713" t="s">
        <v>27</v>
      </c>
      <c r="L713" t="s">
        <v>631</v>
      </c>
      <c r="M713" t="s">
        <v>1296</v>
      </c>
      <c r="N713">
        <v>5</v>
      </c>
      <c r="O713" t="s">
        <v>645</v>
      </c>
      <c r="P713">
        <v>0.04</v>
      </c>
      <c r="Q713" t="s">
        <v>1488</v>
      </c>
      <c r="R713">
        <v>0</v>
      </c>
      <c r="S713">
        <v>0</v>
      </c>
      <c r="T713">
        <v>0</v>
      </c>
      <c r="U713">
        <v>0</v>
      </c>
      <c r="V713">
        <v>0</v>
      </c>
    </row>
    <row r="714" spans="1:22" x14ac:dyDescent="0.25">
      <c r="A714" t="s">
        <v>2021</v>
      </c>
      <c r="B714" t="s">
        <v>637</v>
      </c>
      <c r="C714">
        <v>32</v>
      </c>
      <c r="D714" t="s">
        <v>79</v>
      </c>
      <c r="E714" t="s">
        <v>96</v>
      </c>
      <c r="F714" t="s">
        <v>78</v>
      </c>
      <c r="G714">
        <v>0.22</v>
      </c>
      <c r="H714" t="s">
        <v>46</v>
      </c>
      <c r="I714">
        <v>8</v>
      </c>
      <c r="J714" t="str">
        <f>HYPERLINK("https://www.eliteprospects.com/player/825455/riley-steen")</f>
        <v>https://www.eliteprospects.com/player/825455/riley-steen</v>
      </c>
      <c r="K714" t="s">
        <v>27</v>
      </c>
      <c r="L714" t="s">
        <v>631</v>
      </c>
      <c r="M714" t="s">
        <v>1296</v>
      </c>
      <c r="N714">
        <v>2</v>
      </c>
      <c r="O714" t="s">
        <v>636</v>
      </c>
      <c r="P714">
        <v>0.03</v>
      </c>
      <c r="Q714" t="s">
        <v>1488</v>
      </c>
      <c r="R714">
        <v>0</v>
      </c>
      <c r="S714">
        <v>0</v>
      </c>
      <c r="T714">
        <v>0</v>
      </c>
      <c r="U714">
        <v>0</v>
      </c>
      <c r="V714">
        <v>0</v>
      </c>
    </row>
    <row r="715" spans="1:22" x14ac:dyDescent="0.25">
      <c r="A715" t="s">
        <v>2022</v>
      </c>
      <c r="B715" t="s">
        <v>694</v>
      </c>
      <c r="C715">
        <v>33</v>
      </c>
      <c r="D715" t="s">
        <v>260</v>
      </c>
      <c r="E715" t="s">
        <v>57</v>
      </c>
      <c r="F715" t="s">
        <v>78</v>
      </c>
      <c r="G715">
        <v>0.21</v>
      </c>
      <c r="H715" t="s">
        <v>66</v>
      </c>
      <c r="I715">
        <v>-12</v>
      </c>
      <c r="J715" t="str">
        <f>HYPERLINK("https://www.eliteprospects.com/player/879898/grady-pichette")</f>
        <v>https://www.eliteprospects.com/player/879898/grady-pichette</v>
      </c>
      <c r="K715" t="s">
        <v>27</v>
      </c>
      <c r="L715" t="s">
        <v>631</v>
      </c>
      <c r="M715" t="s">
        <v>1296</v>
      </c>
      <c r="N715">
        <v>3</v>
      </c>
      <c r="O715" t="s">
        <v>639</v>
      </c>
      <c r="P715">
        <v>0.03</v>
      </c>
      <c r="Q715" t="s">
        <v>1488</v>
      </c>
      <c r="R715">
        <v>0</v>
      </c>
      <c r="S715">
        <v>0</v>
      </c>
      <c r="T715">
        <v>0</v>
      </c>
      <c r="U715">
        <v>0</v>
      </c>
      <c r="V715">
        <v>0</v>
      </c>
    </row>
    <row r="716" spans="1:22" x14ac:dyDescent="0.25">
      <c r="A716" t="s">
        <v>2023</v>
      </c>
      <c r="B716" t="s">
        <v>647</v>
      </c>
      <c r="C716">
        <v>38</v>
      </c>
      <c r="D716" t="s">
        <v>140</v>
      </c>
      <c r="E716" t="s">
        <v>140</v>
      </c>
      <c r="F716" t="s">
        <v>57</v>
      </c>
      <c r="G716">
        <v>0.16</v>
      </c>
      <c r="H716" t="s">
        <v>739</v>
      </c>
      <c r="I716">
        <v>-2</v>
      </c>
      <c r="J716" t="str">
        <f>HYPERLINK("https://www.eliteprospects.com/player/804734/max-lavoie")</f>
        <v>https://www.eliteprospects.com/player/804734/max-lavoie</v>
      </c>
      <c r="K716" t="s">
        <v>27</v>
      </c>
      <c r="L716" t="s">
        <v>631</v>
      </c>
      <c r="M716" t="s">
        <v>1296</v>
      </c>
      <c r="N716">
        <v>1</v>
      </c>
      <c r="O716" t="s">
        <v>634</v>
      </c>
      <c r="P716">
        <v>0.02</v>
      </c>
      <c r="Q716" t="s">
        <v>1488</v>
      </c>
      <c r="R716">
        <v>0</v>
      </c>
      <c r="S716">
        <v>0</v>
      </c>
      <c r="T716">
        <v>0</v>
      </c>
      <c r="U716">
        <v>0</v>
      </c>
      <c r="V716">
        <v>0</v>
      </c>
    </row>
    <row r="717" spans="1:22" x14ac:dyDescent="0.25">
      <c r="A717" t="s">
        <v>2024</v>
      </c>
      <c r="B717" t="s">
        <v>676</v>
      </c>
      <c r="C717">
        <v>21</v>
      </c>
      <c r="D717" t="s">
        <v>260</v>
      </c>
      <c r="E717" t="s">
        <v>96</v>
      </c>
      <c r="F717" t="s">
        <v>57</v>
      </c>
      <c r="G717">
        <v>0.28999999999999998</v>
      </c>
      <c r="H717" t="s">
        <v>84</v>
      </c>
      <c r="I717">
        <v>2</v>
      </c>
      <c r="J717" t="str">
        <f>HYPERLINK("https://www.eliteprospects.com/player/715231/kolten-bridgeman")</f>
        <v>https://www.eliteprospects.com/player/715231/kolten-bridgeman</v>
      </c>
      <c r="K717" t="s">
        <v>27</v>
      </c>
      <c r="L717" t="s">
        <v>631</v>
      </c>
      <c r="M717" t="s">
        <v>1296</v>
      </c>
      <c r="N717">
        <v>4</v>
      </c>
      <c r="O717" t="s">
        <v>632</v>
      </c>
      <c r="P717">
        <v>0.04</v>
      </c>
      <c r="Q717" t="s">
        <v>1488</v>
      </c>
      <c r="R717">
        <v>0</v>
      </c>
      <c r="S717">
        <v>0</v>
      </c>
      <c r="T717">
        <v>0</v>
      </c>
      <c r="U717">
        <v>0</v>
      </c>
      <c r="V717">
        <v>0</v>
      </c>
    </row>
    <row r="718" spans="1:22" x14ac:dyDescent="0.25">
      <c r="A718" t="s">
        <v>2025</v>
      </c>
      <c r="B718" t="s">
        <v>646</v>
      </c>
      <c r="C718">
        <v>22</v>
      </c>
      <c r="D718" t="s">
        <v>260</v>
      </c>
      <c r="E718" t="s">
        <v>96</v>
      </c>
      <c r="F718" t="s">
        <v>57</v>
      </c>
      <c r="G718">
        <v>0.27</v>
      </c>
      <c r="H718" t="s">
        <v>25</v>
      </c>
      <c r="I718">
        <v>-1</v>
      </c>
      <c r="J718" t="str">
        <f>HYPERLINK("https://www.eliteprospects.com/player/891214/kaden-meyer")</f>
        <v>https://www.eliteprospects.com/player/891214/kaden-meyer</v>
      </c>
      <c r="K718" t="s">
        <v>27</v>
      </c>
      <c r="L718" t="s">
        <v>631</v>
      </c>
      <c r="M718" t="s">
        <v>1296</v>
      </c>
      <c r="N718">
        <v>1</v>
      </c>
      <c r="O718" t="s">
        <v>634</v>
      </c>
      <c r="P718">
        <v>0.04</v>
      </c>
      <c r="Q718" t="s">
        <v>1488</v>
      </c>
      <c r="R718">
        <v>0</v>
      </c>
      <c r="S718">
        <v>0</v>
      </c>
      <c r="T718">
        <v>0</v>
      </c>
      <c r="U718">
        <v>0</v>
      </c>
      <c r="V718">
        <v>0</v>
      </c>
    </row>
    <row r="719" spans="1:22" x14ac:dyDescent="0.25">
      <c r="A719" t="s">
        <v>2026</v>
      </c>
      <c r="B719" t="s">
        <v>641</v>
      </c>
      <c r="C719">
        <v>26</v>
      </c>
      <c r="D719" t="s">
        <v>260</v>
      </c>
      <c r="E719" t="s">
        <v>96</v>
      </c>
      <c r="F719" t="s">
        <v>57</v>
      </c>
      <c r="G719">
        <v>0.23</v>
      </c>
      <c r="H719" t="s">
        <v>81</v>
      </c>
      <c r="I719">
        <v>-1</v>
      </c>
      <c r="J719" t="str">
        <f>HYPERLINK("https://www.eliteprospects.com/player/795053/morgan-tastad")</f>
        <v>https://www.eliteprospects.com/player/795053/morgan-tastad</v>
      </c>
      <c r="K719" t="s">
        <v>27</v>
      </c>
      <c r="L719" t="s">
        <v>631</v>
      </c>
      <c r="M719" t="s">
        <v>1296</v>
      </c>
      <c r="N719">
        <v>4</v>
      </c>
      <c r="O719" t="s">
        <v>632</v>
      </c>
      <c r="P719">
        <v>0.03</v>
      </c>
      <c r="Q719" t="s">
        <v>1488</v>
      </c>
      <c r="R719">
        <v>0</v>
      </c>
      <c r="S719">
        <v>0</v>
      </c>
      <c r="T719">
        <v>0</v>
      </c>
      <c r="U719">
        <v>0</v>
      </c>
      <c r="V719">
        <v>0</v>
      </c>
    </row>
    <row r="720" spans="1:22" x14ac:dyDescent="0.25">
      <c r="A720" t="s">
        <v>2027</v>
      </c>
      <c r="B720" t="s">
        <v>635</v>
      </c>
      <c r="C720">
        <v>37</v>
      </c>
      <c r="D720" t="s">
        <v>260</v>
      </c>
      <c r="E720" t="s">
        <v>96</v>
      </c>
      <c r="F720" t="s">
        <v>57</v>
      </c>
      <c r="G720">
        <v>0.16</v>
      </c>
      <c r="H720" t="s">
        <v>503</v>
      </c>
      <c r="I720">
        <v>18</v>
      </c>
      <c r="J720" t="str">
        <f>HYPERLINK("https://www.eliteprospects.com/player/746977/noa-ta-amu")</f>
        <v>https://www.eliteprospects.com/player/746977/noa-ta-amu</v>
      </c>
      <c r="K720" t="s">
        <v>27</v>
      </c>
      <c r="L720" t="s">
        <v>631</v>
      </c>
      <c r="M720" t="s">
        <v>1296</v>
      </c>
      <c r="N720">
        <v>2</v>
      </c>
      <c r="O720" t="s">
        <v>636</v>
      </c>
      <c r="P720">
        <v>0.02</v>
      </c>
      <c r="Q720" t="s">
        <v>1488</v>
      </c>
      <c r="R720">
        <v>0</v>
      </c>
      <c r="S720">
        <v>0</v>
      </c>
      <c r="T720">
        <v>0</v>
      </c>
      <c r="U720">
        <v>0</v>
      </c>
      <c r="V720">
        <v>0</v>
      </c>
    </row>
    <row r="721" spans="1:22" x14ac:dyDescent="0.25">
      <c r="A721" t="s">
        <v>2028</v>
      </c>
      <c r="B721" t="s">
        <v>507</v>
      </c>
      <c r="C721">
        <v>41</v>
      </c>
      <c r="D721" t="s">
        <v>260</v>
      </c>
      <c r="E721" t="s">
        <v>96</v>
      </c>
      <c r="F721" t="s">
        <v>57</v>
      </c>
      <c r="G721">
        <v>0.15</v>
      </c>
      <c r="H721" t="s">
        <v>125</v>
      </c>
      <c r="I721">
        <v>-13</v>
      </c>
      <c r="J721" t="str">
        <f>HYPERLINK("https://www.eliteprospects.com/player/825450/colton-alain")</f>
        <v>https://www.eliteprospects.com/player/825450/colton-alain</v>
      </c>
      <c r="K721" t="s">
        <v>27</v>
      </c>
      <c r="L721" t="s">
        <v>631</v>
      </c>
      <c r="M721" t="s">
        <v>1296</v>
      </c>
      <c r="N721">
        <v>4</v>
      </c>
      <c r="O721" t="s">
        <v>632</v>
      </c>
      <c r="P721">
        <v>0.02</v>
      </c>
      <c r="Q721" t="s">
        <v>1488</v>
      </c>
      <c r="R721">
        <v>0</v>
      </c>
      <c r="S721">
        <v>0</v>
      </c>
      <c r="T721">
        <v>0</v>
      </c>
      <c r="U721">
        <v>0</v>
      </c>
      <c r="V721">
        <v>0</v>
      </c>
    </row>
    <row r="722" spans="1:22" x14ac:dyDescent="0.25">
      <c r="A722" t="s">
        <v>2029</v>
      </c>
      <c r="B722" t="s">
        <v>507</v>
      </c>
      <c r="C722">
        <v>23</v>
      </c>
      <c r="D722" t="s">
        <v>132</v>
      </c>
      <c r="E722" t="s">
        <v>57</v>
      </c>
      <c r="F722" t="s">
        <v>57</v>
      </c>
      <c r="G722">
        <v>0.26</v>
      </c>
      <c r="H722" t="s">
        <v>39</v>
      </c>
      <c r="I722">
        <v>13</v>
      </c>
      <c r="J722" t="str">
        <f>HYPERLINK("https://www.eliteprospects.com/player/647521/niko-tsakumis")</f>
        <v>https://www.eliteprospects.com/player/647521/niko-tsakumis</v>
      </c>
      <c r="K722" t="s">
        <v>27</v>
      </c>
      <c r="L722" t="s">
        <v>631</v>
      </c>
      <c r="M722" t="s">
        <v>1296</v>
      </c>
      <c r="N722">
        <v>5</v>
      </c>
      <c r="O722" t="s">
        <v>645</v>
      </c>
      <c r="P722">
        <v>0.04</v>
      </c>
      <c r="Q722" t="s">
        <v>1488</v>
      </c>
      <c r="R722">
        <v>0</v>
      </c>
      <c r="S722">
        <v>0</v>
      </c>
      <c r="T722">
        <v>0</v>
      </c>
      <c r="U722">
        <v>0</v>
      </c>
      <c r="V722">
        <v>0</v>
      </c>
    </row>
    <row r="723" spans="1:22" x14ac:dyDescent="0.25">
      <c r="A723" t="s">
        <v>2030</v>
      </c>
      <c r="B723" t="s">
        <v>507</v>
      </c>
      <c r="C723">
        <v>24</v>
      </c>
      <c r="D723" t="s">
        <v>132</v>
      </c>
      <c r="E723" t="s">
        <v>57</v>
      </c>
      <c r="F723" t="s">
        <v>57</v>
      </c>
      <c r="G723">
        <v>0.25</v>
      </c>
      <c r="H723" t="s">
        <v>79</v>
      </c>
      <c r="I723">
        <v>-1</v>
      </c>
      <c r="J723" t="str">
        <f>HYPERLINK("https://www.eliteprospects.com/player/628126/eli-johnson")</f>
        <v>https://www.eliteprospects.com/player/628126/eli-johnson</v>
      </c>
      <c r="K723" t="s">
        <v>27</v>
      </c>
      <c r="L723" t="s">
        <v>631</v>
      </c>
      <c r="M723" t="s">
        <v>1296</v>
      </c>
      <c r="N723">
        <v>1</v>
      </c>
      <c r="O723" t="s">
        <v>634</v>
      </c>
      <c r="P723">
        <v>0.04</v>
      </c>
      <c r="Q723" t="s">
        <v>1488</v>
      </c>
      <c r="R723">
        <v>0</v>
      </c>
      <c r="S723">
        <v>0</v>
      </c>
      <c r="T723">
        <v>0</v>
      </c>
      <c r="U723">
        <v>0</v>
      </c>
      <c r="V723">
        <v>0</v>
      </c>
    </row>
    <row r="724" spans="1:22" x14ac:dyDescent="0.25">
      <c r="A724" t="s">
        <v>2031</v>
      </c>
      <c r="B724" t="s">
        <v>646</v>
      </c>
      <c r="C724">
        <v>29</v>
      </c>
      <c r="D724" t="s">
        <v>132</v>
      </c>
      <c r="E724" t="s">
        <v>57</v>
      </c>
      <c r="F724" t="s">
        <v>57</v>
      </c>
      <c r="G724">
        <v>0.21</v>
      </c>
      <c r="H724" t="s">
        <v>55</v>
      </c>
      <c r="I724">
        <v>-3</v>
      </c>
      <c r="J724" t="str">
        <f>HYPERLINK("https://www.eliteprospects.com/player/804146/bobby-williams")</f>
        <v>https://www.eliteprospects.com/player/804146/bobby-williams</v>
      </c>
      <c r="K724" t="s">
        <v>27</v>
      </c>
      <c r="L724" t="s">
        <v>631</v>
      </c>
      <c r="M724" t="s">
        <v>1296</v>
      </c>
      <c r="N724">
        <v>1</v>
      </c>
      <c r="O724" t="s">
        <v>634</v>
      </c>
      <c r="P724">
        <v>0.03</v>
      </c>
      <c r="Q724" t="s">
        <v>1488</v>
      </c>
      <c r="R724">
        <v>0</v>
      </c>
      <c r="S724">
        <v>0</v>
      </c>
      <c r="T724">
        <v>0</v>
      </c>
      <c r="U724">
        <v>0</v>
      </c>
      <c r="V724">
        <v>0</v>
      </c>
    </row>
    <row r="725" spans="1:22" x14ac:dyDescent="0.25">
      <c r="A725" t="s">
        <v>2032</v>
      </c>
      <c r="B725" t="s">
        <v>709</v>
      </c>
      <c r="C725">
        <v>25</v>
      </c>
      <c r="D725" t="s">
        <v>260</v>
      </c>
      <c r="E725" t="s">
        <v>66</v>
      </c>
      <c r="F725" t="s">
        <v>96</v>
      </c>
      <c r="G725">
        <v>0.2</v>
      </c>
      <c r="H725" t="s">
        <v>46</v>
      </c>
      <c r="I725">
        <v>-17</v>
      </c>
      <c r="J725" t="str">
        <f>HYPERLINK("https://www.eliteprospects.com/player/798240/caleb-potter")</f>
        <v>https://www.eliteprospects.com/player/798240/caleb-potter</v>
      </c>
      <c r="K725" t="s">
        <v>27</v>
      </c>
      <c r="L725" t="s">
        <v>631</v>
      </c>
      <c r="M725" t="s">
        <v>1296</v>
      </c>
      <c r="N725">
        <v>3</v>
      </c>
      <c r="O725" t="s">
        <v>639</v>
      </c>
      <c r="P725">
        <v>0.03</v>
      </c>
      <c r="Q725" t="s">
        <v>1488</v>
      </c>
      <c r="R725">
        <v>0</v>
      </c>
      <c r="S725">
        <v>0</v>
      </c>
      <c r="T725">
        <v>0</v>
      </c>
      <c r="U725">
        <v>0</v>
      </c>
      <c r="V725">
        <v>0</v>
      </c>
    </row>
    <row r="726" spans="1:22" x14ac:dyDescent="0.25">
      <c r="A726" t="s">
        <v>2033</v>
      </c>
      <c r="B726" t="s">
        <v>507</v>
      </c>
      <c r="C726">
        <v>33</v>
      </c>
      <c r="D726" t="s">
        <v>260</v>
      </c>
      <c r="E726" t="s">
        <v>66</v>
      </c>
      <c r="F726" t="s">
        <v>96</v>
      </c>
      <c r="G726">
        <v>0.15</v>
      </c>
      <c r="H726" t="s">
        <v>280</v>
      </c>
      <c r="I726">
        <v>2</v>
      </c>
      <c r="J726" t="str">
        <f>HYPERLINK("https://www.eliteprospects.com/player/647852/aleksey-chichkin")</f>
        <v>https://www.eliteprospects.com/player/647852/aleksey-chichkin</v>
      </c>
      <c r="K726" t="s">
        <v>27</v>
      </c>
      <c r="L726" t="s">
        <v>631</v>
      </c>
      <c r="M726" t="s">
        <v>1296</v>
      </c>
      <c r="N726">
        <v>3</v>
      </c>
      <c r="O726" t="s">
        <v>639</v>
      </c>
      <c r="P726">
        <v>0.02</v>
      </c>
      <c r="Q726" t="s">
        <v>1488</v>
      </c>
      <c r="R726">
        <v>0</v>
      </c>
      <c r="S726">
        <v>0</v>
      </c>
      <c r="T726">
        <v>0</v>
      </c>
      <c r="U726">
        <v>0</v>
      </c>
      <c r="V726">
        <v>0</v>
      </c>
    </row>
    <row r="727" spans="1:22" x14ac:dyDescent="0.25">
      <c r="A727" t="s">
        <v>2034</v>
      </c>
      <c r="B727" t="s">
        <v>657</v>
      </c>
      <c r="C727">
        <v>34</v>
      </c>
      <c r="D727" t="s">
        <v>260</v>
      </c>
      <c r="E727" t="s">
        <v>66</v>
      </c>
      <c r="F727" t="s">
        <v>96</v>
      </c>
      <c r="G727">
        <v>0.15</v>
      </c>
      <c r="H727" t="s">
        <v>672</v>
      </c>
      <c r="I727">
        <v>-4</v>
      </c>
      <c r="J727" t="str">
        <f>HYPERLINK("https://www.eliteprospects.com/player/804735/seth-fryer")</f>
        <v>https://www.eliteprospects.com/player/804735/seth-fryer</v>
      </c>
      <c r="K727" t="s">
        <v>27</v>
      </c>
      <c r="L727" t="s">
        <v>631</v>
      </c>
      <c r="M727" t="s">
        <v>1296</v>
      </c>
      <c r="N727">
        <v>4</v>
      </c>
      <c r="O727" t="s">
        <v>632</v>
      </c>
      <c r="P727">
        <v>0.02</v>
      </c>
      <c r="Q727" t="s">
        <v>1488</v>
      </c>
      <c r="R727">
        <v>0</v>
      </c>
      <c r="S727">
        <v>0</v>
      </c>
      <c r="T727">
        <v>0</v>
      </c>
      <c r="U727">
        <v>0</v>
      </c>
      <c r="V727">
        <v>0</v>
      </c>
    </row>
    <row r="728" spans="1:22" x14ac:dyDescent="0.25">
      <c r="A728" t="s">
        <v>2035</v>
      </c>
      <c r="B728" t="s">
        <v>637</v>
      </c>
      <c r="C728">
        <v>19</v>
      </c>
      <c r="D728" t="s">
        <v>132</v>
      </c>
      <c r="E728" t="s">
        <v>96</v>
      </c>
      <c r="F728" t="s">
        <v>96</v>
      </c>
      <c r="G728">
        <v>0.26</v>
      </c>
      <c r="H728" t="s">
        <v>60</v>
      </c>
      <c r="I728">
        <v>8</v>
      </c>
      <c r="J728" t="str">
        <f>HYPERLINK("https://www.eliteprospects.com/player/692903/niilopekka-muhonen")</f>
        <v>https://www.eliteprospects.com/player/692903/niilopekka-muhonen</v>
      </c>
      <c r="K728" t="s">
        <v>27</v>
      </c>
      <c r="L728" t="s">
        <v>631</v>
      </c>
      <c r="M728" t="s">
        <v>1296</v>
      </c>
      <c r="N728">
        <v>2</v>
      </c>
      <c r="O728" t="s">
        <v>636</v>
      </c>
      <c r="P728">
        <v>0.04</v>
      </c>
      <c r="Q728" t="s">
        <v>1488</v>
      </c>
      <c r="R728">
        <v>0</v>
      </c>
      <c r="S728">
        <v>0</v>
      </c>
      <c r="T728">
        <v>0</v>
      </c>
      <c r="U728">
        <v>0</v>
      </c>
      <c r="V728">
        <v>0</v>
      </c>
    </row>
    <row r="729" spans="1:22" x14ac:dyDescent="0.25">
      <c r="A729" t="s">
        <v>2036</v>
      </c>
      <c r="B729" t="s">
        <v>507</v>
      </c>
      <c r="C729">
        <v>24</v>
      </c>
      <c r="D729" t="s">
        <v>132</v>
      </c>
      <c r="E729" t="s">
        <v>96</v>
      </c>
      <c r="F729" t="s">
        <v>96</v>
      </c>
      <c r="G729">
        <v>0.21</v>
      </c>
      <c r="H729" t="s">
        <v>57</v>
      </c>
      <c r="I729">
        <v>3</v>
      </c>
      <c r="J729" t="str">
        <f>HYPERLINK("https://www.eliteprospects.com/player/890156/kaden-allan")</f>
        <v>https://www.eliteprospects.com/player/890156/kaden-allan</v>
      </c>
      <c r="K729" t="s">
        <v>27</v>
      </c>
      <c r="L729" t="s">
        <v>631</v>
      </c>
      <c r="M729" t="s">
        <v>1296</v>
      </c>
      <c r="N729">
        <v>3</v>
      </c>
      <c r="O729" t="s">
        <v>639</v>
      </c>
      <c r="P729">
        <v>0.03</v>
      </c>
      <c r="Q729" t="s">
        <v>1488</v>
      </c>
      <c r="R729">
        <v>0</v>
      </c>
      <c r="S729">
        <v>0</v>
      </c>
      <c r="T729">
        <v>0</v>
      </c>
      <c r="U729">
        <v>0</v>
      </c>
      <c r="V729">
        <v>0</v>
      </c>
    </row>
    <row r="730" spans="1:22" x14ac:dyDescent="0.25">
      <c r="A730" t="s">
        <v>2037</v>
      </c>
      <c r="B730" t="s">
        <v>507</v>
      </c>
      <c r="C730">
        <v>24</v>
      </c>
      <c r="D730" t="s">
        <v>132</v>
      </c>
      <c r="E730" t="s">
        <v>96</v>
      </c>
      <c r="F730" t="s">
        <v>96</v>
      </c>
      <c r="G730">
        <v>0.21</v>
      </c>
      <c r="H730" t="s">
        <v>32</v>
      </c>
      <c r="I730">
        <v>-13</v>
      </c>
      <c r="J730" t="str">
        <f>HYPERLINK("https://www.eliteprospects.com/player/577074/brayden-smith")</f>
        <v>https://www.eliteprospects.com/player/577074/brayden-smith</v>
      </c>
      <c r="K730" t="s">
        <v>27</v>
      </c>
      <c r="L730" t="s">
        <v>631</v>
      </c>
      <c r="M730" t="s">
        <v>1296</v>
      </c>
      <c r="N730">
        <v>3</v>
      </c>
      <c r="O730" t="s">
        <v>639</v>
      </c>
      <c r="P730">
        <v>0.03</v>
      </c>
      <c r="Q730" t="s">
        <v>1488</v>
      </c>
      <c r="R730">
        <v>0</v>
      </c>
      <c r="S730">
        <v>0</v>
      </c>
      <c r="T730">
        <v>0</v>
      </c>
      <c r="U730">
        <v>0</v>
      </c>
      <c r="V730">
        <v>0</v>
      </c>
    </row>
    <row r="731" spans="1:22" x14ac:dyDescent="0.25">
      <c r="A731" t="s">
        <v>2038</v>
      </c>
      <c r="B731" t="s">
        <v>640</v>
      </c>
      <c r="C731">
        <v>30</v>
      </c>
      <c r="D731" t="s">
        <v>132</v>
      </c>
      <c r="E731" t="s">
        <v>96</v>
      </c>
      <c r="F731" t="s">
        <v>96</v>
      </c>
      <c r="G731">
        <v>0.17</v>
      </c>
      <c r="H731" t="s">
        <v>39</v>
      </c>
      <c r="I731">
        <v>-14</v>
      </c>
      <c r="J731" t="str">
        <f>HYPERLINK("https://www.eliteprospects.com/player/883604/griffin-darby")</f>
        <v>https://www.eliteprospects.com/player/883604/griffin-darby</v>
      </c>
      <c r="K731" t="s">
        <v>27</v>
      </c>
      <c r="L731" t="s">
        <v>631</v>
      </c>
      <c r="M731" t="s">
        <v>1296</v>
      </c>
      <c r="N731">
        <v>2</v>
      </c>
      <c r="O731" t="s">
        <v>636</v>
      </c>
      <c r="P731">
        <v>0.02</v>
      </c>
      <c r="Q731" t="s">
        <v>1488</v>
      </c>
      <c r="R731">
        <v>0</v>
      </c>
      <c r="S731">
        <v>0</v>
      </c>
      <c r="T731">
        <v>0</v>
      </c>
      <c r="U731">
        <v>0</v>
      </c>
      <c r="V731">
        <v>0</v>
      </c>
    </row>
    <row r="732" spans="1:22" x14ac:dyDescent="0.25">
      <c r="A732" t="s">
        <v>2039</v>
      </c>
      <c r="B732" t="s">
        <v>633</v>
      </c>
      <c r="C732">
        <v>34</v>
      </c>
      <c r="D732" t="s">
        <v>132</v>
      </c>
      <c r="E732" t="s">
        <v>96</v>
      </c>
      <c r="F732" t="s">
        <v>96</v>
      </c>
      <c r="G732">
        <v>0.15</v>
      </c>
      <c r="H732" t="s">
        <v>26</v>
      </c>
      <c r="I732">
        <v>-1</v>
      </c>
      <c r="J732" t="str">
        <f>HYPERLINK("https://www.eliteprospects.com/player/960835/joaquin-geras")</f>
        <v>https://www.eliteprospects.com/player/960835/joaquin-geras</v>
      </c>
      <c r="K732" t="s">
        <v>27</v>
      </c>
      <c r="L732" t="s">
        <v>631</v>
      </c>
      <c r="M732" t="s">
        <v>1296</v>
      </c>
      <c r="N732">
        <v>2</v>
      </c>
      <c r="O732" t="s">
        <v>636</v>
      </c>
      <c r="P732">
        <v>0.02</v>
      </c>
      <c r="Q732" t="s">
        <v>1488</v>
      </c>
      <c r="R732">
        <v>0</v>
      </c>
      <c r="S732">
        <v>0</v>
      </c>
      <c r="T732">
        <v>0</v>
      </c>
      <c r="U732">
        <v>0</v>
      </c>
      <c r="V732">
        <v>0</v>
      </c>
    </row>
    <row r="733" spans="1:22" x14ac:dyDescent="0.25">
      <c r="A733" t="s">
        <v>2040</v>
      </c>
      <c r="B733" t="s">
        <v>660</v>
      </c>
      <c r="C733">
        <v>29</v>
      </c>
      <c r="D733" t="s">
        <v>140</v>
      </c>
      <c r="E733" t="s">
        <v>260</v>
      </c>
      <c r="F733" t="s">
        <v>66</v>
      </c>
      <c r="G733">
        <v>0.14000000000000001</v>
      </c>
      <c r="H733" t="s">
        <v>79</v>
      </c>
      <c r="I733">
        <v>0</v>
      </c>
      <c r="J733" t="str">
        <f>HYPERLINK("https://www.eliteprospects.com/player/628128/william-degagne")</f>
        <v>https://www.eliteprospects.com/player/628128/william-degagne</v>
      </c>
      <c r="K733" t="s">
        <v>27</v>
      </c>
      <c r="L733" t="s">
        <v>631</v>
      </c>
      <c r="M733" t="s">
        <v>1296</v>
      </c>
      <c r="N733">
        <v>2</v>
      </c>
      <c r="O733" t="s">
        <v>636</v>
      </c>
      <c r="P733">
        <v>0.02</v>
      </c>
      <c r="Q733" t="s">
        <v>1488</v>
      </c>
      <c r="R733">
        <v>0</v>
      </c>
      <c r="S733">
        <v>0</v>
      </c>
      <c r="T733">
        <v>0</v>
      </c>
      <c r="U733">
        <v>0</v>
      </c>
      <c r="V733">
        <v>0</v>
      </c>
    </row>
    <row r="734" spans="1:22" x14ac:dyDescent="0.25">
      <c r="A734" t="s">
        <v>2041</v>
      </c>
      <c r="B734" t="s">
        <v>676</v>
      </c>
      <c r="C734">
        <v>21</v>
      </c>
      <c r="D734" t="s">
        <v>79</v>
      </c>
      <c r="E734" t="s">
        <v>79</v>
      </c>
      <c r="F734" t="s">
        <v>66</v>
      </c>
      <c r="G734">
        <v>0.19</v>
      </c>
      <c r="H734" t="s">
        <v>132</v>
      </c>
      <c r="I734">
        <v>0</v>
      </c>
      <c r="J734" t="str">
        <f>HYPERLINK("https://www.eliteprospects.com/player/966683/aiden-wagner")</f>
        <v>https://www.eliteprospects.com/player/966683/aiden-wagner</v>
      </c>
      <c r="K734" t="s">
        <v>27</v>
      </c>
      <c r="L734" t="s">
        <v>631</v>
      </c>
      <c r="M734" t="s">
        <v>1296</v>
      </c>
      <c r="N734">
        <v>2</v>
      </c>
      <c r="O734" t="s">
        <v>636</v>
      </c>
      <c r="P734">
        <v>0.03</v>
      </c>
      <c r="Q734" t="s">
        <v>1488</v>
      </c>
      <c r="R734">
        <v>0</v>
      </c>
      <c r="S734">
        <v>0</v>
      </c>
      <c r="T734">
        <v>0</v>
      </c>
      <c r="U734">
        <v>0</v>
      </c>
      <c r="V734">
        <v>0</v>
      </c>
    </row>
    <row r="735" spans="1:22" x14ac:dyDescent="0.25">
      <c r="A735" t="s">
        <v>2042</v>
      </c>
      <c r="B735" t="s">
        <v>653</v>
      </c>
      <c r="C735">
        <v>22</v>
      </c>
      <c r="D735" t="s">
        <v>79</v>
      </c>
      <c r="E735" t="s">
        <v>79</v>
      </c>
      <c r="F735" t="s">
        <v>66</v>
      </c>
      <c r="G735">
        <v>0.18</v>
      </c>
      <c r="H735" t="s">
        <v>716</v>
      </c>
      <c r="I735">
        <v>7</v>
      </c>
      <c r="J735" t="str">
        <f>HYPERLINK("https://www.eliteprospects.com/player/727572/nate-corbet")</f>
        <v>https://www.eliteprospects.com/player/727572/nate-corbet</v>
      </c>
      <c r="K735" t="s">
        <v>27</v>
      </c>
      <c r="L735" t="s">
        <v>631</v>
      </c>
      <c r="M735" t="s">
        <v>1296</v>
      </c>
      <c r="N735">
        <v>3</v>
      </c>
      <c r="O735" t="s">
        <v>639</v>
      </c>
      <c r="P735">
        <v>0.03</v>
      </c>
      <c r="Q735" t="s">
        <v>1488</v>
      </c>
      <c r="R735">
        <v>0</v>
      </c>
      <c r="S735">
        <v>0</v>
      </c>
      <c r="T735">
        <v>0</v>
      </c>
      <c r="U735">
        <v>0</v>
      </c>
      <c r="V735">
        <v>0</v>
      </c>
    </row>
    <row r="736" spans="1:22" x14ac:dyDescent="0.25">
      <c r="A736" t="s">
        <v>2043</v>
      </c>
      <c r="B736" t="s">
        <v>662</v>
      </c>
      <c r="C736">
        <v>33</v>
      </c>
      <c r="D736" t="s">
        <v>79</v>
      </c>
      <c r="E736" t="s">
        <v>79</v>
      </c>
      <c r="F736" t="s">
        <v>66</v>
      </c>
      <c r="G736">
        <v>0.12</v>
      </c>
      <c r="H736" t="s">
        <v>55</v>
      </c>
      <c r="I736">
        <v>5</v>
      </c>
      <c r="J736" t="str">
        <f>HYPERLINK("https://www.eliteprospects.com/player/891499/vanek-popil")</f>
        <v>https://www.eliteprospects.com/player/891499/vanek-popil</v>
      </c>
      <c r="K736" t="s">
        <v>27</v>
      </c>
      <c r="L736" t="s">
        <v>631</v>
      </c>
      <c r="M736" t="s">
        <v>1296</v>
      </c>
      <c r="N736">
        <v>3</v>
      </c>
      <c r="O736" t="s">
        <v>639</v>
      </c>
      <c r="P736">
        <v>0.02</v>
      </c>
      <c r="Q736" t="s">
        <v>1488</v>
      </c>
      <c r="R736">
        <v>0</v>
      </c>
      <c r="S736">
        <v>0</v>
      </c>
      <c r="T736">
        <v>0</v>
      </c>
      <c r="U736">
        <v>0</v>
      </c>
      <c r="V736">
        <v>0</v>
      </c>
    </row>
    <row r="737" spans="1:22" x14ac:dyDescent="0.25">
      <c r="A737" t="s">
        <v>2044</v>
      </c>
      <c r="B737" t="s">
        <v>659</v>
      </c>
      <c r="C737">
        <v>39</v>
      </c>
      <c r="D737" t="s">
        <v>79</v>
      </c>
      <c r="E737" t="s">
        <v>79</v>
      </c>
      <c r="F737" t="s">
        <v>66</v>
      </c>
      <c r="G737">
        <v>0.1</v>
      </c>
      <c r="H737" t="s">
        <v>739</v>
      </c>
      <c r="I737">
        <v>-2</v>
      </c>
      <c r="J737" t="str">
        <f>HYPERLINK("https://www.eliteprospects.com/player/711430/ismail-abougouche")</f>
        <v>https://www.eliteprospects.com/player/711430/ismail-abougouche</v>
      </c>
      <c r="K737" t="s">
        <v>27</v>
      </c>
      <c r="L737" t="s">
        <v>631</v>
      </c>
      <c r="M737" t="s">
        <v>1417</v>
      </c>
      <c r="N737">
        <v>4</v>
      </c>
      <c r="O737" t="s">
        <v>632</v>
      </c>
      <c r="P737">
        <v>0.01</v>
      </c>
      <c r="Q737" t="s">
        <v>1488</v>
      </c>
      <c r="R737">
        <v>0</v>
      </c>
      <c r="S737">
        <v>0</v>
      </c>
      <c r="T737">
        <v>0</v>
      </c>
      <c r="U737">
        <v>0</v>
      </c>
      <c r="V737">
        <v>0</v>
      </c>
    </row>
    <row r="738" spans="1:22" x14ac:dyDescent="0.25">
      <c r="A738" t="s">
        <v>2045</v>
      </c>
      <c r="B738" t="s">
        <v>651</v>
      </c>
      <c r="C738">
        <v>27</v>
      </c>
      <c r="D738" t="s">
        <v>260</v>
      </c>
      <c r="E738" t="s">
        <v>140</v>
      </c>
      <c r="F738" t="s">
        <v>66</v>
      </c>
      <c r="G738">
        <v>0.15</v>
      </c>
      <c r="H738" t="s">
        <v>47</v>
      </c>
      <c r="I738">
        <v>13</v>
      </c>
      <c r="J738" t="str">
        <f>HYPERLINK("https://www.eliteprospects.com/player/854386/matyas-man")</f>
        <v>https://www.eliteprospects.com/player/854386/matyas-man</v>
      </c>
      <c r="K738" t="s">
        <v>27</v>
      </c>
      <c r="L738" t="s">
        <v>631</v>
      </c>
      <c r="M738" t="s">
        <v>1296</v>
      </c>
      <c r="N738">
        <v>1</v>
      </c>
      <c r="O738" t="s">
        <v>634</v>
      </c>
      <c r="P738">
        <v>0.02</v>
      </c>
      <c r="Q738" t="s">
        <v>1488</v>
      </c>
      <c r="R738">
        <v>0</v>
      </c>
      <c r="S738">
        <v>0</v>
      </c>
      <c r="T738">
        <v>0</v>
      </c>
      <c r="U738">
        <v>0</v>
      </c>
      <c r="V738">
        <v>0</v>
      </c>
    </row>
    <row r="739" spans="1:22" x14ac:dyDescent="0.25">
      <c r="A739" t="s">
        <v>2046</v>
      </c>
      <c r="B739" t="s">
        <v>694</v>
      </c>
      <c r="C739">
        <v>35</v>
      </c>
      <c r="D739" t="s">
        <v>260</v>
      </c>
      <c r="E739" t="s">
        <v>140</v>
      </c>
      <c r="F739" t="s">
        <v>66</v>
      </c>
      <c r="G739">
        <v>0.11</v>
      </c>
      <c r="H739" t="s">
        <v>47</v>
      </c>
      <c r="I739">
        <v>-9</v>
      </c>
      <c r="J739" t="str">
        <f>HYPERLINK("https://www.eliteprospects.com/player/917679/tomas-malinek")</f>
        <v>https://www.eliteprospects.com/player/917679/tomas-malinek</v>
      </c>
      <c r="K739" t="s">
        <v>27</v>
      </c>
      <c r="L739" t="s">
        <v>631</v>
      </c>
      <c r="M739" t="s">
        <v>1296</v>
      </c>
      <c r="N739">
        <v>1</v>
      </c>
      <c r="O739" t="s">
        <v>634</v>
      </c>
      <c r="P739">
        <v>0.02</v>
      </c>
      <c r="Q739" t="s">
        <v>1488</v>
      </c>
      <c r="R739">
        <v>0</v>
      </c>
      <c r="S739">
        <v>0</v>
      </c>
      <c r="T739">
        <v>0</v>
      </c>
      <c r="U739">
        <v>0</v>
      </c>
      <c r="V739">
        <v>0</v>
      </c>
    </row>
    <row r="740" spans="1:22" x14ac:dyDescent="0.25">
      <c r="A740" t="s">
        <v>2047</v>
      </c>
      <c r="B740" t="s">
        <v>671</v>
      </c>
      <c r="C740">
        <v>37</v>
      </c>
      <c r="D740" t="s">
        <v>260</v>
      </c>
      <c r="E740" t="s">
        <v>140</v>
      </c>
      <c r="F740" t="s">
        <v>66</v>
      </c>
      <c r="G740">
        <v>0.11</v>
      </c>
      <c r="H740" t="s">
        <v>513</v>
      </c>
      <c r="I740">
        <v>-16</v>
      </c>
      <c r="J740" t="str">
        <f>HYPERLINK("https://www.eliteprospects.com/player/735915/nathan-mayes")</f>
        <v>https://www.eliteprospects.com/player/735915/nathan-mayes</v>
      </c>
      <c r="K740" t="s">
        <v>27</v>
      </c>
      <c r="L740" t="s">
        <v>631</v>
      </c>
      <c r="M740" t="s">
        <v>1296</v>
      </c>
      <c r="N740">
        <v>5</v>
      </c>
      <c r="O740" t="s">
        <v>645</v>
      </c>
      <c r="P740">
        <v>0.02</v>
      </c>
      <c r="Q740" t="s">
        <v>1488</v>
      </c>
      <c r="R740">
        <v>0</v>
      </c>
      <c r="S740">
        <v>0</v>
      </c>
      <c r="T740">
        <v>0</v>
      </c>
      <c r="U740">
        <v>0</v>
      </c>
      <c r="V740">
        <v>0</v>
      </c>
    </row>
    <row r="741" spans="1:22" x14ac:dyDescent="0.25">
      <c r="A741" t="s">
        <v>2048</v>
      </c>
      <c r="B741" t="s">
        <v>647</v>
      </c>
      <c r="C741">
        <v>22</v>
      </c>
      <c r="D741" t="s">
        <v>132</v>
      </c>
      <c r="E741" t="s">
        <v>66</v>
      </c>
      <c r="F741" t="s">
        <v>66</v>
      </c>
      <c r="G741">
        <v>0.18</v>
      </c>
      <c r="H741" t="s">
        <v>23</v>
      </c>
      <c r="I741">
        <v>-4</v>
      </c>
      <c r="J741" t="str">
        <f>HYPERLINK("https://www.eliteprospects.com/player/836540/daniil-skvortsov")</f>
        <v>https://www.eliteprospects.com/player/836540/daniil-skvortsov</v>
      </c>
      <c r="K741" t="s">
        <v>27</v>
      </c>
      <c r="L741" t="s">
        <v>631</v>
      </c>
      <c r="M741" t="s">
        <v>1296</v>
      </c>
      <c r="N741">
        <v>3</v>
      </c>
      <c r="O741" t="s">
        <v>717</v>
      </c>
      <c r="P741">
        <v>0.03</v>
      </c>
      <c r="Q741" t="s">
        <v>1488</v>
      </c>
      <c r="R741">
        <v>0</v>
      </c>
      <c r="S741">
        <v>0</v>
      </c>
      <c r="T741">
        <v>0</v>
      </c>
      <c r="U741">
        <v>0</v>
      </c>
      <c r="V741">
        <v>0</v>
      </c>
    </row>
    <row r="742" spans="1:22" x14ac:dyDescent="0.25">
      <c r="A742" t="s">
        <v>2049</v>
      </c>
      <c r="B742" t="s">
        <v>651</v>
      </c>
      <c r="C742">
        <v>22</v>
      </c>
      <c r="D742" t="s">
        <v>132</v>
      </c>
      <c r="E742" t="s">
        <v>66</v>
      </c>
      <c r="F742" t="s">
        <v>66</v>
      </c>
      <c r="G742">
        <v>0.18</v>
      </c>
      <c r="H742" t="s">
        <v>39</v>
      </c>
      <c r="I742">
        <v>2</v>
      </c>
      <c r="J742" t="str">
        <f>HYPERLINK("https://www.eliteprospects.com/player/805657/hubert-clarke")</f>
        <v>https://www.eliteprospects.com/player/805657/hubert-clarke</v>
      </c>
      <c r="K742" t="s">
        <v>27</v>
      </c>
      <c r="L742" t="s">
        <v>631</v>
      </c>
      <c r="M742" t="s">
        <v>1296</v>
      </c>
      <c r="N742">
        <v>1</v>
      </c>
      <c r="O742" t="s">
        <v>634</v>
      </c>
      <c r="P742">
        <v>0.03</v>
      </c>
      <c r="Q742" t="s">
        <v>1488</v>
      </c>
      <c r="R742">
        <v>0</v>
      </c>
      <c r="S742">
        <v>0</v>
      </c>
      <c r="T742">
        <v>0</v>
      </c>
      <c r="U742">
        <v>0</v>
      </c>
      <c r="V742">
        <v>0</v>
      </c>
    </row>
    <row r="743" spans="1:22" x14ac:dyDescent="0.25">
      <c r="A743" t="s">
        <v>2050</v>
      </c>
      <c r="B743" t="s">
        <v>684</v>
      </c>
      <c r="C743">
        <v>26</v>
      </c>
      <c r="D743" t="s">
        <v>132</v>
      </c>
      <c r="E743" t="s">
        <v>66</v>
      </c>
      <c r="F743" t="s">
        <v>66</v>
      </c>
      <c r="G743">
        <v>0.15</v>
      </c>
      <c r="H743" t="s">
        <v>39</v>
      </c>
      <c r="I743">
        <v>-6</v>
      </c>
      <c r="J743" t="str">
        <f>HYPERLINK("https://www.eliteprospects.com/player/815003/drew-smith")</f>
        <v>https://www.eliteprospects.com/player/815003/drew-smith</v>
      </c>
      <c r="K743" t="s">
        <v>27</v>
      </c>
      <c r="L743" t="s">
        <v>631</v>
      </c>
      <c r="M743" t="s">
        <v>1296</v>
      </c>
      <c r="N743">
        <v>1</v>
      </c>
      <c r="O743" t="s">
        <v>634</v>
      </c>
      <c r="P743">
        <v>0.02</v>
      </c>
      <c r="Q743" t="s">
        <v>1488</v>
      </c>
      <c r="R743">
        <v>0</v>
      </c>
      <c r="S743">
        <v>0</v>
      </c>
      <c r="T743">
        <v>0</v>
      </c>
      <c r="U743">
        <v>0</v>
      </c>
      <c r="V743">
        <v>0</v>
      </c>
    </row>
    <row r="744" spans="1:22" x14ac:dyDescent="0.25">
      <c r="A744" t="s">
        <v>2051</v>
      </c>
      <c r="B744" t="s">
        <v>507</v>
      </c>
      <c r="C744">
        <v>27</v>
      </c>
      <c r="D744" t="s">
        <v>132</v>
      </c>
      <c r="E744" t="s">
        <v>66</v>
      </c>
      <c r="F744" t="s">
        <v>66</v>
      </c>
      <c r="G744">
        <v>0.15</v>
      </c>
      <c r="H744" t="s">
        <v>39</v>
      </c>
      <c r="I744">
        <v>-25</v>
      </c>
      <c r="J744" t="str">
        <f>HYPERLINK("https://www.eliteprospects.com/player/788680/jackson-gillespie")</f>
        <v>https://www.eliteprospects.com/player/788680/jackson-gillespie</v>
      </c>
      <c r="K744" t="s">
        <v>27</v>
      </c>
      <c r="L744" t="s">
        <v>631</v>
      </c>
      <c r="M744" t="s">
        <v>1296</v>
      </c>
      <c r="N744">
        <v>3</v>
      </c>
      <c r="O744" t="s">
        <v>639</v>
      </c>
      <c r="P744">
        <v>0.02</v>
      </c>
      <c r="Q744" t="s">
        <v>1488</v>
      </c>
      <c r="R744">
        <v>0</v>
      </c>
      <c r="S744">
        <v>0</v>
      </c>
      <c r="T744">
        <v>0</v>
      </c>
      <c r="U744">
        <v>0</v>
      </c>
      <c r="V744">
        <v>0</v>
      </c>
    </row>
    <row r="745" spans="1:22" x14ac:dyDescent="0.25">
      <c r="A745" t="s">
        <v>2052</v>
      </c>
      <c r="B745" t="s">
        <v>684</v>
      </c>
      <c r="C745">
        <v>35</v>
      </c>
      <c r="D745" t="s">
        <v>132</v>
      </c>
      <c r="E745" t="s">
        <v>66</v>
      </c>
      <c r="F745" t="s">
        <v>66</v>
      </c>
      <c r="G745">
        <v>0.11</v>
      </c>
      <c r="H745" t="s">
        <v>39</v>
      </c>
      <c r="I745">
        <v>-8</v>
      </c>
      <c r="J745" t="str">
        <f>HYPERLINK("https://www.eliteprospects.com/player/810648/darian-rolsing")</f>
        <v>https://www.eliteprospects.com/player/810648/darian-rolsing</v>
      </c>
      <c r="K745" t="s">
        <v>27</v>
      </c>
      <c r="L745" t="s">
        <v>631</v>
      </c>
      <c r="M745" t="s">
        <v>1296</v>
      </c>
      <c r="N745">
        <v>1</v>
      </c>
      <c r="O745" t="s">
        <v>634</v>
      </c>
      <c r="P745">
        <v>0.02</v>
      </c>
      <c r="Q745" t="s">
        <v>1488</v>
      </c>
      <c r="R745">
        <v>0</v>
      </c>
      <c r="S745">
        <v>0</v>
      </c>
      <c r="T745">
        <v>0</v>
      </c>
      <c r="U745">
        <v>0</v>
      </c>
      <c r="V745">
        <v>0</v>
      </c>
    </row>
    <row r="746" spans="1:22" x14ac:dyDescent="0.25">
      <c r="A746" t="s">
        <v>2053</v>
      </c>
      <c r="B746" t="s">
        <v>507</v>
      </c>
      <c r="C746">
        <v>39</v>
      </c>
      <c r="D746" t="s">
        <v>132</v>
      </c>
      <c r="E746" t="s">
        <v>66</v>
      </c>
      <c r="F746" t="s">
        <v>66</v>
      </c>
      <c r="G746">
        <v>0.1</v>
      </c>
      <c r="H746" t="s">
        <v>23</v>
      </c>
      <c r="I746">
        <v>-22</v>
      </c>
      <c r="J746" t="str">
        <f>HYPERLINK("https://www.eliteprospects.com/player/577083/brennen-hocher")</f>
        <v>https://www.eliteprospects.com/player/577083/brennen-hocher</v>
      </c>
      <c r="K746" t="s">
        <v>27</v>
      </c>
      <c r="L746" t="s">
        <v>631</v>
      </c>
      <c r="M746" t="s">
        <v>1296</v>
      </c>
      <c r="N746">
        <v>1</v>
      </c>
      <c r="O746" t="s">
        <v>634</v>
      </c>
      <c r="P746">
        <v>0.01</v>
      </c>
      <c r="Q746" t="s">
        <v>1488</v>
      </c>
      <c r="R746">
        <v>0</v>
      </c>
      <c r="S746">
        <v>0</v>
      </c>
      <c r="T746">
        <v>0</v>
      </c>
      <c r="U746">
        <v>0</v>
      </c>
      <c r="V746">
        <v>0</v>
      </c>
    </row>
    <row r="747" spans="1:22" x14ac:dyDescent="0.25">
      <c r="A747" t="s">
        <v>2054</v>
      </c>
      <c r="B747" t="s">
        <v>507</v>
      </c>
      <c r="C747">
        <v>19</v>
      </c>
      <c r="D747" t="s">
        <v>79</v>
      </c>
      <c r="E747" t="s">
        <v>260</v>
      </c>
      <c r="F747" t="s">
        <v>140</v>
      </c>
      <c r="G747">
        <v>0.16</v>
      </c>
      <c r="H747" t="s">
        <v>66</v>
      </c>
      <c r="I747">
        <v>-2</v>
      </c>
      <c r="J747" t="str">
        <f>HYPERLINK("https://www.eliteprospects.com/player/830374/cameron-dillard")</f>
        <v>https://www.eliteprospects.com/player/830374/cameron-dillard</v>
      </c>
      <c r="K747" t="s">
        <v>27</v>
      </c>
      <c r="L747" t="s">
        <v>631</v>
      </c>
      <c r="M747" t="s">
        <v>1296</v>
      </c>
      <c r="N747">
        <v>1</v>
      </c>
      <c r="O747" t="s">
        <v>634</v>
      </c>
      <c r="P747">
        <v>0.02</v>
      </c>
      <c r="Q747" t="s">
        <v>1488</v>
      </c>
      <c r="R747">
        <v>0</v>
      </c>
      <c r="S747">
        <v>0</v>
      </c>
      <c r="T747">
        <v>0</v>
      </c>
      <c r="U747">
        <v>0</v>
      </c>
      <c r="V747">
        <v>0</v>
      </c>
    </row>
    <row r="748" spans="1:22" x14ac:dyDescent="0.25">
      <c r="A748" t="s">
        <v>2055</v>
      </c>
      <c r="B748" t="s">
        <v>653</v>
      </c>
      <c r="C748">
        <v>12</v>
      </c>
      <c r="D748" t="s">
        <v>260</v>
      </c>
      <c r="E748" t="s">
        <v>79</v>
      </c>
      <c r="F748" t="s">
        <v>140</v>
      </c>
      <c r="G748">
        <v>0.25</v>
      </c>
      <c r="H748" t="s">
        <v>132</v>
      </c>
      <c r="I748">
        <v>0</v>
      </c>
      <c r="J748" t="str">
        <f>HYPERLINK("https://www.eliteprospects.com/player/692793/gabriel-guilbault")</f>
        <v>https://www.eliteprospects.com/player/692793/gabriel-guilbault</v>
      </c>
      <c r="K748" t="s">
        <v>27</v>
      </c>
      <c r="L748" t="s">
        <v>631</v>
      </c>
      <c r="M748" t="s">
        <v>1296</v>
      </c>
      <c r="N748">
        <v>2</v>
      </c>
      <c r="O748" t="s">
        <v>636</v>
      </c>
      <c r="P748">
        <v>0.04</v>
      </c>
      <c r="Q748" t="s">
        <v>1488</v>
      </c>
      <c r="R748">
        <v>0</v>
      </c>
      <c r="S748">
        <v>0</v>
      </c>
      <c r="T748">
        <v>0</v>
      </c>
      <c r="U748">
        <v>0</v>
      </c>
      <c r="V748">
        <v>0</v>
      </c>
    </row>
    <row r="749" spans="1:22" x14ac:dyDescent="0.25">
      <c r="A749" t="s">
        <v>2056</v>
      </c>
      <c r="B749" t="s">
        <v>507</v>
      </c>
      <c r="C749">
        <v>14</v>
      </c>
      <c r="D749" t="s">
        <v>260</v>
      </c>
      <c r="E749" t="s">
        <v>79</v>
      </c>
      <c r="F749" t="s">
        <v>140</v>
      </c>
      <c r="G749">
        <v>0.21</v>
      </c>
      <c r="H749" t="s">
        <v>66</v>
      </c>
      <c r="I749">
        <v>-7</v>
      </c>
      <c r="J749" t="str">
        <f>HYPERLINK("https://www.eliteprospects.com/player/881380/easton-laplante")</f>
        <v>https://www.eliteprospects.com/player/881380/easton-laplante</v>
      </c>
      <c r="K749" t="s">
        <v>27</v>
      </c>
      <c r="L749" t="s">
        <v>631</v>
      </c>
      <c r="M749" t="s">
        <v>1296</v>
      </c>
      <c r="N749">
        <v>3</v>
      </c>
      <c r="O749" t="s">
        <v>639</v>
      </c>
      <c r="P749">
        <v>0.03</v>
      </c>
      <c r="Q749" t="s">
        <v>1488</v>
      </c>
      <c r="R749">
        <v>0</v>
      </c>
      <c r="S749">
        <v>0</v>
      </c>
      <c r="T749">
        <v>0</v>
      </c>
      <c r="U749">
        <v>0</v>
      </c>
      <c r="V749">
        <v>0</v>
      </c>
    </row>
    <row r="750" spans="1:22" x14ac:dyDescent="0.25">
      <c r="A750" t="s">
        <v>2057</v>
      </c>
      <c r="B750" t="s">
        <v>657</v>
      </c>
      <c r="C750">
        <v>14</v>
      </c>
      <c r="D750" t="s">
        <v>260</v>
      </c>
      <c r="E750" t="s">
        <v>79</v>
      </c>
      <c r="F750" t="s">
        <v>140</v>
      </c>
      <c r="G750">
        <v>0.21</v>
      </c>
      <c r="H750" t="s">
        <v>26</v>
      </c>
      <c r="I750">
        <v>3</v>
      </c>
      <c r="J750" t="str">
        <f>HYPERLINK("https://www.eliteprospects.com/player/698203/cosmo-wilson")</f>
        <v>https://www.eliteprospects.com/player/698203/cosmo-wilson</v>
      </c>
      <c r="K750" t="s">
        <v>27</v>
      </c>
      <c r="L750" t="s">
        <v>631</v>
      </c>
      <c r="M750" t="s">
        <v>1296</v>
      </c>
      <c r="N750">
        <v>5</v>
      </c>
      <c r="O750" t="s">
        <v>645</v>
      </c>
      <c r="P750">
        <v>0.03</v>
      </c>
      <c r="Q750" t="s">
        <v>1488</v>
      </c>
      <c r="R750">
        <v>0</v>
      </c>
      <c r="S750">
        <v>0</v>
      </c>
      <c r="T750">
        <v>0</v>
      </c>
      <c r="U750">
        <v>0</v>
      </c>
      <c r="V750">
        <v>0</v>
      </c>
    </row>
    <row r="751" spans="1:22" x14ac:dyDescent="0.25">
      <c r="A751" t="s">
        <v>2058</v>
      </c>
      <c r="B751" t="s">
        <v>659</v>
      </c>
      <c r="C751">
        <v>23</v>
      </c>
      <c r="D751" t="s">
        <v>260</v>
      </c>
      <c r="E751" t="s">
        <v>79</v>
      </c>
      <c r="F751" t="s">
        <v>140</v>
      </c>
      <c r="G751">
        <v>0.13</v>
      </c>
      <c r="H751" t="s">
        <v>79</v>
      </c>
      <c r="I751">
        <v>-4</v>
      </c>
      <c r="J751" t="str">
        <f>HYPERLINK("https://www.eliteprospects.com/player/884921/david-byrne")</f>
        <v>https://www.eliteprospects.com/player/884921/david-byrne</v>
      </c>
      <c r="K751" t="s">
        <v>27</v>
      </c>
      <c r="L751" t="s">
        <v>631</v>
      </c>
      <c r="M751" t="s">
        <v>1296</v>
      </c>
      <c r="N751">
        <v>2</v>
      </c>
      <c r="O751" t="s">
        <v>636</v>
      </c>
      <c r="P751">
        <v>0.02</v>
      </c>
      <c r="Q751" t="s">
        <v>1488</v>
      </c>
      <c r="R751">
        <v>0</v>
      </c>
      <c r="S751">
        <v>0</v>
      </c>
      <c r="T751">
        <v>0</v>
      </c>
      <c r="U751">
        <v>0</v>
      </c>
      <c r="V751">
        <v>0</v>
      </c>
    </row>
    <row r="752" spans="1:22" x14ac:dyDescent="0.25">
      <c r="A752" t="s">
        <v>2059</v>
      </c>
      <c r="B752" t="s">
        <v>507</v>
      </c>
      <c r="C752">
        <v>23</v>
      </c>
      <c r="D752" t="s">
        <v>260</v>
      </c>
      <c r="E752" t="s">
        <v>79</v>
      </c>
      <c r="F752" t="s">
        <v>140</v>
      </c>
      <c r="G752">
        <v>0.13</v>
      </c>
      <c r="H752" t="s">
        <v>518</v>
      </c>
      <c r="I752">
        <v>-2</v>
      </c>
      <c r="J752" t="str">
        <f>HYPERLINK("https://www.eliteprospects.com/player/709809/derek-thurston")</f>
        <v>https://www.eliteprospects.com/player/709809/derek-thurston</v>
      </c>
      <c r="K752" t="s">
        <v>27</v>
      </c>
      <c r="L752" t="s">
        <v>631</v>
      </c>
      <c r="M752" t="s">
        <v>1296</v>
      </c>
      <c r="N752">
        <v>3</v>
      </c>
      <c r="O752" t="s">
        <v>639</v>
      </c>
      <c r="P752">
        <v>0.02</v>
      </c>
      <c r="Q752" t="s">
        <v>1488</v>
      </c>
      <c r="R752">
        <v>0</v>
      </c>
      <c r="S752">
        <v>0</v>
      </c>
      <c r="T752">
        <v>0</v>
      </c>
      <c r="U752">
        <v>0</v>
      </c>
      <c r="V752">
        <v>0</v>
      </c>
    </row>
    <row r="753" spans="1:22" x14ac:dyDescent="0.25">
      <c r="A753" t="s">
        <v>2060</v>
      </c>
      <c r="B753" t="s">
        <v>659</v>
      </c>
      <c r="C753">
        <v>29</v>
      </c>
      <c r="D753" t="s">
        <v>260</v>
      </c>
      <c r="E753" t="s">
        <v>79</v>
      </c>
      <c r="F753" t="s">
        <v>140</v>
      </c>
      <c r="G753">
        <v>0.1</v>
      </c>
      <c r="H753" t="s">
        <v>79</v>
      </c>
      <c r="I753">
        <v>-8</v>
      </c>
      <c r="J753" t="str">
        <f>HYPERLINK("https://www.eliteprospects.com/player/701498/aden-bouchard")</f>
        <v>https://www.eliteprospects.com/player/701498/aden-bouchard</v>
      </c>
      <c r="K753" t="s">
        <v>27</v>
      </c>
      <c r="L753" t="s">
        <v>631</v>
      </c>
      <c r="M753" t="s">
        <v>1296</v>
      </c>
      <c r="N753">
        <v>2</v>
      </c>
      <c r="O753" t="s">
        <v>636</v>
      </c>
      <c r="P753">
        <v>0.01</v>
      </c>
      <c r="Q753" t="s">
        <v>1488</v>
      </c>
      <c r="R753">
        <v>0</v>
      </c>
      <c r="S753">
        <v>0</v>
      </c>
      <c r="T753">
        <v>0</v>
      </c>
      <c r="U753">
        <v>0</v>
      </c>
      <c r="V753">
        <v>0</v>
      </c>
    </row>
    <row r="754" spans="1:22" x14ac:dyDescent="0.25">
      <c r="A754" t="s">
        <v>2061</v>
      </c>
      <c r="B754" t="s">
        <v>660</v>
      </c>
      <c r="C754">
        <v>29</v>
      </c>
      <c r="D754" t="s">
        <v>260</v>
      </c>
      <c r="E754" t="s">
        <v>79</v>
      </c>
      <c r="F754" t="s">
        <v>140</v>
      </c>
      <c r="G754">
        <v>0.1</v>
      </c>
      <c r="H754" t="s">
        <v>45</v>
      </c>
      <c r="I754">
        <v>-17</v>
      </c>
      <c r="J754" t="str">
        <f>HYPERLINK("https://www.eliteprospects.com/player/962129/cohen-williams")</f>
        <v>https://www.eliteprospects.com/player/962129/cohen-williams</v>
      </c>
      <c r="K754" t="s">
        <v>27</v>
      </c>
      <c r="L754" t="s">
        <v>631</v>
      </c>
      <c r="M754" t="s">
        <v>1296</v>
      </c>
      <c r="N754">
        <v>2</v>
      </c>
      <c r="O754" t="s">
        <v>636</v>
      </c>
      <c r="P754">
        <v>0.01</v>
      </c>
      <c r="Q754" t="s">
        <v>1488</v>
      </c>
      <c r="R754">
        <v>0</v>
      </c>
      <c r="S754">
        <v>0</v>
      </c>
      <c r="T754">
        <v>0</v>
      </c>
      <c r="U754">
        <v>0</v>
      </c>
      <c r="V754">
        <v>0</v>
      </c>
    </row>
    <row r="755" spans="1:22" x14ac:dyDescent="0.25">
      <c r="A755" t="s">
        <v>2062</v>
      </c>
      <c r="B755" t="s">
        <v>671</v>
      </c>
      <c r="C755">
        <v>30</v>
      </c>
      <c r="D755" t="s">
        <v>260</v>
      </c>
      <c r="E755" t="s">
        <v>79</v>
      </c>
      <c r="F755" t="s">
        <v>140</v>
      </c>
      <c r="G755">
        <v>0.1</v>
      </c>
      <c r="H755" t="s">
        <v>47</v>
      </c>
      <c r="I755">
        <v>2</v>
      </c>
      <c r="J755" t="str">
        <f>HYPERLINK("https://www.eliteprospects.com/player/941082/harry-mattern")</f>
        <v>https://www.eliteprospects.com/player/941082/harry-mattern</v>
      </c>
      <c r="K755" t="s">
        <v>27</v>
      </c>
      <c r="L755" t="s">
        <v>631</v>
      </c>
      <c r="M755" t="s">
        <v>1296</v>
      </c>
      <c r="N755">
        <v>2</v>
      </c>
      <c r="O755" t="s">
        <v>636</v>
      </c>
      <c r="P755">
        <v>0.01</v>
      </c>
      <c r="Q755" t="s">
        <v>1488</v>
      </c>
      <c r="R755">
        <v>0</v>
      </c>
      <c r="S755">
        <v>0</v>
      </c>
      <c r="T755">
        <v>0</v>
      </c>
      <c r="U755">
        <v>0</v>
      </c>
      <c r="V755">
        <v>0</v>
      </c>
    </row>
    <row r="756" spans="1:22" x14ac:dyDescent="0.25">
      <c r="A756" t="s">
        <v>2063</v>
      </c>
      <c r="B756" t="s">
        <v>702</v>
      </c>
      <c r="C756">
        <v>38</v>
      </c>
      <c r="D756" t="s">
        <v>260</v>
      </c>
      <c r="E756" t="s">
        <v>79</v>
      </c>
      <c r="F756" t="s">
        <v>140</v>
      </c>
      <c r="G756">
        <v>0.08</v>
      </c>
      <c r="H756" t="s">
        <v>39</v>
      </c>
      <c r="I756">
        <v>-3</v>
      </c>
      <c r="J756" t="str">
        <f>HYPERLINK("https://www.eliteprospects.com/player/784264/lance-mccloskey")</f>
        <v>https://www.eliteprospects.com/player/784264/lance-mccloskey</v>
      </c>
      <c r="K756" t="s">
        <v>27</v>
      </c>
      <c r="L756" t="s">
        <v>631</v>
      </c>
      <c r="M756" t="s">
        <v>1296</v>
      </c>
      <c r="N756">
        <v>1</v>
      </c>
      <c r="O756" t="s">
        <v>634</v>
      </c>
      <c r="P756">
        <v>0.01</v>
      </c>
      <c r="Q756" t="s">
        <v>1488</v>
      </c>
      <c r="R756">
        <v>0</v>
      </c>
      <c r="S756">
        <v>0</v>
      </c>
      <c r="T756">
        <v>0</v>
      </c>
      <c r="U756">
        <v>0</v>
      </c>
      <c r="V756">
        <v>0</v>
      </c>
    </row>
    <row r="757" spans="1:22" x14ac:dyDescent="0.25">
      <c r="A757" t="s">
        <v>2064</v>
      </c>
      <c r="B757" t="s">
        <v>676</v>
      </c>
      <c r="C757">
        <v>27</v>
      </c>
      <c r="D757" t="s">
        <v>132</v>
      </c>
      <c r="E757" t="s">
        <v>140</v>
      </c>
      <c r="F757" t="s">
        <v>140</v>
      </c>
      <c r="G757">
        <v>0.11</v>
      </c>
      <c r="H757" t="s">
        <v>25</v>
      </c>
      <c r="I757">
        <v>-9</v>
      </c>
      <c r="J757" t="str">
        <f>HYPERLINK("https://www.eliteprospects.com/player/795077/dayton-deschamps")</f>
        <v>https://www.eliteprospects.com/player/795077/dayton-deschamps</v>
      </c>
      <c r="K757" t="s">
        <v>27</v>
      </c>
      <c r="L757" t="s">
        <v>631</v>
      </c>
      <c r="M757" t="s">
        <v>1296</v>
      </c>
      <c r="N757">
        <v>2</v>
      </c>
      <c r="O757" t="s">
        <v>636</v>
      </c>
      <c r="P757">
        <v>0.02</v>
      </c>
      <c r="Q757" t="s">
        <v>1488</v>
      </c>
      <c r="R757">
        <v>0</v>
      </c>
      <c r="S757">
        <v>0</v>
      </c>
      <c r="T757">
        <v>0</v>
      </c>
      <c r="U757">
        <v>0</v>
      </c>
      <c r="V757">
        <v>0</v>
      </c>
    </row>
    <row r="758" spans="1:22" x14ac:dyDescent="0.25">
      <c r="A758" t="s">
        <v>2065</v>
      </c>
      <c r="B758" t="s">
        <v>635</v>
      </c>
      <c r="C758">
        <v>28</v>
      </c>
      <c r="D758" t="s">
        <v>132</v>
      </c>
      <c r="E758" t="s">
        <v>140</v>
      </c>
      <c r="F758" t="s">
        <v>140</v>
      </c>
      <c r="G758">
        <v>0.11</v>
      </c>
      <c r="H758" t="s">
        <v>269</v>
      </c>
      <c r="I758">
        <v>4</v>
      </c>
      <c r="J758" t="str">
        <f>HYPERLINK("https://www.eliteprospects.com/player/725705/rhys-pederson")</f>
        <v>https://www.eliteprospects.com/player/725705/rhys-pederson</v>
      </c>
      <c r="K758" t="s">
        <v>27</v>
      </c>
      <c r="L758" t="s">
        <v>631</v>
      </c>
      <c r="M758" t="s">
        <v>1296</v>
      </c>
      <c r="N758">
        <v>4</v>
      </c>
      <c r="O758" t="s">
        <v>632</v>
      </c>
      <c r="P758">
        <v>0.02</v>
      </c>
      <c r="Q758" t="s">
        <v>1488</v>
      </c>
      <c r="R758">
        <v>0</v>
      </c>
      <c r="S758">
        <v>0</v>
      </c>
      <c r="T758">
        <v>0</v>
      </c>
      <c r="U758">
        <v>0</v>
      </c>
      <c r="V758">
        <v>0</v>
      </c>
    </row>
    <row r="759" spans="1:22" x14ac:dyDescent="0.25">
      <c r="A759" t="s">
        <v>2066</v>
      </c>
      <c r="B759" t="s">
        <v>641</v>
      </c>
      <c r="C759">
        <v>30</v>
      </c>
      <c r="D759" t="s">
        <v>132</v>
      </c>
      <c r="E759" t="s">
        <v>140</v>
      </c>
      <c r="F759" t="s">
        <v>140</v>
      </c>
      <c r="G759">
        <v>0.1</v>
      </c>
      <c r="H759" t="s">
        <v>277</v>
      </c>
      <c r="I759">
        <v>15</v>
      </c>
      <c r="J759" t="str">
        <f>HYPERLINK("https://www.eliteprospects.com/player/617646/sean-burick")</f>
        <v>https://www.eliteprospects.com/player/617646/sean-burick</v>
      </c>
      <c r="K759" t="s">
        <v>27</v>
      </c>
      <c r="L759" t="s">
        <v>631</v>
      </c>
      <c r="M759" t="s">
        <v>1296</v>
      </c>
      <c r="N759">
        <v>1</v>
      </c>
      <c r="O759" t="s">
        <v>634</v>
      </c>
      <c r="P759">
        <v>0.01</v>
      </c>
      <c r="Q759" t="s">
        <v>1488</v>
      </c>
      <c r="R759">
        <v>0</v>
      </c>
      <c r="S759">
        <v>0</v>
      </c>
      <c r="T759">
        <v>0</v>
      </c>
      <c r="U759">
        <v>0</v>
      </c>
      <c r="V759">
        <v>0</v>
      </c>
    </row>
    <row r="760" spans="1:22" x14ac:dyDescent="0.25">
      <c r="A760" t="s">
        <v>2067</v>
      </c>
      <c r="B760" t="s">
        <v>686</v>
      </c>
      <c r="C760">
        <v>38</v>
      </c>
      <c r="D760" t="s">
        <v>132</v>
      </c>
      <c r="E760" t="s">
        <v>140</v>
      </c>
      <c r="F760" t="s">
        <v>140</v>
      </c>
      <c r="G760">
        <v>0.08</v>
      </c>
      <c r="H760" t="s">
        <v>178</v>
      </c>
      <c r="I760">
        <v>-11</v>
      </c>
      <c r="J760" t="str">
        <f>HYPERLINK("https://www.eliteprospects.com/player/883645/jake-missura")</f>
        <v>https://www.eliteprospects.com/player/883645/jake-missura</v>
      </c>
      <c r="K760" t="s">
        <v>27</v>
      </c>
      <c r="L760" t="s">
        <v>631</v>
      </c>
      <c r="M760" t="s">
        <v>1296</v>
      </c>
      <c r="N760">
        <v>3</v>
      </c>
      <c r="O760" t="s">
        <v>639</v>
      </c>
      <c r="P760">
        <v>0.01</v>
      </c>
      <c r="Q760" t="s">
        <v>1488</v>
      </c>
      <c r="R760">
        <v>0</v>
      </c>
      <c r="S760">
        <v>0</v>
      </c>
      <c r="T760">
        <v>0</v>
      </c>
      <c r="U760">
        <v>0</v>
      </c>
      <c r="V760">
        <v>0</v>
      </c>
    </row>
    <row r="761" spans="1:22" x14ac:dyDescent="0.25">
      <c r="A761" t="s">
        <v>2068</v>
      </c>
      <c r="B761" t="s">
        <v>507</v>
      </c>
      <c r="C761">
        <v>17</v>
      </c>
      <c r="D761" t="s">
        <v>79</v>
      </c>
      <c r="E761" t="s">
        <v>132</v>
      </c>
      <c r="F761" t="s">
        <v>79</v>
      </c>
      <c r="G761">
        <v>0.12</v>
      </c>
      <c r="H761" t="s">
        <v>39</v>
      </c>
      <c r="I761">
        <v>-3</v>
      </c>
      <c r="J761" t="str">
        <f>HYPERLINK("https://www.eliteprospects.com/player/746975/caden-campion")</f>
        <v>https://www.eliteprospects.com/player/746975/caden-campion</v>
      </c>
      <c r="K761" t="s">
        <v>27</v>
      </c>
      <c r="L761" t="s">
        <v>631</v>
      </c>
      <c r="M761" t="s">
        <v>1296</v>
      </c>
      <c r="N761">
        <v>1</v>
      </c>
      <c r="O761" t="s">
        <v>634</v>
      </c>
      <c r="P761">
        <v>0.02</v>
      </c>
      <c r="Q761" t="s">
        <v>1488</v>
      </c>
      <c r="R761">
        <v>0</v>
      </c>
      <c r="S761">
        <v>0</v>
      </c>
      <c r="T761">
        <v>0</v>
      </c>
      <c r="U761">
        <v>0</v>
      </c>
      <c r="V761">
        <v>0</v>
      </c>
    </row>
    <row r="762" spans="1:22" x14ac:dyDescent="0.25">
      <c r="A762" t="s">
        <v>2069</v>
      </c>
      <c r="B762" t="s">
        <v>667</v>
      </c>
      <c r="C762">
        <v>14</v>
      </c>
      <c r="D762" t="s">
        <v>260</v>
      </c>
      <c r="E762" t="s">
        <v>260</v>
      </c>
      <c r="F762" t="s">
        <v>79</v>
      </c>
      <c r="G762">
        <v>0.14000000000000001</v>
      </c>
      <c r="H762" t="s">
        <v>24</v>
      </c>
      <c r="I762">
        <v>6</v>
      </c>
      <c r="J762" t="str">
        <f>HYPERLINK("https://www.eliteprospects.com/player/736409/isaac-poll")</f>
        <v>https://www.eliteprospects.com/player/736409/isaac-poll</v>
      </c>
      <c r="K762" t="s">
        <v>27</v>
      </c>
      <c r="L762" t="s">
        <v>631</v>
      </c>
      <c r="M762" t="s">
        <v>1296</v>
      </c>
      <c r="N762">
        <v>3</v>
      </c>
      <c r="O762" t="s">
        <v>639</v>
      </c>
      <c r="P762">
        <v>0.02</v>
      </c>
      <c r="Q762" t="s">
        <v>1488</v>
      </c>
      <c r="R762">
        <v>0</v>
      </c>
      <c r="S762">
        <v>0</v>
      </c>
      <c r="T762">
        <v>0</v>
      </c>
      <c r="U762">
        <v>0</v>
      </c>
      <c r="V762">
        <v>0</v>
      </c>
    </row>
    <row r="763" spans="1:22" x14ac:dyDescent="0.25">
      <c r="A763" t="s">
        <v>2070</v>
      </c>
      <c r="B763" t="s">
        <v>640</v>
      </c>
      <c r="C763">
        <v>18</v>
      </c>
      <c r="D763" t="s">
        <v>260</v>
      </c>
      <c r="E763" t="s">
        <v>260</v>
      </c>
      <c r="F763" t="s">
        <v>79</v>
      </c>
      <c r="G763">
        <v>0.11</v>
      </c>
      <c r="H763" t="s">
        <v>132</v>
      </c>
      <c r="I763">
        <v>3</v>
      </c>
      <c r="J763" t="str">
        <f>HYPERLINK("https://www.eliteprospects.com/player/950610/luke-christopherson")</f>
        <v>https://www.eliteprospects.com/player/950610/luke-christopherson</v>
      </c>
      <c r="K763" t="s">
        <v>27</v>
      </c>
      <c r="L763" t="s">
        <v>631</v>
      </c>
      <c r="M763" t="s">
        <v>1296</v>
      </c>
      <c r="N763">
        <v>1</v>
      </c>
      <c r="O763" t="s">
        <v>634</v>
      </c>
      <c r="P763">
        <v>0.02</v>
      </c>
      <c r="Q763" t="s">
        <v>1488</v>
      </c>
      <c r="R763">
        <v>0</v>
      </c>
      <c r="S763">
        <v>0</v>
      </c>
      <c r="T763">
        <v>0</v>
      </c>
      <c r="U763">
        <v>0</v>
      </c>
      <c r="V763">
        <v>0</v>
      </c>
    </row>
    <row r="764" spans="1:22" x14ac:dyDescent="0.25">
      <c r="A764" t="s">
        <v>2071</v>
      </c>
      <c r="B764" t="s">
        <v>507</v>
      </c>
      <c r="C764">
        <v>23</v>
      </c>
      <c r="D764" t="s">
        <v>260</v>
      </c>
      <c r="E764" t="s">
        <v>260</v>
      </c>
      <c r="F764" t="s">
        <v>79</v>
      </c>
      <c r="G764">
        <v>0.09</v>
      </c>
      <c r="H764" t="s">
        <v>40</v>
      </c>
      <c r="I764">
        <v>0</v>
      </c>
      <c r="J764" t="str">
        <f>HYPERLINK("https://www.eliteprospects.com/player/825478/jaxson-pawlenchuk")</f>
        <v>https://www.eliteprospects.com/player/825478/jaxson-pawlenchuk</v>
      </c>
      <c r="K764" t="s">
        <v>27</v>
      </c>
      <c r="L764" t="s">
        <v>631</v>
      </c>
      <c r="M764" t="s">
        <v>1296</v>
      </c>
      <c r="N764">
        <v>2</v>
      </c>
      <c r="O764" t="s">
        <v>636</v>
      </c>
      <c r="P764">
        <v>0.01</v>
      </c>
      <c r="Q764" t="s">
        <v>1488</v>
      </c>
      <c r="R764">
        <v>0</v>
      </c>
      <c r="S764">
        <v>0</v>
      </c>
      <c r="T764">
        <v>0</v>
      </c>
      <c r="U764">
        <v>0</v>
      </c>
      <c r="V764">
        <v>0</v>
      </c>
    </row>
    <row r="765" spans="1:22" x14ac:dyDescent="0.25">
      <c r="A765" t="s">
        <v>2072</v>
      </c>
      <c r="B765" t="s">
        <v>684</v>
      </c>
      <c r="C765">
        <v>13</v>
      </c>
      <c r="D765" t="s">
        <v>132</v>
      </c>
      <c r="E765" t="s">
        <v>79</v>
      </c>
      <c r="F765" t="s">
        <v>79</v>
      </c>
      <c r="G765">
        <v>0.15</v>
      </c>
      <c r="H765" t="s">
        <v>23</v>
      </c>
      <c r="I765">
        <v>-6</v>
      </c>
      <c r="J765" t="str">
        <f>HYPERLINK("https://www.eliteprospects.com/player/965717/daniel-vaillant")</f>
        <v>https://www.eliteprospects.com/player/965717/daniel-vaillant</v>
      </c>
      <c r="K765" t="s">
        <v>27</v>
      </c>
      <c r="L765" t="s">
        <v>631</v>
      </c>
      <c r="M765" t="s">
        <v>1296</v>
      </c>
      <c r="N765">
        <v>2</v>
      </c>
      <c r="O765" t="s">
        <v>636</v>
      </c>
      <c r="P765">
        <v>0.02</v>
      </c>
      <c r="Q765" t="s">
        <v>1488</v>
      </c>
      <c r="R765">
        <v>0</v>
      </c>
      <c r="S765">
        <v>0</v>
      </c>
      <c r="T765">
        <v>0</v>
      </c>
      <c r="U765">
        <v>0</v>
      </c>
      <c r="V765">
        <v>0</v>
      </c>
    </row>
    <row r="766" spans="1:22" x14ac:dyDescent="0.25">
      <c r="A766" t="s">
        <v>2073</v>
      </c>
      <c r="B766" t="s">
        <v>635</v>
      </c>
      <c r="C766">
        <v>17</v>
      </c>
      <c r="D766" t="s">
        <v>132</v>
      </c>
      <c r="E766" t="s">
        <v>79</v>
      </c>
      <c r="F766" t="s">
        <v>79</v>
      </c>
      <c r="G766">
        <v>0.12</v>
      </c>
      <c r="H766" t="s">
        <v>60</v>
      </c>
      <c r="I766">
        <v>4</v>
      </c>
      <c r="J766" t="str">
        <f>HYPERLINK("https://www.eliteprospects.com/player/804399/ryan-gower")</f>
        <v>https://www.eliteprospects.com/player/804399/ryan-gower</v>
      </c>
      <c r="K766" t="s">
        <v>27</v>
      </c>
      <c r="L766" t="s">
        <v>631</v>
      </c>
      <c r="M766" t="s">
        <v>1296</v>
      </c>
      <c r="N766">
        <v>2</v>
      </c>
      <c r="O766" t="s">
        <v>636</v>
      </c>
      <c r="P766">
        <v>0.02</v>
      </c>
      <c r="Q766" t="s">
        <v>1488</v>
      </c>
      <c r="R766">
        <v>0</v>
      </c>
      <c r="S766">
        <v>0</v>
      </c>
      <c r="T766">
        <v>0</v>
      </c>
      <c r="U766">
        <v>0</v>
      </c>
      <c r="V766">
        <v>0</v>
      </c>
    </row>
    <row r="767" spans="1:22" x14ac:dyDescent="0.25">
      <c r="A767" t="s">
        <v>2074</v>
      </c>
      <c r="B767" t="s">
        <v>709</v>
      </c>
      <c r="C767">
        <v>25</v>
      </c>
      <c r="D767" t="s">
        <v>132</v>
      </c>
      <c r="E767" t="s">
        <v>79</v>
      </c>
      <c r="F767" t="s">
        <v>79</v>
      </c>
      <c r="G767">
        <v>0.08</v>
      </c>
      <c r="H767" t="s">
        <v>55</v>
      </c>
      <c r="I767">
        <v>-10</v>
      </c>
      <c r="J767" t="str">
        <f>HYPERLINK("https://www.eliteprospects.com/player/879108/nathan-gray")</f>
        <v>https://www.eliteprospects.com/player/879108/nathan-gray</v>
      </c>
      <c r="K767" t="s">
        <v>27</v>
      </c>
      <c r="L767" t="s">
        <v>631</v>
      </c>
      <c r="M767" t="s">
        <v>1296</v>
      </c>
      <c r="N767">
        <v>2</v>
      </c>
      <c r="O767" t="s">
        <v>636</v>
      </c>
      <c r="P767">
        <v>0.01</v>
      </c>
      <c r="Q767" t="s">
        <v>1488</v>
      </c>
      <c r="R767">
        <v>0</v>
      </c>
      <c r="S767">
        <v>0</v>
      </c>
      <c r="T767">
        <v>0</v>
      </c>
      <c r="U767">
        <v>0</v>
      </c>
      <c r="V767">
        <v>0</v>
      </c>
    </row>
    <row r="768" spans="1:22" x14ac:dyDescent="0.25">
      <c r="A768" t="s">
        <v>2075</v>
      </c>
      <c r="B768" t="s">
        <v>676</v>
      </c>
      <c r="C768">
        <v>27</v>
      </c>
      <c r="D768" t="s">
        <v>132</v>
      </c>
      <c r="E768" t="s">
        <v>79</v>
      </c>
      <c r="F768" t="s">
        <v>79</v>
      </c>
      <c r="G768">
        <v>7.0000000000000007E-2</v>
      </c>
      <c r="H768" t="s">
        <v>34</v>
      </c>
      <c r="I768">
        <v>-8</v>
      </c>
      <c r="J768" t="str">
        <f>HYPERLINK("https://www.eliteprospects.com/player/855900/jonas-kohn")</f>
        <v>https://www.eliteprospects.com/player/855900/jonas-kohn</v>
      </c>
      <c r="K768" t="s">
        <v>27</v>
      </c>
      <c r="L768" t="s">
        <v>631</v>
      </c>
      <c r="M768" t="s">
        <v>1296</v>
      </c>
      <c r="N768">
        <v>1</v>
      </c>
      <c r="O768" t="s">
        <v>634</v>
      </c>
      <c r="P768">
        <v>0.01</v>
      </c>
      <c r="Q768" t="s">
        <v>1488</v>
      </c>
      <c r="R768">
        <v>0</v>
      </c>
      <c r="S768">
        <v>0</v>
      </c>
      <c r="T768">
        <v>0</v>
      </c>
      <c r="U768">
        <v>0</v>
      </c>
      <c r="V768">
        <v>0</v>
      </c>
    </row>
    <row r="769" spans="1:22" x14ac:dyDescent="0.25">
      <c r="A769" t="s">
        <v>2076</v>
      </c>
      <c r="B769" t="s">
        <v>640</v>
      </c>
      <c r="C769">
        <v>28</v>
      </c>
      <c r="D769" t="s">
        <v>132</v>
      </c>
      <c r="E769" t="s">
        <v>79</v>
      </c>
      <c r="F769" t="s">
        <v>79</v>
      </c>
      <c r="G769">
        <v>7.0000000000000007E-2</v>
      </c>
      <c r="H769" t="s">
        <v>41</v>
      </c>
      <c r="I769">
        <v>-8</v>
      </c>
      <c r="J769" t="str">
        <f>HYPERLINK("https://www.eliteprospects.com/player/883528/cameron-jacobson")</f>
        <v>https://www.eliteprospects.com/player/883528/cameron-jacobson</v>
      </c>
      <c r="K769" t="s">
        <v>27</v>
      </c>
      <c r="L769" t="s">
        <v>631</v>
      </c>
      <c r="M769" t="s">
        <v>1296</v>
      </c>
      <c r="N769">
        <v>1</v>
      </c>
      <c r="O769" t="s">
        <v>634</v>
      </c>
      <c r="P769">
        <v>0.01</v>
      </c>
      <c r="Q769" t="s">
        <v>1488</v>
      </c>
      <c r="R769">
        <v>0</v>
      </c>
      <c r="S769">
        <v>0</v>
      </c>
      <c r="T769">
        <v>0</v>
      </c>
      <c r="U769">
        <v>0</v>
      </c>
      <c r="V769">
        <v>0</v>
      </c>
    </row>
    <row r="770" spans="1:22" x14ac:dyDescent="0.25">
      <c r="A770" t="s">
        <v>2077</v>
      </c>
      <c r="B770" t="s">
        <v>709</v>
      </c>
      <c r="C770">
        <v>32</v>
      </c>
      <c r="D770" t="s">
        <v>132</v>
      </c>
      <c r="E770" t="s">
        <v>79</v>
      </c>
      <c r="F770" t="s">
        <v>79</v>
      </c>
      <c r="G770">
        <v>0.06</v>
      </c>
      <c r="H770" t="s">
        <v>52</v>
      </c>
      <c r="I770">
        <v>-17</v>
      </c>
      <c r="J770" t="str">
        <f>HYPERLINK("https://www.eliteprospects.com/player/885641/daxon-yerex")</f>
        <v>https://www.eliteprospects.com/player/885641/daxon-yerex</v>
      </c>
      <c r="K770" t="s">
        <v>27</v>
      </c>
      <c r="L770" t="s">
        <v>631</v>
      </c>
      <c r="M770" t="s">
        <v>1296</v>
      </c>
      <c r="N770">
        <v>3</v>
      </c>
      <c r="O770" t="s">
        <v>639</v>
      </c>
      <c r="P770">
        <v>0.01</v>
      </c>
      <c r="Q770" t="s">
        <v>1488</v>
      </c>
      <c r="R770">
        <v>0</v>
      </c>
      <c r="S770">
        <v>0</v>
      </c>
      <c r="T770">
        <v>0</v>
      </c>
      <c r="U770">
        <v>0</v>
      </c>
      <c r="V770">
        <v>0</v>
      </c>
    </row>
    <row r="771" spans="1:22" x14ac:dyDescent="0.25">
      <c r="A771" t="s">
        <v>2078</v>
      </c>
      <c r="B771" t="s">
        <v>644</v>
      </c>
      <c r="C771">
        <v>35</v>
      </c>
      <c r="D771" t="s">
        <v>132</v>
      </c>
      <c r="E771" t="s">
        <v>79</v>
      </c>
      <c r="F771" t="s">
        <v>79</v>
      </c>
      <c r="G771">
        <v>0.06</v>
      </c>
      <c r="H771" t="s">
        <v>39</v>
      </c>
      <c r="I771">
        <v>-5</v>
      </c>
      <c r="J771" t="str">
        <f>HYPERLINK("https://www.eliteprospects.com/player/862399/phoenix-cahill")</f>
        <v>https://www.eliteprospects.com/player/862399/phoenix-cahill</v>
      </c>
      <c r="K771" t="s">
        <v>27</v>
      </c>
      <c r="L771" t="s">
        <v>631</v>
      </c>
      <c r="M771" t="s">
        <v>1296</v>
      </c>
      <c r="N771">
        <v>1</v>
      </c>
      <c r="O771" t="s">
        <v>634</v>
      </c>
      <c r="P771">
        <v>0.01</v>
      </c>
      <c r="Q771" t="s">
        <v>1488</v>
      </c>
      <c r="R771">
        <v>0</v>
      </c>
      <c r="S771">
        <v>0</v>
      </c>
      <c r="T771">
        <v>0</v>
      </c>
      <c r="U771">
        <v>0</v>
      </c>
      <c r="V771">
        <v>0</v>
      </c>
    </row>
    <row r="772" spans="1:22" x14ac:dyDescent="0.25">
      <c r="A772" t="s">
        <v>2079</v>
      </c>
      <c r="B772" t="s">
        <v>671</v>
      </c>
      <c r="C772">
        <v>11</v>
      </c>
      <c r="D772" t="s">
        <v>260</v>
      </c>
      <c r="E772" t="s">
        <v>132</v>
      </c>
      <c r="F772" t="s">
        <v>260</v>
      </c>
      <c r="G772">
        <v>0.09</v>
      </c>
      <c r="H772" t="s">
        <v>79</v>
      </c>
      <c r="I772">
        <v>5</v>
      </c>
      <c r="J772" t="str">
        <f>HYPERLINK("https://www.eliteprospects.com/player/963790/bryson-roberts")</f>
        <v>https://www.eliteprospects.com/player/963790/bryson-roberts</v>
      </c>
      <c r="K772" t="s">
        <v>27</v>
      </c>
      <c r="L772" t="s">
        <v>631</v>
      </c>
      <c r="M772" t="s">
        <v>1296</v>
      </c>
      <c r="N772">
        <v>1</v>
      </c>
      <c r="O772" t="s">
        <v>634</v>
      </c>
      <c r="P772">
        <v>0.01</v>
      </c>
      <c r="Q772" t="s">
        <v>1488</v>
      </c>
      <c r="R772">
        <v>0</v>
      </c>
      <c r="S772">
        <v>0</v>
      </c>
      <c r="T772">
        <v>0</v>
      </c>
      <c r="U772">
        <v>0</v>
      </c>
      <c r="V772">
        <v>0</v>
      </c>
    </row>
    <row r="773" spans="1:22" x14ac:dyDescent="0.25">
      <c r="A773" t="s">
        <v>2080</v>
      </c>
      <c r="B773" t="s">
        <v>640</v>
      </c>
      <c r="C773">
        <v>11</v>
      </c>
      <c r="D773" t="s">
        <v>260</v>
      </c>
      <c r="E773" t="s">
        <v>132</v>
      </c>
      <c r="F773" t="s">
        <v>260</v>
      </c>
      <c r="G773">
        <v>0.09</v>
      </c>
      <c r="H773" t="s">
        <v>51</v>
      </c>
      <c r="I773">
        <v>-2</v>
      </c>
      <c r="J773" t="str">
        <f>HYPERLINK("https://www.eliteprospects.com/player/879242/aaron-zulinick")</f>
        <v>https://www.eliteprospects.com/player/879242/aaron-zulinick</v>
      </c>
      <c r="K773" t="s">
        <v>27</v>
      </c>
      <c r="L773" t="s">
        <v>631</v>
      </c>
      <c r="M773" t="s">
        <v>1296</v>
      </c>
      <c r="N773">
        <v>2</v>
      </c>
      <c r="O773" t="s">
        <v>636</v>
      </c>
      <c r="P773">
        <v>0.01</v>
      </c>
      <c r="Q773" t="s">
        <v>1488</v>
      </c>
      <c r="R773">
        <v>0</v>
      </c>
      <c r="S773">
        <v>0</v>
      </c>
      <c r="T773">
        <v>0</v>
      </c>
      <c r="U773">
        <v>0</v>
      </c>
      <c r="V773">
        <v>0</v>
      </c>
    </row>
    <row r="774" spans="1:22" x14ac:dyDescent="0.25">
      <c r="A774" t="s">
        <v>2081</v>
      </c>
      <c r="B774" t="s">
        <v>657</v>
      </c>
      <c r="C774">
        <v>13</v>
      </c>
      <c r="D774" t="s">
        <v>132</v>
      </c>
      <c r="E774" t="s">
        <v>260</v>
      </c>
      <c r="F774" t="s">
        <v>260</v>
      </c>
      <c r="G774">
        <v>0.08</v>
      </c>
      <c r="H774" t="s">
        <v>26</v>
      </c>
      <c r="I774">
        <v>-4</v>
      </c>
      <c r="J774" t="str">
        <f>HYPERLINK("https://www.eliteprospects.com/player/597560/cohen-massey")</f>
        <v>https://www.eliteprospects.com/player/597560/cohen-massey</v>
      </c>
      <c r="K774" t="s">
        <v>27</v>
      </c>
      <c r="L774" t="s">
        <v>631</v>
      </c>
      <c r="M774" t="s">
        <v>1296</v>
      </c>
      <c r="N774">
        <v>3</v>
      </c>
      <c r="O774" t="s">
        <v>639</v>
      </c>
      <c r="P774">
        <v>0.01</v>
      </c>
      <c r="Q774" t="s">
        <v>1488</v>
      </c>
      <c r="R774">
        <v>0</v>
      </c>
      <c r="S774">
        <v>0</v>
      </c>
      <c r="T774">
        <v>0</v>
      </c>
      <c r="U774">
        <v>0</v>
      </c>
      <c r="V774">
        <v>0</v>
      </c>
    </row>
    <row r="775" spans="1:22" x14ac:dyDescent="0.25">
      <c r="A775" t="s">
        <v>2082</v>
      </c>
      <c r="B775" t="s">
        <v>633</v>
      </c>
      <c r="C775">
        <v>17</v>
      </c>
      <c r="D775" t="s">
        <v>132</v>
      </c>
      <c r="E775" t="s">
        <v>260</v>
      </c>
      <c r="F775" t="s">
        <v>260</v>
      </c>
      <c r="G775">
        <v>0.06</v>
      </c>
      <c r="H775" t="s">
        <v>26</v>
      </c>
      <c r="I775">
        <v>-6</v>
      </c>
      <c r="J775" t="str">
        <f>HYPERLINK("https://www.eliteprospects.com/player/804863/evan-markel")</f>
        <v>https://www.eliteprospects.com/player/804863/evan-markel</v>
      </c>
      <c r="K775" t="s">
        <v>27</v>
      </c>
      <c r="L775" t="s">
        <v>631</v>
      </c>
      <c r="M775" t="s">
        <v>1296</v>
      </c>
      <c r="N775">
        <v>1</v>
      </c>
      <c r="O775" t="s">
        <v>634</v>
      </c>
      <c r="P775">
        <v>0.01</v>
      </c>
      <c r="Q775" t="s">
        <v>1488</v>
      </c>
      <c r="R775">
        <v>0</v>
      </c>
      <c r="S775">
        <v>0</v>
      </c>
      <c r="T775">
        <v>0</v>
      </c>
      <c r="U775">
        <v>0</v>
      </c>
      <c r="V775">
        <v>0</v>
      </c>
    </row>
    <row r="776" spans="1:22" x14ac:dyDescent="0.25">
      <c r="A776" t="s">
        <v>2083</v>
      </c>
      <c r="B776" t="s">
        <v>657</v>
      </c>
      <c r="C776">
        <v>21</v>
      </c>
      <c r="D776" t="s">
        <v>132</v>
      </c>
      <c r="E776" t="s">
        <v>260</v>
      </c>
      <c r="F776" t="s">
        <v>260</v>
      </c>
      <c r="G776">
        <v>0.05</v>
      </c>
      <c r="H776" t="s">
        <v>65</v>
      </c>
      <c r="I776">
        <v>-11</v>
      </c>
      <c r="J776" t="str">
        <f>HYPERLINK("https://www.eliteprospects.com/player/762929/mykola-kosarev")</f>
        <v>https://www.eliteprospects.com/player/762929/mykola-kosarev</v>
      </c>
      <c r="K776" t="s">
        <v>27</v>
      </c>
      <c r="L776" t="s">
        <v>631</v>
      </c>
      <c r="M776" t="s">
        <v>1296</v>
      </c>
      <c r="N776">
        <v>1</v>
      </c>
      <c r="O776" t="s">
        <v>634</v>
      </c>
      <c r="P776">
        <v>0.01</v>
      </c>
      <c r="Q776" t="s">
        <v>1488</v>
      </c>
      <c r="R776">
        <v>0</v>
      </c>
      <c r="S776">
        <v>0</v>
      </c>
      <c r="T776">
        <v>0</v>
      </c>
      <c r="U776">
        <v>0</v>
      </c>
      <c r="V776">
        <v>0</v>
      </c>
    </row>
    <row r="777" spans="1:22" x14ac:dyDescent="0.25">
      <c r="A777" t="s">
        <v>2084</v>
      </c>
      <c r="B777" t="s">
        <v>702</v>
      </c>
      <c r="C777">
        <v>24</v>
      </c>
      <c r="D777" t="s">
        <v>132</v>
      </c>
      <c r="E777" t="s">
        <v>260</v>
      </c>
      <c r="F777" t="s">
        <v>260</v>
      </c>
      <c r="G777">
        <v>0.04</v>
      </c>
      <c r="H777" t="s">
        <v>45</v>
      </c>
      <c r="I777">
        <v>-6</v>
      </c>
      <c r="J777" t="str">
        <f>HYPERLINK("https://www.eliteprospects.com/player/884880/braydon-riggall")</f>
        <v>https://www.eliteprospects.com/player/884880/braydon-riggall</v>
      </c>
      <c r="K777" t="s">
        <v>27</v>
      </c>
      <c r="L777" t="s">
        <v>631</v>
      </c>
      <c r="M777" t="s">
        <v>1296</v>
      </c>
      <c r="N777">
        <v>2</v>
      </c>
      <c r="O777" t="s">
        <v>636</v>
      </c>
      <c r="P777">
        <v>0.01</v>
      </c>
      <c r="Q777" t="s">
        <v>1488</v>
      </c>
      <c r="R777">
        <v>0</v>
      </c>
      <c r="S777">
        <v>0</v>
      </c>
      <c r="T777">
        <v>0</v>
      </c>
      <c r="U777">
        <v>0</v>
      </c>
      <c r="V777">
        <v>0</v>
      </c>
    </row>
    <row r="778" spans="1:22" x14ac:dyDescent="0.25">
      <c r="A778" t="s">
        <v>2085</v>
      </c>
      <c r="B778" t="s">
        <v>653</v>
      </c>
      <c r="C778">
        <v>24</v>
      </c>
      <c r="D778" t="s">
        <v>132</v>
      </c>
      <c r="E778" t="s">
        <v>260</v>
      </c>
      <c r="F778" t="s">
        <v>260</v>
      </c>
      <c r="G778">
        <v>0.04</v>
      </c>
      <c r="H778" t="s">
        <v>265</v>
      </c>
      <c r="I778">
        <v>-3</v>
      </c>
      <c r="J778" t="str">
        <f>HYPERLINK("https://www.eliteprospects.com/player/889565/owen-hayden")</f>
        <v>https://www.eliteprospects.com/player/889565/owen-hayden</v>
      </c>
      <c r="K778" t="s">
        <v>27</v>
      </c>
      <c r="L778" t="s">
        <v>631</v>
      </c>
      <c r="M778" t="s">
        <v>1296</v>
      </c>
      <c r="N778">
        <v>1</v>
      </c>
      <c r="O778" t="s">
        <v>634</v>
      </c>
      <c r="P778">
        <v>0.01</v>
      </c>
      <c r="Q778" t="s">
        <v>1488</v>
      </c>
      <c r="R778">
        <v>0</v>
      </c>
      <c r="S778">
        <v>0</v>
      </c>
      <c r="T778">
        <v>0</v>
      </c>
      <c r="U778">
        <v>0</v>
      </c>
      <c r="V778">
        <v>0</v>
      </c>
    </row>
    <row r="779" spans="1:22" x14ac:dyDescent="0.25">
      <c r="A779" t="s">
        <v>2086</v>
      </c>
      <c r="B779" t="s">
        <v>667</v>
      </c>
      <c r="C779">
        <v>25</v>
      </c>
      <c r="D779" t="s">
        <v>132</v>
      </c>
      <c r="E779" t="s">
        <v>260</v>
      </c>
      <c r="F779" t="s">
        <v>260</v>
      </c>
      <c r="G779">
        <v>0.04</v>
      </c>
      <c r="H779" t="s">
        <v>57</v>
      </c>
      <c r="I779">
        <v>3</v>
      </c>
      <c r="J779" t="str">
        <f>HYPERLINK("https://www.eliteprospects.com/player/628119/jack-lavallee")</f>
        <v>https://www.eliteprospects.com/player/628119/jack-lavallee</v>
      </c>
      <c r="K779" t="s">
        <v>27</v>
      </c>
      <c r="L779" t="s">
        <v>631</v>
      </c>
      <c r="M779" t="s">
        <v>1296</v>
      </c>
      <c r="N779">
        <v>2</v>
      </c>
      <c r="O779" t="s">
        <v>636</v>
      </c>
      <c r="P779">
        <v>0.01</v>
      </c>
      <c r="Q779" t="s">
        <v>1488</v>
      </c>
      <c r="R779">
        <v>0</v>
      </c>
      <c r="S779">
        <v>0</v>
      </c>
      <c r="T779">
        <v>0</v>
      </c>
      <c r="U779">
        <v>0</v>
      </c>
      <c r="V779">
        <v>0</v>
      </c>
    </row>
    <row r="780" spans="1:22" x14ac:dyDescent="0.25">
      <c r="A780" t="s">
        <v>2087</v>
      </c>
      <c r="B780" t="s">
        <v>649</v>
      </c>
      <c r="C780">
        <v>29</v>
      </c>
      <c r="D780" t="s">
        <v>132</v>
      </c>
      <c r="E780" t="s">
        <v>260</v>
      </c>
      <c r="F780" t="s">
        <v>260</v>
      </c>
      <c r="G780">
        <v>0.03</v>
      </c>
      <c r="H780" t="s">
        <v>38</v>
      </c>
      <c r="I780">
        <v>-8</v>
      </c>
      <c r="J780" t="str">
        <f>HYPERLINK("https://www.eliteprospects.com/player/701510/jaxon-pisani")</f>
        <v>https://www.eliteprospects.com/player/701510/jaxon-pisani</v>
      </c>
      <c r="K780" t="s">
        <v>27</v>
      </c>
      <c r="L780" t="s">
        <v>631</v>
      </c>
      <c r="M780" t="s">
        <v>1296</v>
      </c>
      <c r="N780">
        <v>2</v>
      </c>
      <c r="O780" t="s">
        <v>636</v>
      </c>
      <c r="P780">
        <v>0</v>
      </c>
      <c r="Q780" t="s">
        <v>1488</v>
      </c>
      <c r="R780">
        <v>0</v>
      </c>
      <c r="S780">
        <v>0</v>
      </c>
      <c r="T780">
        <v>0</v>
      </c>
      <c r="U780">
        <v>0</v>
      </c>
      <c r="V780">
        <v>0</v>
      </c>
    </row>
    <row r="781" spans="1:22" x14ac:dyDescent="0.25">
      <c r="A781" t="s">
        <v>2088</v>
      </c>
      <c r="B781" t="s">
        <v>633</v>
      </c>
      <c r="C781">
        <v>34</v>
      </c>
      <c r="D781" t="s">
        <v>132</v>
      </c>
      <c r="E781" t="s">
        <v>260</v>
      </c>
      <c r="F781" t="s">
        <v>260</v>
      </c>
      <c r="G781">
        <v>0.03</v>
      </c>
      <c r="H781" t="s">
        <v>25</v>
      </c>
      <c r="I781">
        <v>-9</v>
      </c>
      <c r="J781" t="str">
        <f>HYPERLINK("https://www.eliteprospects.com/player/967125/madden-tymchak")</f>
        <v>https://www.eliteprospects.com/player/967125/madden-tymchak</v>
      </c>
      <c r="K781" t="s">
        <v>27</v>
      </c>
      <c r="L781" t="s">
        <v>631</v>
      </c>
      <c r="M781" t="s">
        <v>1296</v>
      </c>
      <c r="N781">
        <v>1</v>
      </c>
      <c r="O781" t="s">
        <v>634</v>
      </c>
      <c r="P781">
        <v>0</v>
      </c>
      <c r="Q781" t="s">
        <v>1488</v>
      </c>
      <c r="R781">
        <v>0</v>
      </c>
      <c r="S781">
        <v>0</v>
      </c>
      <c r="T781">
        <v>0</v>
      </c>
      <c r="U781">
        <v>0</v>
      </c>
      <c r="V781">
        <v>0</v>
      </c>
    </row>
    <row r="782" spans="1:22" x14ac:dyDescent="0.25">
      <c r="A782" t="s">
        <v>2089</v>
      </c>
      <c r="B782" t="s">
        <v>702</v>
      </c>
      <c r="C782">
        <v>35</v>
      </c>
      <c r="D782" t="s">
        <v>132</v>
      </c>
      <c r="E782" t="s">
        <v>260</v>
      </c>
      <c r="F782" t="s">
        <v>260</v>
      </c>
      <c r="G782">
        <v>0.03</v>
      </c>
      <c r="H782" t="s">
        <v>503</v>
      </c>
      <c r="I782">
        <v>-5</v>
      </c>
      <c r="J782" t="str">
        <f>HYPERLINK("https://www.eliteprospects.com/player/869430/jan-skok")</f>
        <v>https://www.eliteprospects.com/player/869430/jan-skok</v>
      </c>
      <c r="K782" t="s">
        <v>27</v>
      </c>
      <c r="L782" t="s">
        <v>631</v>
      </c>
      <c r="M782" t="s">
        <v>1296</v>
      </c>
      <c r="N782">
        <v>1</v>
      </c>
      <c r="O782" t="s">
        <v>634</v>
      </c>
      <c r="P782">
        <v>0</v>
      </c>
      <c r="Q782" t="s">
        <v>1488</v>
      </c>
      <c r="R782">
        <v>0</v>
      </c>
      <c r="S782">
        <v>0</v>
      </c>
      <c r="T782">
        <v>0</v>
      </c>
      <c r="U782">
        <v>0</v>
      </c>
      <c r="V782">
        <v>0</v>
      </c>
    </row>
    <row r="783" spans="1:22" x14ac:dyDescent="0.25">
      <c r="A783" t="s">
        <v>2090</v>
      </c>
      <c r="B783" t="s">
        <v>662</v>
      </c>
      <c r="C783">
        <v>11</v>
      </c>
      <c r="D783" t="s">
        <v>132</v>
      </c>
      <c r="E783" t="s">
        <v>132</v>
      </c>
      <c r="F783" t="s">
        <v>132</v>
      </c>
      <c r="G783">
        <v>0</v>
      </c>
      <c r="H783" t="s">
        <v>66</v>
      </c>
      <c r="I783">
        <v>2</v>
      </c>
      <c r="J783" t="str">
        <f>HYPERLINK("https://www.eliteprospects.com/player/891523/ethan-creran")</f>
        <v>https://www.eliteprospects.com/player/891523/ethan-creran</v>
      </c>
      <c r="K783" t="s">
        <v>27</v>
      </c>
      <c r="L783" t="s">
        <v>631</v>
      </c>
      <c r="M783" t="s">
        <v>1296</v>
      </c>
      <c r="N783">
        <v>1</v>
      </c>
      <c r="O783" t="s">
        <v>634</v>
      </c>
      <c r="P783">
        <v>0</v>
      </c>
      <c r="Q783" t="s">
        <v>1488</v>
      </c>
      <c r="R783">
        <v>0</v>
      </c>
      <c r="S783">
        <v>0</v>
      </c>
      <c r="T783">
        <v>0</v>
      </c>
      <c r="U783">
        <v>0</v>
      </c>
      <c r="V783">
        <v>0</v>
      </c>
    </row>
    <row r="784" spans="1:22" x14ac:dyDescent="0.25">
      <c r="A784" t="s">
        <v>2091</v>
      </c>
      <c r="B784" t="s">
        <v>686</v>
      </c>
      <c r="C784">
        <v>14</v>
      </c>
      <c r="D784" t="s">
        <v>132</v>
      </c>
      <c r="E784" t="s">
        <v>132</v>
      </c>
      <c r="F784" t="s">
        <v>132</v>
      </c>
      <c r="G784">
        <v>0</v>
      </c>
      <c r="H784" t="s">
        <v>132</v>
      </c>
      <c r="I784">
        <v>-4</v>
      </c>
      <c r="J784" t="str">
        <f>HYPERLINK("https://www.eliteprospects.com/player/956760/nikolas-ferry")</f>
        <v>https://www.eliteprospects.com/player/956760/nikolas-ferry</v>
      </c>
      <c r="K784" t="s">
        <v>27</v>
      </c>
      <c r="L784" t="s">
        <v>631</v>
      </c>
      <c r="M784" t="s">
        <v>1296</v>
      </c>
      <c r="N784">
        <v>1</v>
      </c>
      <c r="O784" t="s">
        <v>634</v>
      </c>
      <c r="P784">
        <v>0</v>
      </c>
      <c r="Q784" t="s">
        <v>1488</v>
      </c>
      <c r="R784">
        <v>0</v>
      </c>
      <c r="S784">
        <v>0</v>
      </c>
      <c r="T784">
        <v>0</v>
      </c>
      <c r="U784">
        <v>0</v>
      </c>
      <c r="V784">
        <v>0</v>
      </c>
    </row>
    <row r="785" spans="1:22" x14ac:dyDescent="0.25">
      <c r="A785" t="s">
        <v>2092</v>
      </c>
      <c r="B785" t="s">
        <v>660</v>
      </c>
      <c r="C785">
        <v>22</v>
      </c>
      <c r="D785" t="s">
        <v>132</v>
      </c>
      <c r="E785" t="s">
        <v>132</v>
      </c>
      <c r="F785" t="s">
        <v>132</v>
      </c>
      <c r="G785">
        <v>0</v>
      </c>
      <c r="H785" t="s">
        <v>45</v>
      </c>
      <c r="I785">
        <v>-8</v>
      </c>
      <c r="J785" t="str">
        <f>HYPERLINK("https://www.eliteprospects.com/player/908418/benson-hirst")</f>
        <v>https://www.eliteprospects.com/player/908418/benson-hirst</v>
      </c>
      <c r="K785" t="s">
        <v>27</v>
      </c>
      <c r="L785" t="s">
        <v>631</v>
      </c>
      <c r="M785" t="s">
        <v>1296</v>
      </c>
      <c r="N785">
        <v>1</v>
      </c>
      <c r="O785" t="s">
        <v>634</v>
      </c>
      <c r="P785">
        <v>0</v>
      </c>
      <c r="Q785" t="s">
        <v>1488</v>
      </c>
      <c r="R785">
        <v>0</v>
      </c>
      <c r="S785">
        <v>0</v>
      </c>
      <c r="T785">
        <v>0</v>
      </c>
      <c r="U785">
        <v>0</v>
      </c>
      <c r="V785">
        <v>0</v>
      </c>
    </row>
    <row r="786" spans="1:22" x14ac:dyDescent="0.25">
      <c r="A786" t="s">
        <v>2093</v>
      </c>
      <c r="B786" t="s">
        <v>644</v>
      </c>
      <c r="C786">
        <v>32</v>
      </c>
      <c r="D786" t="s">
        <v>132</v>
      </c>
      <c r="E786" t="s">
        <v>132</v>
      </c>
      <c r="F786" t="s">
        <v>132</v>
      </c>
      <c r="G786">
        <v>0</v>
      </c>
      <c r="H786" t="s">
        <v>69</v>
      </c>
      <c r="I786">
        <v>-9</v>
      </c>
      <c r="J786" t="str">
        <f>HYPERLINK("https://www.eliteprospects.com/player/881368/dermot-johnston")</f>
        <v>https://www.eliteprospects.com/player/881368/dermot-johnston</v>
      </c>
      <c r="K786" t="s">
        <v>27</v>
      </c>
      <c r="L786" t="s">
        <v>631</v>
      </c>
      <c r="M786" t="s">
        <v>1296</v>
      </c>
      <c r="N786">
        <v>2</v>
      </c>
      <c r="O786" t="s">
        <v>636</v>
      </c>
      <c r="P786">
        <v>0</v>
      </c>
      <c r="Q786" t="s">
        <v>1488</v>
      </c>
      <c r="R786">
        <v>0</v>
      </c>
      <c r="S786">
        <v>0</v>
      </c>
      <c r="T786">
        <v>0</v>
      </c>
      <c r="U786">
        <v>0</v>
      </c>
      <c r="V786">
        <v>0</v>
      </c>
    </row>
    <row r="787" spans="1:22" x14ac:dyDescent="0.25">
      <c r="A787" t="s">
        <v>2094</v>
      </c>
      <c r="B787" t="s">
        <v>820</v>
      </c>
      <c r="C787">
        <v>37</v>
      </c>
      <c r="D787" t="s">
        <v>78</v>
      </c>
      <c r="E787" t="s">
        <v>300</v>
      </c>
      <c r="F787" t="s">
        <v>503</v>
      </c>
      <c r="G787">
        <v>1.27</v>
      </c>
      <c r="H787" t="s">
        <v>38</v>
      </c>
      <c r="I787">
        <v>41</v>
      </c>
      <c r="J787" t="str">
        <f>HYPERLINK("https://www.eliteprospects.com/player/577026/tommy-bleyl")</f>
        <v>https://www.eliteprospects.com/player/577026/tommy-bleyl</v>
      </c>
      <c r="K787" t="s">
        <v>27</v>
      </c>
      <c r="L787" t="s">
        <v>804</v>
      </c>
      <c r="M787" t="s">
        <v>1296</v>
      </c>
      <c r="N787">
        <v>1</v>
      </c>
      <c r="O787" t="s">
        <v>816</v>
      </c>
      <c r="P787">
        <v>0.14000000000000001</v>
      </c>
      <c r="Q787" t="s">
        <v>1300</v>
      </c>
      <c r="R787">
        <v>42.9</v>
      </c>
      <c r="S787">
        <v>14.3</v>
      </c>
      <c r="T787">
        <v>7.1</v>
      </c>
      <c r="U787">
        <v>7.1</v>
      </c>
      <c r="V787">
        <v>28.6</v>
      </c>
    </row>
    <row r="788" spans="1:22" x14ac:dyDescent="0.25">
      <c r="A788" t="s">
        <v>2095</v>
      </c>
      <c r="B788" t="s">
        <v>808</v>
      </c>
      <c r="C788">
        <v>37</v>
      </c>
      <c r="D788" t="s">
        <v>66</v>
      </c>
      <c r="E788" t="s">
        <v>518</v>
      </c>
      <c r="F788" t="s">
        <v>277</v>
      </c>
      <c r="G788">
        <v>1.1100000000000001</v>
      </c>
      <c r="H788" t="s">
        <v>26</v>
      </c>
      <c r="I788">
        <v>33</v>
      </c>
      <c r="J788" t="str">
        <f>HYPERLINK("https://www.eliteprospects.com/player/689875/alex-huang")</f>
        <v>https://www.eliteprospects.com/player/689875/alex-huang</v>
      </c>
      <c r="K788" t="s">
        <v>27</v>
      </c>
      <c r="L788" t="s">
        <v>804</v>
      </c>
      <c r="M788" t="s">
        <v>1296</v>
      </c>
      <c r="N788">
        <v>3</v>
      </c>
      <c r="O788" t="s">
        <v>805</v>
      </c>
      <c r="P788">
        <v>0.13</v>
      </c>
      <c r="Q788" t="s">
        <v>1300</v>
      </c>
      <c r="R788">
        <v>42.9</v>
      </c>
      <c r="S788">
        <v>14.3</v>
      </c>
      <c r="T788">
        <v>7.1</v>
      </c>
      <c r="U788">
        <v>7.1</v>
      </c>
      <c r="V788">
        <v>28.6</v>
      </c>
    </row>
    <row r="789" spans="1:22" x14ac:dyDescent="0.25">
      <c r="A789" t="s">
        <v>2096</v>
      </c>
      <c r="B789" t="s">
        <v>832</v>
      </c>
      <c r="C789">
        <v>39</v>
      </c>
      <c r="D789" t="s">
        <v>32</v>
      </c>
      <c r="E789" t="s">
        <v>61</v>
      </c>
      <c r="F789" t="s">
        <v>518</v>
      </c>
      <c r="G789">
        <v>0.95</v>
      </c>
      <c r="H789" t="s">
        <v>47</v>
      </c>
      <c r="I789">
        <v>-13</v>
      </c>
      <c r="J789" t="str">
        <f>HYPERLINK("https://www.eliteprospects.com/player/577057/louis-alex-tremblay")</f>
        <v>https://www.eliteprospects.com/player/577057/louis-alex-tremblay</v>
      </c>
      <c r="K789" t="s">
        <v>27</v>
      </c>
      <c r="L789" t="s">
        <v>804</v>
      </c>
      <c r="M789" t="s">
        <v>1296</v>
      </c>
      <c r="N789">
        <v>3</v>
      </c>
      <c r="O789" t="s">
        <v>805</v>
      </c>
      <c r="P789">
        <v>0.11</v>
      </c>
      <c r="Q789" t="s">
        <v>1325</v>
      </c>
      <c r="R789">
        <v>37.5</v>
      </c>
      <c r="S789">
        <v>25</v>
      </c>
      <c r="T789">
        <v>37.5</v>
      </c>
      <c r="U789">
        <v>0</v>
      </c>
      <c r="V789">
        <v>0</v>
      </c>
    </row>
    <row r="790" spans="1:22" x14ac:dyDescent="0.25">
      <c r="A790" t="s">
        <v>2097</v>
      </c>
      <c r="B790" t="s">
        <v>818</v>
      </c>
      <c r="C790">
        <v>35</v>
      </c>
      <c r="D790" t="s">
        <v>57</v>
      </c>
      <c r="E790" t="s">
        <v>40</v>
      </c>
      <c r="F790" t="s">
        <v>280</v>
      </c>
      <c r="G790">
        <v>1.03</v>
      </c>
      <c r="H790" t="s">
        <v>265</v>
      </c>
      <c r="I790">
        <v>6</v>
      </c>
      <c r="J790" t="str">
        <f>HYPERLINK("https://www.eliteprospects.com/player/746649/xavier-villeneuve")</f>
        <v>https://www.eliteprospects.com/player/746649/xavier-villeneuve</v>
      </c>
      <c r="K790" t="s">
        <v>27</v>
      </c>
      <c r="L790" t="s">
        <v>804</v>
      </c>
      <c r="M790" t="s">
        <v>1296</v>
      </c>
      <c r="N790">
        <v>3</v>
      </c>
      <c r="O790" t="s">
        <v>805</v>
      </c>
      <c r="P790">
        <v>0.12</v>
      </c>
      <c r="Q790" t="s">
        <v>1309</v>
      </c>
      <c r="R790">
        <v>10</v>
      </c>
      <c r="S790">
        <v>10</v>
      </c>
      <c r="T790">
        <v>20</v>
      </c>
      <c r="U790">
        <v>20</v>
      </c>
      <c r="V790">
        <v>40</v>
      </c>
    </row>
    <row r="791" spans="1:22" x14ac:dyDescent="0.25">
      <c r="A791" t="s">
        <v>2098</v>
      </c>
      <c r="B791" t="s">
        <v>821</v>
      </c>
      <c r="C791">
        <v>38</v>
      </c>
      <c r="D791" t="s">
        <v>69</v>
      </c>
      <c r="E791" t="s">
        <v>47</v>
      </c>
      <c r="F791" t="s">
        <v>269</v>
      </c>
      <c r="G791">
        <v>0.87</v>
      </c>
      <c r="H791" t="s">
        <v>39</v>
      </c>
      <c r="I791">
        <v>-6</v>
      </c>
      <c r="J791" t="str">
        <f>HYPERLINK("https://www.eliteprospects.com/player/718482/marcus-kearsey")</f>
        <v>https://www.eliteprospects.com/player/718482/marcus-kearsey</v>
      </c>
      <c r="K791" t="s">
        <v>27</v>
      </c>
      <c r="L791" t="s">
        <v>804</v>
      </c>
      <c r="M791" t="s">
        <v>1296</v>
      </c>
      <c r="N791">
        <v>4</v>
      </c>
      <c r="O791" t="s">
        <v>809</v>
      </c>
      <c r="P791">
        <v>0.1</v>
      </c>
      <c r="Q791" t="s">
        <v>1325</v>
      </c>
      <c r="R791">
        <v>37.5</v>
      </c>
      <c r="S791">
        <v>25</v>
      </c>
      <c r="T791">
        <v>37.5</v>
      </c>
      <c r="U791">
        <v>0</v>
      </c>
      <c r="V791">
        <v>0</v>
      </c>
    </row>
    <row r="792" spans="1:22" x14ac:dyDescent="0.25">
      <c r="A792" t="s">
        <v>2099</v>
      </c>
      <c r="B792" t="s">
        <v>806</v>
      </c>
      <c r="C792">
        <v>38</v>
      </c>
      <c r="D792" t="s">
        <v>57</v>
      </c>
      <c r="E792" t="s">
        <v>61</v>
      </c>
      <c r="F792" t="s">
        <v>269</v>
      </c>
      <c r="G792">
        <v>0.87</v>
      </c>
      <c r="H792" t="s">
        <v>34</v>
      </c>
      <c r="I792">
        <v>2</v>
      </c>
      <c r="J792" t="str">
        <f>HYPERLINK("https://www.eliteprospects.com/player/597538/noah-laberge")</f>
        <v>https://www.eliteprospects.com/player/597538/noah-laberge</v>
      </c>
      <c r="K792" t="s">
        <v>27</v>
      </c>
      <c r="L792" t="s">
        <v>804</v>
      </c>
      <c r="M792" t="s">
        <v>1296</v>
      </c>
      <c r="N792">
        <v>3</v>
      </c>
      <c r="O792" t="s">
        <v>805</v>
      </c>
      <c r="P792">
        <v>0.1</v>
      </c>
      <c r="Q792" t="s">
        <v>1325</v>
      </c>
      <c r="R792">
        <v>22.2</v>
      </c>
      <c r="S792">
        <v>11.1</v>
      </c>
      <c r="T792">
        <v>44.4</v>
      </c>
      <c r="U792">
        <v>0</v>
      </c>
      <c r="V792">
        <v>22.2</v>
      </c>
    </row>
    <row r="793" spans="1:22" x14ac:dyDescent="0.25">
      <c r="A793" t="s">
        <v>2100</v>
      </c>
      <c r="B793" t="s">
        <v>823</v>
      </c>
      <c r="C793">
        <v>39</v>
      </c>
      <c r="D793" t="s">
        <v>69</v>
      </c>
      <c r="E793" t="s">
        <v>33</v>
      </c>
      <c r="F793" t="s">
        <v>25</v>
      </c>
      <c r="G793">
        <v>0.82</v>
      </c>
      <c r="H793" t="s">
        <v>52</v>
      </c>
      <c r="I793">
        <v>12</v>
      </c>
      <c r="J793" t="str">
        <f>HYPERLINK("https://www.eliteprospects.com/player/710730/cal-uens")</f>
        <v>https://www.eliteprospects.com/player/710730/cal-uens</v>
      </c>
      <c r="K793" t="s">
        <v>27</v>
      </c>
      <c r="L793" t="s">
        <v>804</v>
      </c>
      <c r="M793" t="s">
        <v>1296</v>
      </c>
      <c r="N793">
        <v>5</v>
      </c>
      <c r="O793" t="s">
        <v>620</v>
      </c>
      <c r="P793">
        <v>0.09</v>
      </c>
      <c r="Q793" t="s">
        <v>1300</v>
      </c>
      <c r="R793">
        <v>37.5</v>
      </c>
      <c r="S793">
        <v>12.5</v>
      </c>
      <c r="T793">
        <v>12.5</v>
      </c>
      <c r="U793">
        <v>12.5</v>
      </c>
      <c r="V793">
        <v>25</v>
      </c>
    </row>
    <row r="794" spans="1:22" x14ac:dyDescent="0.25">
      <c r="A794" t="s">
        <v>2101</v>
      </c>
      <c r="B794" t="s">
        <v>507</v>
      </c>
      <c r="C794">
        <v>31</v>
      </c>
      <c r="D794" t="s">
        <v>57</v>
      </c>
      <c r="E794" t="s">
        <v>47</v>
      </c>
      <c r="F794" t="s">
        <v>52</v>
      </c>
      <c r="G794">
        <v>0.9</v>
      </c>
      <c r="H794" t="s">
        <v>55</v>
      </c>
      <c r="I794">
        <v>9</v>
      </c>
      <c r="J794" t="str">
        <f>HYPERLINK("https://www.eliteprospects.com/player/610512/tomas-lavoie")</f>
        <v>https://www.eliteprospects.com/player/610512/tomas-lavoie</v>
      </c>
      <c r="K794" t="s">
        <v>27</v>
      </c>
      <c r="L794" t="s">
        <v>804</v>
      </c>
      <c r="M794" t="s">
        <v>1296</v>
      </c>
      <c r="N794">
        <v>4</v>
      </c>
      <c r="O794" t="s">
        <v>809</v>
      </c>
      <c r="P794">
        <v>0.1</v>
      </c>
      <c r="Q794" t="s">
        <v>1300</v>
      </c>
      <c r="R794">
        <v>37.5</v>
      </c>
      <c r="S794">
        <v>12.5</v>
      </c>
      <c r="T794">
        <v>12.5</v>
      </c>
      <c r="U794">
        <v>12.5</v>
      </c>
      <c r="V794">
        <v>25</v>
      </c>
    </row>
    <row r="795" spans="1:22" x14ac:dyDescent="0.25">
      <c r="A795" t="s">
        <v>2102</v>
      </c>
      <c r="B795" t="s">
        <v>507</v>
      </c>
      <c r="C795">
        <v>36</v>
      </c>
      <c r="D795" t="s">
        <v>32</v>
      </c>
      <c r="E795" t="s">
        <v>60</v>
      </c>
      <c r="F795" t="s">
        <v>61</v>
      </c>
      <c r="G795">
        <v>0.75</v>
      </c>
      <c r="H795" t="s">
        <v>187</v>
      </c>
      <c r="I795">
        <v>2</v>
      </c>
      <c r="J795" t="str">
        <f>HYPERLINK("https://www.eliteprospects.com/player/716098/evan-depatie")</f>
        <v>https://www.eliteprospects.com/player/716098/evan-depatie</v>
      </c>
      <c r="K795" t="s">
        <v>27</v>
      </c>
      <c r="L795" t="s">
        <v>804</v>
      </c>
      <c r="M795" t="s">
        <v>1296</v>
      </c>
      <c r="N795">
        <v>4</v>
      </c>
      <c r="O795" t="s">
        <v>809</v>
      </c>
      <c r="P795">
        <v>0.08</v>
      </c>
      <c r="Q795" t="s">
        <v>1325</v>
      </c>
      <c r="R795">
        <v>33.299999999999997</v>
      </c>
      <c r="S795">
        <v>16.7</v>
      </c>
      <c r="T795">
        <v>33.299999999999997</v>
      </c>
      <c r="U795">
        <v>16.7</v>
      </c>
      <c r="V795">
        <v>0</v>
      </c>
    </row>
    <row r="796" spans="1:22" x14ac:dyDescent="0.25">
      <c r="A796" t="s">
        <v>2103</v>
      </c>
      <c r="B796" t="s">
        <v>507</v>
      </c>
      <c r="C796">
        <v>33</v>
      </c>
      <c r="D796" t="s">
        <v>96</v>
      </c>
      <c r="E796" t="s">
        <v>47</v>
      </c>
      <c r="F796" t="s">
        <v>61</v>
      </c>
      <c r="G796">
        <v>0.82</v>
      </c>
      <c r="H796" t="s">
        <v>53</v>
      </c>
      <c r="I796">
        <v>5</v>
      </c>
      <c r="J796" t="str">
        <f>HYPERLINK("https://www.eliteprospects.com/player/599314/jordan-tourigny")</f>
        <v>https://www.eliteprospects.com/player/599314/jordan-tourigny</v>
      </c>
      <c r="K796" t="s">
        <v>27</v>
      </c>
      <c r="L796" t="s">
        <v>804</v>
      </c>
      <c r="M796" t="s">
        <v>1296</v>
      </c>
      <c r="N796">
        <v>5</v>
      </c>
      <c r="O796" t="s">
        <v>807</v>
      </c>
      <c r="P796">
        <v>0.09</v>
      </c>
      <c r="Q796" t="s">
        <v>1325</v>
      </c>
      <c r="R796">
        <v>22.2</v>
      </c>
      <c r="S796">
        <v>11.1</v>
      </c>
      <c r="T796">
        <v>44.4</v>
      </c>
      <c r="U796">
        <v>0</v>
      </c>
      <c r="V796">
        <v>22.2</v>
      </c>
    </row>
    <row r="797" spans="1:22" x14ac:dyDescent="0.25">
      <c r="A797" t="s">
        <v>2104</v>
      </c>
      <c r="B797" t="s">
        <v>507</v>
      </c>
      <c r="C797">
        <v>64</v>
      </c>
      <c r="D797" t="s">
        <v>57</v>
      </c>
      <c r="E797" t="s">
        <v>24</v>
      </c>
      <c r="F797" t="s">
        <v>125</v>
      </c>
      <c r="G797">
        <v>0.41</v>
      </c>
      <c r="H797" t="s">
        <v>81</v>
      </c>
      <c r="I797">
        <v>36</v>
      </c>
      <c r="J797" t="str">
        <f>HYPERLINK("https://www.eliteprospects.com/player/646882/xavier-daigle")</f>
        <v>https://www.eliteprospects.com/player/646882/xavier-daigle</v>
      </c>
      <c r="K797" t="s">
        <v>27</v>
      </c>
      <c r="L797" t="s">
        <v>804</v>
      </c>
      <c r="M797" t="s">
        <v>1296</v>
      </c>
      <c r="N797">
        <v>5</v>
      </c>
      <c r="O797" t="s">
        <v>807</v>
      </c>
      <c r="P797">
        <v>0.05</v>
      </c>
      <c r="Q797" t="s">
        <v>1309</v>
      </c>
      <c r="R797">
        <v>14.3</v>
      </c>
      <c r="S797">
        <v>28.6</v>
      </c>
      <c r="T797">
        <v>28.6</v>
      </c>
      <c r="U797">
        <v>0</v>
      </c>
      <c r="V797">
        <v>28.6</v>
      </c>
    </row>
    <row r="798" spans="1:22" x14ac:dyDescent="0.25">
      <c r="A798" t="s">
        <v>2105</v>
      </c>
      <c r="B798" t="s">
        <v>826</v>
      </c>
      <c r="C798">
        <v>40</v>
      </c>
      <c r="D798" t="s">
        <v>66</v>
      </c>
      <c r="E798" t="s">
        <v>33</v>
      </c>
      <c r="F798" t="s">
        <v>75</v>
      </c>
      <c r="G798">
        <v>0.63</v>
      </c>
      <c r="H798" t="s">
        <v>277</v>
      </c>
      <c r="I798">
        <v>11</v>
      </c>
      <c r="J798" t="str">
        <f>HYPERLINK("https://www.eliteprospects.com/player/597624/owen-keefe")</f>
        <v>https://www.eliteprospects.com/player/597624/owen-keefe</v>
      </c>
      <c r="K798" t="s">
        <v>27</v>
      </c>
      <c r="L798" t="s">
        <v>804</v>
      </c>
      <c r="M798" t="s">
        <v>1296</v>
      </c>
      <c r="N798">
        <v>1</v>
      </c>
      <c r="O798" t="s">
        <v>816</v>
      </c>
      <c r="P798">
        <v>7.0000000000000007E-2</v>
      </c>
      <c r="Q798" t="s">
        <v>1300</v>
      </c>
      <c r="R798">
        <v>42.9</v>
      </c>
      <c r="S798">
        <v>28.6</v>
      </c>
      <c r="T798">
        <v>28.6</v>
      </c>
      <c r="U798">
        <v>0</v>
      </c>
      <c r="V798">
        <v>0</v>
      </c>
    </row>
    <row r="799" spans="1:22" x14ac:dyDescent="0.25">
      <c r="A799" t="s">
        <v>2106</v>
      </c>
      <c r="B799" t="s">
        <v>812</v>
      </c>
      <c r="C799">
        <v>34</v>
      </c>
      <c r="D799" t="s">
        <v>57</v>
      </c>
      <c r="E799" t="s">
        <v>55</v>
      </c>
      <c r="F799" t="s">
        <v>81</v>
      </c>
      <c r="G799">
        <v>0.71</v>
      </c>
      <c r="H799" t="s">
        <v>65</v>
      </c>
      <c r="I799">
        <v>-6</v>
      </c>
      <c r="J799" t="str">
        <f>HYPERLINK("https://www.eliteprospects.com/player/763425/antoine-st-laurent")</f>
        <v>https://www.eliteprospects.com/player/763425/antoine-st-laurent</v>
      </c>
      <c r="K799" t="s">
        <v>27</v>
      </c>
      <c r="L799" t="s">
        <v>804</v>
      </c>
      <c r="M799" t="s">
        <v>1296</v>
      </c>
      <c r="N799">
        <v>2</v>
      </c>
      <c r="O799" t="s">
        <v>825</v>
      </c>
      <c r="P799">
        <v>0.08</v>
      </c>
      <c r="Q799" t="s">
        <v>245</v>
      </c>
      <c r="R799">
        <v>0</v>
      </c>
      <c r="S799">
        <v>44.4</v>
      </c>
      <c r="T799">
        <v>33.299999999999997</v>
      </c>
      <c r="U799">
        <v>0</v>
      </c>
      <c r="V799">
        <v>22.2</v>
      </c>
    </row>
    <row r="800" spans="1:22" x14ac:dyDescent="0.25">
      <c r="A800" t="s">
        <v>2107</v>
      </c>
      <c r="B800" t="s">
        <v>811</v>
      </c>
      <c r="C800">
        <v>38</v>
      </c>
      <c r="D800" t="s">
        <v>66</v>
      </c>
      <c r="E800" t="s">
        <v>24</v>
      </c>
      <c r="F800" t="s">
        <v>81</v>
      </c>
      <c r="G800">
        <v>0.63</v>
      </c>
      <c r="H800" t="s">
        <v>32</v>
      </c>
      <c r="I800">
        <v>32</v>
      </c>
      <c r="J800" t="str">
        <f>HYPERLINK("https://www.eliteprospects.com/player/722857/felix-plamondon")</f>
        <v>https://www.eliteprospects.com/player/722857/felix-plamondon</v>
      </c>
      <c r="K800" t="s">
        <v>27</v>
      </c>
      <c r="L800" t="s">
        <v>804</v>
      </c>
      <c r="M800" t="s">
        <v>1296</v>
      </c>
      <c r="N800">
        <v>4</v>
      </c>
      <c r="O800" t="s">
        <v>809</v>
      </c>
      <c r="P800">
        <v>7.0000000000000007E-2</v>
      </c>
      <c r="Q800" t="s">
        <v>1325</v>
      </c>
      <c r="R800">
        <v>44.4</v>
      </c>
      <c r="S800">
        <v>11.1</v>
      </c>
      <c r="T800">
        <v>44.4</v>
      </c>
      <c r="U800">
        <v>0</v>
      </c>
      <c r="V800">
        <v>0</v>
      </c>
    </row>
    <row r="801" spans="1:22" x14ac:dyDescent="0.25">
      <c r="A801" t="s">
        <v>2108</v>
      </c>
      <c r="B801" t="s">
        <v>824</v>
      </c>
      <c r="C801">
        <v>38</v>
      </c>
      <c r="D801" t="s">
        <v>79</v>
      </c>
      <c r="E801" t="s">
        <v>47</v>
      </c>
      <c r="F801" t="s">
        <v>81</v>
      </c>
      <c r="G801">
        <v>0.63</v>
      </c>
      <c r="H801" t="s">
        <v>23</v>
      </c>
      <c r="I801">
        <v>2</v>
      </c>
      <c r="J801" t="str">
        <f>HYPERLINK("https://www.eliteprospects.com/player/712192/owen-phillips")</f>
        <v>https://www.eliteprospects.com/player/712192/owen-phillips</v>
      </c>
      <c r="K801" t="s">
        <v>27</v>
      </c>
      <c r="L801" t="s">
        <v>804</v>
      </c>
      <c r="M801" t="s">
        <v>1296</v>
      </c>
      <c r="N801">
        <v>4</v>
      </c>
      <c r="O801" t="s">
        <v>809</v>
      </c>
      <c r="P801">
        <v>7.0000000000000007E-2</v>
      </c>
      <c r="Q801" t="s">
        <v>1325</v>
      </c>
      <c r="R801">
        <v>33.299999999999997</v>
      </c>
      <c r="S801">
        <v>16.7</v>
      </c>
      <c r="T801">
        <v>33.299999999999997</v>
      </c>
      <c r="U801">
        <v>16.7</v>
      </c>
      <c r="V801">
        <v>0</v>
      </c>
    </row>
    <row r="802" spans="1:22" x14ac:dyDescent="0.25">
      <c r="A802" t="s">
        <v>2109</v>
      </c>
      <c r="B802" t="s">
        <v>803</v>
      </c>
      <c r="C802">
        <v>38</v>
      </c>
      <c r="D802" t="s">
        <v>260</v>
      </c>
      <c r="E802" t="s">
        <v>84</v>
      </c>
      <c r="F802" t="s">
        <v>81</v>
      </c>
      <c r="G802">
        <v>0.63</v>
      </c>
      <c r="H802" t="s">
        <v>39</v>
      </c>
      <c r="I802">
        <v>-6</v>
      </c>
      <c r="J802" t="str">
        <f>HYPERLINK("https://www.eliteprospects.com/player/870116/benjamin-cossette-ayotte")</f>
        <v>https://www.eliteprospects.com/player/870116/benjamin-cossette-ayotte</v>
      </c>
      <c r="K802" t="s">
        <v>27</v>
      </c>
      <c r="L802" t="s">
        <v>804</v>
      </c>
      <c r="M802" t="s">
        <v>1296</v>
      </c>
      <c r="N802">
        <v>2</v>
      </c>
      <c r="O802" t="s">
        <v>825</v>
      </c>
      <c r="P802">
        <v>7.0000000000000007E-2</v>
      </c>
      <c r="Q802" t="s">
        <v>245</v>
      </c>
      <c r="R802">
        <v>0</v>
      </c>
      <c r="S802">
        <v>44.4</v>
      </c>
      <c r="T802">
        <v>33.299999999999997</v>
      </c>
      <c r="U802">
        <v>0</v>
      </c>
      <c r="V802">
        <v>22.2</v>
      </c>
    </row>
    <row r="803" spans="1:22" x14ac:dyDescent="0.25">
      <c r="A803" t="s">
        <v>2110</v>
      </c>
      <c r="B803" t="s">
        <v>808</v>
      </c>
      <c r="C803">
        <v>37</v>
      </c>
      <c r="D803" t="s">
        <v>78</v>
      </c>
      <c r="E803" t="s">
        <v>38</v>
      </c>
      <c r="F803" t="s">
        <v>84</v>
      </c>
      <c r="G803">
        <v>0.62</v>
      </c>
      <c r="H803" t="s">
        <v>26</v>
      </c>
      <c r="I803">
        <v>25</v>
      </c>
      <c r="J803" t="str">
        <f>HYPERLINK("https://www.eliteprospects.com/player/620205/peteris-bulans")</f>
        <v>https://www.eliteprospects.com/player/620205/peteris-bulans</v>
      </c>
      <c r="K803" t="s">
        <v>27</v>
      </c>
      <c r="L803" t="s">
        <v>804</v>
      </c>
      <c r="M803" t="s">
        <v>1296</v>
      </c>
      <c r="N803">
        <v>4</v>
      </c>
      <c r="O803" t="s">
        <v>809</v>
      </c>
      <c r="P803">
        <v>7.0000000000000007E-2</v>
      </c>
      <c r="Q803" t="s">
        <v>1325</v>
      </c>
      <c r="R803">
        <v>44.4</v>
      </c>
      <c r="S803">
        <v>11.1</v>
      </c>
      <c r="T803">
        <v>44.4</v>
      </c>
      <c r="U803">
        <v>0</v>
      </c>
      <c r="V803">
        <v>0</v>
      </c>
    </row>
    <row r="804" spans="1:22" x14ac:dyDescent="0.25">
      <c r="A804" t="s">
        <v>2111</v>
      </c>
      <c r="B804" t="s">
        <v>818</v>
      </c>
      <c r="C804">
        <v>39</v>
      </c>
      <c r="D804" t="s">
        <v>66</v>
      </c>
      <c r="E804" t="s">
        <v>55</v>
      </c>
      <c r="F804" t="s">
        <v>47</v>
      </c>
      <c r="G804">
        <v>0.56000000000000005</v>
      </c>
      <c r="H804" t="s">
        <v>47</v>
      </c>
      <c r="I804">
        <v>26</v>
      </c>
      <c r="J804" t="str">
        <f>HYPERLINK("https://www.eliteprospects.com/player/592903/theo-lemieux")</f>
        <v>https://www.eliteprospects.com/player/592903/theo-lemieux</v>
      </c>
      <c r="K804" t="s">
        <v>27</v>
      </c>
      <c r="L804" t="s">
        <v>804</v>
      </c>
      <c r="M804" t="s">
        <v>1296</v>
      </c>
      <c r="N804">
        <v>5</v>
      </c>
      <c r="O804" t="s">
        <v>807</v>
      </c>
      <c r="P804">
        <v>0.06</v>
      </c>
      <c r="Q804" t="s">
        <v>1309</v>
      </c>
      <c r="R804">
        <v>14.3</v>
      </c>
      <c r="S804">
        <v>28.6</v>
      </c>
      <c r="T804">
        <v>28.6</v>
      </c>
      <c r="U804">
        <v>0</v>
      </c>
      <c r="V804">
        <v>28.6</v>
      </c>
    </row>
    <row r="805" spans="1:22" x14ac:dyDescent="0.25">
      <c r="A805" t="s">
        <v>2112</v>
      </c>
      <c r="B805" t="s">
        <v>815</v>
      </c>
      <c r="C805">
        <v>35</v>
      </c>
      <c r="D805" t="s">
        <v>79</v>
      </c>
      <c r="E805" t="s">
        <v>24</v>
      </c>
      <c r="F805" t="s">
        <v>47</v>
      </c>
      <c r="G805">
        <v>0.63</v>
      </c>
      <c r="H805" t="s">
        <v>57</v>
      </c>
      <c r="I805">
        <v>-2</v>
      </c>
      <c r="J805" t="str">
        <f>HYPERLINK("https://www.eliteprospects.com/player/721275/matheo-lepage")</f>
        <v>https://www.eliteprospects.com/player/721275/matheo-lepage</v>
      </c>
      <c r="K805" t="s">
        <v>27</v>
      </c>
      <c r="L805" t="s">
        <v>804</v>
      </c>
      <c r="M805" t="s">
        <v>1296</v>
      </c>
      <c r="N805">
        <v>2</v>
      </c>
      <c r="O805" t="s">
        <v>825</v>
      </c>
      <c r="P805">
        <v>7.0000000000000007E-2</v>
      </c>
      <c r="Q805" t="s">
        <v>1300</v>
      </c>
      <c r="R805">
        <v>33.299999999999997</v>
      </c>
      <c r="S805">
        <v>22.2</v>
      </c>
      <c r="T805">
        <v>22.2</v>
      </c>
      <c r="U805">
        <v>11.1</v>
      </c>
      <c r="V805">
        <v>11.1</v>
      </c>
    </row>
    <row r="806" spans="1:22" x14ac:dyDescent="0.25">
      <c r="A806" t="s">
        <v>2113</v>
      </c>
      <c r="B806" t="s">
        <v>828</v>
      </c>
      <c r="C806">
        <v>37</v>
      </c>
      <c r="D806" t="s">
        <v>45</v>
      </c>
      <c r="E806" t="s">
        <v>23</v>
      </c>
      <c r="F806" t="s">
        <v>33</v>
      </c>
      <c r="G806">
        <v>0.56999999999999995</v>
      </c>
      <c r="H806" t="s">
        <v>24</v>
      </c>
      <c r="I806">
        <v>-21</v>
      </c>
      <c r="J806" t="str">
        <f>HYPERLINK("https://www.eliteprospects.com/player/893556/everett-baldwin")</f>
        <v>https://www.eliteprospects.com/player/893556/everett-baldwin</v>
      </c>
      <c r="K806" t="s">
        <v>27</v>
      </c>
      <c r="L806" t="s">
        <v>804</v>
      </c>
      <c r="M806" t="s">
        <v>1296</v>
      </c>
      <c r="N806">
        <v>1</v>
      </c>
      <c r="O806" t="s">
        <v>816</v>
      </c>
      <c r="P806">
        <v>0.06</v>
      </c>
      <c r="Q806" t="s">
        <v>1309</v>
      </c>
      <c r="R806">
        <v>0</v>
      </c>
      <c r="S806">
        <v>20</v>
      </c>
      <c r="T806">
        <v>40</v>
      </c>
      <c r="U806">
        <v>0</v>
      </c>
      <c r="V806">
        <v>40</v>
      </c>
    </row>
    <row r="807" spans="1:22" x14ac:dyDescent="0.25">
      <c r="A807" t="s">
        <v>2114</v>
      </c>
      <c r="B807" t="s">
        <v>828</v>
      </c>
      <c r="C807">
        <v>35</v>
      </c>
      <c r="D807" t="s">
        <v>96</v>
      </c>
      <c r="E807" t="s">
        <v>41</v>
      </c>
      <c r="F807" t="s">
        <v>24</v>
      </c>
      <c r="G807">
        <v>0.56999999999999995</v>
      </c>
      <c r="H807" t="s">
        <v>66</v>
      </c>
      <c r="I807">
        <v>-1</v>
      </c>
      <c r="J807" t="str">
        <f>HYPERLINK("https://www.eliteprospects.com/player/878286/olivier-duhamel")</f>
        <v>https://www.eliteprospects.com/player/878286/olivier-duhamel</v>
      </c>
      <c r="K807" t="s">
        <v>27</v>
      </c>
      <c r="L807" t="s">
        <v>804</v>
      </c>
      <c r="M807" t="s">
        <v>1296</v>
      </c>
      <c r="N807">
        <v>3</v>
      </c>
      <c r="O807" t="s">
        <v>805</v>
      </c>
      <c r="P807">
        <v>0.06</v>
      </c>
      <c r="Q807" t="s">
        <v>1300</v>
      </c>
      <c r="R807">
        <v>37.5</v>
      </c>
      <c r="S807">
        <v>37.5</v>
      </c>
      <c r="T807">
        <v>0</v>
      </c>
      <c r="U807">
        <v>12.5</v>
      </c>
      <c r="V807">
        <v>12.5</v>
      </c>
    </row>
    <row r="808" spans="1:22" x14ac:dyDescent="0.25">
      <c r="A808" t="s">
        <v>2115</v>
      </c>
      <c r="B808" t="s">
        <v>820</v>
      </c>
      <c r="C808">
        <v>38</v>
      </c>
      <c r="D808" t="s">
        <v>140</v>
      </c>
      <c r="E808" t="s">
        <v>60</v>
      </c>
      <c r="F808" t="s">
        <v>24</v>
      </c>
      <c r="G808">
        <v>0.53</v>
      </c>
      <c r="H808" t="s">
        <v>23</v>
      </c>
      <c r="I808">
        <v>35</v>
      </c>
      <c r="J808" t="str">
        <f>HYPERLINK("https://www.eliteprospects.com/player/597537/adam-fortier-gendron")</f>
        <v>https://www.eliteprospects.com/player/597537/adam-fortier-gendron</v>
      </c>
      <c r="K808" t="s">
        <v>27</v>
      </c>
      <c r="L808" t="s">
        <v>804</v>
      </c>
      <c r="M808" t="s">
        <v>1296</v>
      </c>
      <c r="N808">
        <v>4</v>
      </c>
      <c r="O808" t="s">
        <v>809</v>
      </c>
      <c r="P808">
        <v>0.06</v>
      </c>
      <c r="Q808" t="s">
        <v>1309</v>
      </c>
      <c r="R808">
        <v>14.3</v>
      </c>
      <c r="S808">
        <v>28.6</v>
      </c>
      <c r="T808">
        <v>28.6</v>
      </c>
      <c r="U808">
        <v>0</v>
      </c>
      <c r="V808">
        <v>28.6</v>
      </c>
    </row>
    <row r="809" spans="1:22" x14ac:dyDescent="0.25">
      <c r="A809" t="s">
        <v>2116</v>
      </c>
      <c r="B809" t="s">
        <v>865</v>
      </c>
      <c r="C809">
        <v>40</v>
      </c>
      <c r="D809" t="s">
        <v>66</v>
      </c>
      <c r="E809" t="s">
        <v>39</v>
      </c>
      <c r="F809" t="s">
        <v>55</v>
      </c>
      <c r="G809">
        <v>0.45</v>
      </c>
      <c r="H809" t="s">
        <v>66</v>
      </c>
      <c r="I809">
        <v>-5</v>
      </c>
      <c r="J809" t="str">
        <f>HYPERLINK("https://www.eliteprospects.com/player/714709/mattias-gilbert")</f>
        <v>https://www.eliteprospects.com/player/714709/mattias-gilbert</v>
      </c>
      <c r="K809" t="s">
        <v>27</v>
      </c>
      <c r="L809" t="s">
        <v>804</v>
      </c>
      <c r="M809" t="s">
        <v>1296</v>
      </c>
      <c r="N809">
        <v>4</v>
      </c>
      <c r="O809" t="s">
        <v>809</v>
      </c>
      <c r="P809">
        <v>0.05</v>
      </c>
      <c r="Q809" t="s">
        <v>1309</v>
      </c>
      <c r="R809">
        <v>0</v>
      </c>
      <c r="S809">
        <v>20</v>
      </c>
      <c r="T809">
        <v>40</v>
      </c>
      <c r="U809">
        <v>0</v>
      </c>
      <c r="V809">
        <v>40</v>
      </c>
    </row>
    <row r="810" spans="1:22" x14ac:dyDescent="0.25">
      <c r="A810" t="s">
        <v>2117</v>
      </c>
      <c r="B810" t="s">
        <v>803</v>
      </c>
      <c r="C810">
        <v>39</v>
      </c>
      <c r="D810" t="s">
        <v>140</v>
      </c>
      <c r="E810" t="s">
        <v>41</v>
      </c>
      <c r="F810" t="s">
        <v>55</v>
      </c>
      <c r="G810">
        <v>0.46</v>
      </c>
      <c r="H810" t="s">
        <v>23</v>
      </c>
      <c r="I810">
        <v>-12</v>
      </c>
      <c r="J810" t="str">
        <f>HYPERLINK("https://www.eliteprospects.com/player/661400/anthony-pare")</f>
        <v>https://www.eliteprospects.com/player/661400/anthony-pare</v>
      </c>
      <c r="K810" t="s">
        <v>27</v>
      </c>
      <c r="L810" t="s">
        <v>804</v>
      </c>
      <c r="M810" t="s">
        <v>1296</v>
      </c>
      <c r="N810">
        <v>4</v>
      </c>
      <c r="O810" t="s">
        <v>809</v>
      </c>
      <c r="P810">
        <v>0.05</v>
      </c>
      <c r="Q810" t="s">
        <v>1309</v>
      </c>
      <c r="R810">
        <v>0</v>
      </c>
      <c r="S810">
        <v>20</v>
      </c>
      <c r="T810">
        <v>40</v>
      </c>
      <c r="U810">
        <v>0</v>
      </c>
      <c r="V810">
        <v>40</v>
      </c>
    </row>
    <row r="811" spans="1:22" x14ac:dyDescent="0.25">
      <c r="A811" t="s">
        <v>2118</v>
      </c>
      <c r="B811" t="s">
        <v>821</v>
      </c>
      <c r="C811">
        <v>38</v>
      </c>
      <c r="D811" t="s">
        <v>260</v>
      </c>
      <c r="E811" t="s">
        <v>60</v>
      </c>
      <c r="F811" t="s">
        <v>55</v>
      </c>
      <c r="G811">
        <v>0.47</v>
      </c>
      <c r="H811" t="s">
        <v>26</v>
      </c>
      <c r="I811">
        <v>2</v>
      </c>
      <c r="J811" t="str">
        <f>HYPERLINK("https://www.eliteprospects.com/player/803922/owen-conrad")</f>
        <v>https://www.eliteprospects.com/player/803922/owen-conrad</v>
      </c>
      <c r="K811" t="s">
        <v>27</v>
      </c>
      <c r="L811" t="s">
        <v>804</v>
      </c>
      <c r="M811" t="s">
        <v>1296</v>
      </c>
      <c r="N811">
        <v>3</v>
      </c>
      <c r="O811" t="s">
        <v>805</v>
      </c>
      <c r="P811">
        <v>0.05</v>
      </c>
      <c r="Q811" t="s">
        <v>1300</v>
      </c>
      <c r="R811">
        <v>57.1</v>
      </c>
      <c r="S811">
        <v>28.6</v>
      </c>
      <c r="T811">
        <v>0</v>
      </c>
      <c r="U811">
        <v>14.3</v>
      </c>
      <c r="V811">
        <v>0</v>
      </c>
    </row>
    <row r="812" spans="1:22" x14ac:dyDescent="0.25">
      <c r="A812" t="s">
        <v>2119</v>
      </c>
      <c r="B812" t="s">
        <v>811</v>
      </c>
      <c r="C812">
        <v>33</v>
      </c>
      <c r="D812" t="s">
        <v>96</v>
      </c>
      <c r="E812" t="s">
        <v>23</v>
      </c>
      <c r="F812" t="s">
        <v>60</v>
      </c>
      <c r="G812">
        <v>0.52</v>
      </c>
      <c r="H812" t="s">
        <v>55</v>
      </c>
      <c r="I812">
        <v>13</v>
      </c>
      <c r="J812" t="str">
        <f>HYPERLINK("https://www.eliteprospects.com/player/722856/mathieu-plante")</f>
        <v>https://www.eliteprospects.com/player/722856/mathieu-plante</v>
      </c>
      <c r="K812" t="s">
        <v>27</v>
      </c>
      <c r="L812" t="s">
        <v>804</v>
      </c>
      <c r="M812" t="s">
        <v>1296</v>
      </c>
      <c r="N812">
        <v>3</v>
      </c>
      <c r="O812" t="s">
        <v>805</v>
      </c>
      <c r="P812">
        <v>0.06</v>
      </c>
      <c r="Q812" t="s">
        <v>1325</v>
      </c>
      <c r="R812">
        <v>18.2</v>
      </c>
      <c r="S812">
        <v>9.1</v>
      </c>
      <c r="T812">
        <v>63.6</v>
      </c>
      <c r="U812">
        <v>0</v>
      </c>
      <c r="V812">
        <v>9.1</v>
      </c>
    </row>
    <row r="813" spans="1:22" x14ac:dyDescent="0.25">
      <c r="A813" t="s">
        <v>2120</v>
      </c>
      <c r="B813" t="s">
        <v>823</v>
      </c>
      <c r="C813">
        <v>28</v>
      </c>
      <c r="D813" t="s">
        <v>79</v>
      </c>
      <c r="E813" t="s">
        <v>41</v>
      </c>
      <c r="F813" t="s">
        <v>60</v>
      </c>
      <c r="G813">
        <v>0.61</v>
      </c>
      <c r="H813" t="s">
        <v>41</v>
      </c>
      <c r="I813">
        <v>6</v>
      </c>
      <c r="J813" t="str">
        <f>HYPERLINK("https://www.eliteprospects.com/player/747957/alexandre-taillefer")</f>
        <v>https://www.eliteprospects.com/player/747957/alexandre-taillefer</v>
      </c>
      <c r="K813" t="s">
        <v>27</v>
      </c>
      <c r="L813" t="s">
        <v>804</v>
      </c>
      <c r="M813" t="s">
        <v>1296</v>
      </c>
      <c r="N813">
        <v>2</v>
      </c>
      <c r="O813" t="s">
        <v>825</v>
      </c>
      <c r="P813">
        <v>7.0000000000000007E-2</v>
      </c>
      <c r="Q813" t="s">
        <v>1300</v>
      </c>
      <c r="R813">
        <v>42.9</v>
      </c>
      <c r="S813">
        <v>28.6</v>
      </c>
      <c r="T813">
        <v>28.6</v>
      </c>
      <c r="U813">
        <v>0</v>
      </c>
      <c r="V813">
        <v>0</v>
      </c>
    </row>
    <row r="814" spans="1:22" x14ac:dyDescent="0.25">
      <c r="A814" t="s">
        <v>2121</v>
      </c>
      <c r="B814" t="s">
        <v>507</v>
      </c>
      <c r="C814">
        <v>32</v>
      </c>
      <c r="D814" t="s">
        <v>260</v>
      </c>
      <c r="E814" t="s">
        <v>38</v>
      </c>
      <c r="F814" t="s">
        <v>60</v>
      </c>
      <c r="G814">
        <v>0.53</v>
      </c>
      <c r="H814" t="s">
        <v>125</v>
      </c>
      <c r="I814">
        <v>-17</v>
      </c>
      <c r="J814" t="str">
        <f>HYPERLINK("https://www.eliteprospects.com/player/843589/jan-golicic")</f>
        <v>https://www.eliteprospects.com/player/843589/jan-golicic</v>
      </c>
      <c r="K814" t="s">
        <v>27</v>
      </c>
      <c r="L814" t="s">
        <v>804</v>
      </c>
      <c r="M814" t="s">
        <v>1296</v>
      </c>
      <c r="N814">
        <v>3</v>
      </c>
      <c r="O814" t="s">
        <v>805</v>
      </c>
      <c r="P814">
        <v>0.06</v>
      </c>
      <c r="Q814" t="s">
        <v>1309</v>
      </c>
      <c r="R814">
        <v>0</v>
      </c>
      <c r="S814">
        <v>20</v>
      </c>
      <c r="T814">
        <v>40</v>
      </c>
      <c r="U814">
        <v>0</v>
      </c>
      <c r="V814">
        <v>40</v>
      </c>
    </row>
    <row r="815" spans="1:22" x14ac:dyDescent="0.25">
      <c r="A815" t="s">
        <v>2122</v>
      </c>
      <c r="B815" t="s">
        <v>815</v>
      </c>
      <c r="C815">
        <v>34</v>
      </c>
      <c r="D815" t="s">
        <v>260</v>
      </c>
      <c r="E815" t="s">
        <v>38</v>
      </c>
      <c r="F815" t="s">
        <v>60</v>
      </c>
      <c r="G815">
        <v>0.5</v>
      </c>
      <c r="H815" t="s">
        <v>269</v>
      </c>
      <c r="I815">
        <v>-8</v>
      </c>
      <c r="J815" t="str">
        <f>HYPERLINK("https://www.eliteprospects.com/player/660791/simon-pier-brunet")</f>
        <v>https://www.eliteprospects.com/player/660791/simon-pier-brunet</v>
      </c>
      <c r="K815" t="s">
        <v>27</v>
      </c>
      <c r="L815" t="s">
        <v>804</v>
      </c>
      <c r="M815" t="s">
        <v>1296</v>
      </c>
      <c r="N815">
        <v>5</v>
      </c>
      <c r="O815" t="s">
        <v>807</v>
      </c>
      <c r="P815">
        <v>0.06</v>
      </c>
      <c r="Q815" t="s">
        <v>1309</v>
      </c>
      <c r="R815">
        <v>0</v>
      </c>
      <c r="S815">
        <v>20</v>
      </c>
      <c r="T815">
        <v>40</v>
      </c>
      <c r="U815">
        <v>0</v>
      </c>
      <c r="V815">
        <v>40</v>
      </c>
    </row>
    <row r="816" spans="1:22" x14ac:dyDescent="0.25">
      <c r="A816" t="s">
        <v>2123</v>
      </c>
      <c r="B816" t="s">
        <v>811</v>
      </c>
      <c r="C816">
        <v>32</v>
      </c>
      <c r="D816" t="s">
        <v>66</v>
      </c>
      <c r="E816" t="s">
        <v>23</v>
      </c>
      <c r="F816" t="s">
        <v>38</v>
      </c>
      <c r="G816">
        <v>0.5</v>
      </c>
      <c r="H816" t="s">
        <v>46</v>
      </c>
      <c r="I816">
        <v>7</v>
      </c>
      <c r="J816" t="str">
        <f>HYPERLINK("https://www.eliteprospects.com/player/759417/noah-mckinnon")</f>
        <v>https://www.eliteprospects.com/player/759417/noah-mckinnon</v>
      </c>
      <c r="K816" t="s">
        <v>27</v>
      </c>
      <c r="L816" t="s">
        <v>804</v>
      </c>
      <c r="M816" t="s">
        <v>1296</v>
      </c>
      <c r="N816">
        <v>3</v>
      </c>
      <c r="O816" t="s">
        <v>805</v>
      </c>
      <c r="P816">
        <v>0.06</v>
      </c>
      <c r="Q816" t="s">
        <v>1325</v>
      </c>
      <c r="R816">
        <v>18.2</v>
      </c>
      <c r="S816">
        <v>9.1</v>
      </c>
      <c r="T816">
        <v>63.6</v>
      </c>
      <c r="U816">
        <v>0</v>
      </c>
      <c r="V816">
        <v>9.1</v>
      </c>
    </row>
    <row r="817" spans="1:22" x14ac:dyDescent="0.25">
      <c r="A817" t="s">
        <v>2124</v>
      </c>
      <c r="B817" t="s">
        <v>808</v>
      </c>
      <c r="C817">
        <v>39</v>
      </c>
      <c r="D817" t="s">
        <v>79</v>
      </c>
      <c r="E817" t="s">
        <v>39</v>
      </c>
      <c r="F817" t="s">
        <v>38</v>
      </c>
      <c r="G817">
        <v>0.41</v>
      </c>
      <c r="H817" t="s">
        <v>47</v>
      </c>
      <c r="I817">
        <v>21</v>
      </c>
      <c r="J817" t="str">
        <f>HYPERLINK("https://www.eliteprospects.com/player/577050/alonso-gosselin")</f>
        <v>https://www.eliteprospects.com/player/577050/alonso-gosselin</v>
      </c>
      <c r="K817" t="s">
        <v>27</v>
      </c>
      <c r="L817" t="s">
        <v>804</v>
      </c>
      <c r="M817" t="s">
        <v>1296</v>
      </c>
      <c r="N817">
        <v>3</v>
      </c>
      <c r="O817" t="s">
        <v>805</v>
      </c>
      <c r="P817">
        <v>0.05</v>
      </c>
      <c r="Q817" t="s">
        <v>1309</v>
      </c>
      <c r="R817">
        <v>14.3</v>
      </c>
      <c r="S817">
        <v>28.6</v>
      </c>
      <c r="T817">
        <v>28.6</v>
      </c>
      <c r="U817">
        <v>0</v>
      </c>
      <c r="V817">
        <v>28.6</v>
      </c>
    </row>
    <row r="818" spans="1:22" x14ac:dyDescent="0.25">
      <c r="A818" t="s">
        <v>2125</v>
      </c>
      <c r="B818" t="s">
        <v>808</v>
      </c>
      <c r="C818">
        <v>39</v>
      </c>
      <c r="D818" t="s">
        <v>78</v>
      </c>
      <c r="E818" t="s">
        <v>26</v>
      </c>
      <c r="F818" t="s">
        <v>41</v>
      </c>
      <c r="G818">
        <v>0.38</v>
      </c>
      <c r="H818" t="s">
        <v>61</v>
      </c>
      <c r="I818">
        <v>15</v>
      </c>
      <c r="J818" t="str">
        <f>HYPERLINK("https://www.eliteprospects.com/player/720898/alexandre-desmarais")</f>
        <v>https://www.eliteprospects.com/player/720898/alexandre-desmarais</v>
      </c>
      <c r="K818" t="s">
        <v>27</v>
      </c>
      <c r="L818" t="s">
        <v>804</v>
      </c>
      <c r="M818" t="s">
        <v>1296</v>
      </c>
      <c r="N818">
        <v>3</v>
      </c>
      <c r="O818" t="s">
        <v>805</v>
      </c>
      <c r="P818">
        <v>0.04</v>
      </c>
      <c r="Q818" t="s">
        <v>1488</v>
      </c>
      <c r="R818">
        <v>0</v>
      </c>
      <c r="S818">
        <v>0</v>
      </c>
      <c r="T818">
        <v>0</v>
      </c>
      <c r="U818">
        <v>0</v>
      </c>
      <c r="V818">
        <v>0</v>
      </c>
    </row>
    <row r="819" spans="1:22" x14ac:dyDescent="0.25">
      <c r="A819" t="s">
        <v>2126</v>
      </c>
      <c r="B819" t="s">
        <v>826</v>
      </c>
      <c r="C819">
        <v>31</v>
      </c>
      <c r="D819" t="s">
        <v>96</v>
      </c>
      <c r="E819" t="s">
        <v>32</v>
      </c>
      <c r="F819" t="s">
        <v>41</v>
      </c>
      <c r="G819">
        <v>0.48</v>
      </c>
      <c r="H819" t="s">
        <v>66</v>
      </c>
      <c r="I819">
        <v>12</v>
      </c>
      <c r="J819" t="str">
        <f>HYPERLINK("https://www.eliteprospects.com/player/892667/xavier-cormier")</f>
        <v>https://www.eliteprospects.com/player/892667/xavier-cormier</v>
      </c>
      <c r="K819" t="s">
        <v>27</v>
      </c>
      <c r="L819" t="s">
        <v>804</v>
      </c>
      <c r="M819" t="s">
        <v>1296</v>
      </c>
      <c r="N819">
        <v>1</v>
      </c>
      <c r="O819" t="s">
        <v>816</v>
      </c>
      <c r="P819">
        <v>0.05</v>
      </c>
      <c r="Q819" t="s">
        <v>1325</v>
      </c>
      <c r="R819">
        <v>18.2</v>
      </c>
      <c r="S819">
        <v>9.1</v>
      </c>
      <c r="T819">
        <v>63.6</v>
      </c>
      <c r="U819">
        <v>0</v>
      </c>
      <c r="V819">
        <v>9.1</v>
      </c>
    </row>
    <row r="820" spans="1:22" x14ac:dyDescent="0.25">
      <c r="A820" t="s">
        <v>2127</v>
      </c>
      <c r="B820" t="s">
        <v>820</v>
      </c>
      <c r="C820">
        <v>38</v>
      </c>
      <c r="D820" t="s">
        <v>66</v>
      </c>
      <c r="E820" t="s">
        <v>69</v>
      </c>
      <c r="F820" t="s">
        <v>41</v>
      </c>
      <c r="G820">
        <v>0.39</v>
      </c>
      <c r="H820" t="s">
        <v>178</v>
      </c>
      <c r="I820">
        <v>14</v>
      </c>
      <c r="J820" t="str">
        <f>HYPERLINK("https://www.eliteprospects.com/player/597693/matthew-virgilio")</f>
        <v>https://www.eliteprospects.com/player/597693/matthew-virgilio</v>
      </c>
      <c r="K820" t="s">
        <v>27</v>
      </c>
      <c r="L820" t="s">
        <v>804</v>
      </c>
      <c r="M820" t="s">
        <v>1296</v>
      </c>
      <c r="N820">
        <v>4</v>
      </c>
      <c r="O820" t="s">
        <v>2128</v>
      </c>
      <c r="P820">
        <v>0.04</v>
      </c>
      <c r="Q820" t="s">
        <v>1488</v>
      </c>
      <c r="R820">
        <v>0</v>
      </c>
      <c r="S820">
        <v>0</v>
      </c>
      <c r="T820">
        <v>0</v>
      </c>
      <c r="U820">
        <v>0</v>
      </c>
      <c r="V820">
        <v>0</v>
      </c>
    </row>
    <row r="821" spans="1:22" x14ac:dyDescent="0.25">
      <c r="A821" t="s">
        <v>2129</v>
      </c>
      <c r="B821" t="s">
        <v>822</v>
      </c>
      <c r="C821">
        <v>40</v>
      </c>
      <c r="D821" t="s">
        <v>66</v>
      </c>
      <c r="E821" t="s">
        <v>69</v>
      </c>
      <c r="F821" t="s">
        <v>41</v>
      </c>
      <c r="G821">
        <v>0.38</v>
      </c>
      <c r="H821" t="s">
        <v>26</v>
      </c>
      <c r="I821">
        <v>9</v>
      </c>
      <c r="J821" t="str">
        <f>HYPERLINK("https://www.eliteprospects.com/player/679623/noah-jettelson")</f>
        <v>https://www.eliteprospects.com/player/679623/noah-jettelson</v>
      </c>
      <c r="K821" t="s">
        <v>27</v>
      </c>
      <c r="L821" t="s">
        <v>804</v>
      </c>
      <c r="M821" t="s">
        <v>1296</v>
      </c>
      <c r="N821">
        <v>1</v>
      </c>
      <c r="O821" t="s">
        <v>816</v>
      </c>
      <c r="P821">
        <v>0.04</v>
      </c>
      <c r="Q821" t="s">
        <v>1488</v>
      </c>
      <c r="R821">
        <v>0</v>
      </c>
      <c r="S821">
        <v>0</v>
      </c>
      <c r="T821">
        <v>0</v>
      </c>
      <c r="U821">
        <v>0</v>
      </c>
      <c r="V821">
        <v>0</v>
      </c>
    </row>
    <row r="822" spans="1:22" x14ac:dyDescent="0.25">
      <c r="A822" t="s">
        <v>2130</v>
      </c>
      <c r="B822" t="s">
        <v>823</v>
      </c>
      <c r="C822">
        <v>39</v>
      </c>
      <c r="D822" t="s">
        <v>140</v>
      </c>
      <c r="E822" t="s">
        <v>23</v>
      </c>
      <c r="F822" t="s">
        <v>41</v>
      </c>
      <c r="G822">
        <v>0.38</v>
      </c>
      <c r="H822" t="s">
        <v>60</v>
      </c>
      <c r="I822">
        <v>19</v>
      </c>
      <c r="J822" t="str">
        <f>HYPERLINK("https://www.eliteprospects.com/player/727836/etienne-desjardins")</f>
        <v>https://www.eliteprospects.com/player/727836/etienne-desjardins</v>
      </c>
      <c r="K822" t="s">
        <v>27</v>
      </c>
      <c r="L822" t="s">
        <v>804</v>
      </c>
      <c r="M822" t="s">
        <v>1296</v>
      </c>
      <c r="N822">
        <v>4</v>
      </c>
      <c r="O822" t="s">
        <v>809</v>
      </c>
      <c r="P822">
        <v>0.04</v>
      </c>
      <c r="Q822" t="s">
        <v>1488</v>
      </c>
      <c r="R822">
        <v>0</v>
      </c>
      <c r="S822">
        <v>0</v>
      </c>
      <c r="T822">
        <v>0</v>
      </c>
      <c r="U822">
        <v>0</v>
      </c>
      <c r="V822">
        <v>0</v>
      </c>
    </row>
    <row r="823" spans="1:22" x14ac:dyDescent="0.25">
      <c r="A823" t="s">
        <v>2131</v>
      </c>
      <c r="B823" t="s">
        <v>824</v>
      </c>
      <c r="C823">
        <v>27</v>
      </c>
      <c r="D823" t="s">
        <v>79</v>
      </c>
      <c r="E823" t="s">
        <v>65</v>
      </c>
      <c r="F823" t="s">
        <v>41</v>
      </c>
      <c r="G823">
        <v>0.56000000000000005</v>
      </c>
      <c r="H823" t="s">
        <v>23</v>
      </c>
      <c r="I823">
        <v>-10</v>
      </c>
      <c r="J823" t="str">
        <f>HYPERLINK("https://www.eliteprospects.com/player/872615/carlos-handel")</f>
        <v>https://www.eliteprospects.com/player/872615/carlos-handel</v>
      </c>
      <c r="K823" t="s">
        <v>27</v>
      </c>
      <c r="L823" t="s">
        <v>804</v>
      </c>
      <c r="M823" t="s">
        <v>1296</v>
      </c>
      <c r="N823">
        <v>2</v>
      </c>
      <c r="O823" t="s">
        <v>825</v>
      </c>
      <c r="P823">
        <v>0.06</v>
      </c>
      <c r="Q823" t="s">
        <v>1309</v>
      </c>
      <c r="R823">
        <v>0</v>
      </c>
      <c r="S823">
        <v>20</v>
      </c>
      <c r="T823">
        <v>40</v>
      </c>
      <c r="U823">
        <v>0</v>
      </c>
      <c r="V823">
        <v>40</v>
      </c>
    </row>
    <row r="824" spans="1:22" x14ac:dyDescent="0.25">
      <c r="A824" t="s">
        <v>2132</v>
      </c>
      <c r="B824" t="s">
        <v>806</v>
      </c>
      <c r="C824">
        <v>38</v>
      </c>
      <c r="D824" t="s">
        <v>79</v>
      </c>
      <c r="E824" t="s">
        <v>65</v>
      </c>
      <c r="F824" t="s">
        <v>41</v>
      </c>
      <c r="G824">
        <v>0.39</v>
      </c>
      <c r="H824" t="s">
        <v>544</v>
      </c>
      <c r="I824">
        <v>15</v>
      </c>
      <c r="J824" t="str">
        <f>HYPERLINK("https://www.eliteprospects.com/player/876161/will-reynolds")</f>
        <v>https://www.eliteprospects.com/player/876161/will-reynolds</v>
      </c>
      <c r="K824" t="s">
        <v>27</v>
      </c>
      <c r="L824" t="s">
        <v>804</v>
      </c>
      <c r="M824" t="s">
        <v>1296</v>
      </c>
      <c r="N824">
        <v>3</v>
      </c>
      <c r="O824" t="s">
        <v>805</v>
      </c>
      <c r="P824">
        <v>0.04</v>
      </c>
      <c r="Q824" t="s">
        <v>1488</v>
      </c>
      <c r="R824">
        <v>0</v>
      </c>
      <c r="S824">
        <v>0</v>
      </c>
      <c r="T824">
        <v>0</v>
      </c>
      <c r="U824">
        <v>0</v>
      </c>
      <c r="V824">
        <v>0</v>
      </c>
    </row>
    <row r="825" spans="1:22" x14ac:dyDescent="0.25">
      <c r="A825" t="s">
        <v>2133</v>
      </c>
      <c r="B825" t="s">
        <v>806</v>
      </c>
      <c r="C825">
        <v>40</v>
      </c>
      <c r="D825" t="s">
        <v>66</v>
      </c>
      <c r="E825" t="s">
        <v>32</v>
      </c>
      <c r="F825" t="s">
        <v>39</v>
      </c>
      <c r="G825">
        <v>0.35</v>
      </c>
      <c r="H825" t="s">
        <v>24</v>
      </c>
      <c r="I825">
        <v>17</v>
      </c>
      <c r="J825" t="str">
        <f>HYPERLINK("https://www.eliteprospects.com/player/644801/emile-perron")</f>
        <v>https://www.eliteprospects.com/player/644801/emile-perron</v>
      </c>
      <c r="K825" t="s">
        <v>27</v>
      </c>
      <c r="L825" t="s">
        <v>804</v>
      </c>
      <c r="M825" t="s">
        <v>1296</v>
      </c>
      <c r="N825">
        <v>5</v>
      </c>
      <c r="O825" t="s">
        <v>807</v>
      </c>
      <c r="P825">
        <v>0.04</v>
      </c>
      <c r="Q825" t="s">
        <v>1488</v>
      </c>
      <c r="R825">
        <v>0</v>
      </c>
      <c r="S825">
        <v>0</v>
      </c>
      <c r="T825">
        <v>0</v>
      </c>
      <c r="U825">
        <v>0</v>
      </c>
      <c r="V825">
        <v>0</v>
      </c>
    </row>
    <row r="826" spans="1:22" x14ac:dyDescent="0.25">
      <c r="A826" t="s">
        <v>2134</v>
      </c>
      <c r="B826" t="s">
        <v>507</v>
      </c>
      <c r="C826">
        <v>29</v>
      </c>
      <c r="D826" t="s">
        <v>79</v>
      </c>
      <c r="E826" t="s">
        <v>23</v>
      </c>
      <c r="F826" t="s">
        <v>39</v>
      </c>
      <c r="G826">
        <v>0.48</v>
      </c>
      <c r="H826" t="s">
        <v>23</v>
      </c>
      <c r="I826">
        <v>-7</v>
      </c>
      <c r="J826" t="str">
        <f>HYPERLINK("https://www.eliteprospects.com/player/796654/max-vilen")</f>
        <v>https://www.eliteprospects.com/player/796654/max-vilen</v>
      </c>
      <c r="K826" t="s">
        <v>27</v>
      </c>
      <c r="L826" t="s">
        <v>804</v>
      </c>
      <c r="M826" t="s">
        <v>1296</v>
      </c>
      <c r="N826">
        <v>1</v>
      </c>
      <c r="O826" t="s">
        <v>816</v>
      </c>
      <c r="P826">
        <v>0.05</v>
      </c>
      <c r="Q826" t="s">
        <v>1309</v>
      </c>
      <c r="R826">
        <v>0</v>
      </c>
      <c r="S826">
        <v>20</v>
      </c>
      <c r="T826">
        <v>40</v>
      </c>
      <c r="U826">
        <v>0</v>
      </c>
      <c r="V826">
        <v>40</v>
      </c>
    </row>
    <row r="827" spans="1:22" x14ac:dyDescent="0.25">
      <c r="A827" t="s">
        <v>2135</v>
      </c>
      <c r="B827" t="s">
        <v>824</v>
      </c>
      <c r="C827">
        <v>33</v>
      </c>
      <c r="D827" t="s">
        <v>79</v>
      </c>
      <c r="E827" t="s">
        <v>23</v>
      </c>
      <c r="F827" t="s">
        <v>39</v>
      </c>
      <c r="G827">
        <v>0.42</v>
      </c>
      <c r="H827" t="s">
        <v>32</v>
      </c>
      <c r="I827">
        <v>5</v>
      </c>
      <c r="J827" t="str">
        <f>HYPERLINK("https://www.eliteprospects.com/player/806442/eddy-doyle")</f>
        <v>https://www.eliteprospects.com/player/806442/eddy-doyle</v>
      </c>
      <c r="K827" t="s">
        <v>27</v>
      </c>
      <c r="L827" t="s">
        <v>804</v>
      </c>
      <c r="M827" t="s">
        <v>1296</v>
      </c>
      <c r="N827">
        <v>3</v>
      </c>
      <c r="O827" t="s">
        <v>805</v>
      </c>
      <c r="P827">
        <v>0.05</v>
      </c>
      <c r="Q827" t="s">
        <v>1300</v>
      </c>
      <c r="R827">
        <v>57.1</v>
      </c>
      <c r="S827">
        <v>28.6</v>
      </c>
      <c r="T827">
        <v>0</v>
      </c>
      <c r="U827">
        <v>14.3</v>
      </c>
      <c r="V827">
        <v>0</v>
      </c>
    </row>
    <row r="828" spans="1:22" x14ac:dyDescent="0.25">
      <c r="A828" t="s">
        <v>2136</v>
      </c>
      <c r="B828" t="s">
        <v>826</v>
      </c>
      <c r="C828">
        <v>33</v>
      </c>
      <c r="D828" t="s">
        <v>260</v>
      </c>
      <c r="E828" t="s">
        <v>65</v>
      </c>
      <c r="F828" t="s">
        <v>39</v>
      </c>
      <c r="G828">
        <v>0.42</v>
      </c>
      <c r="H828" t="s">
        <v>66</v>
      </c>
      <c r="I828">
        <v>9</v>
      </c>
      <c r="J828" t="str">
        <f>HYPERLINK("https://www.eliteprospects.com/player/958724/filip-kovalcik")</f>
        <v>https://www.eliteprospects.com/player/958724/filip-kovalcik</v>
      </c>
      <c r="K828" t="s">
        <v>27</v>
      </c>
      <c r="L828" t="s">
        <v>804</v>
      </c>
      <c r="M828" t="s">
        <v>1296</v>
      </c>
      <c r="N828">
        <v>1</v>
      </c>
      <c r="O828" t="s">
        <v>816</v>
      </c>
      <c r="P828">
        <v>0.05</v>
      </c>
      <c r="Q828" t="s">
        <v>1325</v>
      </c>
      <c r="R828">
        <v>18.2</v>
      </c>
      <c r="S828">
        <v>9.1</v>
      </c>
      <c r="T828">
        <v>63.6</v>
      </c>
      <c r="U828">
        <v>0</v>
      </c>
      <c r="V828">
        <v>9.1</v>
      </c>
    </row>
    <row r="829" spans="1:22" x14ac:dyDescent="0.25">
      <c r="A829" t="s">
        <v>2137</v>
      </c>
      <c r="B829" t="s">
        <v>507</v>
      </c>
      <c r="C829">
        <v>38</v>
      </c>
      <c r="D829" t="s">
        <v>79</v>
      </c>
      <c r="E829" t="s">
        <v>69</v>
      </c>
      <c r="F829" t="s">
        <v>65</v>
      </c>
      <c r="G829">
        <v>0.34</v>
      </c>
      <c r="H829" t="s">
        <v>55</v>
      </c>
      <c r="I829">
        <v>-6</v>
      </c>
      <c r="J829" t="str">
        <f>HYPERLINK("https://www.eliteprospects.com/player/880927/biagio-jr.-daniele")</f>
        <v>https://www.eliteprospects.com/player/880927/biagio-jr.-daniele</v>
      </c>
      <c r="K829" t="s">
        <v>27</v>
      </c>
      <c r="L829" t="s">
        <v>804</v>
      </c>
      <c r="M829" t="s">
        <v>1296</v>
      </c>
      <c r="N829">
        <v>2</v>
      </c>
      <c r="O829" t="s">
        <v>825</v>
      </c>
      <c r="P829">
        <v>0.04</v>
      </c>
      <c r="Q829" t="s">
        <v>1488</v>
      </c>
      <c r="R829">
        <v>0</v>
      </c>
      <c r="S829">
        <v>0</v>
      </c>
      <c r="T829">
        <v>0</v>
      </c>
      <c r="U829">
        <v>0</v>
      </c>
      <c r="V829">
        <v>0</v>
      </c>
    </row>
    <row r="830" spans="1:22" x14ac:dyDescent="0.25">
      <c r="A830" t="s">
        <v>2138</v>
      </c>
      <c r="B830" t="s">
        <v>812</v>
      </c>
      <c r="C830">
        <v>38</v>
      </c>
      <c r="D830" t="s">
        <v>79</v>
      </c>
      <c r="E830" t="s">
        <v>69</v>
      </c>
      <c r="F830" t="s">
        <v>65</v>
      </c>
      <c r="G830">
        <v>0.34</v>
      </c>
      <c r="H830" t="s">
        <v>47</v>
      </c>
      <c r="I830">
        <v>17</v>
      </c>
      <c r="J830" t="str">
        <f>HYPERLINK("https://www.eliteprospects.com/player/727113/alexis-lemire")</f>
        <v>https://www.eliteprospects.com/player/727113/alexis-lemire</v>
      </c>
      <c r="K830" t="s">
        <v>27</v>
      </c>
      <c r="L830" t="s">
        <v>804</v>
      </c>
      <c r="M830" t="s">
        <v>1296</v>
      </c>
      <c r="N830">
        <v>4</v>
      </c>
      <c r="O830" t="s">
        <v>809</v>
      </c>
      <c r="P830">
        <v>0.04</v>
      </c>
      <c r="Q830" t="s">
        <v>1488</v>
      </c>
      <c r="R830">
        <v>0</v>
      </c>
      <c r="S830">
        <v>0</v>
      </c>
      <c r="T830">
        <v>0</v>
      </c>
      <c r="U830">
        <v>0</v>
      </c>
      <c r="V830">
        <v>0</v>
      </c>
    </row>
    <row r="831" spans="1:22" x14ac:dyDescent="0.25">
      <c r="A831" t="s">
        <v>2139</v>
      </c>
      <c r="B831" t="s">
        <v>818</v>
      </c>
      <c r="C831">
        <v>38</v>
      </c>
      <c r="D831" t="s">
        <v>260</v>
      </c>
      <c r="E831" t="s">
        <v>23</v>
      </c>
      <c r="F831" t="s">
        <v>65</v>
      </c>
      <c r="G831">
        <v>0.34</v>
      </c>
      <c r="H831" t="s">
        <v>24</v>
      </c>
      <c r="I831">
        <v>17</v>
      </c>
      <c r="J831" t="str">
        <f>HYPERLINK("https://www.eliteprospects.com/player/577055/zackary-plamondon")</f>
        <v>https://www.eliteprospects.com/player/577055/zackary-plamondon</v>
      </c>
      <c r="K831" t="s">
        <v>27</v>
      </c>
      <c r="L831" t="s">
        <v>804</v>
      </c>
      <c r="M831" t="s">
        <v>1296</v>
      </c>
      <c r="N831">
        <v>3</v>
      </c>
      <c r="O831" t="s">
        <v>805</v>
      </c>
      <c r="P831">
        <v>0.04</v>
      </c>
      <c r="Q831" t="s">
        <v>1488</v>
      </c>
      <c r="R831">
        <v>0</v>
      </c>
      <c r="S831">
        <v>0</v>
      </c>
      <c r="T831">
        <v>0</v>
      </c>
      <c r="U831">
        <v>0</v>
      </c>
      <c r="V831">
        <v>0</v>
      </c>
    </row>
    <row r="832" spans="1:22" x14ac:dyDescent="0.25">
      <c r="A832" t="s">
        <v>2140</v>
      </c>
      <c r="B832" t="s">
        <v>815</v>
      </c>
      <c r="C832">
        <v>34</v>
      </c>
      <c r="D832" t="s">
        <v>132</v>
      </c>
      <c r="E832" t="s">
        <v>65</v>
      </c>
      <c r="F832" t="s">
        <v>65</v>
      </c>
      <c r="G832">
        <v>0.38</v>
      </c>
      <c r="H832" t="s">
        <v>38</v>
      </c>
      <c r="I832">
        <v>-11</v>
      </c>
      <c r="J832" t="str">
        <f>HYPERLINK("https://www.eliteprospects.com/player/747936/maddox-labre")</f>
        <v>https://www.eliteprospects.com/player/747936/maddox-labre</v>
      </c>
      <c r="K832" t="s">
        <v>27</v>
      </c>
      <c r="L832" t="s">
        <v>804</v>
      </c>
      <c r="M832" t="s">
        <v>1296</v>
      </c>
      <c r="N832">
        <v>3</v>
      </c>
      <c r="O832" t="s">
        <v>805</v>
      </c>
      <c r="P832">
        <v>0.04</v>
      </c>
      <c r="Q832" t="s">
        <v>1488</v>
      </c>
      <c r="R832">
        <v>0</v>
      </c>
      <c r="S832">
        <v>0</v>
      </c>
      <c r="T832">
        <v>0</v>
      </c>
      <c r="U832">
        <v>0</v>
      </c>
      <c r="V832">
        <v>0</v>
      </c>
    </row>
    <row r="833" spans="1:22" x14ac:dyDescent="0.25">
      <c r="A833" t="s">
        <v>2141</v>
      </c>
      <c r="B833" t="s">
        <v>856</v>
      </c>
      <c r="C833">
        <v>28</v>
      </c>
      <c r="D833" t="s">
        <v>96</v>
      </c>
      <c r="E833" t="s">
        <v>78</v>
      </c>
      <c r="F833" t="s">
        <v>23</v>
      </c>
      <c r="G833">
        <v>0.43</v>
      </c>
      <c r="H833" t="s">
        <v>65</v>
      </c>
      <c r="I833">
        <v>-4</v>
      </c>
      <c r="J833" t="str">
        <f>HYPERLINK("https://www.eliteprospects.com/player/673078/jack-martin")</f>
        <v>https://www.eliteprospects.com/player/673078/jack-martin</v>
      </c>
      <c r="K833" t="s">
        <v>27</v>
      </c>
      <c r="L833" t="s">
        <v>804</v>
      </c>
      <c r="M833" t="s">
        <v>1296</v>
      </c>
      <c r="N833">
        <v>5</v>
      </c>
      <c r="O833" t="s">
        <v>807</v>
      </c>
      <c r="P833">
        <v>0.05</v>
      </c>
      <c r="Q833" t="s">
        <v>1309</v>
      </c>
      <c r="R833">
        <v>0</v>
      </c>
      <c r="S833">
        <v>20</v>
      </c>
      <c r="T833">
        <v>40</v>
      </c>
      <c r="U833">
        <v>0</v>
      </c>
      <c r="V833">
        <v>40</v>
      </c>
    </row>
    <row r="834" spans="1:22" x14ac:dyDescent="0.25">
      <c r="A834" t="s">
        <v>2142</v>
      </c>
      <c r="B834" t="s">
        <v>821</v>
      </c>
      <c r="C834">
        <v>38</v>
      </c>
      <c r="D834" t="s">
        <v>79</v>
      </c>
      <c r="E834" t="s">
        <v>32</v>
      </c>
      <c r="F834" t="s">
        <v>23</v>
      </c>
      <c r="G834">
        <v>0.32</v>
      </c>
      <c r="H834" t="s">
        <v>53</v>
      </c>
      <c r="I834">
        <v>-3</v>
      </c>
      <c r="J834" t="str">
        <f>HYPERLINK("https://www.eliteprospects.com/player/803899/brady-peddle")</f>
        <v>https://www.eliteprospects.com/player/803899/brady-peddle</v>
      </c>
      <c r="K834" t="s">
        <v>27</v>
      </c>
      <c r="L834" t="s">
        <v>804</v>
      </c>
      <c r="M834" t="s">
        <v>1296</v>
      </c>
      <c r="N834">
        <v>1</v>
      </c>
      <c r="O834" t="s">
        <v>816</v>
      </c>
      <c r="P834">
        <v>0.04</v>
      </c>
      <c r="Q834" t="s">
        <v>1488</v>
      </c>
      <c r="R834">
        <v>0</v>
      </c>
      <c r="S834">
        <v>0</v>
      </c>
      <c r="T834">
        <v>0</v>
      </c>
      <c r="U834">
        <v>0</v>
      </c>
      <c r="V834">
        <v>0</v>
      </c>
    </row>
    <row r="835" spans="1:22" x14ac:dyDescent="0.25">
      <c r="A835" t="s">
        <v>2143</v>
      </c>
      <c r="B835" t="s">
        <v>848</v>
      </c>
      <c r="C835">
        <v>39</v>
      </c>
      <c r="D835" t="s">
        <v>79</v>
      </c>
      <c r="E835" t="s">
        <v>32</v>
      </c>
      <c r="F835" t="s">
        <v>23</v>
      </c>
      <c r="G835">
        <v>0.31</v>
      </c>
      <c r="H835" t="s">
        <v>265</v>
      </c>
      <c r="I835">
        <v>-22</v>
      </c>
      <c r="J835" t="str">
        <f>HYPERLINK("https://www.eliteprospects.com/player/599567/jeremie-dumas")</f>
        <v>https://www.eliteprospects.com/player/599567/jeremie-dumas</v>
      </c>
      <c r="K835" t="s">
        <v>27</v>
      </c>
      <c r="L835" t="s">
        <v>804</v>
      </c>
      <c r="M835" t="s">
        <v>1296</v>
      </c>
      <c r="N835">
        <v>5</v>
      </c>
      <c r="O835" t="s">
        <v>807</v>
      </c>
      <c r="P835">
        <v>0.04</v>
      </c>
      <c r="Q835" t="s">
        <v>1488</v>
      </c>
      <c r="R835">
        <v>0</v>
      </c>
      <c r="S835">
        <v>0</v>
      </c>
      <c r="T835">
        <v>0</v>
      </c>
      <c r="U835">
        <v>0</v>
      </c>
      <c r="V835">
        <v>0</v>
      </c>
    </row>
    <row r="836" spans="1:22" x14ac:dyDescent="0.25">
      <c r="A836" t="s">
        <v>2144</v>
      </c>
      <c r="B836" t="s">
        <v>812</v>
      </c>
      <c r="C836">
        <v>32</v>
      </c>
      <c r="D836" t="s">
        <v>260</v>
      </c>
      <c r="E836" t="s">
        <v>69</v>
      </c>
      <c r="F836" t="s">
        <v>23</v>
      </c>
      <c r="G836">
        <v>0.38</v>
      </c>
      <c r="H836" t="s">
        <v>55</v>
      </c>
      <c r="I836">
        <v>7</v>
      </c>
      <c r="J836" t="str">
        <f>HYPERLINK("https://www.eliteprospects.com/player/944329/guus-van-der-kaaij")</f>
        <v>https://www.eliteprospects.com/player/944329/guus-van-der-kaaij</v>
      </c>
      <c r="K836" t="s">
        <v>27</v>
      </c>
      <c r="L836" t="s">
        <v>804</v>
      </c>
      <c r="M836" t="s">
        <v>1296</v>
      </c>
      <c r="N836">
        <v>1</v>
      </c>
      <c r="O836" t="s">
        <v>816</v>
      </c>
      <c r="P836">
        <v>0.04</v>
      </c>
      <c r="Q836" t="s">
        <v>1488</v>
      </c>
      <c r="R836">
        <v>0</v>
      </c>
      <c r="S836">
        <v>0</v>
      </c>
      <c r="T836">
        <v>0</v>
      </c>
      <c r="U836">
        <v>0</v>
      </c>
      <c r="V836">
        <v>0</v>
      </c>
    </row>
    <row r="837" spans="1:22" x14ac:dyDescent="0.25">
      <c r="A837" t="s">
        <v>2145</v>
      </c>
      <c r="B837" t="s">
        <v>507</v>
      </c>
      <c r="C837">
        <v>39</v>
      </c>
      <c r="D837" t="s">
        <v>260</v>
      </c>
      <c r="E837" t="s">
        <v>69</v>
      </c>
      <c r="F837" t="s">
        <v>23</v>
      </c>
      <c r="G837">
        <v>0.31</v>
      </c>
      <c r="H837" t="s">
        <v>39</v>
      </c>
      <c r="I837">
        <v>12</v>
      </c>
      <c r="J837" t="str">
        <f>HYPERLINK("https://www.eliteprospects.com/player/744834/bo-damphousse")</f>
        <v>https://www.eliteprospects.com/player/744834/bo-damphousse</v>
      </c>
      <c r="K837" t="s">
        <v>27</v>
      </c>
      <c r="L837" t="s">
        <v>804</v>
      </c>
      <c r="M837" t="s">
        <v>1296</v>
      </c>
      <c r="N837">
        <v>3</v>
      </c>
      <c r="O837" t="s">
        <v>805</v>
      </c>
      <c r="P837">
        <v>0.04</v>
      </c>
      <c r="Q837" t="s">
        <v>1488</v>
      </c>
      <c r="R837">
        <v>0</v>
      </c>
      <c r="S837">
        <v>0</v>
      </c>
      <c r="T837">
        <v>0</v>
      </c>
      <c r="U837">
        <v>0</v>
      </c>
      <c r="V837">
        <v>0</v>
      </c>
    </row>
    <row r="838" spans="1:22" x14ac:dyDescent="0.25">
      <c r="A838" t="s">
        <v>2146</v>
      </c>
      <c r="B838" t="s">
        <v>832</v>
      </c>
      <c r="C838">
        <v>36</v>
      </c>
      <c r="D838" t="s">
        <v>96</v>
      </c>
      <c r="E838" t="s">
        <v>57</v>
      </c>
      <c r="F838" t="s">
        <v>69</v>
      </c>
      <c r="G838">
        <v>0.31</v>
      </c>
      <c r="H838" t="s">
        <v>26</v>
      </c>
      <c r="I838">
        <v>-3</v>
      </c>
      <c r="J838" t="str">
        <f>HYPERLINK("https://www.eliteprospects.com/player/885506/brandon-delarosbil")</f>
        <v>https://www.eliteprospects.com/player/885506/brandon-delarosbil</v>
      </c>
      <c r="K838" t="s">
        <v>27</v>
      </c>
      <c r="L838" t="s">
        <v>804</v>
      </c>
      <c r="M838" t="s">
        <v>1296</v>
      </c>
      <c r="N838">
        <v>2</v>
      </c>
      <c r="O838" t="s">
        <v>825</v>
      </c>
      <c r="P838">
        <v>0.04</v>
      </c>
      <c r="Q838" t="s">
        <v>1488</v>
      </c>
      <c r="R838">
        <v>0</v>
      </c>
      <c r="S838">
        <v>0</v>
      </c>
      <c r="T838">
        <v>0</v>
      </c>
      <c r="U838">
        <v>0</v>
      </c>
      <c r="V838">
        <v>0</v>
      </c>
    </row>
    <row r="839" spans="1:22" x14ac:dyDescent="0.25">
      <c r="A839" t="s">
        <v>2147</v>
      </c>
      <c r="B839" t="s">
        <v>856</v>
      </c>
      <c r="C839">
        <v>35</v>
      </c>
      <c r="D839" t="s">
        <v>66</v>
      </c>
      <c r="E839" t="s">
        <v>78</v>
      </c>
      <c r="F839" t="s">
        <v>69</v>
      </c>
      <c r="G839">
        <v>0.31</v>
      </c>
      <c r="H839" t="s">
        <v>24</v>
      </c>
      <c r="I839">
        <v>-9</v>
      </c>
      <c r="J839" t="str">
        <f>HYPERLINK("https://www.eliteprospects.com/player/765828/luca-nappiot")</f>
        <v>https://www.eliteprospects.com/player/765828/luca-nappiot</v>
      </c>
      <c r="K839" t="s">
        <v>27</v>
      </c>
      <c r="L839" t="s">
        <v>804</v>
      </c>
      <c r="M839" t="s">
        <v>1296</v>
      </c>
      <c r="N839">
        <v>1</v>
      </c>
      <c r="O839" t="s">
        <v>816</v>
      </c>
      <c r="P839">
        <v>0.04</v>
      </c>
      <c r="Q839" t="s">
        <v>1488</v>
      </c>
      <c r="R839">
        <v>0</v>
      </c>
      <c r="S839">
        <v>0</v>
      </c>
      <c r="T839">
        <v>0</v>
      </c>
      <c r="U839">
        <v>0</v>
      </c>
      <c r="V839">
        <v>0</v>
      </c>
    </row>
    <row r="840" spans="1:22" x14ac:dyDescent="0.25">
      <c r="A840" t="s">
        <v>2148</v>
      </c>
      <c r="B840" t="s">
        <v>832</v>
      </c>
      <c r="C840">
        <v>39</v>
      </c>
      <c r="D840" t="s">
        <v>66</v>
      </c>
      <c r="E840" t="s">
        <v>78</v>
      </c>
      <c r="F840" t="s">
        <v>69</v>
      </c>
      <c r="G840">
        <v>0.28000000000000003</v>
      </c>
      <c r="H840" t="s">
        <v>427</v>
      </c>
      <c r="I840">
        <v>-16</v>
      </c>
      <c r="J840" t="str">
        <f>HYPERLINK("https://www.eliteprospects.com/player/727930/sydney-gagnon")</f>
        <v>https://www.eliteprospects.com/player/727930/sydney-gagnon</v>
      </c>
      <c r="K840" t="s">
        <v>27</v>
      </c>
      <c r="L840" t="s">
        <v>804</v>
      </c>
      <c r="M840" t="s">
        <v>1296</v>
      </c>
      <c r="N840">
        <v>3</v>
      </c>
      <c r="O840" t="s">
        <v>805</v>
      </c>
      <c r="P840">
        <v>0.03</v>
      </c>
      <c r="Q840" t="s">
        <v>1488</v>
      </c>
      <c r="R840">
        <v>0</v>
      </c>
      <c r="S840">
        <v>0</v>
      </c>
      <c r="T840">
        <v>0</v>
      </c>
      <c r="U840">
        <v>0</v>
      </c>
      <c r="V840">
        <v>0</v>
      </c>
    </row>
    <row r="841" spans="1:22" x14ac:dyDescent="0.25">
      <c r="A841" t="s">
        <v>2149</v>
      </c>
      <c r="B841" t="s">
        <v>507</v>
      </c>
      <c r="C841">
        <v>37</v>
      </c>
      <c r="D841" t="s">
        <v>140</v>
      </c>
      <c r="E841" t="s">
        <v>26</v>
      </c>
      <c r="F841" t="s">
        <v>69</v>
      </c>
      <c r="G841">
        <v>0.3</v>
      </c>
      <c r="H841" t="s">
        <v>600</v>
      </c>
      <c r="I841">
        <v>20</v>
      </c>
      <c r="J841" t="str">
        <f>HYPERLINK("https://www.eliteprospects.com/player/646706/alexandre-carbonneau")</f>
        <v>https://www.eliteprospects.com/player/646706/alexandre-carbonneau</v>
      </c>
      <c r="K841" t="s">
        <v>27</v>
      </c>
      <c r="L841" t="s">
        <v>804</v>
      </c>
      <c r="M841" t="s">
        <v>1296</v>
      </c>
      <c r="N841">
        <v>3</v>
      </c>
      <c r="O841" t="s">
        <v>805</v>
      </c>
      <c r="P841">
        <v>0.03</v>
      </c>
      <c r="Q841" t="s">
        <v>1488</v>
      </c>
      <c r="R841">
        <v>0</v>
      </c>
      <c r="S841">
        <v>0</v>
      </c>
      <c r="T841">
        <v>0</v>
      </c>
      <c r="U841">
        <v>0</v>
      </c>
      <c r="V841">
        <v>0</v>
      </c>
    </row>
    <row r="842" spans="1:22" x14ac:dyDescent="0.25">
      <c r="A842" t="s">
        <v>2150</v>
      </c>
      <c r="B842" t="s">
        <v>812</v>
      </c>
      <c r="C842">
        <v>25</v>
      </c>
      <c r="D842" t="s">
        <v>79</v>
      </c>
      <c r="E842" t="s">
        <v>45</v>
      </c>
      <c r="F842" t="s">
        <v>69</v>
      </c>
      <c r="G842">
        <v>0.44</v>
      </c>
      <c r="H842" t="s">
        <v>57</v>
      </c>
      <c r="I842">
        <v>-5</v>
      </c>
      <c r="J842" t="str">
        <f>HYPERLINK("https://www.eliteprospects.com/player/592015/axel-dufresne")</f>
        <v>https://www.eliteprospects.com/player/592015/axel-dufresne</v>
      </c>
      <c r="K842" t="s">
        <v>27</v>
      </c>
      <c r="L842" t="s">
        <v>804</v>
      </c>
      <c r="M842" t="s">
        <v>1296</v>
      </c>
      <c r="N842">
        <v>5</v>
      </c>
      <c r="O842" t="s">
        <v>807</v>
      </c>
      <c r="P842">
        <v>0.05</v>
      </c>
      <c r="Q842" t="s">
        <v>1309</v>
      </c>
      <c r="R842">
        <v>0</v>
      </c>
      <c r="S842">
        <v>20</v>
      </c>
      <c r="T842">
        <v>40</v>
      </c>
      <c r="U842">
        <v>0</v>
      </c>
      <c r="V842">
        <v>40</v>
      </c>
    </row>
    <row r="843" spans="1:22" x14ac:dyDescent="0.25">
      <c r="A843" t="s">
        <v>2151</v>
      </c>
      <c r="B843" t="s">
        <v>824</v>
      </c>
      <c r="C843">
        <v>38</v>
      </c>
      <c r="D843" t="s">
        <v>79</v>
      </c>
      <c r="E843" t="s">
        <v>45</v>
      </c>
      <c r="F843" t="s">
        <v>69</v>
      </c>
      <c r="G843">
        <v>0.28999999999999998</v>
      </c>
      <c r="H843" t="s">
        <v>24</v>
      </c>
      <c r="I843">
        <v>-8</v>
      </c>
      <c r="J843" t="str">
        <f>HYPERLINK("https://www.eliteprospects.com/player/908578/malik-l-italien")</f>
        <v>https://www.eliteprospects.com/player/908578/malik-l-italien</v>
      </c>
      <c r="K843" t="s">
        <v>27</v>
      </c>
      <c r="L843" t="s">
        <v>804</v>
      </c>
      <c r="M843" t="s">
        <v>1296</v>
      </c>
      <c r="N843">
        <v>1</v>
      </c>
      <c r="O843" t="s">
        <v>816</v>
      </c>
      <c r="P843">
        <v>0.03</v>
      </c>
      <c r="Q843" t="s">
        <v>1488</v>
      </c>
      <c r="R843">
        <v>0</v>
      </c>
      <c r="S843">
        <v>0</v>
      </c>
      <c r="T843">
        <v>0</v>
      </c>
      <c r="U843">
        <v>0</v>
      </c>
      <c r="V843">
        <v>0</v>
      </c>
    </row>
    <row r="844" spans="1:22" x14ac:dyDescent="0.25">
      <c r="A844" t="s">
        <v>2152</v>
      </c>
      <c r="B844" t="s">
        <v>832</v>
      </c>
      <c r="C844">
        <v>37</v>
      </c>
      <c r="D844" t="s">
        <v>79</v>
      </c>
      <c r="E844" t="s">
        <v>26</v>
      </c>
      <c r="F844" t="s">
        <v>32</v>
      </c>
      <c r="G844">
        <v>0.27</v>
      </c>
      <c r="H844" t="s">
        <v>34</v>
      </c>
      <c r="I844">
        <v>-13</v>
      </c>
      <c r="J844" t="str">
        <f>HYPERLINK("https://www.eliteprospects.com/player/646866/jean-felix-lapointe")</f>
        <v>https://www.eliteprospects.com/player/646866/jean-felix-lapointe</v>
      </c>
      <c r="K844" t="s">
        <v>27</v>
      </c>
      <c r="L844" t="s">
        <v>804</v>
      </c>
      <c r="M844" t="s">
        <v>1296</v>
      </c>
      <c r="N844">
        <v>4</v>
      </c>
      <c r="O844" t="s">
        <v>809</v>
      </c>
      <c r="P844">
        <v>0.03</v>
      </c>
      <c r="Q844" t="s">
        <v>1488</v>
      </c>
      <c r="R844">
        <v>0</v>
      </c>
      <c r="S844">
        <v>0</v>
      </c>
      <c r="T844">
        <v>0</v>
      </c>
      <c r="U844">
        <v>0</v>
      </c>
      <c r="V844">
        <v>0</v>
      </c>
    </row>
    <row r="845" spans="1:22" x14ac:dyDescent="0.25">
      <c r="A845" t="s">
        <v>2153</v>
      </c>
      <c r="B845" t="s">
        <v>865</v>
      </c>
      <c r="C845">
        <v>38</v>
      </c>
      <c r="D845" t="s">
        <v>79</v>
      </c>
      <c r="E845" t="s">
        <v>26</v>
      </c>
      <c r="F845" t="s">
        <v>32</v>
      </c>
      <c r="G845">
        <v>0.26</v>
      </c>
      <c r="H845" t="s">
        <v>81</v>
      </c>
      <c r="I845">
        <v>-4</v>
      </c>
      <c r="J845" t="str">
        <f>HYPERLINK("https://www.eliteprospects.com/player/876253/drew-allison")</f>
        <v>https://www.eliteprospects.com/player/876253/drew-allison</v>
      </c>
      <c r="K845" t="s">
        <v>27</v>
      </c>
      <c r="L845" t="s">
        <v>804</v>
      </c>
      <c r="M845" t="s">
        <v>1296</v>
      </c>
      <c r="N845">
        <v>2</v>
      </c>
      <c r="O845" t="s">
        <v>825</v>
      </c>
      <c r="P845">
        <v>0.03</v>
      </c>
      <c r="Q845" t="s">
        <v>1488</v>
      </c>
      <c r="R845">
        <v>0</v>
      </c>
      <c r="S845">
        <v>0</v>
      </c>
      <c r="T845">
        <v>0</v>
      </c>
      <c r="U845">
        <v>0</v>
      </c>
      <c r="V845">
        <v>0</v>
      </c>
    </row>
    <row r="846" spans="1:22" x14ac:dyDescent="0.25">
      <c r="A846" t="s">
        <v>2154</v>
      </c>
      <c r="B846" t="s">
        <v>826</v>
      </c>
      <c r="C846">
        <v>40</v>
      </c>
      <c r="D846" t="s">
        <v>79</v>
      </c>
      <c r="E846" t="s">
        <v>78</v>
      </c>
      <c r="F846" t="s">
        <v>45</v>
      </c>
      <c r="G846">
        <v>0.23</v>
      </c>
      <c r="H846" t="s">
        <v>23</v>
      </c>
      <c r="I846">
        <v>6</v>
      </c>
      <c r="J846" t="str">
        <f>HYPERLINK("https://www.eliteprospects.com/player/668063/matteo-rotondi")</f>
        <v>https://www.eliteprospects.com/player/668063/matteo-rotondi</v>
      </c>
      <c r="K846" t="s">
        <v>27</v>
      </c>
      <c r="L846" t="s">
        <v>804</v>
      </c>
      <c r="M846" t="s">
        <v>1296</v>
      </c>
      <c r="N846">
        <v>5</v>
      </c>
      <c r="O846" t="s">
        <v>807</v>
      </c>
      <c r="P846">
        <v>0.03</v>
      </c>
      <c r="Q846" t="s">
        <v>1488</v>
      </c>
      <c r="R846">
        <v>0</v>
      </c>
      <c r="S846">
        <v>0</v>
      </c>
      <c r="T846">
        <v>0</v>
      </c>
      <c r="U846">
        <v>0</v>
      </c>
      <c r="V846">
        <v>0</v>
      </c>
    </row>
    <row r="847" spans="1:22" x14ac:dyDescent="0.25">
      <c r="A847" t="s">
        <v>2155</v>
      </c>
      <c r="B847" t="s">
        <v>822</v>
      </c>
      <c r="C847">
        <v>19</v>
      </c>
      <c r="D847" t="s">
        <v>260</v>
      </c>
      <c r="E847" t="s">
        <v>26</v>
      </c>
      <c r="F847" t="s">
        <v>45</v>
      </c>
      <c r="G847">
        <v>0.47</v>
      </c>
      <c r="H847" t="s">
        <v>47</v>
      </c>
      <c r="I847">
        <v>0</v>
      </c>
      <c r="J847" t="str">
        <f>HYPERLINK("https://www.eliteprospects.com/player/693221/jack-brauti")</f>
        <v>https://www.eliteprospects.com/player/693221/jack-brauti</v>
      </c>
      <c r="K847" t="s">
        <v>27</v>
      </c>
      <c r="L847" t="s">
        <v>804</v>
      </c>
      <c r="M847" t="s">
        <v>1296</v>
      </c>
      <c r="N847">
        <v>3</v>
      </c>
      <c r="O847" t="s">
        <v>894</v>
      </c>
      <c r="P847">
        <v>0.05</v>
      </c>
      <c r="Q847" t="s">
        <v>1300</v>
      </c>
      <c r="R847">
        <v>37.5</v>
      </c>
      <c r="S847">
        <v>37.5</v>
      </c>
      <c r="T847">
        <v>0</v>
      </c>
      <c r="U847">
        <v>12.5</v>
      </c>
      <c r="V847">
        <v>12.5</v>
      </c>
    </row>
    <row r="848" spans="1:22" x14ac:dyDescent="0.25">
      <c r="A848" t="s">
        <v>2156</v>
      </c>
      <c r="B848" t="s">
        <v>823</v>
      </c>
      <c r="C848">
        <v>35</v>
      </c>
      <c r="D848" t="s">
        <v>140</v>
      </c>
      <c r="E848" t="s">
        <v>96</v>
      </c>
      <c r="F848" t="s">
        <v>26</v>
      </c>
      <c r="G848">
        <v>0.23</v>
      </c>
      <c r="H848" t="s">
        <v>497</v>
      </c>
      <c r="I848">
        <v>5</v>
      </c>
      <c r="J848" t="str">
        <f>HYPERLINK("https://www.eliteprospects.com/player/852128/logan-brennan")</f>
        <v>https://www.eliteprospects.com/player/852128/logan-brennan</v>
      </c>
      <c r="K848" t="s">
        <v>27</v>
      </c>
      <c r="L848" t="s">
        <v>804</v>
      </c>
      <c r="M848" t="s">
        <v>1296</v>
      </c>
      <c r="N848">
        <v>1</v>
      </c>
      <c r="O848" t="s">
        <v>816</v>
      </c>
      <c r="P848">
        <v>0.03</v>
      </c>
      <c r="Q848" t="s">
        <v>1488</v>
      </c>
      <c r="R848">
        <v>0</v>
      </c>
      <c r="S848">
        <v>0</v>
      </c>
      <c r="T848">
        <v>0</v>
      </c>
      <c r="U848">
        <v>0</v>
      </c>
      <c r="V848">
        <v>0</v>
      </c>
    </row>
    <row r="849" spans="1:22" x14ac:dyDescent="0.25">
      <c r="A849" t="s">
        <v>2157</v>
      </c>
      <c r="B849" t="s">
        <v>818</v>
      </c>
      <c r="C849">
        <v>39</v>
      </c>
      <c r="D849" t="s">
        <v>79</v>
      </c>
      <c r="E849" t="s">
        <v>57</v>
      </c>
      <c r="F849" t="s">
        <v>26</v>
      </c>
      <c r="G849">
        <v>0.21</v>
      </c>
      <c r="H849" t="s">
        <v>81</v>
      </c>
      <c r="I849">
        <v>19</v>
      </c>
      <c r="J849" t="str">
        <f>HYPERLINK("https://www.eliteprospects.com/player/259004/olivier-filaj")</f>
        <v>https://www.eliteprospects.com/player/259004/olivier-filaj</v>
      </c>
      <c r="K849" t="s">
        <v>27</v>
      </c>
      <c r="L849" t="s">
        <v>804</v>
      </c>
      <c r="M849" t="s">
        <v>1296</v>
      </c>
      <c r="N849">
        <v>4</v>
      </c>
      <c r="O849" t="s">
        <v>809</v>
      </c>
      <c r="P849">
        <v>0.02</v>
      </c>
      <c r="Q849" t="s">
        <v>1488</v>
      </c>
      <c r="R849">
        <v>0</v>
      </c>
      <c r="S849">
        <v>0</v>
      </c>
      <c r="T849">
        <v>0</v>
      </c>
      <c r="U849">
        <v>0</v>
      </c>
      <c r="V849">
        <v>0</v>
      </c>
    </row>
    <row r="850" spans="1:22" x14ac:dyDescent="0.25">
      <c r="A850" t="s">
        <v>2158</v>
      </c>
      <c r="B850" t="s">
        <v>507</v>
      </c>
      <c r="C850">
        <v>34</v>
      </c>
      <c r="D850" t="s">
        <v>260</v>
      </c>
      <c r="E850" t="s">
        <v>78</v>
      </c>
      <c r="F850" t="s">
        <v>26</v>
      </c>
      <c r="G850">
        <v>0.24</v>
      </c>
      <c r="H850" t="s">
        <v>84</v>
      </c>
      <c r="I850">
        <v>2</v>
      </c>
      <c r="J850" t="str">
        <f>HYPERLINK("https://www.eliteprospects.com/player/723525/carl-otto-magnusson")</f>
        <v>https://www.eliteprospects.com/player/723525/carl-otto-magnusson</v>
      </c>
      <c r="K850" t="s">
        <v>27</v>
      </c>
      <c r="L850" t="s">
        <v>804</v>
      </c>
      <c r="M850" t="s">
        <v>1296</v>
      </c>
      <c r="N850">
        <v>1</v>
      </c>
      <c r="O850" t="s">
        <v>816</v>
      </c>
      <c r="P850">
        <v>0.03</v>
      </c>
      <c r="Q850" t="s">
        <v>1488</v>
      </c>
      <c r="R850">
        <v>0</v>
      </c>
      <c r="S850">
        <v>0</v>
      </c>
      <c r="T850">
        <v>0</v>
      </c>
      <c r="U850">
        <v>0</v>
      </c>
      <c r="V850">
        <v>0</v>
      </c>
    </row>
    <row r="851" spans="1:22" x14ac:dyDescent="0.25">
      <c r="A851" t="s">
        <v>2159</v>
      </c>
      <c r="B851" t="s">
        <v>820</v>
      </c>
      <c r="C851">
        <v>36</v>
      </c>
      <c r="D851" t="s">
        <v>260</v>
      </c>
      <c r="E851" t="s">
        <v>78</v>
      </c>
      <c r="F851" t="s">
        <v>26</v>
      </c>
      <c r="G851">
        <v>0.22</v>
      </c>
      <c r="H851" t="s">
        <v>589</v>
      </c>
      <c r="I851">
        <v>12</v>
      </c>
      <c r="J851" t="str">
        <f>HYPERLINK("https://www.eliteprospects.com/player/865077/eerik-wallenius")</f>
        <v>https://www.eliteprospects.com/player/865077/eerik-wallenius</v>
      </c>
      <c r="K851" t="s">
        <v>27</v>
      </c>
      <c r="L851" t="s">
        <v>804</v>
      </c>
      <c r="M851" t="s">
        <v>1296</v>
      </c>
      <c r="N851">
        <v>1</v>
      </c>
      <c r="O851" t="s">
        <v>816</v>
      </c>
      <c r="P851">
        <v>0.02</v>
      </c>
      <c r="Q851" t="s">
        <v>1488</v>
      </c>
      <c r="R851">
        <v>0</v>
      </c>
      <c r="S851">
        <v>0</v>
      </c>
      <c r="T851">
        <v>0</v>
      </c>
      <c r="U851">
        <v>0</v>
      </c>
      <c r="V851">
        <v>0</v>
      </c>
    </row>
    <row r="852" spans="1:22" x14ac:dyDescent="0.25">
      <c r="A852" t="s">
        <v>2160</v>
      </c>
      <c r="B852" t="s">
        <v>832</v>
      </c>
      <c r="C852">
        <v>39</v>
      </c>
      <c r="D852" t="s">
        <v>260</v>
      </c>
      <c r="E852" t="s">
        <v>78</v>
      </c>
      <c r="F852" t="s">
        <v>26</v>
      </c>
      <c r="G852">
        <v>0.21</v>
      </c>
      <c r="H852" t="s">
        <v>489</v>
      </c>
      <c r="I852">
        <v>-16</v>
      </c>
      <c r="J852" t="str">
        <f>HYPERLINK("https://www.eliteprospects.com/player/599569/eloi-bourdeau")</f>
        <v>https://www.eliteprospects.com/player/599569/eloi-bourdeau</v>
      </c>
      <c r="K852" t="s">
        <v>27</v>
      </c>
      <c r="L852" t="s">
        <v>804</v>
      </c>
      <c r="M852" t="s">
        <v>1296</v>
      </c>
      <c r="N852">
        <v>4</v>
      </c>
      <c r="O852" t="s">
        <v>809</v>
      </c>
      <c r="P852">
        <v>0.02</v>
      </c>
      <c r="Q852" t="s">
        <v>1488</v>
      </c>
      <c r="R852">
        <v>0</v>
      </c>
      <c r="S852">
        <v>0</v>
      </c>
      <c r="T852">
        <v>0</v>
      </c>
      <c r="U852">
        <v>0</v>
      </c>
      <c r="V852">
        <v>0</v>
      </c>
    </row>
    <row r="853" spans="1:22" x14ac:dyDescent="0.25">
      <c r="A853" t="s">
        <v>2161</v>
      </c>
      <c r="B853" t="s">
        <v>828</v>
      </c>
      <c r="C853">
        <v>38</v>
      </c>
      <c r="D853" t="s">
        <v>132</v>
      </c>
      <c r="E853" t="s">
        <v>26</v>
      </c>
      <c r="F853" t="s">
        <v>26</v>
      </c>
      <c r="G853">
        <v>0.21</v>
      </c>
      <c r="H853" t="s">
        <v>24</v>
      </c>
      <c r="I853">
        <v>-10</v>
      </c>
      <c r="J853" t="str">
        <f>HYPERLINK("https://www.eliteprospects.com/player/707136/julien-wasmer")</f>
        <v>https://www.eliteprospects.com/player/707136/julien-wasmer</v>
      </c>
      <c r="K853" t="s">
        <v>27</v>
      </c>
      <c r="L853" t="s">
        <v>804</v>
      </c>
      <c r="M853" t="s">
        <v>1296</v>
      </c>
      <c r="N853">
        <v>2</v>
      </c>
      <c r="O853" t="s">
        <v>825</v>
      </c>
      <c r="P853">
        <v>0.02</v>
      </c>
      <c r="Q853" t="s">
        <v>1488</v>
      </c>
      <c r="R853">
        <v>0</v>
      </c>
      <c r="S853">
        <v>0</v>
      </c>
      <c r="T853">
        <v>0</v>
      </c>
      <c r="U853">
        <v>0</v>
      </c>
      <c r="V853">
        <v>0</v>
      </c>
    </row>
    <row r="854" spans="1:22" x14ac:dyDescent="0.25">
      <c r="A854" t="s">
        <v>2162</v>
      </c>
      <c r="B854" t="s">
        <v>826</v>
      </c>
      <c r="C854">
        <v>39</v>
      </c>
      <c r="D854" t="s">
        <v>132</v>
      </c>
      <c r="E854" t="s">
        <v>26</v>
      </c>
      <c r="F854" t="s">
        <v>26</v>
      </c>
      <c r="G854">
        <v>0.21</v>
      </c>
      <c r="H854" t="s">
        <v>66</v>
      </c>
      <c r="I854">
        <v>9</v>
      </c>
      <c r="J854" t="str">
        <f>HYPERLINK("https://www.eliteprospects.com/player/905937/owen-ronson")</f>
        <v>https://www.eliteprospects.com/player/905937/owen-ronson</v>
      </c>
      <c r="K854" t="s">
        <v>27</v>
      </c>
      <c r="L854" t="s">
        <v>804</v>
      </c>
      <c r="M854" t="s">
        <v>1296</v>
      </c>
      <c r="N854">
        <v>2</v>
      </c>
      <c r="O854" t="s">
        <v>825</v>
      </c>
      <c r="P854">
        <v>0.02</v>
      </c>
      <c r="Q854" t="s">
        <v>1488</v>
      </c>
      <c r="R854">
        <v>0</v>
      </c>
      <c r="S854">
        <v>0</v>
      </c>
      <c r="T854">
        <v>0</v>
      </c>
      <c r="U854">
        <v>0</v>
      </c>
      <c r="V854">
        <v>0</v>
      </c>
    </row>
    <row r="855" spans="1:22" x14ac:dyDescent="0.25">
      <c r="A855" t="s">
        <v>2163</v>
      </c>
      <c r="B855" t="s">
        <v>507</v>
      </c>
      <c r="C855">
        <v>39</v>
      </c>
      <c r="D855" t="s">
        <v>132</v>
      </c>
      <c r="E855" t="s">
        <v>26</v>
      </c>
      <c r="F855" t="s">
        <v>26</v>
      </c>
      <c r="G855">
        <v>0.21</v>
      </c>
      <c r="H855" t="s">
        <v>2164</v>
      </c>
      <c r="I855">
        <v>9</v>
      </c>
      <c r="J855" t="str">
        <f>HYPERLINK("https://www.eliteprospects.com/player/679662/jonathan-prud-homme")</f>
        <v>https://www.eliteprospects.com/player/679662/jonathan-prud-homme</v>
      </c>
      <c r="K855" t="s">
        <v>27</v>
      </c>
      <c r="L855" t="s">
        <v>804</v>
      </c>
      <c r="M855" t="s">
        <v>1296</v>
      </c>
      <c r="N855">
        <v>3</v>
      </c>
      <c r="O855" t="s">
        <v>805</v>
      </c>
      <c r="P855">
        <v>0.02</v>
      </c>
      <c r="Q855" t="s">
        <v>1488</v>
      </c>
      <c r="R855">
        <v>0</v>
      </c>
      <c r="S855">
        <v>0</v>
      </c>
      <c r="T855">
        <v>0</v>
      </c>
      <c r="U855">
        <v>0</v>
      </c>
      <c r="V855">
        <v>0</v>
      </c>
    </row>
    <row r="856" spans="1:22" x14ac:dyDescent="0.25">
      <c r="A856" t="s">
        <v>2165</v>
      </c>
      <c r="B856" t="s">
        <v>507</v>
      </c>
      <c r="C856">
        <v>37</v>
      </c>
      <c r="D856" t="s">
        <v>66</v>
      </c>
      <c r="E856" t="s">
        <v>140</v>
      </c>
      <c r="F856" t="s">
        <v>78</v>
      </c>
      <c r="G856">
        <v>0.19</v>
      </c>
      <c r="H856" t="s">
        <v>427</v>
      </c>
      <c r="I856">
        <v>-21</v>
      </c>
      <c r="J856" t="str">
        <f>HYPERLINK("https://www.eliteprospects.com/player/763400/alexis-mathieu")</f>
        <v>https://www.eliteprospects.com/player/763400/alexis-mathieu</v>
      </c>
      <c r="K856" t="s">
        <v>27</v>
      </c>
      <c r="L856" t="s">
        <v>804</v>
      </c>
      <c r="M856" t="s">
        <v>1296</v>
      </c>
      <c r="N856">
        <v>3</v>
      </c>
      <c r="O856" t="s">
        <v>805</v>
      </c>
      <c r="P856">
        <v>0.02</v>
      </c>
      <c r="Q856" t="s">
        <v>1488</v>
      </c>
      <c r="R856">
        <v>0</v>
      </c>
      <c r="S856">
        <v>0</v>
      </c>
      <c r="T856">
        <v>0</v>
      </c>
      <c r="U856">
        <v>0</v>
      </c>
      <c r="V856">
        <v>0</v>
      </c>
    </row>
    <row r="857" spans="1:22" x14ac:dyDescent="0.25">
      <c r="A857" t="s">
        <v>2166</v>
      </c>
      <c r="B857" t="s">
        <v>848</v>
      </c>
      <c r="C857">
        <v>30</v>
      </c>
      <c r="D857" t="s">
        <v>140</v>
      </c>
      <c r="E857" t="s">
        <v>66</v>
      </c>
      <c r="F857" t="s">
        <v>78</v>
      </c>
      <c r="G857">
        <v>0.23</v>
      </c>
      <c r="H857" t="s">
        <v>61</v>
      </c>
      <c r="I857">
        <v>-3</v>
      </c>
      <c r="J857" t="str">
        <f>HYPERLINK("https://www.eliteprospects.com/player/887190/zachary-roussy")</f>
        <v>https://www.eliteprospects.com/player/887190/zachary-roussy</v>
      </c>
      <c r="K857" t="s">
        <v>27</v>
      </c>
      <c r="L857" t="s">
        <v>804</v>
      </c>
      <c r="M857" t="s">
        <v>1296</v>
      </c>
      <c r="N857">
        <v>1</v>
      </c>
      <c r="O857" t="s">
        <v>816</v>
      </c>
      <c r="P857">
        <v>0.03</v>
      </c>
      <c r="Q857" t="s">
        <v>1488</v>
      </c>
      <c r="R857">
        <v>0</v>
      </c>
      <c r="S857">
        <v>0</v>
      </c>
      <c r="T857">
        <v>0</v>
      </c>
      <c r="U857">
        <v>0</v>
      </c>
      <c r="V857">
        <v>0</v>
      </c>
    </row>
    <row r="858" spans="1:22" x14ac:dyDescent="0.25">
      <c r="A858" t="s">
        <v>2167</v>
      </c>
      <c r="B858" t="s">
        <v>803</v>
      </c>
      <c r="C858">
        <v>39</v>
      </c>
      <c r="D858" t="s">
        <v>140</v>
      </c>
      <c r="E858" t="s">
        <v>66</v>
      </c>
      <c r="F858" t="s">
        <v>78</v>
      </c>
      <c r="G858">
        <v>0.18</v>
      </c>
      <c r="H858" t="s">
        <v>39</v>
      </c>
      <c r="I858">
        <v>-9</v>
      </c>
      <c r="J858" t="str">
        <f>HYPERLINK("https://www.eliteprospects.com/player/772967/alexis-fortin")</f>
        <v>https://www.eliteprospects.com/player/772967/alexis-fortin</v>
      </c>
      <c r="K858" t="s">
        <v>27</v>
      </c>
      <c r="L858" t="s">
        <v>804</v>
      </c>
      <c r="M858" t="s">
        <v>1296</v>
      </c>
      <c r="N858">
        <v>3</v>
      </c>
      <c r="O858" t="s">
        <v>805</v>
      </c>
      <c r="P858">
        <v>0.02</v>
      </c>
      <c r="Q858" t="s">
        <v>1488</v>
      </c>
      <c r="R858">
        <v>0</v>
      </c>
      <c r="S858">
        <v>0</v>
      </c>
      <c r="T858">
        <v>0</v>
      </c>
      <c r="U858">
        <v>0</v>
      </c>
      <c r="V858">
        <v>0</v>
      </c>
    </row>
    <row r="859" spans="1:22" x14ac:dyDescent="0.25">
      <c r="A859" t="s">
        <v>2168</v>
      </c>
      <c r="B859" t="s">
        <v>822</v>
      </c>
      <c r="C859">
        <v>35</v>
      </c>
      <c r="D859" t="s">
        <v>79</v>
      </c>
      <c r="E859" t="s">
        <v>96</v>
      </c>
      <c r="F859" t="s">
        <v>78</v>
      </c>
      <c r="G859">
        <v>0.2</v>
      </c>
      <c r="H859" t="s">
        <v>26</v>
      </c>
      <c r="I859">
        <v>9</v>
      </c>
      <c r="J859" t="str">
        <f>HYPERLINK("https://www.eliteprospects.com/player/806149/jacob-de-ladurantaye")</f>
        <v>https://www.eliteprospects.com/player/806149/jacob-de-ladurantaye</v>
      </c>
      <c r="K859" t="s">
        <v>27</v>
      </c>
      <c r="L859" t="s">
        <v>804</v>
      </c>
      <c r="M859" t="s">
        <v>1296</v>
      </c>
      <c r="N859">
        <v>2</v>
      </c>
      <c r="O859" t="s">
        <v>825</v>
      </c>
      <c r="P859">
        <v>0.02</v>
      </c>
      <c r="Q859" t="s">
        <v>1488</v>
      </c>
      <c r="R859">
        <v>0</v>
      </c>
      <c r="S859">
        <v>0</v>
      </c>
      <c r="T859">
        <v>0</v>
      </c>
      <c r="U859">
        <v>0</v>
      </c>
      <c r="V859">
        <v>0</v>
      </c>
    </row>
    <row r="860" spans="1:22" x14ac:dyDescent="0.25">
      <c r="A860" t="s">
        <v>2169</v>
      </c>
      <c r="B860" t="s">
        <v>824</v>
      </c>
      <c r="C860">
        <v>38</v>
      </c>
      <c r="D860" t="s">
        <v>79</v>
      </c>
      <c r="E860" t="s">
        <v>96</v>
      </c>
      <c r="F860" t="s">
        <v>78</v>
      </c>
      <c r="G860">
        <v>0.18</v>
      </c>
      <c r="H860" t="s">
        <v>66</v>
      </c>
      <c r="I860">
        <v>-5</v>
      </c>
      <c r="J860" t="str">
        <f>HYPERLINK("https://www.eliteprospects.com/player/978999/cameron-minella")</f>
        <v>https://www.eliteprospects.com/player/978999/cameron-minella</v>
      </c>
      <c r="K860" t="s">
        <v>27</v>
      </c>
      <c r="L860" t="s">
        <v>804</v>
      </c>
      <c r="M860" t="s">
        <v>1296</v>
      </c>
      <c r="N860">
        <v>1</v>
      </c>
      <c r="O860" t="s">
        <v>816</v>
      </c>
      <c r="P860">
        <v>0.02</v>
      </c>
      <c r="Q860" t="s">
        <v>1488</v>
      </c>
      <c r="R860">
        <v>0</v>
      </c>
      <c r="S860">
        <v>0</v>
      </c>
      <c r="T860">
        <v>0</v>
      </c>
      <c r="U860">
        <v>0</v>
      </c>
      <c r="V860">
        <v>0</v>
      </c>
    </row>
    <row r="861" spans="1:22" x14ac:dyDescent="0.25">
      <c r="A861" t="s">
        <v>2170</v>
      </c>
      <c r="B861" t="s">
        <v>811</v>
      </c>
      <c r="C861">
        <v>17</v>
      </c>
      <c r="D861" t="s">
        <v>260</v>
      </c>
      <c r="E861" t="s">
        <v>57</v>
      </c>
      <c r="F861" t="s">
        <v>78</v>
      </c>
      <c r="G861">
        <v>0.41</v>
      </c>
      <c r="H861" t="s">
        <v>81</v>
      </c>
      <c r="I861">
        <v>5</v>
      </c>
      <c r="J861" t="str">
        <f>HYPERLINK("https://www.eliteprospects.com/player/718561/julien-lanthier")</f>
        <v>https://www.eliteprospects.com/player/718561/julien-lanthier</v>
      </c>
      <c r="K861" t="s">
        <v>27</v>
      </c>
      <c r="L861" t="s">
        <v>804</v>
      </c>
      <c r="M861" t="s">
        <v>1296</v>
      </c>
      <c r="N861">
        <v>4</v>
      </c>
      <c r="O861" t="s">
        <v>809</v>
      </c>
      <c r="P861">
        <v>0.05</v>
      </c>
      <c r="Q861" t="s">
        <v>1325</v>
      </c>
      <c r="R861">
        <v>18.2</v>
      </c>
      <c r="S861">
        <v>9.1</v>
      </c>
      <c r="T861">
        <v>63.6</v>
      </c>
      <c r="U861">
        <v>0</v>
      </c>
      <c r="V861">
        <v>9.1</v>
      </c>
    </row>
    <row r="862" spans="1:22" x14ac:dyDescent="0.25">
      <c r="A862" t="s">
        <v>2171</v>
      </c>
      <c r="B862" t="s">
        <v>507</v>
      </c>
      <c r="C862">
        <v>31</v>
      </c>
      <c r="D862" t="s">
        <v>260</v>
      </c>
      <c r="E862" t="s">
        <v>57</v>
      </c>
      <c r="F862" t="s">
        <v>78</v>
      </c>
      <c r="G862">
        <v>0.23</v>
      </c>
      <c r="H862" t="s">
        <v>39</v>
      </c>
      <c r="I862">
        <v>1</v>
      </c>
      <c r="J862" t="str">
        <f>HYPERLINK("https://www.eliteprospects.com/player/673059/dylan-mackinnon")</f>
        <v>https://www.eliteprospects.com/player/673059/dylan-mackinnon</v>
      </c>
      <c r="K862" t="s">
        <v>27</v>
      </c>
      <c r="L862" t="s">
        <v>804</v>
      </c>
      <c r="M862" t="s">
        <v>1296</v>
      </c>
      <c r="N862">
        <v>5</v>
      </c>
      <c r="O862" t="s">
        <v>807</v>
      </c>
      <c r="P862">
        <v>0.03</v>
      </c>
      <c r="Q862" t="s">
        <v>1488</v>
      </c>
      <c r="R862">
        <v>0</v>
      </c>
      <c r="S862">
        <v>0</v>
      </c>
      <c r="T862">
        <v>0</v>
      </c>
      <c r="U862">
        <v>0</v>
      </c>
      <c r="V862">
        <v>0</v>
      </c>
    </row>
    <row r="863" spans="1:22" x14ac:dyDescent="0.25">
      <c r="A863" t="s">
        <v>2172</v>
      </c>
      <c r="B863" t="s">
        <v>507</v>
      </c>
      <c r="C863">
        <v>40</v>
      </c>
      <c r="D863" t="s">
        <v>260</v>
      </c>
      <c r="E863" t="s">
        <v>57</v>
      </c>
      <c r="F863" t="s">
        <v>78</v>
      </c>
      <c r="G863">
        <v>0.18</v>
      </c>
      <c r="H863" t="s">
        <v>75</v>
      </c>
      <c r="I863">
        <v>11</v>
      </c>
      <c r="J863" t="str">
        <f>HYPERLINK("https://www.eliteprospects.com/player/684089/yan-gaudreau")</f>
        <v>https://www.eliteprospects.com/player/684089/yan-gaudreau</v>
      </c>
      <c r="K863" t="s">
        <v>27</v>
      </c>
      <c r="L863" t="s">
        <v>804</v>
      </c>
      <c r="M863" t="s">
        <v>1296</v>
      </c>
      <c r="N863">
        <v>3</v>
      </c>
      <c r="O863" t="s">
        <v>805</v>
      </c>
      <c r="P863">
        <v>0.02</v>
      </c>
      <c r="Q863" t="s">
        <v>1488</v>
      </c>
      <c r="R863">
        <v>0</v>
      </c>
      <c r="S863">
        <v>0</v>
      </c>
      <c r="T863">
        <v>0</v>
      </c>
      <c r="U863">
        <v>0</v>
      </c>
      <c r="V863">
        <v>0</v>
      </c>
    </row>
    <row r="864" spans="1:22" x14ac:dyDescent="0.25">
      <c r="A864" t="s">
        <v>2173</v>
      </c>
      <c r="B864" t="s">
        <v>826</v>
      </c>
      <c r="C864">
        <v>24</v>
      </c>
      <c r="D864" t="s">
        <v>132</v>
      </c>
      <c r="E864" t="s">
        <v>78</v>
      </c>
      <c r="F864" t="s">
        <v>78</v>
      </c>
      <c r="G864">
        <v>0.28999999999999998</v>
      </c>
      <c r="H864" t="s">
        <v>60</v>
      </c>
      <c r="I864">
        <v>10</v>
      </c>
      <c r="J864" t="str">
        <f>HYPERLINK("https://www.eliteprospects.com/player/914130/cooper-campbell")</f>
        <v>https://www.eliteprospects.com/player/914130/cooper-campbell</v>
      </c>
      <c r="K864" t="s">
        <v>27</v>
      </c>
      <c r="L864" t="s">
        <v>804</v>
      </c>
      <c r="M864" t="s">
        <v>1296</v>
      </c>
      <c r="N864">
        <v>1</v>
      </c>
      <c r="O864" t="s">
        <v>816</v>
      </c>
      <c r="P864">
        <v>0.03</v>
      </c>
      <c r="Q864" t="s">
        <v>1488</v>
      </c>
      <c r="R864">
        <v>0</v>
      </c>
      <c r="S864">
        <v>0</v>
      </c>
      <c r="T864">
        <v>0</v>
      </c>
      <c r="U864">
        <v>0</v>
      </c>
      <c r="V864">
        <v>0</v>
      </c>
    </row>
    <row r="865" spans="1:22" x14ac:dyDescent="0.25">
      <c r="A865" t="s">
        <v>2174</v>
      </c>
      <c r="B865" t="s">
        <v>820</v>
      </c>
      <c r="C865">
        <v>27</v>
      </c>
      <c r="D865" t="s">
        <v>132</v>
      </c>
      <c r="E865" t="s">
        <v>78</v>
      </c>
      <c r="F865" t="s">
        <v>78</v>
      </c>
      <c r="G865">
        <v>0.26</v>
      </c>
      <c r="H865" t="s">
        <v>41</v>
      </c>
      <c r="I865">
        <v>4</v>
      </c>
      <c r="J865" t="str">
        <f>HYPERLINK("https://www.eliteprospects.com/player/781217/aiden-diamond")</f>
        <v>https://www.eliteprospects.com/player/781217/aiden-diamond</v>
      </c>
      <c r="K865" t="s">
        <v>27</v>
      </c>
      <c r="L865" t="s">
        <v>804</v>
      </c>
      <c r="M865" t="s">
        <v>1296</v>
      </c>
      <c r="N865">
        <v>2</v>
      </c>
      <c r="O865" t="s">
        <v>825</v>
      </c>
      <c r="P865">
        <v>0.03</v>
      </c>
      <c r="Q865" t="s">
        <v>1488</v>
      </c>
      <c r="R865">
        <v>0</v>
      </c>
      <c r="S865">
        <v>0</v>
      </c>
      <c r="T865">
        <v>0</v>
      </c>
      <c r="U865">
        <v>0</v>
      </c>
      <c r="V865">
        <v>0</v>
      </c>
    </row>
    <row r="866" spans="1:22" x14ac:dyDescent="0.25">
      <c r="A866" t="s">
        <v>2175</v>
      </c>
      <c r="B866" t="s">
        <v>823</v>
      </c>
      <c r="C866">
        <v>23</v>
      </c>
      <c r="D866" t="s">
        <v>79</v>
      </c>
      <c r="E866" t="s">
        <v>66</v>
      </c>
      <c r="F866" t="s">
        <v>57</v>
      </c>
      <c r="G866">
        <v>0.26</v>
      </c>
      <c r="H866" t="s">
        <v>51</v>
      </c>
      <c r="I866">
        <v>2</v>
      </c>
      <c r="J866" t="str">
        <f>HYPERLINK("https://www.eliteprospects.com/player/745779/charlie-morrison")</f>
        <v>https://www.eliteprospects.com/player/745779/charlie-morrison</v>
      </c>
      <c r="K866" t="s">
        <v>27</v>
      </c>
      <c r="L866" t="s">
        <v>804</v>
      </c>
      <c r="M866" t="s">
        <v>1296</v>
      </c>
      <c r="N866">
        <v>2</v>
      </c>
      <c r="O866" t="s">
        <v>825</v>
      </c>
      <c r="P866">
        <v>0.03</v>
      </c>
      <c r="Q866" t="s">
        <v>1488</v>
      </c>
      <c r="R866">
        <v>0</v>
      </c>
      <c r="S866">
        <v>0</v>
      </c>
      <c r="T866">
        <v>0</v>
      </c>
      <c r="U866">
        <v>0</v>
      </c>
      <c r="V866">
        <v>0</v>
      </c>
    </row>
    <row r="867" spans="1:22" x14ac:dyDescent="0.25">
      <c r="A867" t="s">
        <v>2176</v>
      </c>
      <c r="B867" t="s">
        <v>828</v>
      </c>
      <c r="C867">
        <v>27</v>
      </c>
      <c r="D867" t="s">
        <v>79</v>
      </c>
      <c r="E867" t="s">
        <v>66</v>
      </c>
      <c r="F867" t="s">
        <v>57</v>
      </c>
      <c r="G867">
        <v>0.22</v>
      </c>
      <c r="H867" t="s">
        <v>132</v>
      </c>
      <c r="I867">
        <v>11</v>
      </c>
      <c r="J867" t="str">
        <f>HYPERLINK("https://www.eliteprospects.com/player/898377/oskar-drabczynski")</f>
        <v>https://www.eliteprospects.com/player/898377/oskar-drabczynski</v>
      </c>
      <c r="K867" t="s">
        <v>27</v>
      </c>
      <c r="L867" t="s">
        <v>804</v>
      </c>
      <c r="M867" t="s">
        <v>1296</v>
      </c>
      <c r="N867">
        <v>1</v>
      </c>
      <c r="O867" t="s">
        <v>816</v>
      </c>
      <c r="P867">
        <v>0.02</v>
      </c>
      <c r="Q867" t="s">
        <v>1488</v>
      </c>
      <c r="R867">
        <v>0</v>
      </c>
      <c r="S867">
        <v>0</v>
      </c>
      <c r="T867">
        <v>0</v>
      </c>
      <c r="U867">
        <v>0</v>
      </c>
      <c r="V867">
        <v>0</v>
      </c>
    </row>
    <row r="868" spans="1:22" x14ac:dyDescent="0.25">
      <c r="A868" t="s">
        <v>2177</v>
      </c>
      <c r="B868" t="s">
        <v>803</v>
      </c>
      <c r="C868">
        <v>31</v>
      </c>
      <c r="D868" t="s">
        <v>79</v>
      </c>
      <c r="E868" t="s">
        <v>66</v>
      </c>
      <c r="F868" t="s">
        <v>57</v>
      </c>
      <c r="G868">
        <v>0.19</v>
      </c>
      <c r="H868" t="s">
        <v>638</v>
      </c>
      <c r="I868">
        <v>-4</v>
      </c>
      <c r="J868" t="str">
        <f>HYPERLINK("https://www.eliteprospects.com/player/889796/jacob-gouchie")</f>
        <v>https://www.eliteprospects.com/player/889796/jacob-gouchie</v>
      </c>
      <c r="K868" t="s">
        <v>27</v>
      </c>
      <c r="L868" t="s">
        <v>804</v>
      </c>
      <c r="M868" t="s">
        <v>1296</v>
      </c>
      <c r="N868">
        <v>2</v>
      </c>
      <c r="O868" t="s">
        <v>825</v>
      </c>
      <c r="P868">
        <v>0.02</v>
      </c>
      <c r="Q868" t="s">
        <v>1488</v>
      </c>
      <c r="R868">
        <v>0</v>
      </c>
      <c r="S868">
        <v>0</v>
      </c>
      <c r="T868">
        <v>0</v>
      </c>
      <c r="U868">
        <v>0</v>
      </c>
      <c r="V868">
        <v>0</v>
      </c>
    </row>
    <row r="869" spans="1:22" x14ac:dyDescent="0.25">
      <c r="A869" t="s">
        <v>2178</v>
      </c>
      <c r="B869" t="s">
        <v>507</v>
      </c>
      <c r="C869">
        <v>33</v>
      </c>
      <c r="D869" t="s">
        <v>260</v>
      </c>
      <c r="E869" t="s">
        <v>96</v>
      </c>
      <c r="F869" t="s">
        <v>57</v>
      </c>
      <c r="G869">
        <v>0.18</v>
      </c>
      <c r="H869" t="s">
        <v>57</v>
      </c>
      <c r="I869">
        <v>-10</v>
      </c>
      <c r="J869" t="str">
        <f>HYPERLINK("https://www.eliteprospects.com/player/852804/brady-flynn")</f>
        <v>https://www.eliteprospects.com/player/852804/brady-flynn</v>
      </c>
      <c r="K869" t="s">
        <v>27</v>
      </c>
      <c r="L869" t="s">
        <v>804</v>
      </c>
      <c r="M869" t="s">
        <v>1296</v>
      </c>
      <c r="N869">
        <v>2</v>
      </c>
      <c r="O869" t="s">
        <v>825</v>
      </c>
      <c r="P869">
        <v>0.02</v>
      </c>
      <c r="Q869" t="s">
        <v>1488</v>
      </c>
      <c r="R869">
        <v>0</v>
      </c>
      <c r="S869">
        <v>0</v>
      </c>
      <c r="T869">
        <v>0</v>
      </c>
      <c r="U869">
        <v>0</v>
      </c>
      <c r="V869">
        <v>0</v>
      </c>
    </row>
    <row r="870" spans="1:22" x14ac:dyDescent="0.25">
      <c r="A870" t="s">
        <v>2179</v>
      </c>
      <c r="B870" t="s">
        <v>823</v>
      </c>
      <c r="C870">
        <v>33</v>
      </c>
      <c r="D870" t="s">
        <v>260</v>
      </c>
      <c r="E870" t="s">
        <v>96</v>
      </c>
      <c r="F870" t="s">
        <v>57</v>
      </c>
      <c r="G870">
        <v>0.18</v>
      </c>
      <c r="H870" t="s">
        <v>69</v>
      </c>
      <c r="I870">
        <v>-5</v>
      </c>
      <c r="J870" t="str">
        <f>HYPERLINK("https://www.eliteprospects.com/player/689946/freddy-meyer")</f>
        <v>https://www.eliteprospects.com/player/689946/freddy-meyer</v>
      </c>
      <c r="K870" t="s">
        <v>27</v>
      </c>
      <c r="L870" t="s">
        <v>804</v>
      </c>
      <c r="M870" t="s">
        <v>1296</v>
      </c>
      <c r="N870">
        <v>1</v>
      </c>
      <c r="O870" t="s">
        <v>816</v>
      </c>
      <c r="P870">
        <v>0.02</v>
      </c>
      <c r="Q870" t="s">
        <v>1488</v>
      </c>
      <c r="R870">
        <v>0</v>
      </c>
      <c r="S870">
        <v>0</v>
      </c>
      <c r="T870">
        <v>0</v>
      </c>
      <c r="U870">
        <v>0</v>
      </c>
      <c r="V870">
        <v>0</v>
      </c>
    </row>
    <row r="871" spans="1:22" x14ac:dyDescent="0.25">
      <c r="A871" t="s">
        <v>2180</v>
      </c>
      <c r="B871" t="s">
        <v>823</v>
      </c>
      <c r="C871">
        <v>25</v>
      </c>
      <c r="D871" t="s">
        <v>132</v>
      </c>
      <c r="E871" t="s">
        <v>57</v>
      </c>
      <c r="F871" t="s">
        <v>57</v>
      </c>
      <c r="G871">
        <v>0.24</v>
      </c>
      <c r="H871" t="s">
        <v>32</v>
      </c>
      <c r="I871">
        <v>3</v>
      </c>
      <c r="J871" t="str">
        <f>HYPERLINK("https://www.eliteprospects.com/player/701452/thomas-charbonneau")</f>
        <v>https://www.eliteprospects.com/player/701452/thomas-charbonneau</v>
      </c>
      <c r="K871" t="s">
        <v>27</v>
      </c>
      <c r="L871" t="s">
        <v>804</v>
      </c>
      <c r="M871" t="s">
        <v>1296</v>
      </c>
      <c r="N871">
        <v>1</v>
      </c>
      <c r="O871" t="s">
        <v>816</v>
      </c>
      <c r="P871">
        <v>0.03</v>
      </c>
      <c r="Q871" t="s">
        <v>1488</v>
      </c>
      <c r="R871">
        <v>0</v>
      </c>
      <c r="S871">
        <v>0</v>
      </c>
      <c r="T871">
        <v>0</v>
      </c>
      <c r="U871">
        <v>0</v>
      </c>
      <c r="V871">
        <v>0</v>
      </c>
    </row>
    <row r="872" spans="1:22" x14ac:dyDescent="0.25">
      <c r="A872" t="s">
        <v>2181</v>
      </c>
      <c r="B872" t="s">
        <v>507</v>
      </c>
      <c r="C872">
        <v>29</v>
      </c>
      <c r="D872" t="s">
        <v>132</v>
      </c>
      <c r="E872" t="s">
        <v>57</v>
      </c>
      <c r="F872" t="s">
        <v>57</v>
      </c>
      <c r="G872">
        <v>0.21</v>
      </c>
      <c r="H872" t="s">
        <v>55</v>
      </c>
      <c r="I872">
        <v>-9</v>
      </c>
      <c r="J872" t="str">
        <f>HYPERLINK("https://www.eliteprospects.com/player/957296/patryk-zubek")</f>
        <v>https://www.eliteprospects.com/player/957296/patryk-zubek</v>
      </c>
      <c r="K872" t="s">
        <v>27</v>
      </c>
      <c r="L872" t="s">
        <v>804</v>
      </c>
      <c r="M872" t="s">
        <v>1296</v>
      </c>
      <c r="N872">
        <v>1</v>
      </c>
      <c r="O872" t="s">
        <v>816</v>
      </c>
      <c r="P872">
        <v>0.02</v>
      </c>
      <c r="Q872" t="s">
        <v>1488</v>
      </c>
      <c r="R872">
        <v>0</v>
      </c>
      <c r="S872">
        <v>0</v>
      </c>
      <c r="T872">
        <v>0</v>
      </c>
      <c r="U872">
        <v>0</v>
      </c>
      <c r="V872">
        <v>0</v>
      </c>
    </row>
    <row r="873" spans="1:22" x14ac:dyDescent="0.25">
      <c r="A873" t="s">
        <v>2182</v>
      </c>
      <c r="B873" t="s">
        <v>806</v>
      </c>
      <c r="C873">
        <v>34</v>
      </c>
      <c r="D873" t="s">
        <v>132</v>
      </c>
      <c r="E873" t="s">
        <v>57</v>
      </c>
      <c r="F873" t="s">
        <v>57</v>
      </c>
      <c r="G873">
        <v>0.18</v>
      </c>
      <c r="H873" t="s">
        <v>32</v>
      </c>
      <c r="I873">
        <v>-8</v>
      </c>
      <c r="J873" t="str">
        <f>HYPERLINK("https://www.eliteprospects.com/player/999201/quinn-norman")</f>
        <v>https://www.eliteprospects.com/player/999201/quinn-norman</v>
      </c>
      <c r="K873" t="s">
        <v>27</v>
      </c>
      <c r="L873" t="s">
        <v>804</v>
      </c>
      <c r="M873" t="s">
        <v>1296</v>
      </c>
      <c r="N873">
        <v>1</v>
      </c>
      <c r="O873" t="s">
        <v>816</v>
      </c>
      <c r="P873">
        <v>0.02</v>
      </c>
      <c r="Q873" t="s">
        <v>1488</v>
      </c>
      <c r="R873">
        <v>0</v>
      </c>
      <c r="S873">
        <v>0</v>
      </c>
      <c r="T873">
        <v>0</v>
      </c>
      <c r="U873">
        <v>0</v>
      </c>
      <c r="V873">
        <v>0</v>
      </c>
    </row>
    <row r="874" spans="1:22" x14ac:dyDescent="0.25">
      <c r="A874" t="s">
        <v>2183</v>
      </c>
      <c r="B874" t="s">
        <v>822</v>
      </c>
      <c r="C874">
        <v>28</v>
      </c>
      <c r="D874" t="s">
        <v>140</v>
      </c>
      <c r="E874" t="s">
        <v>79</v>
      </c>
      <c r="F874" t="s">
        <v>96</v>
      </c>
      <c r="G874">
        <v>0.18</v>
      </c>
      <c r="H874" t="s">
        <v>277</v>
      </c>
      <c r="I874">
        <v>1</v>
      </c>
      <c r="J874" t="str">
        <f>HYPERLINK("https://www.eliteprospects.com/player/806444/will-murphy")</f>
        <v>https://www.eliteprospects.com/player/806444/will-murphy</v>
      </c>
      <c r="K874" t="s">
        <v>27</v>
      </c>
      <c r="L874" t="s">
        <v>804</v>
      </c>
      <c r="M874" t="s">
        <v>1296</v>
      </c>
      <c r="N874">
        <v>3</v>
      </c>
      <c r="O874" t="s">
        <v>805</v>
      </c>
      <c r="P874">
        <v>0.02</v>
      </c>
      <c r="Q874" t="s">
        <v>1488</v>
      </c>
      <c r="R874">
        <v>0</v>
      </c>
      <c r="S874">
        <v>0</v>
      </c>
      <c r="T874">
        <v>0</v>
      </c>
      <c r="U874">
        <v>0</v>
      </c>
      <c r="V874">
        <v>0</v>
      </c>
    </row>
    <row r="875" spans="1:22" x14ac:dyDescent="0.25">
      <c r="A875" t="s">
        <v>2184</v>
      </c>
      <c r="B875" t="s">
        <v>865</v>
      </c>
      <c r="C875">
        <v>34</v>
      </c>
      <c r="D875" t="s">
        <v>140</v>
      </c>
      <c r="E875" t="s">
        <v>79</v>
      </c>
      <c r="F875" t="s">
        <v>96</v>
      </c>
      <c r="G875">
        <v>0.15</v>
      </c>
      <c r="H875" t="s">
        <v>32</v>
      </c>
      <c r="I875">
        <v>-7</v>
      </c>
      <c r="J875" t="str">
        <f>HYPERLINK("https://www.eliteprospects.com/player/805225/zachary-hachey")</f>
        <v>https://www.eliteprospects.com/player/805225/zachary-hachey</v>
      </c>
      <c r="K875" t="s">
        <v>27</v>
      </c>
      <c r="L875" t="s">
        <v>804</v>
      </c>
      <c r="M875" t="s">
        <v>1296</v>
      </c>
      <c r="N875">
        <v>1</v>
      </c>
      <c r="O875" t="s">
        <v>816</v>
      </c>
      <c r="P875">
        <v>0.02</v>
      </c>
      <c r="Q875" t="s">
        <v>1488</v>
      </c>
      <c r="R875">
        <v>0</v>
      </c>
      <c r="S875">
        <v>0</v>
      </c>
      <c r="T875">
        <v>0</v>
      </c>
      <c r="U875">
        <v>0</v>
      </c>
      <c r="V875">
        <v>0</v>
      </c>
    </row>
    <row r="876" spans="1:22" x14ac:dyDescent="0.25">
      <c r="A876" t="s">
        <v>2185</v>
      </c>
      <c r="B876" t="s">
        <v>828</v>
      </c>
      <c r="C876">
        <v>18</v>
      </c>
      <c r="D876" t="s">
        <v>79</v>
      </c>
      <c r="E876" t="s">
        <v>140</v>
      </c>
      <c r="F876" t="s">
        <v>96</v>
      </c>
      <c r="G876">
        <v>0.28000000000000003</v>
      </c>
      <c r="H876" t="s">
        <v>57</v>
      </c>
      <c r="I876">
        <v>1</v>
      </c>
      <c r="J876" t="str">
        <f>HYPERLINK("https://www.eliteprospects.com/player/877117/cameron-chartrand")</f>
        <v>https://www.eliteprospects.com/player/877117/cameron-chartrand</v>
      </c>
      <c r="K876" t="s">
        <v>27</v>
      </c>
      <c r="L876" t="s">
        <v>804</v>
      </c>
      <c r="M876" t="s">
        <v>1296</v>
      </c>
      <c r="N876">
        <v>1</v>
      </c>
      <c r="O876" t="s">
        <v>816</v>
      </c>
      <c r="P876">
        <v>0.03</v>
      </c>
      <c r="Q876" t="s">
        <v>1488</v>
      </c>
      <c r="R876">
        <v>0</v>
      </c>
      <c r="S876">
        <v>0</v>
      </c>
      <c r="T876">
        <v>0</v>
      </c>
      <c r="U876">
        <v>0</v>
      </c>
      <c r="V876">
        <v>0</v>
      </c>
    </row>
    <row r="877" spans="1:22" x14ac:dyDescent="0.25">
      <c r="A877" t="s">
        <v>2186</v>
      </c>
      <c r="B877" t="s">
        <v>803</v>
      </c>
      <c r="C877">
        <v>35</v>
      </c>
      <c r="D877" t="s">
        <v>79</v>
      </c>
      <c r="E877" t="s">
        <v>140</v>
      </c>
      <c r="F877" t="s">
        <v>96</v>
      </c>
      <c r="G877">
        <v>0.14000000000000001</v>
      </c>
      <c r="H877" t="s">
        <v>65</v>
      </c>
      <c r="I877">
        <v>5</v>
      </c>
      <c r="J877" t="str">
        <f>HYPERLINK("https://www.eliteprospects.com/player/755225/hemrick-carbonneau")</f>
        <v>https://www.eliteprospects.com/player/755225/hemrick-carbonneau</v>
      </c>
      <c r="K877" t="s">
        <v>27</v>
      </c>
      <c r="L877" t="s">
        <v>804</v>
      </c>
      <c r="M877" t="s">
        <v>1296</v>
      </c>
      <c r="N877">
        <v>3</v>
      </c>
      <c r="O877" t="s">
        <v>805</v>
      </c>
      <c r="P877">
        <v>0.02</v>
      </c>
      <c r="Q877" t="s">
        <v>1488</v>
      </c>
      <c r="R877">
        <v>0</v>
      </c>
      <c r="S877">
        <v>0</v>
      </c>
      <c r="T877">
        <v>0</v>
      </c>
      <c r="U877">
        <v>0</v>
      </c>
      <c r="V877">
        <v>0</v>
      </c>
    </row>
    <row r="878" spans="1:22" x14ac:dyDescent="0.25">
      <c r="A878" t="s">
        <v>2187</v>
      </c>
      <c r="B878" t="s">
        <v>822</v>
      </c>
      <c r="C878">
        <v>36</v>
      </c>
      <c r="D878" t="s">
        <v>79</v>
      </c>
      <c r="E878" t="s">
        <v>140</v>
      </c>
      <c r="F878" t="s">
        <v>96</v>
      </c>
      <c r="G878">
        <v>0.14000000000000001</v>
      </c>
      <c r="H878" t="s">
        <v>40</v>
      </c>
      <c r="I878">
        <v>-12</v>
      </c>
      <c r="J878" t="str">
        <f>HYPERLINK("https://www.eliteprospects.com/player/889802/aiden-mccullough")</f>
        <v>https://www.eliteprospects.com/player/889802/aiden-mccullough</v>
      </c>
      <c r="K878" t="s">
        <v>27</v>
      </c>
      <c r="L878" t="s">
        <v>804</v>
      </c>
      <c r="M878" t="s">
        <v>1296</v>
      </c>
      <c r="N878">
        <v>2</v>
      </c>
      <c r="O878" t="s">
        <v>825</v>
      </c>
      <c r="P878">
        <v>0.02</v>
      </c>
      <c r="Q878" t="s">
        <v>1488</v>
      </c>
      <c r="R878">
        <v>0</v>
      </c>
      <c r="S878">
        <v>0</v>
      </c>
      <c r="T878">
        <v>0</v>
      </c>
      <c r="U878">
        <v>0</v>
      </c>
      <c r="V878">
        <v>0</v>
      </c>
    </row>
    <row r="879" spans="1:22" x14ac:dyDescent="0.25">
      <c r="A879" t="s">
        <v>2188</v>
      </c>
      <c r="B879" t="s">
        <v>812</v>
      </c>
      <c r="C879">
        <v>37</v>
      </c>
      <c r="D879" t="s">
        <v>79</v>
      </c>
      <c r="E879" t="s">
        <v>140</v>
      </c>
      <c r="F879" t="s">
        <v>96</v>
      </c>
      <c r="G879">
        <v>0.14000000000000001</v>
      </c>
      <c r="H879" t="s">
        <v>51</v>
      </c>
      <c r="I879">
        <v>-1</v>
      </c>
      <c r="J879" t="str">
        <f>HYPERLINK("https://www.eliteprospects.com/player/755216/tristan-langlois")</f>
        <v>https://www.eliteprospects.com/player/755216/tristan-langlois</v>
      </c>
      <c r="K879" t="s">
        <v>27</v>
      </c>
      <c r="L879" t="s">
        <v>804</v>
      </c>
      <c r="M879" t="s">
        <v>1296</v>
      </c>
      <c r="N879">
        <v>2</v>
      </c>
      <c r="O879" t="s">
        <v>825</v>
      </c>
      <c r="P879">
        <v>0.02</v>
      </c>
      <c r="Q879" t="s">
        <v>1488</v>
      </c>
      <c r="R879">
        <v>0</v>
      </c>
      <c r="S879">
        <v>0</v>
      </c>
      <c r="T879">
        <v>0</v>
      </c>
      <c r="U879">
        <v>0</v>
      </c>
      <c r="V879">
        <v>0</v>
      </c>
    </row>
    <row r="880" spans="1:22" x14ac:dyDescent="0.25">
      <c r="A880" t="s">
        <v>2189</v>
      </c>
      <c r="B880" t="s">
        <v>856</v>
      </c>
      <c r="C880">
        <v>11</v>
      </c>
      <c r="D880" t="s">
        <v>260</v>
      </c>
      <c r="E880" t="s">
        <v>66</v>
      </c>
      <c r="F880" t="s">
        <v>96</v>
      </c>
      <c r="G880">
        <v>0.45</v>
      </c>
      <c r="H880" t="s">
        <v>57</v>
      </c>
      <c r="I880">
        <v>-4</v>
      </c>
      <c r="J880" t="str">
        <f>HYPERLINK("https://www.eliteprospects.com/player/646847/olivier-theberge")</f>
        <v>https://www.eliteprospects.com/player/646847/olivier-theberge</v>
      </c>
      <c r="K880" t="s">
        <v>27</v>
      </c>
      <c r="L880" t="s">
        <v>804</v>
      </c>
      <c r="M880" t="s">
        <v>1296</v>
      </c>
      <c r="N880">
        <v>6</v>
      </c>
      <c r="O880" t="s">
        <v>968</v>
      </c>
      <c r="P880">
        <v>0.05</v>
      </c>
      <c r="Q880" t="s">
        <v>1309</v>
      </c>
      <c r="R880">
        <v>0</v>
      </c>
      <c r="S880">
        <v>20</v>
      </c>
      <c r="T880">
        <v>40</v>
      </c>
      <c r="U880">
        <v>0</v>
      </c>
      <c r="V880">
        <v>40</v>
      </c>
    </row>
    <row r="881" spans="1:22" x14ac:dyDescent="0.25">
      <c r="A881" t="s">
        <v>2190</v>
      </c>
      <c r="B881" t="s">
        <v>507</v>
      </c>
      <c r="C881">
        <v>26</v>
      </c>
      <c r="D881" t="s">
        <v>260</v>
      </c>
      <c r="E881" t="s">
        <v>66</v>
      </c>
      <c r="F881" t="s">
        <v>96</v>
      </c>
      <c r="G881">
        <v>0.19</v>
      </c>
      <c r="H881" t="s">
        <v>125</v>
      </c>
      <c r="I881">
        <v>10</v>
      </c>
      <c r="J881" t="str">
        <f>HYPERLINK("https://www.eliteprospects.com/player/654405/mathieu-taillefer")</f>
        <v>https://www.eliteprospects.com/player/654405/mathieu-taillefer</v>
      </c>
      <c r="K881" t="s">
        <v>27</v>
      </c>
      <c r="L881" t="s">
        <v>804</v>
      </c>
      <c r="M881" t="s">
        <v>1296</v>
      </c>
      <c r="N881">
        <v>2</v>
      </c>
      <c r="O881" t="s">
        <v>825</v>
      </c>
      <c r="P881">
        <v>0.02</v>
      </c>
      <c r="Q881" t="s">
        <v>1488</v>
      </c>
      <c r="R881">
        <v>0</v>
      </c>
      <c r="S881">
        <v>0</v>
      </c>
      <c r="T881">
        <v>0</v>
      </c>
      <c r="U881">
        <v>0</v>
      </c>
      <c r="V881">
        <v>0</v>
      </c>
    </row>
    <row r="882" spans="1:22" x14ac:dyDescent="0.25">
      <c r="A882" t="s">
        <v>2191</v>
      </c>
      <c r="B882" t="s">
        <v>821</v>
      </c>
      <c r="C882">
        <v>38</v>
      </c>
      <c r="D882" t="s">
        <v>260</v>
      </c>
      <c r="E882" t="s">
        <v>66</v>
      </c>
      <c r="F882" t="s">
        <v>96</v>
      </c>
      <c r="G882">
        <v>0.13</v>
      </c>
      <c r="H882" t="s">
        <v>55</v>
      </c>
      <c r="I882">
        <v>-2</v>
      </c>
      <c r="J882" t="str">
        <f>HYPERLINK("https://www.eliteprospects.com/player/689984/nikita-voyaga")</f>
        <v>https://www.eliteprospects.com/player/689984/nikita-voyaga</v>
      </c>
      <c r="K882" t="s">
        <v>27</v>
      </c>
      <c r="L882" t="s">
        <v>804</v>
      </c>
      <c r="M882" t="s">
        <v>1296</v>
      </c>
      <c r="N882">
        <v>2</v>
      </c>
      <c r="O882" t="s">
        <v>825</v>
      </c>
      <c r="P882">
        <v>0.01</v>
      </c>
      <c r="Q882" t="s">
        <v>1488</v>
      </c>
      <c r="R882">
        <v>0</v>
      </c>
      <c r="S882">
        <v>0</v>
      </c>
      <c r="T882">
        <v>0</v>
      </c>
      <c r="U882">
        <v>0</v>
      </c>
      <c r="V882">
        <v>0</v>
      </c>
    </row>
    <row r="883" spans="1:22" x14ac:dyDescent="0.25">
      <c r="A883" t="s">
        <v>2192</v>
      </c>
      <c r="B883" t="s">
        <v>848</v>
      </c>
      <c r="C883">
        <v>38</v>
      </c>
      <c r="D883" t="s">
        <v>260</v>
      </c>
      <c r="E883" t="s">
        <v>66</v>
      </c>
      <c r="F883" t="s">
        <v>96</v>
      </c>
      <c r="G883">
        <v>0.13</v>
      </c>
      <c r="H883" t="s">
        <v>2164</v>
      </c>
      <c r="I883">
        <v>-11</v>
      </c>
      <c r="J883" t="str">
        <f>HYPERLINK("https://www.eliteprospects.com/player/888967/michel-myloserdnyy")</f>
        <v>https://www.eliteprospects.com/player/888967/michel-myloserdnyy</v>
      </c>
      <c r="K883" t="s">
        <v>27</v>
      </c>
      <c r="L883" t="s">
        <v>804</v>
      </c>
      <c r="M883" t="s">
        <v>1296</v>
      </c>
      <c r="N883">
        <v>2</v>
      </c>
      <c r="O883" t="s">
        <v>825</v>
      </c>
      <c r="P883">
        <v>0.01</v>
      </c>
      <c r="Q883" t="s">
        <v>1488</v>
      </c>
      <c r="R883">
        <v>0</v>
      </c>
      <c r="S883">
        <v>0</v>
      </c>
      <c r="T883">
        <v>0</v>
      </c>
      <c r="U883">
        <v>0</v>
      </c>
      <c r="V883">
        <v>0</v>
      </c>
    </row>
    <row r="884" spans="1:22" x14ac:dyDescent="0.25">
      <c r="A884" t="s">
        <v>2193</v>
      </c>
      <c r="B884" t="s">
        <v>865</v>
      </c>
      <c r="C884">
        <v>40</v>
      </c>
      <c r="D884" t="s">
        <v>260</v>
      </c>
      <c r="E884" t="s">
        <v>66</v>
      </c>
      <c r="F884" t="s">
        <v>96</v>
      </c>
      <c r="G884">
        <v>0.13</v>
      </c>
      <c r="H884" t="s">
        <v>187</v>
      </c>
      <c r="I884">
        <v>-29</v>
      </c>
      <c r="J884" t="str">
        <f>HYPERLINK("https://www.eliteprospects.com/player/727701/samuel-brunet")</f>
        <v>https://www.eliteprospects.com/player/727701/samuel-brunet</v>
      </c>
      <c r="K884" t="s">
        <v>27</v>
      </c>
      <c r="L884" t="s">
        <v>804</v>
      </c>
      <c r="M884" t="s">
        <v>1296</v>
      </c>
      <c r="N884">
        <v>2</v>
      </c>
      <c r="O884" t="s">
        <v>825</v>
      </c>
      <c r="P884">
        <v>0.01</v>
      </c>
      <c r="Q884" t="s">
        <v>1488</v>
      </c>
      <c r="R884">
        <v>0</v>
      </c>
      <c r="S884">
        <v>0</v>
      </c>
      <c r="T884">
        <v>0</v>
      </c>
      <c r="U884">
        <v>0</v>
      </c>
      <c r="V884">
        <v>0</v>
      </c>
    </row>
    <row r="885" spans="1:22" x14ac:dyDescent="0.25">
      <c r="A885" t="s">
        <v>2194</v>
      </c>
      <c r="B885" t="s">
        <v>865</v>
      </c>
      <c r="C885">
        <v>19</v>
      </c>
      <c r="D885" t="s">
        <v>132</v>
      </c>
      <c r="E885" t="s">
        <v>96</v>
      </c>
      <c r="F885" t="s">
        <v>96</v>
      </c>
      <c r="G885">
        <v>0.26</v>
      </c>
      <c r="H885" t="s">
        <v>66</v>
      </c>
      <c r="I885">
        <v>-8</v>
      </c>
      <c r="J885" t="str">
        <f>HYPERLINK("https://www.eliteprospects.com/player/884545/toby-almstedt")</f>
        <v>https://www.eliteprospects.com/player/884545/toby-almstedt</v>
      </c>
      <c r="K885" t="s">
        <v>27</v>
      </c>
      <c r="L885" t="s">
        <v>804</v>
      </c>
      <c r="M885" t="s">
        <v>1296</v>
      </c>
      <c r="N885">
        <v>1</v>
      </c>
      <c r="O885" t="s">
        <v>816</v>
      </c>
      <c r="P885">
        <v>0.03</v>
      </c>
      <c r="Q885" t="s">
        <v>1488</v>
      </c>
      <c r="R885">
        <v>0</v>
      </c>
      <c r="S885">
        <v>0</v>
      </c>
      <c r="T885">
        <v>0</v>
      </c>
      <c r="U885">
        <v>0</v>
      </c>
      <c r="V885">
        <v>0</v>
      </c>
    </row>
    <row r="886" spans="1:22" x14ac:dyDescent="0.25">
      <c r="A886" t="s">
        <v>2195</v>
      </c>
      <c r="B886" t="s">
        <v>821</v>
      </c>
      <c r="C886">
        <v>38</v>
      </c>
      <c r="D886" t="s">
        <v>132</v>
      </c>
      <c r="E886" t="s">
        <v>96</v>
      </c>
      <c r="F886" t="s">
        <v>96</v>
      </c>
      <c r="G886">
        <v>0.13</v>
      </c>
      <c r="H886" t="s">
        <v>46</v>
      </c>
      <c r="I886">
        <v>5</v>
      </c>
      <c r="J886" t="str">
        <f>HYPERLINK("https://www.eliteprospects.com/player/872399/emile-alexandro-lemieux-goupil")</f>
        <v>https://www.eliteprospects.com/player/872399/emile-alexandro-lemieux-goupil</v>
      </c>
      <c r="K886" t="s">
        <v>27</v>
      </c>
      <c r="L886" t="s">
        <v>804</v>
      </c>
      <c r="M886" t="s">
        <v>1296</v>
      </c>
      <c r="N886">
        <v>2</v>
      </c>
      <c r="O886" t="s">
        <v>825</v>
      </c>
      <c r="P886">
        <v>0.01</v>
      </c>
      <c r="Q886" t="s">
        <v>1488</v>
      </c>
      <c r="R886">
        <v>0</v>
      </c>
      <c r="S886">
        <v>0</v>
      </c>
      <c r="T886">
        <v>0</v>
      </c>
      <c r="U886">
        <v>0</v>
      </c>
      <c r="V886">
        <v>0</v>
      </c>
    </row>
    <row r="887" spans="1:22" x14ac:dyDescent="0.25">
      <c r="A887" t="s">
        <v>2196</v>
      </c>
      <c r="B887" t="s">
        <v>806</v>
      </c>
      <c r="C887">
        <v>22</v>
      </c>
      <c r="D887" t="s">
        <v>260</v>
      </c>
      <c r="E887" t="s">
        <v>140</v>
      </c>
      <c r="F887" t="s">
        <v>66</v>
      </c>
      <c r="G887">
        <v>0.18</v>
      </c>
      <c r="H887" t="s">
        <v>32</v>
      </c>
      <c r="I887">
        <v>-1</v>
      </c>
      <c r="J887" t="str">
        <f>HYPERLINK("https://www.eliteprospects.com/player/887242/benjamin-girard")</f>
        <v>https://www.eliteprospects.com/player/887242/benjamin-girard</v>
      </c>
      <c r="K887" t="s">
        <v>27</v>
      </c>
      <c r="L887" t="s">
        <v>804</v>
      </c>
      <c r="M887" t="s">
        <v>1296</v>
      </c>
      <c r="N887">
        <v>1</v>
      </c>
      <c r="O887" t="s">
        <v>816</v>
      </c>
      <c r="P887">
        <v>0.02</v>
      </c>
      <c r="Q887" t="s">
        <v>1488</v>
      </c>
      <c r="R887">
        <v>0</v>
      </c>
      <c r="S887">
        <v>0</v>
      </c>
      <c r="T887">
        <v>0</v>
      </c>
      <c r="U887">
        <v>0</v>
      </c>
      <c r="V887">
        <v>0</v>
      </c>
    </row>
    <row r="888" spans="1:22" x14ac:dyDescent="0.25">
      <c r="A888" t="s">
        <v>2197</v>
      </c>
      <c r="B888" t="s">
        <v>828</v>
      </c>
      <c r="C888">
        <v>27</v>
      </c>
      <c r="D888" t="s">
        <v>260</v>
      </c>
      <c r="E888" t="s">
        <v>140</v>
      </c>
      <c r="F888" t="s">
        <v>66</v>
      </c>
      <c r="G888">
        <v>0.15</v>
      </c>
      <c r="H888" t="s">
        <v>24</v>
      </c>
      <c r="I888">
        <v>0</v>
      </c>
      <c r="J888" t="str">
        <f>HYPERLINK("https://www.eliteprospects.com/player/851969/vincent-croteau")</f>
        <v>https://www.eliteprospects.com/player/851969/vincent-croteau</v>
      </c>
      <c r="K888" t="s">
        <v>27</v>
      </c>
      <c r="L888" t="s">
        <v>804</v>
      </c>
      <c r="M888" t="s">
        <v>1296</v>
      </c>
      <c r="N888">
        <v>1</v>
      </c>
      <c r="O888" t="s">
        <v>816</v>
      </c>
      <c r="P888">
        <v>0.02</v>
      </c>
      <c r="Q888" t="s">
        <v>1488</v>
      </c>
      <c r="R888">
        <v>0</v>
      </c>
      <c r="S888">
        <v>0</v>
      </c>
      <c r="T888">
        <v>0</v>
      </c>
      <c r="U888">
        <v>0</v>
      </c>
      <c r="V888">
        <v>0</v>
      </c>
    </row>
    <row r="889" spans="1:22" x14ac:dyDescent="0.25">
      <c r="A889" t="s">
        <v>2198</v>
      </c>
      <c r="B889" t="s">
        <v>811</v>
      </c>
      <c r="C889">
        <v>29</v>
      </c>
      <c r="D889" t="s">
        <v>260</v>
      </c>
      <c r="E889" t="s">
        <v>140</v>
      </c>
      <c r="F889" t="s">
        <v>66</v>
      </c>
      <c r="G889">
        <v>0.14000000000000001</v>
      </c>
      <c r="H889" t="s">
        <v>39</v>
      </c>
      <c r="I889">
        <v>8</v>
      </c>
      <c r="J889" t="str">
        <f>HYPERLINK("https://www.eliteprospects.com/player/760919/mickael-chapdelaine")</f>
        <v>https://www.eliteprospects.com/player/760919/mickael-chapdelaine</v>
      </c>
      <c r="K889" t="s">
        <v>27</v>
      </c>
      <c r="L889" t="s">
        <v>804</v>
      </c>
      <c r="M889" t="s">
        <v>1296</v>
      </c>
      <c r="N889">
        <v>3</v>
      </c>
      <c r="O889" t="s">
        <v>805</v>
      </c>
      <c r="P889">
        <v>0.02</v>
      </c>
      <c r="Q889" t="s">
        <v>1488</v>
      </c>
      <c r="R889">
        <v>0</v>
      </c>
      <c r="S889">
        <v>0</v>
      </c>
      <c r="T889">
        <v>0</v>
      </c>
      <c r="U889">
        <v>0</v>
      </c>
      <c r="V889">
        <v>0</v>
      </c>
    </row>
    <row r="890" spans="1:22" x14ac:dyDescent="0.25">
      <c r="A890" t="s">
        <v>2199</v>
      </c>
      <c r="B890" t="s">
        <v>856</v>
      </c>
      <c r="C890">
        <v>37</v>
      </c>
      <c r="D890" t="s">
        <v>260</v>
      </c>
      <c r="E890" t="s">
        <v>140</v>
      </c>
      <c r="F890" t="s">
        <v>66</v>
      </c>
      <c r="G890">
        <v>0.11</v>
      </c>
      <c r="H890" t="s">
        <v>32</v>
      </c>
      <c r="I890">
        <v>-13</v>
      </c>
      <c r="J890" t="str">
        <f>HYPERLINK("https://www.eliteprospects.com/player/890925/justin-beaulieu")</f>
        <v>https://www.eliteprospects.com/player/890925/justin-beaulieu</v>
      </c>
      <c r="K890" t="s">
        <v>27</v>
      </c>
      <c r="L890" t="s">
        <v>804</v>
      </c>
      <c r="M890" t="s">
        <v>1296</v>
      </c>
      <c r="N890">
        <v>1</v>
      </c>
      <c r="O890" t="s">
        <v>816</v>
      </c>
      <c r="P890">
        <v>0.01</v>
      </c>
      <c r="Q890" t="s">
        <v>1488</v>
      </c>
      <c r="R890">
        <v>0</v>
      </c>
      <c r="S890">
        <v>0</v>
      </c>
      <c r="T890">
        <v>0</v>
      </c>
      <c r="U890">
        <v>0</v>
      </c>
      <c r="V890">
        <v>0</v>
      </c>
    </row>
    <row r="891" spans="1:22" x14ac:dyDescent="0.25">
      <c r="A891" t="s">
        <v>2200</v>
      </c>
      <c r="B891" t="s">
        <v>848</v>
      </c>
      <c r="C891">
        <v>35</v>
      </c>
      <c r="D891" t="s">
        <v>132</v>
      </c>
      <c r="E891" t="s">
        <v>66</v>
      </c>
      <c r="F891" t="s">
        <v>66</v>
      </c>
      <c r="G891">
        <v>0.11</v>
      </c>
      <c r="H891" t="s">
        <v>39</v>
      </c>
      <c r="I891">
        <v>1</v>
      </c>
      <c r="J891" t="str">
        <f>HYPERLINK("https://www.eliteprospects.com/player/897610/drew-mclennan")</f>
        <v>https://www.eliteprospects.com/player/897610/drew-mclennan</v>
      </c>
      <c r="K891" t="s">
        <v>27</v>
      </c>
      <c r="L891" t="s">
        <v>804</v>
      </c>
      <c r="M891" t="s">
        <v>1296</v>
      </c>
      <c r="N891">
        <v>1</v>
      </c>
      <c r="O891" t="s">
        <v>816</v>
      </c>
      <c r="P891">
        <v>0.01</v>
      </c>
      <c r="Q891" t="s">
        <v>1488</v>
      </c>
      <c r="R891">
        <v>0</v>
      </c>
      <c r="S891">
        <v>0</v>
      </c>
      <c r="T891">
        <v>0</v>
      </c>
      <c r="U891">
        <v>0</v>
      </c>
      <c r="V891">
        <v>0</v>
      </c>
    </row>
    <row r="892" spans="1:22" x14ac:dyDescent="0.25">
      <c r="A892" t="s">
        <v>2201</v>
      </c>
      <c r="B892" t="s">
        <v>803</v>
      </c>
      <c r="C892">
        <v>35</v>
      </c>
      <c r="D892" t="s">
        <v>132</v>
      </c>
      <c r="E892" t="s">
        <v>66</v>
      </c>
      <c r="F892" t="s">
        <v>66</v>
      </c>
      <c r="G892">
        <v>0.11</v>
      </c>
      <c r="H892" t="s">
        <v>40</v>
      </c>
      <c r="I892">
        <v>-5</v>
      </c>
      <c r="J892" t="str">
        <f>HYPERLINK("https://www.eliteprospects.com/player/908486/eduard-bondar")</f>
        <v>https://www.eliteprospects.com/player/908486/eduard-bondar</v>
      </c>
      <c r="K892" t="s">
        <v>27</v>
      </c>
      <c r="L892" t="s">
        <v>804</v>
      </c>
      <c r="M892" t="s">
        <v>1296</v>
      </c>
      <c r="N892">
        <v>2</v>
      </c>
      <c r="O892" t="s">
        <v>825</v>
      </c>
      <c r="P892">
        <v>0.01</v>
      </c>
      <c r="Q892" t="s">
        <v>1488</v>
      </c>
      <c r="R892">
        <v>0</v>
      </c>
      <c r="S892">
        <v>0</v>
      </c>
      <c r="T892">
        <v>0</v>
      </c>
      <c r="U892">
        <v>0</v>
      </c>
      <c r="V892">
        <v>0</v>
      </c>
    </row>
    <row r="893" spans="1:22" x14ac:dyDescent="0.25">
      <c r="A893" t="s">
        <v>2202</v>
      </c>
      <c r="B893" t="s">
        <v>815</v>
      </c>
      <c r="C893">
        <v>39</v>
      </c>
      <c r="D893" t="s">
        <v>132</v>
      </c>
      <c r="E893" t="s">
        <v>66</v>
      </c>
      <c r="F893" t="s">
        <v>66</v>
      </c>
      <c r="G893">
        <v>0.1</v>
      </c>
      <c r="H893" t="s">
        <v>512</v>
      </c>
      <c r="I893">
        <v>-11</v>
      </c>
      <c r="J893" t="str">
        <f>HYPERLINK("https://www.eliteprospects.com/player/760894/arno-delisle")</f>
        <v>https://www.eliteprospects.com/player/760894/arno-delisle</v>
      </c>
      <c r="K893" t="s">
        <v>27</v>
      </c>
      <c r="L893" t="s">
        <v>804</v>
      </c>
      <c r="M893" t="s">
        <v>1296</v>
      </c>
      <c r="N893">
        <v>2</v>
      </c>
      <c r="O893" t="s">
        <v>825</v>
      </c>
      <c r="P893">
        <v>0.01</v>
      </c>
      <c r="Q893" t="s">
        <v>1488</v>
      </c>
      <c r="R893">
        <v>0</v>
      </c>
      <c r="S893">
        <v>0</v>
      </c>
      <c r="T893">
        <v>0</v>
      </c>
      <c r="U893">
        <v>0</v>
      </c>
      <c r="V893">
        <v>0</v>
      </c>
    </row>
    <row r="894" spans="1:22" x14ac:dyDescent="0.25">
      <c r="A894" t="s">
        <v>2203</v>
      </c>
      <c r="B894" t="s">
        <v>507</v>
      </c>
      <c r="C894">
        <v>25</v>
      </c>
      <c r="D894" t="s">
        <v>79</v>
      </c>
      <c r="E894" t="s">
        <v>260</v>
      </c>
      <c r="F894" t="s">
        <v>140</v>
      </c>
      <c r="G894">
        <v>0.12</v>
      </c>
      <c r="H894" t="s">
        <v>66</v>
      </c>
      <c r="I894">
        <v>-3</v>
      </c>
      <c r="J894" t="str">
        <f>HYPERLINK("https://www.eliteprospects.com/player/743554/james-roberts")</f>
        <v>https://www.eliteprospects.com/player/743554/james-roberts</v>
      </c>
      <c r="K894" t="s">
        <v>27</v>
      </c>
      <c r="L894" t="s">
        <v>804</v>
      </c>
      <c r="M894" t="s">
        <v>1296</v>
      </c>
      <c r="N894">
        <v>3</v>
      </c>
      <c r="O894" t="s">
        <v>805</v>
      </c>
      <c r="P894">
        <v>0.01</v>
      </c>
      <c r="Q894" t="s">
        <v>1488</v>
      </c>
      <c r="R894">
        <v>0</v>
      </c>
      <c r="S894">
        <v>0</v>
      </c>
      <c r="T894">
        <v>0</v>
      </c>
      <c r="U894">
        <v>0</v>
      </c>
      <c r="V894">
        <v>0</v>
      </c>
    </row>
    <row r="895" spans="1:22" x14ac:dyDescent="0.25">
      <c r="A895" t="s">
        <v>2204</v>
      </c>
      <c r="B895" t="s">
        <v>824</v>
      </c>
      <c r="C895">
        <v>12</v>
      </c>
      <c r="D895" t="s">
        <v>260</v>
      </c>
      <c r="E895" t="s">
        <v>79</v>
      </c>
      <c r="F895" t="s">
        <v>140</v>
      </c>
      <c r="G895">
        <v>0.25</v>
      </c>
      <c r="H895" t="s">
        <v>57</v>
      </c>
      <c r="I895">
        <v>-5</v>
      </c>
      <c r="J895" t="str">
        <f>HYPERLINK("https://www.eliteprospects.com/player/679263/lincoln-waugh")</f>
        <v>https://www.eliteprospects.com/player/679263/lincoln-waugh</v>
      </c>
      <c r="K895" t="s">
        <v>27</v>
      </c>
      <c r="L895" t="s">
        <v>804</v>
      </c>
      <c r="M895" t="s">
        <v>1296</v>
      </c>
      <c r="N895">
        <v>4</v>
      </c>
      <c r="O895" t="s">
        <v>809</v>
      </c>
      <c r="P895">
        <v>0.03</v>
      </c>
      <c r="Q895" t="s">
        <v>1488</v>
      </c>
      <c r="R895">
        <v>0</v>
      </c>
      <c r="S895">
        <v>0</v>
      </c>
      <c r="T895">
        <v>0</v>
      </c>
      <c r="U895">
        <v>0</v>
      </c>
      <c r="V895">
        <v>0</v>
      </c>
    </row>
    <row r="896" spans="1:22" x14ac:dyDescent="0.25">
      <c r="A896" t="s">
        <v>2205</v>
      </c>
      <c r="B896" t="s">
        <v>811</v>
      </c>
      <c r="C896">
        <v>17</v>
      </c>
      <c r="D896" t="s">
        <v>132</v>
      </c>
      <c r="E896" t="s">
        <v>140</v>
      </c>
      <c r="F896" t="s">
        <v>140</v>
      </c>
      <c r="G896">
        <v>0.18</v>
      </c>
      <c r="H896" t="s">
        <v>39</v>
      </c>
      <c r="I896">
        <v>4</v>
      </c>
      <c r="J896" t="str">
        <f>HYPERLINK("https://www.eliteprospects.com/player/871214/louis-felix-gagnon")</f>
        <v>https://www.eliteprospects.com/player/871214/louis-felix-gagnon</v>
      </c>
      <c r="K896" t="s">
        <v>27</v>
      </c>
      <c r="L896" t="s">
        <v>804</v>
      </c>
      <c r="M896" t="s">
        <v>1296</v>
      </c>
      <c r="N896">
        <v>2</v>
      </c>
      <c r="O896" t="s">
        <v>825</v>
      </c>
      <c r="P896">
        <v>0.02</v>
      </c>
      <c r="Q896" t="s">
        <v>1488</v>
      </c>
      <c r="R896">
        <v>0</v>
      </c>
      <c r="S896">
        <v>0</v>
      </c>
      <c r="T896">
        <v>0</v>
      </c>
      <c r="U896">
        <v>0</v>
      </c>
      <c r="V896">
        <v>0</v>
      </c>
    </row>
    <row r="897" spans="1:22" x14ac:dyDescent="0.25">
      <c r="A897" t="s">
        <v>2206</v>
      </c>
      <c r="B897" t="s">
        <v>820</v>
      </c>
      <c r="C897">
        <v>21</v>
      </c>
      <c r="D897" t="s">
        <v>132</v>
      </c>
      <c r="E897" t="s">
        <v>140</v>
      </c>
      <c r="F897" t="s">
        <v>140</v>
      </c>
      <c r="G897">
        <v>0.14000000000000001</v>
      </c>
      <c r="H897" t="s">
        <v>57</v>
      </c>
      <c r="I897">
        <v>-1</v>
      </c>
      <c r="J897" t="str">
        <f>HYPERLINK("https://www.eliteprospects.com/player/806427/jackson-batchilder")</f>
        <v>https://www.eliteprospects.com/player/806427/jackson-batchilder</v>
      </c>
      <c r="K897" t="s">
        <v>27</v>
      </c>
      <c r="L897" t="s">
        <v>804</v>
      </c>
      <c r="M897" t="s">
        <v>1296</v>
      </c>
      <c r="N897">
        <v>2</v>
      </c>
      <c r="O897" t="s">
        <v>825</v>
      </c>
      <c r="P897">
        <v>0.02</v>
      </c>
      <c r="Q897" t="s">
        <v>1488</v>
      </c>
      <c r="R897">
        <v>0</v>
      </c>
      <c r="S897">
        <v>0</v>
      </c>
      <c r="T897">
        <v>0</v>
      </c>
      <c r="U897">
        <v>0</v>
      </c>
      <c r="V897">
        <v>0</v>
      </c>
    </row>
    <row r="898" spans="1:22" x14ac:dyDescent="0.25">
      <c r="A898" t="s">
        <v>2207</v>
      </c>
      <c r="B898" t="s">
        <v>806</v>
      </c>
      <c r="C898">
        <v>24</v>
      </c>
      <c r="D898" t="s">
        <v>132</v>
      </c>
      <c r="E898" t="s">
        <v>140</v>
      </c>
      <c r="F898" t="s">
        <v>140</v>
      </c>
      <c r="G898">
        <v>0.13</v>
      </c>
      <c r="H898" t="s">
        <v>23</v>
      </c>
      <c r="I898">
        <v>-8</v>
      </c>
      <c r="J898" t="str">
        <f>HYPERLINK("https://www.eliteprospects.com/player/760887/jayden-lazare")</f>
        <v>https://www.eliteprospects.com/player/760887/jayden-lazare</v>
      </c>
      <c r="K898" t="s">
        <v>27</v>
      </c>
      <c r="L898" t="s">
        <v>804</v>
      </c>
      <c r="M898" t="s">
        <v>1296</v>
      </c>
      <c r="N898">
        <v>2</v>
      </c>
      <c r="O898" t="s">
        <v>825</v>
      </c>
      <c r="P898">
        <v>0.01</v>
      </c>
      <c r="Q898" t="s">
        <v>1488</v>
      </c>
      <c r="R898">
        <v>0</v>
      </c>
      <c r="S898">
        <v>0</v>
      </c>
      <c r="T898">
        <v>0</v>
      </c>
      <c r="U898">
        <v>0</v>
      </c>
      <c r="V898">
        <v>0</v>
      </c>
    </row>
    <row r="899" spans="1:22" x14ac:dyDescent="0.25">
      <c r="A899" t="s">
        <v>2208</v>
      </c>
      <c r="B899" t="s">
        <v>856</v>
      </c>
      <c r="C899">
        <v>25</v>
      </c>
      <c r="D899" t="s">
        <v>132</v>
      </c>
      <c r="E899" t="s">
        <v>140</v>
      </c>
      <c r="F899" t="s">
        <v>140</v>
      </c>
      <c r="G899">
        <v>0.12</v>
      </c>
      <c r="H899" t="s">
        <v>57</v>
      </c>
      <c r="I899">
        <v>0</v>
      </c>
      <c r="J899" t="str">
        <f>HYPERLINK("https://www.eliteprospects.com/player/806152/benjamin-benoit-rioux")</f>
        <v>https://www.eliteprospects.com/player/806152/benjamin-benoit-rioux</v>
      </c>
      <c r="K899" t="s">
        <v>27</v>
      </c>
      <c r="L899" t="s">
        <v>804</v>
      </c>
      <c r="M899" t="s">
        <v>1296</v>
      </c>
      <c r="N899">
        <v>3</v>
      </c>
      <c r="O899" t="s">
        <v>805</v>
      </c>
      <c r="P899">
        <v>0.01</v>
      </c>
      <c r="Q899" t="s">
        <v>1488</v>
      </c>
      <c r="R899">
        <v>0</v>
      </c>
      <c r="S899">
        <v>0</v>
      </c>
      <c r="T899">
        <v>0</v>
      </c>
      <c r="U899">
        <v>0</v>
      </c>
      <c r="V899">
        <v>0</v>
      </c>
    </row>
    <row r="900" spans="1:22" x14ac:dyDescent="0.25">
      <c r="A900" t="s">
        <v>2209</v>
      </c>
      <c r="B900" t="s">
        <v>832</v>
      </c>
      <c r="C900">
        <v>32</v>
      </c>
      <c r="D900" t="s">
        <v>132</v>
      </c>
      <c r="E900" t="s">
        <v>140</v>
      </c>
      <c r="F900" t="s">
        <v>140</v>
      </c>
      <c r="G900">
        <v>0.09</v>
      </c>
      <c r="H900" t="s">
        <v>57</v>
      </c>
      <c r="I900">
        <v>-2</v>
      </c>
      <c r="J900" t="str">
        <f>HYPERLINK("https://www.eliteprospects.com/player/828932/zachary-gagnon")</f>
        <v>https://www.eliteprospects.com/player/828932/zachary-gagnon</v>
      </c>
      <c r="K900" t="s">
        <v>27</v>
      </c>
      <c r="L900" t="s">
        <v>804</v>
      </c>
      <c r="M900" t="s">
        <v>1296</v>
      </c>
      <c r="N900">
        <v>2</v>
      </c>
      <c r="O900" t="s">
        <v>825</v>
      </c>
      <c r="P900">
        <v>0.01</v>
      </c>
      <c r="Q900" t="s">
        <v>1488</v>
      </c>
      <c r="R900">
        <v>0</v>
      </c>
      <c r="S900">
        <v>0</v>
      </c>
      <c r="T900">
        <v>0</v>
      </c>
      <c r="U900">
        <v>0</v>
      </c>
      <c r="V900">
        <v>0</v>
      </c>
    </row>
    <row r="901" spans="1:22" x14ac:dyDescent="0.25">
      <c r="A901" t="s">
        <v>2210</v>
      </c>
      <c r="B901" t="s">
        <v>507</v>
      </c>
      <c r="C901">
        <v>16</v>
      </c>
      <c r="D901" t="s">
        <v>260</v>
      </c>
      <c r="E901" t="s">
        <v>260</v>
      </c>
      <c r="F901" t="s">
        <v>79</v>
      </c>
      <c r="G901">
        <v>0.13</v>
      </c>
      <c r="H901" t="s">
        <v>26</v>
      </c>
      <c r="I901">
        <v>-2</v>
      </c>
      <c r="J901" t="str">
        <f>HYPERLINK("https://www.eliteprospects.com/player/772964/nathan-wright")</f>
        <v>https://www.eliteprospects.com/player/772964/nathan-wright</v>
      </c>
      <c r="K901" t="s">
        <v>27</v>
      </c>
      <c r="L901" t="s">
        <v>804</v>
      </c>
      <c r="M901" t="s">
        <v>1296</v>
      </c>
      <c r="N901">
        <v>3</v>
      </c>
      <c r="O901" t="s">
        <v>805</v>
      </c>
      <c r="P901">
        <v>0.01</v>
      </c>
      <c r="Q901" t="s">
        <v>1488</v>
      </c>
      <c r="R901">
        <v>0</v>
      </c>
      <c r="S901">
        <v>0</v>
      </c>
      <c r="T901">
        <v>0</v>
      </c>
      <c r="U901">
        <v>0</v>
      </c>
      <c r="V901">
        <v>0</v>
      </c>
    </row>
    <row r="902" spans="1:22" x14ac:dyDescent="0.25">
      <c r="A902" t="s">
        <v>2211</v>
      </c>
      <c r="B902" t="s">
        <v>848</v>
      </c>
      <c r="C902">
        <v>18</v>
      </c>
      <c r="D902" t="s">
        <v>260</v>
      </c>
      <c r="E902" t="s">
        <v>260</v>
      </c>
      <c r="F902" t="s">
        <v>79</v>
      </c>
      <c r="G902">
        <v>0.11</v>
      </c>
      <c r="H902" t="s">
        <v>66</v>
      </c>
      <c r="I902">
        <v>-4</v>
      </c>
      <c r="J902" t="str">
        <f>HYPERLINK("https://www.eliteprospects.com/player/886989/wassim-rabbath")</f>
        <v>https://www.eliteprospects.com/player/886989/wassim-rabbath</v>
      </c>
      <c r="K902" t="s">
        <v>27</v>
      </c>
      <c r="L902" t="s">
        <v>804</v>
      </c>
      <c r="M902" t="s">
        <v>1296</v>
      </c>
      <c r="N902">
        <v>2</v>
      </c>
      <c r="O902" t="s">
        <v>825</v>
      </c>
      <c r="P902">
        <v>0.01</v>
      </c>
      <c r="Q902" t="s">
        <v>1488</v>
      </c>
      <c r="R902">
        <v>0</v>
      </c>
      <c r="S902">
        <v>0</v>
      </c>
      <c r="T902">
        <v>0</v>
      </c>
      <c r="U902">
        <v>0</v>
      </c>
      <c r="V902">
        <v>0</v>
      </c>
    </row>
    <row r="903" spans="1:22" x14ac:dyDescent="0.25">
      <c r="A903" t="s">
        <v>2212</v>
      </c>
      <c r="B903" t="s">
        <v>507</v>
      </c>
      <c r="C903">
        <v>28</v>
      </c>
      <c r="D903" t="s">
        <v>260</v>
      </c>
      <c r="E903" t="s">
        <v>260</v>
      </c>
      <c r="F903" t="s">
        <v>79</v>
      </c>
      <c r="G903">
        <v>7.0000000000000007E-2</v>
      </c>
      <c r="H903" t="s">
        <v>53</v>
      </c>
      <c r="I903">
        <v>7</v>
      </c>
      <c r="J903" t="str">
        <f>HYPERLINK("https://www.eliteprospects.com/player/716371/nathan-nadeau")</f>
        <v>https://www.eliteprospects.com/player/716371/nathan-nadeau</v>
      </c>
      <c r="K903" t="s">
        <v>27</v>
      </c>
      <c r="L903" t="s">
        <v>804</v>
      </c>
      <c r="M903" t="s">
        <v>1296</v>
      </c>
      <c r="N903">
        <v>1</v>
      </c>
      <c r="O903" t="s">
        <v>816</v>
      </c>
      <c r="P903">
        <v>0.01</v>
      </c>
      <c r="Q903" t="s">
        <v>1488</v>
      </c>
      <c r="R903">
        <v>0</v>
      </c>
      <c r="S903">
        <v>0</v>
      </c>
      <c r="T903">
        <v>0</v>
      </c>
      <c r="U903">
        <v>0</v>
      </c>
      <c r="V903">
        <v>0</v>
      </c>
    </row>
    <row r="904" spans="1:22" x14ac:dyDescent="0.25">
      <c r="A904" t="s">
        <v>2213</v>
      </c>
      <c r="B904" t="s">
        <v>815</v>
      </c>
      <c r="C904">
        <v>33</v>
      </c>
      <c r="D904" t="s">
        <v>260</v>
      </c>
      <c r="E904" t="s">
        <v>260</v>
      </c>
      <c r="F904" t="s">
        <v>79</v>
      </c>
      <c r="G904">
        <v>0.06</v>
      </c>
      <c r="H904" t="s">
        <v>53</v>
      </c>
      <c r="I904">
        <v>-11</v>
      </c>
      <c r="J904" t="str">
        <f>HYPERLINK("https://www.eliteprospects.com/player/885499/cohen-paquet")</f>
        <v>https://www.eliteprospects.com/player/885499/cohen-paquet</v>
      </c>
      <c r="K904" t="s">
        <v>27</v>
      </c>
      <c r="L904" t="s">
        <v>804</v>
      </c>
      <c r="M904" t="s">
        <v>1296</v>
      </c>
      <c r="N904">
        <v>2</v>
      </c>
      <c r="O904" t="s">
        <v>825</v>
      </c>
      <c r="P904">
        <v>0.01</v>
      </c>
      <c r="Q904" t="s">
        <v>1488</v>
      </c>
      <c r="R904">
        <v>0</v>
      </c>
      <c r="S904">
        <v>0</v>
      </c>
      <c r="T904">
        <v>0</v>
      </c>
      <c r="U904">
        <v>0</v>
      </c>
      <c r="V904">
        <v>0</v>
      </c>
    </row>
    <row r="905" spans="1:22" x14ac:dyDescent="0.25">
      <c r="A905" t="s">
        <v>2214</v>
      </c>
      <c r="B905" t="s">
        <v>815</v>
      </c>
      <c r="C905">
        <v>37</v>
      </c>
      <c r="D905" t="s">
        <v>260</v>
      </c>
      <c r="E905" t="s">
        <v>260</v>
      </c>
      <c r="F905" t="s">
        <v>79</v>
      </c>
      <c r="G905">
        <v>0.05</v>
      </c>
      <c r="H905" t="s">
        <v>38</v>
      </c>
      <c r="I905">
        <v>-12</v>
      </c>
      <c r="J905" t="str">
        <f>HYPERLINK("https://www.eliteprospects.com/player/714904/maxime-dodier")</f>
        <v>https://www.eliteprospects.com/player/714904/maxime-dodier</v>
      </c>
      <c r="K905" t="s">
        <v>27</v>
      </c>
      <c r="L905" t="s">
        <v>804</v>
      </c>
      <c r="M905" t="s">
        <v>1296</v>
      </c>
      <c r="N905">
        <v>1</v>
      </c>
      <c r="O905" t="s">
        <v>816</v>
      </c>
      <c r="P905">
        <v>0.01</v>
      </c>
      <c r="Q905" t="s">
        <v>1488</v>
      </c>
      <c r="R905">
        <v>0</v>
      </c>
      <c r="S905">
        <v>0</v>
      </c>
      <c r="T905">
        <v>0</v>
      </c>
      <c r="U905">
        <v>0</v>
      </c>
      <c r="V905">
        <v>0</v>
      </c>
    </row>
    <row r="906" spans="1:22" x14ac:dyDescent="0.25">
      <c r="A906" t="s">
        <v>2215</v>
      </c>
      <c r="B906" t="s">
        <v>856</v>
      </c>
      <c r="C906">
        <v>15</v>
      </c>
      <c r="D906" t="s">
        <v>132</v>
      </c>
      <c r="E906" t="s">
        <v>79</v>
      </c>
      <c r="F906" t="s">
        <v>79</v>
      </c>
      <c r="G906">
        <v>0.13</v>
      </c>
      <c r="H906" t="s">
        <v>57</v>
      </c>
      <c r="I906">
        <v>-7</v>
      </c>
      <c r="J906" t="str">
        <f>HYPERLINK("https://www.eliteprospects.com/player/903355/luka-romaniak")</f>
        <v>https://www.eliteprospects.com/player/903355/luka-romaniak</v>
      </c>
      <c r="K906" t="s">
        <v>27</v>
      </c>
      <c r="L906" t="s">
        <v>804</v>
      </c>
      <c r="M906" t="s">
        <v>1296</v>
      </c>
      <c r="N906">
        <v>1</v>
      </c>
      <c r="O906" t="s">
        <v>816</v>
      </c>
      <c r="P906">
        <v>0.01</v>
      </c>
      <c r="Q906" t="s">
        <v>1488</v>
      </c>
      <c r="R906">
        <v>0</v>
      </c>
      <c r="S906">
        <v>0</v>
      </c>
      <c r="T906">
        <v>0</v>
      </c>
      <c r="U906">
        <v>0</v>
      </c>
      <c r="V906">
        <v>0</v>
      </c>
    </row>
    <row r="907" spans="1:22" x14ac:dyDescent="0.25">
      <c r="A907" t="s">
        <v>2216</v>
      </c>
      <c r="B907" t="s">
        <v>821</v>
      </c>
      <c r="C907">
        <v>15</v>
      </c>
      <c r="D907" t="s">
        <v>132</v>
      </c>
      <c r="E907" t="s">
        <v>79</v>
      </c>
      <c r="F907" t="s">
        <v>79</v>
      </c>
      <c r="G907">
        <v>0.13</v>
      </c>
      <c r="H907" t="s">
        <v>65</v>
      </c>
      <c r="I907">
        <v>-4</v>
      </c>
      <c r="J907" t="str">
        <f>HYPERLINK("https://www.eliteprospects.com/player/692289/maxwell-jardine")</f>
        <v>https://www.eliteprospects.com/player/692289/maxwell-jardine</v>
      </c>
      <c r="K907" t="s">
        <v>27</v>
      </c>
      <c r="L907" t="s">
        <v>804</v>
      </c>
      <c r="M907" t="s">
        <v>1296</v>
      </c>
      <c r="N907">
        <v>3</v>
      </c>
      <c r="O907" t="s">
        <v>805</v>
      </c>
      <c r="P907">
        <v>0.01</v>
      </c>
      <c r="Q907" t="s">
        <v>1488</v>
      </c>
      <c r="R907">
        <v>0</v>
      </c>
      <c r="S907">
        <v>0</v>
      </c>
      <c r="T907">
        <v>0</v>
      </c>
      <c r="U907">
        <v>0</v>
      </c>
      <c r="V907">
        <v>0</v>
      </c>
    </row>
    <row r="908" spans="1:22" x14ac:dyDescent="0.25">
      <c r="A908" t="s">
        <v>2217</v>
      </c>
      <c r="B908" t="s">
        <v>856</v>
      </c>
      <c r="C908">
        <v>18</v>
      </c>
      <c r="D908" t="s">
        <v>132</v>
      </c>
      <c r="E908" t="s">
        <v>79</v>
      </c>
      <c r="F908" t="s">
        <v>79</v>
      </c>
      <c r="G908">
        <v>0.11</v>
      </c>
      <c r="H908" t="s">
        <v>66</v>
      </c>
      <c r="I908">
        <v>-5</v>
      </c>
      <c r="J908" t="str">
        <f>HYPERLINK("https://www.eliteprospects.com/player/871540/guillaume-gleason")</f>
        <v>https://www.eliteprospects.com/player/871540/guillaume-gleason</v>
      </c>
      <c r="K908" t="s">
        <v>27</v>
      </c>
      <c r="L908" t="s">
        <v>804</v>
      </c>
      <c r="M908" t="s">
        <v>1296</v>
      </c>
      <c r="N908">
        <v>1</v>
      </c>
      <c r="O908" t="s">
        <v>816</v>
      </c>
      <c r="P908">
        <v>0.01</v>
      </c>
      <c r="Q908" t="s">
        <v>1488</v>
      </c>
      <c r="R908">
        <v>0</v>
      </c>
      <c r="S908">
        <v>0</v>
      </c>
      <c r="T908">
        <v>0</v>
      </c>
      <c r="U908">
        <v>0</v>
      </c>
      <c r="V908">
        <v>0</v>
      </c>
    </row>
    <row r="909" spans="1:22" x14ac:dyDescent="0.25">
      <c r="A909" t="s">
        <v>2218</v>
      </c>
      <c r="B909" t="s">
        <v>832</v>
      </c>
      <c r="C909">
        <v>23</v>
      </c>
      <c r="D909" t="s">
        <v>132</v>
      </c>
      <c r="E909" t="s">
        <v>79</v>
      </c>
      <c r="F909" t="s">
        <v>79</v>
      </c>
      <c r="G909">
        <v>0.09</v>
      </c>
      <c r="H909" t="s">
        <v>66</v>
      </c>
      <c r="I909">
        <v>1</v>
      </c>
      <c r="J909" t="str">
        <f>HYPERLINK("https://www.eliteprospects.com/player/877004/reinis-auzins")</f>
        <v>https://www.eliteprospects.com/player/877004/reinis-auzins</v>
      </c>
      <c r="K909" t="s">
        <v>27</v>
      </c>
      <c r="L909" t="s">
        <v>804</v>
      </c>
      <c r="M909" t="s">
        <v>1296</v>
      </c>
      <c r="N909">
        <v>1</v>
      </c>
      <c r="O909" t="s">
        <v>816</v>
      </c>
      <c r="P909">
        <v>0.01</v>
      </c>
      <c r="Q909" t="s">
        <v>1488</v>
      </c>
      <c r="R909">
        <v>0</v>
      </c>
      <c r="S909">
        <v>0</v>
      </c>
      <c r="T909">
        <v>0</v>
      </c>
      <c r="U909">
        <v>0</v>
      </c>
      <c r="V909">
        <v>0</v>
      </c>
    </row>
    <row r="910" spans="1:22" x14ac:dyDescent="0.25">
      <c r="A910" t="s">
        <v>2219</v>
      </c>
      <c r="B910" t="s">
        <v>856</v>
      </c>
      <c r="C910">
        <v>26</v>
      </c>
      <c r="D910" t="s">
        <v>132</v>
      </c>
      <c r="E910" t="s">
        <v>79</v>
      </c>
      <c r="F910" t="s">
        <v>79</v>
      </c>
      <c r="G910">
        <v>0.08</v>
      </c>
      <c r="H910" t="s">
        <v>269</v>
      </c>
      <c r="I910">
        <v>-5</v>
      </c>
      <c r="J910" t="str">
        <f>HYPERLINK("https://www.eliteprospects.com/player/811028/connor-sturgeon")</f>
        <v>https://www.eliteprospects.com/player/811028/connor-sturgeon</v>
      </c>
      <c r="K910" t="s">
        <v>27</v>
      </c>
      <c r="L910" t="s">
        <v>804</v>
      </c>
      <c r="M910" t="s">
        <v>1296</v>
      </c>
      <c r="N910">
        <v>3</v>
      </c>
      <c r="O910" t="s">
        <v>805</v>
      </c>
      <c r="P910">
        <v>0.01</v>
      </c>
      <c r="Q910" t="s">
        <v>1488</v>
      </c>
      <c r="R910">
        <v>0</v>
      </c>
      <c r="S910">
        <v>0</v>
      </c>
      <c r="T910">
        <v>0</v>
      </c>
      <c r="U910">
        <v>0</v>
      </c>
      <c r="V910">
        <v>0</v>
      </c>
    </row>
    <row r="911" spans="1:22" x14ac:dyDescent="0.25">
      <c r="A911" t="s">
        <v>2220</v>
      </c>
      <c r="B911" t="s">
        <v>822</v>
      </c>
      <c r="C911">
        <v>35</v>
      </c>
      <c r="D911" t="s">
        <v>132</v>
      </c>
      <c r="E911" t="s">
        <v>79</v>
      </c>
      <c r="F911" t="s">
        <v>79</v>
      </c>
      <c r="G911">
        <v>0.06</v>
      </c>
      <c r="H911" t="s">
        <v>47</v>
      </c>
      <c r="I911">
        <v>-11</v>
      </c>
      <c r="J911" t="str">
        <f>HYPERLINK("https://www.eliteprospects.com/player/835407/samuel-kupec")</f>
        <v>https://www.eliteprospects.com/player/835407/samuel-kupec</v>
      </c>
      <c r="K911" t="s">
        <v>27</v>
      </c>
      <c r="L911" t="s">
        <v>804</v>
      </c>
      <c r="M911" t="s">
        <v>1296</v>
      </c>
      <c r="N911">
        <v>2</v>
      </c>
      <c r="O911" t="s">
        <v>825</v>
      </c>
      <c r="P911">
        <v>0.01</v>
      </c>
      <c r="Q911" t="s">
        <v>1488</v>
      </c>
      <c r="R911">
        <v>0</v>
      </c>
      <c r="S911">
        <v>0</v>
      </c>
      <c r="T911">
        <v>0</v>
      </c>
      <c r="U911">
        <v>0</v>
      </c>
      <c r="V911">
        <v>0</v>
      </c>
    </row>
    <row r="912" spans="1:22" x14ac:dyDescent="0.25">
      <c r="A912" t="s">
        <v>2221</v>
      </c>
      <c r="B912" t="s">
        <v>812</v>
      </c>
      <c r="C912">
        <v>27</v>
      </c>
      <c r="D912" t="s">
        <v>260</v>
      </c>
      <c r="E912" t="s">
        <v>132</v>
      </c>
      <c r="F912" t="s">
        <v>260</v>
      </c>
      <c r="G912">
        <v>0.04</v>
      </c>
      <c r="H912" t="s">
        <v>66</v>
      </c>
      <c r="I912">
        <v>-6</v>
      </c>
      <c r="J912" t="str">
        <f>HYPERLINK("https://www.eliteprospects.com/player/710451/jacob-hamel")</f>
        <v>https://www.eliteprospects.com/player/710451/jacob-hamel</v>
      </c>
      <c r="K912" t="s">
        <v>27</v>
      </c>
      <c r="L912" t="s">
        <v>804</v>
      </c>
      <c r="M912" t="s">
        <v>1296</v>
      </c>
      <c r="N912">
        <v>2</v>
      </c>
      <c r="O912" t="s">
        <v>825</v>
      </c>
      <c r="P912">
        <v>0</v>
      </c>
      <c r="Q912" t="s">
        <v>1488</v>
      </c>
      <c r="R912">
        <v>0</v>
      </c>
      <c r="S912">
        <v>0</v>
      </c>
      <c r="T912">
        <v>0</v>
      </c>
      <c r="U912">
        <v>0</v>
      </c>
      <c r="V912">
        <v>0</v>
      </c>
    </row>
    <row r="913" spans="1:22" x14ac:dyDescent="0.25">
      <c r="A913" t="s">
        <v>2222</v>
      </c>
      <c r="B913" t="s">
        <v>821</v>
      </c>
      <c r="C913">
        <v>10</v>
      </c>
      <c r="D913" t="s">
        <v>132</v>
      </c>
      <c r="E913" t="s">
        <v>260</v>
      </c>
      <c r="F913" t="s">
        <v>260</v>
      </c>
      <c r="G913">
        <v>0.1</v>
      </c>
      <c r="H913" t="s">
        <v>57</v>
      </c>
      <c r="I913">
        <v>-2</v>
      </c>
      <c r="J913" t="str">
        <f>HYPERLINK("https://www.eliteprospects.com/player/814141/daniel-chen")</f>
        <v>https://www.eliteprospects.com/player/814141/daniel-chen</v>
      </c>
      <c r="K913" t="s">
        <v>27</v>
      </c>
      <c r="L913" t="s">
        <v>804</v>
      </c>
      <c r="M913" t="s">
        <v>1296</v>
      </c>
      <c r="N913">
        <v>3</v>
      </c>
      <c r="O913" t="s">
        <v>894</v>
      </c>
      <c r="P913">
        <v>0.01</v>
      </c>
      <c r="Q913" t="s">
        <v>1488</v>
      </c>
      <c r="R913">
        <v>0</v>
      </c>
      <c r="S913">
        <v>0</v>
      </c>
      <c r="T913">
        <v>0</v>
      </c>
      <c r="U913">
        <v>0</v>
      </c>
      <c r="V913">
        <v>0</v>
      </c>
    </row>
    <row r="914" spans="1:22" x14ac:dyDescent="0.25">
      <c r="A914" t="s">
        <v>2223</v>
      </c>
      <c r="B914" t="s">
        <v>815</v>
      </c>
      <c r="C914">
        <v>15</v>
      </c>
      <c r="D914" t="s">
        <v>132</v>
      </c>
      <c r="E914" t="s">
        <v>260</v>
      </c>
      <c r="F914" t="s">
        <v>260</v>
      </c>
      <c r="G914">
        <v>7.0000000000000007E-2</v>
      </c>
      <c r="H914" t="s">
        <v>78</v>
      </c>
      <c r="I914">
        <v>-4</v>
      </c>
      <c r="J914" t="str">
        <f>HYPERLINK("https://www.eliteprospects.com/player/871538/alain-bourdeau")</f>
        <v>https://www.eliteprospects.com/player/871538/alain-bourdeau</v>
      </c>
      <c r="K914" t="s">
        <v>27</v>
      </c>
      <c r="L914" t="s">
        <v>804</v>
      </c>
      <c r="M914" t="s">
        <v>1296</v>
      </c>
      <c r="N914">
        <v>1</v>
      </c>
      <c r="O914" t="s">
        <v>816</v>
      </c>
      <c r="P914">
        <v>0.01</v>
      </c>
      <c r="Q914" t="s">
        <v>1488</v>
      </c>
      <c r="R914">
        <v>0</v>
      </c>
      <c r="S914">
        <v>0</v>
      </c>
      <c r="T914">
        <v>0</v>
      </c>
      <c r="U914">
        <v>0</v>
      </c>
      <c r="V914">
        <v>0</v>
      </c>
    </row>
    <row r="915" spans="1:22" x14ac:dyDescent="0.25">
      <c r="A915" t="s">
        <v>2224</v>
      </c>
      <c r="B915" t="s">
        <v>848</v>
      </c>
      <c r="C915">
        <v>17</v>
      </c>
      <c r="D915" t="s">
        <v>132</v>
      </c>
      <c r="E915" t="s">
        <v>260</v>
      </c>
      <c r="F915" t="s">
        <v>260</v>
      </c>
      <c r="G915">
        <v>0.06</v>
      </c>
      <c r="H915" t="s">
        <v>26</v>
      </c>
      <c r="I915">
        <v>-3</v>
      </c>
      <c r="J915" t="str">
        <f>HYPERLINK("https://www.eliteprospects.com/player/762987/justin-blais")</f>
        <v>https://www.eliteprospects.com/player/762987/justin-blais</v>
      </c>
      <c r="K915" t="s">
        <v>27</v>
      </c>
      <c r="L915" t="s">
        <v>804</v>
      </c>
      <c r="M915" t="s">
        <v>1296</v>
      </c>
      <c r="N915">
        <v>3</v>
      </c>
      <c r="O915" t="s">
        <v>805</v>
      </c>
      <c r="P915">
        <v>0.01</v>
      </c>
      <c r="Q915" t="s">
        <v>1488</v>
      </c>
      <c r="R915">
        <v>0</v>
      </c>
      <c r="S915">
        <v>0</v>
      </c>
      <c r="T915">
        <v>0</v>
      </c>
      <c r="U915">
        <v>0</v>
      </c>
      <c r="V915">
        <v>0</v>
      </c>
    </row>
    <row r="916" spans="1:22" x14ac:dyDescent="0.25">
      <c r="A916" t="s">
        <v>2225</v>
      </c>
      <c r="B916" t="s">
        <v>812</v>
      </c>
      <c r="C916">
        <v>17</v>
      </c>
      <c r="D916" t="s">
        <v>132</v>
      </c>
      <c r="E916" t="s">
        <v>260</v>
      </c>
      <c r="F916" t="s">
        <v>260</v>
      </c>
      <c r="G916">
        <v>0.06</v>
      </c>
      <c r="H916" t="s">
        <v>47</v>
      </c>
      <c r="I916">
        <v>4</v>
      </c>
      <c r="J916" t="str">
        <f>HYPERLINK("https://www.eliteprospects.com/player/904776/brayden-kaldenbach")</f>
        <v>https://www.eliteprospects.com/player/904776/brayden-kaldenbach</v>
      </c>
      <c r="K916" t="s">
        <v>27</v>
      </c>
      <c r="L916" t="s">
        <v>804</v>
      </c>
      <c r="M916" t="s">
        <v>1296</v>
      </c>
      <c r="N916">
        <v>1</v>
      </c>
      <c r="O916" t="s">
        <v>816</v>
      </c>
      <c r="P916">
        <v>0.01</v>
      </c>
      <c r="Q916" t="s">
        <v>1488</v>
      </c>
      <c r="R916">
        <v>0</v>
      </c>
      <c r="S916">
        <v>0</v>
      </c>
      <c r="T916">
        <v>0</v>
      </c>
      <c r="U916">
        <v>0</v>
      </c>
      <c r="V916">
        <v>0</v>
      </c>
    </row>
    <row r="917" spans="1:22" x14ac:dyDescent="0.25">
      <c r="A917" t="s">
        <v>2226</v>
      </c>
      <c r="B917" t="s">
        <v>865</v>
      </c>
      <c r="C917">
        <v>18</v>
      </c>
      <c r="D917" t="s">
        <v>132</v>
      </c>
      <c r="E917" t="s">
        <v>260</v>
      </c>
      <c r="F917" t="s">
        <v>260</v>
      </c>
      <c r="G917">
        <v>0.06</v>
      </c>
      <c r="H917" t="s">
        <v>57</v>
      </c>
      <c r="I917">
        <v>-8</v>
      </c>
      <c r="J917" t="str">
        <f>HYPERLINK("https://www.eliteprospects.com/player/843363/aaron-murphy")</f>
        <v>https://www.eliteprospects.com/player/843363/aaron-murphy</v>
      </c>
      <c r="K917" t="s">
        <v>27</v>
      </c>
      <c r="L917" t="s">
        <v>804</v>
      </c>
      <c r="M917" t="s">
        <v>1296</v>
      </c>
      <c r="N917">
        <v>2</v>
      </c>
      <c r="O917" t="s">
        <v>825</v>
      </c>
      <c r="P917">
        <v>0.01</v>
      </c>
      <c r="Q917" t="s">
        <v>1488</v>
      </c>
      <c r="R917">
        <v>0</v>
      </c>
      <c r="S917">
        <v>0</v>
      </c>
      <c r="T917">
        <v>0</v>
      </c>
      <c r="U917">
        <v>0</v>
      </c>
      <c r="V917">
        <v>0</v>
      </c>
    </row>
    <row r="918" spans="1:22" x14ac:dyDescent="0.25">
      <c r="A918" t="s">
        <v>2227</v>
      </c>
      <c r="B918" t="s">
        <v>865</v>
      </c>
      <c r="C918">
        <v>21</v>
      </c>
      <c r="D918" t="s">
        <v>132</v>
      </c>
      <c r="E918" t="s">
        <v>260</v>
      </c>
      <c r="F918" t="s">
        <v>260</v>
      </c>
      <c r="G918">
        <v>0.05</v>
      </c>
      <c r="H918" t="s">
        <v>41</v>
      </c>
      <c r="I918">
        <v>-5</v>
      </c>
      <c r="J918" t="str">
        <f>HYPERLINK("https://www.eliteprospects.com/player/882725/maxime-lapointe")</f>
        <v>https://www.eliteprospects.com/player/882725/maxime-lapointe</v>
      </c>
      <c r="K918" t="s">
        <v>27</v>
      </c>
      <c r="L918" t="s">
        <v>804</v>
      </c>
      <c r="M918" t="s">
        <v>1296</v>
      </c>
      <c r="N918">
        <v>2</v>
      </c>
      <c r="O918" t="s">
        <v>825</v>
      </c>
      <c r="P918">
        <v>0.01</v>
      </c>
      <c r="Q918" t="s">
        <v>1488</v>
      </c>
      <c r="R918">
        <v>0</v>
      </c>
      <c r="S918">
        <v>0</v>
      </c>
      <c r="T918">
        <v>0</v>
      </c>
      <c r="U918">
        <v>0</v>
      </c>
      <c r="V918">
        <v>0</v>
      </c>
    </row>
    <row r="919" spans="1:22" x14ac:dyDescent="0.25">
      <c r="A919" t="s">
        <v>2228</v>
      </c>
      <c r="B919" t="s">
        <v>856</v>
      </c>
      <c r="C919">
        <v>10</v>
      </c>
      <c r="D919" t="s">
        <v>132</v>
      </c>
      <c r="E919" t="s">
        <v>132</v>
      </c>
      <c r="F919" t="s">
        <v>132</v>
      </c>
      <c r="G919">
        <v>0</v>
      </c>
      <c r="H919" t="s">
        <v>132</v>
      </c>
      <c r="I919">
        <v>-5</v>
      </c>
      <c r="J919" t="str">
        <f>HYPERLINK("https://www.eliteprospects.com/player/806426/nate-ostridge")</f>
        <v>https://www.eliteprospects.com/player/806426/nate-ostridge</v>
      </c>
      <c r="K919" t="s">
        <v>27</v>
      </c>
      <c r="L919" t="s">
        <v>804</v>
      </c>
      <c r="M919" t="s">
        <v>1296</v>
      </c>
      <c r="N919">
        <v>1</v>
      </c>
      <c r="O919" t="s">
        <v>816</v>
      </c>
      <c r="P919">
        <v>0</v>
      </c>
      <c r="Q919" t="s">
        <v>1488</v>
      </c>
      <c r="R919">
        <v>0</v>
      </c>
      <c r="S919">
        <v>0</v>
      </c>
      <c r="T919">
        <v>0</v>
      </c>
      <c r="U919">
        <v>0</v>
      </c>
      <c r="V919">
        <v>0</v>
      </c>
    </row>
    <row r="920" spans="1:22" x14ac:dyDescent="0.25">
      <c r="A920" t="s">
        <v>2229</v>
      </c>
      <c r="B920" t="s">
        <v>507</v>
      </c>
      <c r="C920">
        <v>13</v>
      </c>
      <c r="D920" t="s">
        <v>132</v>
      </c>
      <c r="E920" t="s">
        <v>132</v>
      </c>
      <c r="F920" t="s">
        <v>132</v>
      </c>
      <c r="G920">
        <v>0</v>
      </c>
      <c r="H920" t="s">
        <v>66</v>
      </c>
      <c r="I920">
        <v>-4</v>
      </c>
      <c r="J920" t="str">
        <f>HYPERLINK("https://www.eliteprospects.com/player/888430/dominik-necak")</f>
        <v>https://www.eliteprospects.com/player/888430/dominik-necak</v>
      </c>
      <c r="K920" t="s">
        <v>27</v>
      </c>
      <c r="L920" t="s">
        <v>804</v>
      </c>
      <c r="M920" t="s">
        <v>1296</v>
      </c>
      <c r="N920">
        <v>1</v>
      </c>
      <c r="O920" t="s">
        <v>816</v>
      </c>
      <c r="P920">
        <v>0</v>
      </c>
      <c r="Q920" t="s">
        <v>1488</v>
      </c>
      <c r="R920">
        <v>0</v>
      </c>
      <c r="S920">
        <v>0</v>
      </c>
      <c r="T920">
        <v>0</v>
      </c>
      <c r="U920">
        <v>0</v>
      </c>
      <c r="V920">
        <v>0</v>
      </c>
    </row>
    <row r="921" spans="1:22" x14ac:dyDescent="0.25">
      <c r="A921" t="s">
        <v>2230</v>
      </c>
      <c r="B921" t="s">
        <v>808</v>
      </c>
      <c r="C921">
        <v>16</v>
      </c>
      <c r="D921" t="s">
        <v>132</v>
      </c>
      <c r="E921" t="s">
        <v>132</v>
      </c>
      <c r="F921" t="s">
        <v>132</v>
      </c>
      <c r="G921">
        <v>0</v>
      </c>
      <c r="H921" t="s">
        <v>45</v>
      </c>
      <c r="I921">
        <v>-3</v>
      </c>
      <c r="J921" t="str">
        <f>HYPERLINK("https://www.eliteprospects.com/player/729644/colby-train")</f>
        <v>https://www.eliteprospects.com/player/729644/colby-train</v>
      </c>
      <c r="K921" t="s">
        <v>27</v>
      </c>
      <c r="L921" t="s">
        <v>804</v>
      </c>
      <c r="M921" t="s">
        <v>1296</v>
      </c>
      <c r="N921">
        <v>3</v>
      </c>
      <c r="O921" t="s">
        <v>805</v>
      </c>
      <c r="P921">
        <v>0</v>
      </c>
      <c r="Q921" t="s">
        <v>1488</v>
      </c>
      <c r="R921">
        <v>0</v>
      </c>
      <c r="S921">
        <v>0</v>
      </c>
      <c r="T921">
        <v>0</v>
      </c>
      <c r="U921">
        <v>0</v>
      </c>
      <c r="V921">
        <v>0</v>
      </c>
    </row>
    <row r="922" spans="1:22" x14ac:dyDescent="0.25">
      <c r="A922" t="s">
        <v>2231</v>
      </c>
      <c r="B922" t="s">
        <v>821</v>
      </c>
      <c r="C922">
        <v>17</v>
      </c>
      <c r="D922" t="s">
        <v>132</v>
      </c>
      <c r="E922" t="s">
        <v>132</v>
      </c>
      <c r="F922" t="s">
        <v>132</v>
      </c>
      <c r="G922">
        <v>0</v>
      </c>
      <c r="H922" t="s">
        <v>66</v>
      </c>
      <c r="I922">
        <v>-1</v>
      </c>
      <c r="J922" t="str">
        <f>HYPERLINK("https://www.eliteprospects.com/player/576990/aiden-macisaac")</f>
        <v>https://www.eliteprospects.com/player/576990/aiden-macisaac</v>
      </c>
      <c r="K922" t="s">
        <v>27</v>
      </c>
      <c r="L922" t="s">
        <v>804</v>
      </c>
      <c r="M922" t="s">
        <v>1296</v>
      </c>
      <c r="N922">
        <v>1</v>
      </c>
      <c r="O922" t="s">
        <v>816</v>
      </c>
      <c r="P922">
        <v>0</v>
      </c>
      <c r="Q922" t="s">
        <v>1488</v>
      </c>
      <c r="R922">
        <v>0</v>
      </c>
      <c r="S922">
        <v>0</v>
      </c>
      <c r="T922">
        <v>0</v>
      </c>
      <c r="U922">
        <v>0</v>
      </c>
      <c r="V922">
        <v>0</v>
      </c>
    </row>
    <row r="923" spans="1:22" x14ac:dyDescent="0.25">
      <c r="A923" t="s">
        <v>2232</v>
      </c>
      <c r="B923" t="s">
        <v>824</v>
      </c>
      <c r="C923">
        <v>23</v>
      </c>
      <c r="D923" t="s">
        <v>132</v>
      </c>
      <c r="E923" t="s">
        <v>132</v>
      </c>
      <c r="F923" t="s">
        <v>132</v>
      </c>
      <c r="G923">
        <v>0</v>
      </c>
      <c r="H923" t="s">
        <v>66</v>
      </c>
      <c r="I923">
        <v>-12</v>
      </c>
      <c r="J923" t="str">
        <f>HYPERLINK("https://www.eliteprospects.com/player/923272/justin-chiras")</f>
        <v>https://www.eliteprospects.com/player/923272/justin-chiras</v>
      </c>
      <c r="K923" t="s">
        <v>27</v>
      </c>
      <c r="L923" t="s">
        <v>804</v>
      </c>
      <c r="M923" t="s">
        <v>1296</v>
      </c>
      <c r="N923">
        <v>2</v>
      </c>
      <c r="O923" t="s">
        <v>825</v>
      </c>
      <c r="P923">
        <v>0</v>
      </c>
      <c r="Q923" t="s">
        <v>1488</v>
      </c>
      <c r="R923">
        <v>0</v>
      </c>
      <c r="S923">
        <v>0</v>
      </c>
      <c r="T923">
        <v>0</v>
      </c>
      <c r="U923">
        <v>0</v>
      </c>
      <c r="V923">
        <v>0</v>
      </c>
    </row>
    <row r="924" spans="1:22" x14ac:dyDescent="0.25">
      <c r="A924" t="s">
        <v>2233</v>
      </c>
      <c r="B924" t="s">
        <v>926</v>
      </c>
      <c r="C924">
        <v>20</v>
      </c>
      <c r="D924" t="s">
        <v>45</v>
      </c>
      <c r="E924" t="s">
        <v>65</v>
      </c>
      <c r="F924" t="s">
        <v>47</v>
      </c>
      <c r="G924">
        <v>1.1000000000000001</v>
      </c>
      <c r="H924" t="s">
        <v>55</v>
      </c>
      <c r="I924">
        <v>27</v>
      </c>
      <c r="J924" t="str">
        <f>HYPERLINK("https://www.eliteprospects.com/player/325973/jake-lee")</f>
        <v>https://www.eliteprospects.com/player/325973/jake-lee</v>
      </c>
      <c r="K924" t="s">
        <v>27</v>
      </c>
      <c r="L924" t="s">
        <v>918</v>
      </c>
      <c r="M924" t="s">
        <v>1296</v>
      </c>
      <c r="N924">
        <v>6</v>
      </c>
      <c r="O924" t="s">
        <v>927</v>
      </c>
      <c r="P924">
        <v>0.14000000000000001</v>
      </c>
      <c r="Q924" t="s">
        <v>1300</v>
      </c>
      <c r="R924">
        <v>42.9</v>
      </c>
      <c r="S924">
        <v>14.3</v>
      </c>
      <c r="T924">
        <v>7.1</v>
      </c>
      <c r="U924">
        <v>7.1</v>
      </c>
      <c r="V924">
        <v>28.6</v>
      </c>
    </row>
    <row r="925" spans="1:22" x14ac:dyDescent="0.25">
      <c r="A925" t="s">
        <v>2234</v>
      </c>
      <c r="B925" t="s">
        <v>1015</v>
      </c>
      <c r="C925">
        <v>18</v>
      </c>
      <c r="D925" t="s">
        <v>79</v>
      </c>
      <c r="E925" t="s">
        <v>24</v>
      </c>
      <c r="F925" t="s">
        <v>47</v>
      </c>
      <c r="G925">
        <v>1.22</v>
      </c>
      <c r="H925" t="s">
        <v>39</v>
      </c>
      <c r="I925">
        <v>-11</v>
      </c>
      <c r="J925" t="str">
        <f>HYPERLINK("https://www.eliteprospects.com/player/200735/dawson-davidson")</f>
        <v>https://www.eliteprospects.com/player/200735/dawson-davidson</v>
      </c>
      <c r="K925" t="s">
        <v>27</v>
      </c>
      <c r="L925" t="s">
        <v>918</v>
      </c>
      <c r="M925" t="s">
        <v>1296</v>
      </c>
      <c r="N925">
        <v>4</v>
      </c>
      <c r="O925" t="s">
        <v>940</v>
      </c>
      <c r="P925">
        <v>0.15</v>
      </c>
      <c r="Q925" t="s">
        <v>1300</v>
      </c>
      <c r="R925">
        <v>40</v>
      </c>
      <c r="S925">
        <v>40</v>
      </c>
      <c r="T925">
        <v>0</v>
      </c>
      <c r="U925">
        <v>0</v>
      </c>
      <c r="V925">
        <v>20</v>
      </c>
    </row>
    <row r="926" spans="1:22" x14ac:dyDescent="0.25">
      <c r="A926" t="s">
        <v>2235</v>
      </c>
      <c r="B926" t="s">
        <v>939</v>
      </c>
      <c r="C926">
        <v>18</v>
      </c>
      <c r="D926" t="s">
        <v>140</v>
      </c>
      <c r="E926" t="s">
        <v>60</v>
      </c>
      <c r="F926" t="s">
        <v>24</v>
      </c>
      <c r="G926">
        <v>1.1100000000000001</v>
      </c>
      <c r="H926" t="s">
        <v>39</v>
      </c>
      <c r="I926">
        <v>11</v>
      </c>
      <c r="J926" t="str">
        <f>HYPERLINK("https://www.eliteprospects.com/player/403796/landon-kosior")</f>
        <v>https://www.eliteprospects.com/player/403796/landon-kosior</v>
      </c>
      <c r="K926" t="s">
        <v>27</v>
      </c>
      <c r="L926" t="s">
        <v>918</v>
      </c>
      <c r="M926" t="s">
        <v>1296</v>
      </c>
      <c r="N926">
        <v>6</v>
      </c>
      <c r="O926" t="s">
        <v>924</v>
      </c>
      <c r="P926">
        <v>0.14000000000000001</v>
      </c>
      <c r="Q926" t="s">
        <v>1300</v>
      </c>
      <c r="R926">
        <v>42.9</v>
      </c>
      <c r="S926">
        <v>14.3</v>
      </c>
      <c r="T926">
        <v>7.1</v>
      </c>
      <c r="U926">
        <v>7.1</v>
      </c>
      <c r="V926">
        <v>28.6</v>
      </c>
    </row>
    <row r="927" spans="1:22" x14ac:dyDescent="0.25">
      <c r="A927" t="s">
        <v>2236</v>
      </c>
      <c r="B927" t="s">
        <v>1038</v>
      </c>
      <c r="C927">
        <v>18</v>
      </c>
      <c r="D927" t="s">
        <v>140</v>
      </c>
      <c r="E927" t="s">
        <v>60</v>
      </c>
      <c r="F927" t="s">
        <v>24</v>
      </c>
      <c r="G927">
        <v>1.1100000000000001</v>
      </c>
      <c r="H927" t="s">
        <v>38</v>
      </c>
      <c r="I927">
        <v>0</v>
      </c>
      <c r="J927" t="str">
        <f>HYPERLINK("https://www.eliteprospects.com/player/418374/mark-cooper")</f>
        <v>https://www.eliteprospects.com/player/418374/mark-cooper</v>
      </c>
      <c r="K927" t="s">
        <v>27</v>
      </c>
      <c r="L927" t="s">
        <v>918</v>
      </c>
      <c r="M927" t="s">
        <v>1296</v>
      </c>
      <c r="N927">
        <v>3</v>
      </c>
      <c r="O927" t="s">
        <v>1039</v>
      </c>
      <c r="P927">
        <v>0.14000000000000001</v>
      </c>
      <c r="Q927" t="s">
        <v>1309</v>
      </c>
      <c r="R927">
        <v>25</v>
      </c>
      <c r="S927">
        <v>25</v>
      </c>
      <c r="T927">
        <v>0</v>
      </c>
      <c r="U927">
        <v>0</v>
      </c>
      <c r="V927">
        <v>50</v>
      </c>
    </row>
    <row r="928" spans="1:22" x14ac:dyDescent="0.25">
      <c r="A928" t="s">
        <v>2237</v>
      </c>
      <c r="B928" t="s">
        <v>1011</v>
      </c>
      <c r="C928">
        <v>20</v>
      </c>
      <c r="D928" t="s">
        <v>57</v>
      </c>
      <c r="E928" t="s">
        <v>65</v>
      </c>
      <c r="F928" t="s">
        <v>51</v>
      </c>
      <c r="G928">
        <v>0.95</v>
      </c>
      <c r="H928" t="s">
        <v>81</v>
      </c>
      <c r="I928">
        <v>1</v>
      </c>
      <c r="J928" t="str">
        <f>HYPERLINK("https://www.eliteprospects.com/player/504241/charlie-callaghan")</f>
        <v>https://www.eliteprospects.com/player/504241/charlie-callaghan</v>
      </c>
      <c r="K928" t="s">
        <v>27</v>
      </c>
      <c r="L928" t="s">
        <v>918</v>
      </c>
      <c r="M928" t="s">
        <v>1296</v>
      </c>
      <c r="N928">
        <v>7</v>
      </c>
      <c r="O928" t="s">
        <v>919</v>
      </c>
      <c r="P928">
        <v>0.12</v>
      </c>
      <c r="Q928" t="s">
        <v>1300</v>
      </c>
      <c r="R928">
        <v>33.299999999999997</v>
      </c>
      <c r="S928">
        <v>33.299999999999997</v>
      </c>
      <c r="T928">
        <v>16.7</v>
      </c>
      <c r="U928">
        <v>16.7</v>
      </c>
      <c r="V928">
        <v>0</v>
      </c>
    </row>
    <row r="929" spans="1:22" x14ac:dyDescent="0.25">
      <c r="A929" t="s">
        <v>2238</v>
      </c>
      <c r="B929" t="s">
        <v>923</v>
      </c>
      <c r="C929">
        <v>20</v>
      </c>
      <c r="D929" t="s">
        <v>66</v>
      </c>
      <c r="E929" t="s">
        <v>41</v>
      </c>
      <c r="F929" t="s">
        <v>51</v>
      </c>
      <c r="G929">
        <v>0.95</v>
      </c>
      <c r="H929" t="s">
        <v>57</v>
      </c>
      <c r="I929">
        <v>18</v>
      </c>
      <c r="J929" t="str">
        <f>HYPERLINK("https://www.eliteprospects.com/player/350248/sean-strange")</f>
        <v>https://www.eliteprospects.com/player/350248/sean-strange</v>
      </c>
      <c r="K929" t="s">
        <v>27</v>
      </c>
      <c r="L929" t="s">
        <v>918</v>
      </c>
      <c r="M929" t="s">
        <v>1296</v>
      </c>
      <c r="N929">
        <v>6</v>
      </c>
      <c r="O929" t="s">
        <v>932</v>
      </c>
      <c r="P929">
        <v>0.12</v>
      </c>
      <c r="Q929" t="s">
        <v>1300</v>
      </c>
      <c r="R929">
        <v>42.9</v>
      </c>
      <c r="S929">
        <v>14.3</v>
      </c>
      <c r="T929">
        <v>7.1</v>
      </c>
      <c r="U929">
        <v>7.1</v>
      </c>
      <c r="V929">
        <v>28.6</v>
      </c>
    </row>
    <row r="930" spans="1:22" x14ac:dyDescent="0.25">
      <c r="A930" t="s">
        <v>2239</v>
      </c>
      <c r="B930" t="s">
        <v>926</v>
      </c>
      <c r="C930">
        <v>20</v>
      </c>
      <c r="D930" t="s">
        <v>79</v>
      </c>
      <c r="E930" t="s">
        <v>60</v>
      </c>
      <c r="F930" t="s">
        <v>51</v>
      </c>
      <c r="G930">
        <v>0.95</v>
      </c>
      <c r="H930" t="s">
        <v>57</v>
      </c>
      <c r="I930">
        <v>15</v>
      </c>
      <c r="J930" t="str">
        <f>HYPERLINK("https://www.eliteprospects.com/player/691857/jace-weir")</f>
        <v>https://www.eliteprospects.com/player/691857/jace-weir</v>
      </c>
      <c r="K930" t="s">
        <v>27</v>
      </c>
      <c r="L930" t="s">
        <v>918</v>
      </c>
      <c r="M930" t="s">
        <v>1296</v>
      </c>
      <c r="N930">
        <v>6</v>
      </c>
      <c r="O930" t="s">
        <v>950</v>
      </c>
      <c r="P930">
        <v>0.12</v>
      </c>
      <c r="Q930" t="s">
        <v>1300</v>
      </c>
      <c r="R930">
        <v>42.9</v>
      </c>
      <c r="S930">
        <v>14.3</v>
      </c>
      <c r="T930">
        <v>7.1</v>
      </c>
      <c r="U930">
        <v>7.1</v>
      </c>
      <c r="V930">
        <v>28.6</v>
      </c>
    </row>
    <row r="931" spans="1:22" x14ac:dyDescent="0.25">
      <c r="A931" t="s">
        <v>2240</v>
      </c>
      <c r="B931" t="s">
        <v>947</v>
      </c>
      <c r="C931">
        <v>18</v>
      </c>
      <c r="D931" t="s">
        <v>78</v>
      </c>
      <c r="E931" t="s">
        <v>69</v>
      </c>
      <c r="F931" t="s">
        <v>55</v>
      </c>
      <c r="G931">
        <v>1</v>
      </c>
      <c r="H931" t="s">
        <v>26</v>
      </c>
      <c r="I931">
        <v>0</v>
      </c>
      <c r="J931" t="str">
        <f>HYPERLINK("https://www.eliteprospects.com/player/415731/nathan-allensen")</f>
        <v>https://www.eliteprospects.com/player/415731/nathan-allensen</v>
      </c>
      <c r="K931" t="s">
        <v>27</v>
      </c>
      <c r="L931" t="s">
        <v>918</v>
      </c>
      <c r="M931" t="s">
        <v>1296</v>
      </c>
      <c r="N931">
        <v>5</v>
      </c>
      <c r="O931" t="s">
        <v>935</v>
      </c>
      <c r="P931">
        <v>0.12</v>
      </c>
      <c r="Q931" t="s">
        <v>1309</v>
      </c>
      <c r="R931">
        <v>25</v>
      </c>
      <c r="S931">
        <v>25</v>
      </c>
      <c r="T931">
        <v>0</v>
      </c>
      <c r="U931">
        <v>0</v>
      </c>
      <c r="V931">
        <v>50</v>
      </c>
    </row>
    <row r="932" spans="1:22" x14ac:dyDescent="0.25">
      <c r="A932" t="s">
        <v>2241</v>
      </c>
      <c r="B932" t="s">
        <v>961</v>
      </c>
      <c r="C932">
        <v>17</v>
      </c>
      <c r="D932" t="s">
        <v>96</v>
      </c>
      <c r="E932" t="s">
        <v>65</v>
      </c>
      <c r="F932" t="s">
        <v>55</v>
      </c>
      <c r="G932">
        <v>1.06</v>
      </c>
      <c r="H932" t="s">
        <v>512</v>
      </c>
      <c r="I932">
        <v>0</v>
      </c>
      <c r="J932" t="str">
        <f>HYPERLINK("https://www.eliteprospects.com/player/351170/eric-van-impe")</f>
        <v>https://www.eliteprospects.com/player/351170/eric-van-impe</v>
      </c>
      <c r="K932" t="s">
        <v>27</v>
      </c>
      <c r="L932" t="s">
        <v>918</v>
      </c>
      <c r="M932" t="s">
        <v>1296</v>
      </c>
      <c r="N932">
        <v>6</v>
      </c>
      <c r="O932" t="s">
        <v>927</v>
      </c>
      <c r="P932">
        <v>0.13</v>
      </c>
      <c r="Q932" t="s">
        <v>1309</v>
      </c>
      <c r="R932">
        <v>25</v>
      </c>
      <c r="S932">
        <v>25</v>
      </c>
      <c r="T932">
        <v>0</v>
      </c>
      <c r="U932">
        <v>0</v>
      </c>
      <c r="V932">
        <v>50</v>
      </c>
    </row>
    <row r="933" spans="1:22" x14ac:dyDescent="0.25">
      <c r="A933" t="s">
        <v>2242</v>
      </c>
      <c r="B933" t="s">
        <v>942</v>
      </c>
      <c r="C933">
        <v>17</v>
      </c>
      <c r="D933" t="s">
        <v>96</v>
      </c>
      <c r="E933" t="s">
        <v>23</v>
      </c>
      <c r="F933" t="s">
        <v>60</v>
      </c>
      <c r="G933">
        <v>1</v>
      </c>
      <c r="H933" t="s">
        <v>66</v>
      </c>
      <c r="I933">
        <v>0</v>
      </c>
      <c r="J933" t="str">
        <f>HYPERLINK("https://www.eliteprospects.com/player/689712/giuseppe-ianniello")</f>
        <v>https://www.eliteprospects.com/player/689712/giuseppe-ianniello</v>
      </c>
      <c r="K933" t="s">
        <v>27</v>
      </c>
      <c r="L933" t="s">
        <v>918</v>
      </c>
      <c r="M933" t="s">
        <v>1296</v>
      </c>
      <c r="N933">
        <v>3</v>
      </c>
      <c r="O933" t="s">
        <v>1002</v>
      </c>
      <c r="P933">
        <v>0.12</v>
      </c>
      <c r="Q933" t="s">
        <v>1309</v>
      </c>
      <c r="R933">
        <v>25</v>
      </c>
      <c r="S933">
        <v>25</v>
      </c>
      <c r="T933">
        <v>0</v>
      </c>
      <c r="U933">
        <v>0</v>
      </c>
      <c r="V933">
        <v>50</v>
      </c>
    </row>
    <row r="934" spans="1:22" x14ac:dyDescent="0.25">
      <c r="A934" t="s">
        <v>2243</v>
      </c>
      <c r="B934" t="s">
        <v>954</v>
      </c>
      <c r="C934">
        <v>18</v>
      </c>
      <c r="D934" t="s">
        <v>66</v>
      </c>
      <c r="E934" t="s">
        <v>65</v>
      </c>
      <c r="F934" t="s">
        <v>60</v>
      </c>
      <c r="G934">
        <v>0.94</v>
      </c>
      <c r="H934" t="s">
        <v>280</v>
      </c>
      <c r="I934">
        <v>0</v>
      </c>
      <c r="J934" t="str">
        <f>HYPERLINK("https://www.eliteprospects.com/player/649085/alexis-daviault")</f>
        <v>https://www.eliteprospects.com/player/649085/alexis-daviault</v>
      </c>
      <c r="K934" t="s">
        <v>27</v>
      </c>
      <c r="L934" t="s">
        <v>918</v>
      </c>
      <c r="M934" t="s">
        <v>1296</v>
      </c>
      <c r="N934">
        <v>5</v>
      </c>
      <c r="O934" t="s">
        <v>1008</v>
      </c>
      <c r="P934">
        <v>0.12</v>
      </c>
      <c r="Q934" t="s">
        <v>1309</v>
      </c>
      <c r="R934">
        <v>25</v>
      </c>
      <c r="S934">
        <v>25</v>
      </c>
      <c r="T934">
        <v>0</v>
      </c>
      <c r="U934">
        <v>0</v>
      </c>
      <c r="V934">
        <v>50</v>
      </c>
    </row>
    <row r="935" spans="1:22" x14ac:dyDescent="0.25">
      <c r="A935" t="s">
        <v>2244</v>
      </c>
      <c r="B935" t="s">
        <v>966</v>
      </c>
      <c r="C935">
        <v>18</v>
      </c>
      <c r="D935" t="s">
        <v>140</v>
      </c>
      <c r="E935" t="s">
        <v>39</v>
      </c>
      <c r="F935" t="s">
        <v>60</v>
      </c>
      <c r="G935">
        <v>0.94</v>
      </c>
      <c r="H935" t="s">
        <v>24</v>
      </c>
      <c r="I935">
        <v>12</v>
      </c>
      <c r="J935" t="str">
        <f>HYPERLINK("https://www.eliteprospects.com/player/503166/tyler-deline")</f>
        <v>https://www.eliteprospects.com/player/503166/tyler-deline</v>
      </c>
      <c r="K935" t="s">
        <v>27</v>
      </c>
      <c r="L935" t="s">
        <v>918</v>
      </c>
      <c r="M935" t="s">
        <v>1296</v>
      </c>
      <c r="N935">
        <v>6</v>
      </c>
      <c r="O935" t="s">
        <v>995</v>
      </c>
      <c r="P935">
        <v>0.12</v>
      </c>
      <c r="Q935" t="s">
        <v>1300</v>
      </c>
      <c r="R935">
        <v>42.9</v>
      </c>
      <c r="S935">
        <v>14.3</v>
      </c>
      <c r="T935">
        <v>7.1</v>
      </c>
      <c r="U935">
        <v>7.1</v>
      </c>
      <c r="V935">
        <v>28.6</v>
      </c>
    </row>
    <row r="936" spans="1:22" x14ac:dyDescent="0.25">
      <c r="A936" t="s">
        <v>2245</v>
      </c>
      <c r="B936" t="s">
        <v>939</v>
      </c>
      <c r="C936">
        <v>17</v>
      </c>
      <c r="D936" t="s">
        <v>140</v>
      </c>
      <c r="E936" t="s">
        <v>65</v>
      </c>
      <c r="F936" t="s">
        <v>38</v>
      </c>
      <c r="G936">
        <v>0.94</v>
      </c>
      <c r="H936" t="s">
        <v>26</v>
      </c>
      <c r="I936">
        <v>6</v>
      </c>
      <c r="J936" t="str">
        <f>HYPERLINK("https://www.eliteprospects.com/player/326546/rhett-rhinehart")</f>
        <v>https://www.eliteprospects.com/player/326546/rhett-rhinehart</v>
      </c>
      <c r="K936" t="s">
        <v>27</v>
      </c>
      <c r="L936" t="s">
        <v>918</v>
      </c>
      <c r="M936" t="s">
        <v>1417</v>
      </c>
      <c r="N936">
        <v>6</v>
      </c>
      <c r="O936" t="s">
        <v>927</v>
      </c>
      <c r="P936">
        <v>0.12</v>
      </c>
      <c r="Q936" t="s">
        <v>1309</v>
      </c>
      <c r="R936">
        <v>10</v>
      </c>
      <c r="S936">
        <v>10</v>
      </c>
      <c r="T936">
        <v>20</v>
      </c>
      <c r="U936">
        <v>20</v>
      </c>
      <c r="V936">
        <v>40</v>
      </c>
    </row>
    <row r="937" spans="1:22" x14ac:dyDescent="0.25">
      <c r="A937" t="s">
        <v>2246</v>
      </c>
      <c r="B937" t="s">
        <v>934</v>
      </c>
      <c r="C937">
        <v>19</v>
      </c>
      <c r="D937" t="s">
        <v>79</v>
      </c>
      <c r="E937" t="s">
        <v>39</v>
      </c>
      <c r="F937" t="s">
        <v>38</v>
      </c>
      <c r="G937">
        <v>0.84</v>
      </c>
      <c r="H937" t="s">
        <v>55</v>
      </c>
      <c r="I937">
        <v>17</v>
      </c>
      <c r="J937" t="str">
        <f>HYPERLINK("https://www.eliteprospects.com/player/710467/luca-d-amato")</f>
        <v>https://www.eliteprospects.com/player/710467/luca-d-amato</v>
      </c>
      <c r="K937" t="s">
        <v>27</v>
      </c>
      <c r="L937" t="s">
        <v>918</v>
      </c>
      <c r="M937" t="s">
        <v>1296</v>
      </c>
      <c r="N937">
        <v>5</v>
      </c>
      <c r="O937" t="s">
        <v>1008</v>
      </c>
      <c r="P937">
        <v>0.1</v>
      </c>
      <c r="Q937" t="s">
        <v>1309</v>
      </c>
      <c r="R937">
        <v>25</v>
      </c>
      <c r="S937">
        <v>25</v>
      </c>
      <c r="T937">
        <v>16.7</v>
      </c>
      <c r="U937">
        <v>8.3000000000000007</v>
      </c>
      <c r="V937">
        <v>25</v>
      </c>
    </row>
    <row r="938" spans="1:22" x14ac:dyDescent="0.25">
      <c r="A938" t="s">
        <v>2247</v>
      </c>
      <c r="B938" t="s">
        <v>977</v>
      </c>
      <c r="C938">
        <v>17</v>
      </c>
      <c r="D938" t="s">
        <v>26</v>
      </c>
      <c r="E938" t="s">
        <v>78</v>
      </c>
      <c r="F938" t="s">
        <v>41</v>
      </c>
      <c r="G938">
        <v>0.88</v>
      </c>
      <c r="H938" t="s">
        <v>55</v>
      </c>
      <c r="I938">
        <v>0</v>
      </c>
      <c r="J938" t="str">
        <f>HYPERLINK("https://www.eliteprospects.com/player/418495/dylan-schives")</f>
        <v>https://www.eliteprospects.com/player/418495/dylan-schives</v>
      </c>
      <c r="K938" t="s">
        <v>27</v>
      </c>
      <c r="L938" t="s">
        <v>918</v>
      </c>
      <c r="M938" t="s">
        <v>1296</v>
      </c>
      <c r="N938">
        <v>4</v>
      </c>
      <c r="O938" t="s">
        <v>1192</v>
      </c>
      <c r="P938">
        <v>0.11</v>
      </c>
      <c r="Q938" t="s">
        <v>245</v>
      </c>
      <c r="R938">
        <v>14.3</v>
      </c>
      <c r="S938">
        <v>42.9</v>
      </c>
      <c r="T938">
        <v>28.6</v>
      </c>
      <c r="U938">
        <v>0</v>
      </c>
      <c r="V938">
        <v>14.3</v>
      </c>
    </row>
    <row r="939" spans="1:22" x14ac:dyDescent="0.25">
      <c r="A939" t="s">
        <v>2248</v>
      </c>
      <c r="B939" t="s">
        <v>966</v>
      </c>
      <c r="C939">
        <v>20</v>
      </c>
      <c r="D939" t="s">
        <v>57</v>
      </c>
      <c r="E939" t="s">
        <v>45</v>
      </c>
      <c r="F939" t="s">
        <v>41</v>
      </c>
      <c r="G939">
        <v>0.75</v>
      </c>
      <c r="H939" t="s">
        <v>32</v>
      </c>
      <c r="I939">
        <v>0</v>
      </c>
      <c r="J939" t="str">
        <f>HYPERLINK("https://www.eliteprospects.com/player/563050/brayden-schmitt")</f>
        <v>https://www.eliteprospects.com/player/563050/brayden-schmitt</v>
      </c>
      <c r="K939" t="s">
        <v>27</v>
      </c>
      <c r="L939" t="s">
        <v>918</v>
      </c>
      <c r="M939" t="s">
        <v>1296</v>
      </c>
      <c r="N939">
        <v>6</v>
      </c>
      <c r="O939" t="s">
        <v>968</v>
      </c>
      <c r="P939">
        <v>0.09</v>
      </c>
      <c r="Q939" t="s">
        <v>245</v>
      </c>
      <c r="R939">
        <v>14.3</v>
      </c>
      <c r="S939">
        <v>42.9</v>
      </c>
      <c r="T939">
        <v>28.6</v>
      </c>
      <c r="U939">
        <v>0</v>
      </c>
      <c r="V939">
        <v>14.3</v>
      </c>
    </row>
    <row r="940" spans="1:22" x14ac:dyDescent="0.25">
      <c r="A940" t="s">
        <v>2249</v>
      </c>
      <c r="B940" t="s">
        <v>997</v>
      </c>
      <c r="C940">
        <v>15</v>
      </c>
      <c r="D940" t="s">
        <v>96</v>
      </c>
      <c r="E940" t="s">
        <v>45</v>
      </c>
      <c r="F940" t="s">
        <v>39</v>
      </c>
      <c r="G940">
        <v>0.93</v>
      </c>
      <c r="H940" t="s">
        <v>32</v>
      </c>
      <c r="I940">
        <v>0</v>
      </c>
      <c r="J940" t="str">
        <f>HYPERLINK("https://www.eliteprospects.com/player/290166/simon-lavigne")</f>
        <v>https://www.eliteprospects.com/player/290166/simon-lavigne</v>
      </c>
      <c r="K940" t="s">
        <v>27</v>
      </c>
      <c r="L940" t="s">
        <v>918</v>
      </c>
      <c r="M940" t="s">
        <v>1296</v>
      </c>
      <c r="N940">
        <v>6</v>
      </c>
      <c r="O940" t="s">
        <v>937</v>
      </c>
      <c r="P940">
        <v>0.12</v>
      </c>
      <c r="Q940" t="s">
        <v>1309</v>
      </c>
      <c r="R940">
        <v>25</v>
      </c>
      <c r="S940">
        <v>25</v>
      </c>
      <c r="T940">
        <v>0</v>
      </c>
      <c r="U940">
        <v>0</v>
      </c>
      <c r="V940">
        <v>50</v>
      </c>
    </row>
    <row r="941" spans="1:22" x14ac:dyDescent="0.25">
      <c r="A941" t="s">
        <v>2250</v>
      </c>
      <c r="B941" t="s">
        <v>931</v>
      </c>
      <c r="C941">
        <v>20</v>
      </c>
      <c r="D941" t="s">
        <v>96</v>
      </c>
      <c r="E941" t="s">
        <v>45</v>
      </c>
      <c r="F941" t="s">
        <v>39</v>
      </c>
      <c r="G941">
        <v>0.7</v>
      </c>
      <c r="H941" t="s">
        <v>66</v>
      </c>
      <c r="I941">
        <v>10</v>
      </c>
      <c r="J941" t="str">
        <f>HYPERLINK("https://www.eliteprospects.com/player/476551/remy-aquilon")</f>
        <v>https://www.eliteprospects.com/player/476551/remy-aquilon</v>
      </c>
      <c r="K941" t="s">
        <v>27</v>
      </c>
      <c r="L941" t="s">
        <v>918</v>
      </c>
      <c r="M941" t="s">
        <v>1296</v>
      </c>
      <c r="N941">
        <v>6</v>
      </c>
      <c r="O941" t="s">
        <v>927</v>
      </c>
      <c r="P941">
        <v>0.09</v>
      </c>
      <c r="Q941" t="s">
        <v>1309</v>
      </c>
      <c r="R941">
        <v>25</v>
      </c>
      <c r="S941">
        <v>25</v>
      </c>
      <c r="T941">
        <v>16.7</v>
      </c>
      <c r="U941">
        <v>8.3000000000000007</v>
      </c>
      <c r="V941">
        <v>25</v>
      </c>
    </row>
    <row r="942" spans="1:22" x14ac:dyDescent="0.25">
      <c r="A942" t="s">
        <v>2251</v>
      </c>
      <c r="B942" t="s">
        <v>997</v>
      </c>
      <c r="C942">
        <v>18</v>
      </c>
      <c r="D942" t="s">
        <v>66</v>
      </c>
      <c r="E942" t="s">
        <v>32</v>
      </c>
      <c r="F942" t="s">
        <v>39</v>
      </c>
      <c r="G942">
        <v>0.78</v>
      </c>
      <c r="H942" t="s">
        <v>55</v>
      </c>
      <c r="I942">
        <v>0</v>
      </c>
      <c r="J942" t="str">
        <f>HYPERLINK("https://www.eliteprospects.com/player/295659/sean-larochelle")</f>
        <v>https://www.eliteprospects.com/player/295659/sean-larochelle</v>
      </c>
      <c r="K942" t="s">
        <v>27</v>
      </c>
      <c r="L942" t="s">
        <v>918</v>
      </c>
      <c r="M942" t="s">
        <v>1296</v>
      </c>
      <c r="N942">
        <v>6</v>
      </c>
      <c r="O942" t="s">
        <v>937</v>
      </c>
      <c r="P942">
        <v>0.1</v>
      </c>
      <c r="Q942" t="s">
        <v>245</v>
      </c>
      <c r="R942">
        <v>14.3</v>
      </c>
      <c r="S942">
        <v>42.9</v>
      </c>
      <c r="T942">
        <v>28.6</v>
      </c>
      <c r="U942">
        <v>0</v>
      </c>
      <c r="V942">
        <v>14.3</v>
      </c>
    </row>
    <row r="943" spans="1:22" x14ac:dyDescent="0.25">
      <c r="A943" t="s">
        <v>2252</v>
      </c>
      <c r="B943" t="s">
        <v>959</v>
      </c>
      <c r="C943">
        <v>18</v>
      </c>
      <c r="D943" t="s">
        <v>66</v>
      </c>
      <c r="E943" t="s">
        <v>45</v>
      </c>
      <c r="F943" t="s">
        <v>65</v>
      </c>
      <c r="G943">
        <v>0.72</v>
      </c>
      <c r="H943" t="s">
        <v>32</v>
      </c>
      <c r="I943">
        <v>0</v>
      </c>
      <c r="J943" t="str">
        <f>HYPERLINK("https://www.eliteprospects.com/player/425651/thomas-belzile")</f>
        <v>https://www.eliteprospects.com/player/425651/thomas-belzile</v>
      </c>
      <c r="K943" t="s">
        <v>27</v>
      </c>
      <c r="L943" t="s">
        <v>918</v>
      </c>
      <c r="M943" t="s">
        <v>1296</v>
      </c>
      <c r="N943">
        <v>6</v>
      </c>
      <c r="O943" t="s">
        <v>921</v>
      </c>
      <c r="P943">
        <v>0.09</v>
      </c>
      <c r="Q943" t="s">
        <v>245</v>
      </c>
      <c r="R943">
        <v>14.3</v>
      </c>
      <c r="S943">
        <v>42.9</v>
      </c>
      <c r="T943">
        <v>28.6</v>
      </c>
      <c r="U943">
        <v>0</v>
      </c>
      <c r="V943">
        <v>14.3</v>
      </c>
    </row>
    <row r="944" spans="1:22" x14ac:dyDescent="0.25">
      <c r="A944" t="s">
        <v>2253</v>
      </c>
      <c r="B944" t="s">
        <v>957</v>
      </c>
      <c r="C944">
        <v>19</v>
      </c>
      <c r="D944" t="s">
        <v>66</v>
      </c>
      <c r="E944" t="s">
        <v>45</v>
      </c>
      <c r="F944" t="s">
        <v>65</v>
      </c>
      <c r="G944">
        <v>0.68</v>
      </c>
      <c r="H944" t="s">
        <v>499</v>
      </c>
      <c r="I944">
        <v>-1</v>
      </c>
      <c r="J944" t="str">
        <f>HYPERLINK("https://www.eliteprospects.com/player/413102/logan-dowhaniuk")</f>
        <v>https://www.eliteprospects.com/player/413102/logan-dowhaniuk</v>
      </c>
      <c r="K944" t="s">
        <v>27</v>
      </c>
      <c r="L944" t="s">
        <v>918</v>
      </c>
      <c r="M944" t="s">
        <v>1296</v>
      </c>
      <c r="N944">
        <v>6</v>
      </c>
      <c r="O944" t="s">
        <v>924</v>
      </c>
      <c r="P944">
        <v>0.08</v>
      </c>
      <c r="Q944" t="s">
        <v>1300</v>
      </c>
      <c r="R944">
        <v>33.299999999999997</v>
      </c>
      <c r="S944">
        <v>22.2</v>
      </c>
      <c r="T944">
        <v>22.2</v>
      </c>
      <c r="U944">
        <v>11.1</v>
      </c>
      <c r="V944">
        <v>11.1</v>
      </c>
    </row>
    <row r="945" spans="1:22" x14ac:dyDescent="0.25">
      <c r="A945" t="s">
        <v>2254</v>
      </c>
      <c r="B945" t="s">
        <v>917</v>
      </c>
      <c r="C945">
        <v>20</v>
      </c>
      <c r="D945" t="s">
        <v>140</v>
      </c>
      <c r="E945" t="s">
        <v>32</v>
      </c>
      <c r="F945" t="s">
        <v>65</v>
      </c>
      <c r="G945">
        <v>0.65</v>
      </c>
      <c r="H945" t="s">
        <v>53</v>
      </c>
      <c r="I945">
        <v>-15</v>
      </c>
      <c r="J945" t="str">
        <f>HYPERLINK("https://www.eliteprospects.com/player/503983/ethan-ritchie")</f>
        <v>https://www.eliteprospects.com/player/503983/ethan-ritchie</v>
      </c>
      <c r="K945" t="s">
        <v>27</v>
      </c>
      <c r="L945" t="s">
        <v>918</v>
      </c>
      <c r="M945" t="s">
        <v>1296</v>
      </c>
      <c r="N945">
        <v>6</v>
      </c>
      <c r="O945" t="s">
        <v>970</v>
      </c>
      <c r="P945">
        <v>0.08</v>
      </c>
      <c r="Q945" t="s">
        <v>245</v>
      </c>
      <c r="R945">
        <v>0</v>
      </c>
      <c r="S945">
        <v>44.4</v>
      </c>
      <c r="T945">
        <v>33.299999999999997</v>
      </c>
      <c r="U945">
        <v>0</v>
      </c>
      <c r="V945">
        <v>22.2</v>
      </c>
    </row>
    <row r="946" spans="1:22" x14ac:dyDescent="0.25">
      <c r="A946" t="s">
        <v>2255</v>
      </c>
      <c r="B946" t="s">
        <v>1118</v>
      </c>
      <c r="C946">
        <v>18</v>
      </c>
      <c r="D946" t="s">
        <v>260</v>
      </c>
      <c r="E946" t="s">
        <v>23</v>
      </c>
      <c r="F946" t="s">
        <v>65</v>
      </c>
      <c r="G946">
        <v>0.72</v>
      </c>
      <c r="H946" t="s">
        <v>55</v>
      </c>
      <c r="I946">
        <v>-13</v>
      </c>
      <c r="J946" t="str">
        <f>HYPERLINK("https://www.eliteprospects.com/player/201836/blake-heward")</f>
        <v>https://www.eliteprospects.com/player/201836/blake-heward</v>
      </c>
      <c r="K946" t="s">
        <v>27</v>
      </c>
      <c r="L946" t="s">
        <v>918</v>
      </c>
      <c r="M946" t="s">
        <v>1296</v>
      </c>
      <c r="N946">
        <v>4</v>
      </c>
      <c r="O946" t="s">
        <v>978</v>
      </c>
      <c r="P946">
        <v>0.09</v>
      </c>
      <c r="Q946" t="s">
        <v>1325</v>
      </c>
      <c r="R946">
        <v>37.5</v>
      </c>
      <c r="S946">
        <v>25</v>
      </c>
      <c r="T946">
        <v>37.5</v>
      </c>
      <c r="U946">
        <v>0</v>
      </c>
      <c r="V946">
        <v>0</v>
      </c>
    </row>
    <row r="947" spans="1:22" x14ac:dyDescent="0.25">
      <c r="A947" t="s">
        <v>2256</v>
      </c>
      <c r="B947" t="s">
        <v>934</v>
      </c>
      <c r="C947">
        <v>20</v>
      </c>
      <c r="D947" t="s">
        <v>260</v>
      </c>
      <c r="E947" t="s">
        <v>23</v>
      </c>
      <c r="F947" t="s">
        <v>65</v>
      </c>
      <c r="G947">
        <v>0.65</v>
      </c>
      <c r="H947" t="s">
        <v>66</v>
      </c>
      <c r="I947">
        <v>12</v>
      </c>
      <c r="J947" t="str">
        <f>HYPERLINK("https://www.eliteprospects.com/player/530053/justin-nolet")</f>
        <v>https://www.eliteprospects.com/player/530053/justin-nolet</v>
      </c>
      <c r="K947" t="s">
        <v>27</v>
      </c>
      <c r="L947" t="s">
        <v>918</v>
      </c>
      <c r="M947" t="s">
        <v>1296</v>
      </c>
      <c r="N947">
        <v>7</v>
      </c>
      <c r="O947" t="s">
        <v>2257</v>
      </c>
      <c r="P947">
        <v>0.08</v>
      </c>
      <c r="Q947" t="s">
        <v>1325</v>
      </c>
      <c r="R947">
        <v>44.4</v>
      </c>
      <c r="S947">
        <v>11.1</v>
      </c>
      <c r="T947">
        <v>44.4</v>
      </c>
      <c r="U947">
        <v>0</v>
      </c>
      <c r="V947">
        <v>0</v>
      </c>
    </row>
    <row r="948" spans="1:22" x14ac:dyDescent="0.25">
      <c r="A948" t="s">
        <v>2258</v>
      </c>
      <c r="B948" t="s">
        <v>942</v>
      </c>
      <c r="C948">
        <v>18</v>
      </c>
      <c r="D948" t="s">
        <v>132</v>
      </c>
      <c r="E948" t="s">
        <v>65</v>
      </c>
      <c r="F948" t="s">
        <v>65</v>
      </c>
      <c r="G948">
        <v>0.72</v>
      </c>
      <c r="H948" t="s">
        <v>79</v>
      </c>
      <c r="I948">
        <v>0</v>
      </c>
      <c r="J948" t="str">
        <f>HYPERLINK("https://www.eliteprospects.com/player/351631/hunter-donohoe")</f>
        <v>https://www.eliteprospects.com/player/351631/hunter-donohoe</v>
      </c>
      <c r="K948" t="s">
        <v>27</v>
      </c>
      <c r="L948" t="s">
        <v>918</v>
      </c>
      <c r="M948" t="s">
        <v>1296</v>
      </c>
      <c r="N948">
        <v>5</v>
      </c>
      <c r="O948" t="s">
        <v>988</v>
      </c>
      <c r="P948">
        <v>0.09</v>
      </c>
      <c r="Q948" t="s">
        <v>245</v>
      </c>
      <c r="R948">
        <v>14.3</v>
      </c>
      <c r="S948">
        <v>42.9</v>
      </c>
      <c r="T948">
        <v>28.6</v>
      </c>
      <c r="U948">
        <v>0</v>
      </c>
      <c r="V948">
        <v>14.3</v>
      </c>
    </row>
    <row r="949" spans="1:22" x14ac:dyDescent="0.25">
      <c r="A949" t="s">
        <v>2259</v>
      </c>
      <c r="B949" t="s">
        <v>923</v>
      </c>
      <c r="C949">
        <v>14</v>
      </c>
      <c r="D949" t="s">
        <v>57</v>
      </c>
      <c r="E949" t="s">
        <v>57</v>
      </c>
      <c r="F949" t="s">
        <v>23</v>
      </c>
      <c r="G949">
        <v>0.86</v>
      </c>
      <c r="H949" t="s">
        <v>57</v>
      </c>
      <c r="I949">
        <v>12</v>
      </c>
      <c r="J949" t="str">
        <f>HYPERLINK("https://www.eliteprospects.com/player/407565/connor-horning")</f>
        <v>https://www.eliteprospects.com/player/407565/connor-horning</v>
      </c>
      <c r="K949" t="s">
        <v>27</v>
      </c>
      <c r="L949" t="s">
        <v>918</v>
      </c>
      <c r="M949" t="s">
        <v>1296</v>
      </c>
      <c r="N949">
        <v>6</v>
      </c>
      <c r="O949" t="s">
        <v>927</v>
      </c>
      <c r="P949">
        <v>0.11</v>
      </c>
      <c r="Q949" t="s">
        <v>1309</v>
      </c>
      <c r="R949">
        <v>25</v>
      </c>
      <c r="S949">
        <v>25</v>
      </c>
      <c r="T949">
        <v>16.7</v>
      </c>
      <c r="U949">
        <v>8.3000000000000007</v>
      </c>
      <c r="V949">
        <v>25</v>
      </c>
    </row>
    <row r="950" spans="1:22" x14ac:dyDescent="0.25">
      <c r="A950" t="s">
        <v>2260</v>
      </c>
      <c r="B950" t="s">
        <v>998</v>
      </c>
      <c r="C950">
        <v>18</v>
      </c>
      <c r="D950" t="s">
        <v>96</v>
      </c>
      <c r="E950" t="s">
        <v>78</v>
      </c>
      <c r="F950" t="s">
        <v>23</v>
      </c>
      <c r="G950">
        <v>0.67</v>
      </c>
      <c r="H950" t="s">
        <v>66</v>
      </c>
      <c r="I950">
        <v>0</v>
      </c>
      <c r="J950" t="str">
        <f>HYPERLINK("https://www.eliteprospects.com/player/504236/michael-renwick")</f>
        <v>https://www.eliteprospects.com/player/504236/michael-renwick</v>
      </c>
      <c r="K950" t="s">
        <v>27</v>
      </c>
      <c r="L950" t="s">
        <v>918</v>
      </c>
      <c r="M950" t="s">
        <v>1296</v>
      </c>
      <c r="N950">
        <v>7</v>
      </c>
      <c r="O950" t="s">
        <v>919</v>
      </c>
      <c r="P950">
        <v>0.08</v>
      </c>
      <c r="Q950" t="s">
        <v>1300</v>
      </c>
      <c r="R950">
        <v>33.299999999999997</v>
      </c>
      <c r="S950">
        <v>22.2</v>
      </c>
      <c r="T950">
        <v>22.2</v>
      </c>
      <c r="U950">
        <v>11.1</v>
      </c>
      <c r="V950">
        <v>11.1</v>
      </c>
    </row>
    <row r="951" spans="1:22" x14ac:dyDescent="0.25">
      <c r="A951" t="s">
        <v>2261</v>
      </c>
      <c r="B951" t="s">
        <v>977</v>
      </c>
      <c r="C951">
        <v>17</v>
      </c>
      <c r="D951" t="s">
        <v>140</v>
      </c>
      <c r="E951" t="s">
        <v>45</v>
      </c>
      <c r="F951" t="s">
        <v>23</v>
      </c>
      <c r="G951">
        <v>0.71</v>
      </c>
      <c r="H951" t="s">
        <v>79</v>
      </c>
      <c r="I951">
        <v>0</v>
      </c>
      <c r="J951" t="str">
        <f>HYPERLINK("https://www.eliteprospects.com/player/334047/matt-mcnamara")</f>
        <v>https://www.eliteprospects.com/player/334047/matt-mcnamara</v>
      </c>
      <c r="K951" t="s">
        <v>27</v>
      </c>
      <c r="L951" t="s">
        <v>918</v>
      </c>
      <c r="M951" t="s">
        <v>1296</v>
      </c>
      <c r="N951">
        <v>5</v>
      </c>
      <c r="O951" t="s">
        <v>955</v>
      </c>
      <c r="P951">
        <v>0.09</v>
      </c>
      <c r="Q951" t="s">
        <v>245</v>
      </c>
      <c r="R951">
        <v>14.3</v>
      </c>
      <c r="S951">
        <v>42.9</v>
      </c>
      <c r="T951">
        <v>28.6</v>
      </c>
      <c r="U951">
        <v>0</v>
      </c>
      <c r="V951">
        <v>14.3</v>
      </c>
    </row>
    <row r="952" spans="1:22" x14ac:dyDescent="0.25">
      <c r="A952" t="s">
        <v>2262</v>
      </c>
      <c r="B952" t="s">
        <v>1049</v>
      </c>
      <c r="C952">
        <v>18</v>
      </c>
      <c r="D952" t="s">
        <v>140</v>
      </c>
      <c r="E952" t="s">
        <v>45</v>
      </c>
      <c r="F952" t="s">
        <v>23</v>
      </c>
      <c r="G952">
        <v>0.67</v>
      </c>
      <c r="H952" t="s">
        <v>23</v>
      </c>
      <c r="I952">
        <v>-7</v>
      </c>
      <c r="J952" t="str">
        <f>HYPERLINK("https://www.eliteprospects.com/player/483394/lucas-brenton")</f>
        <v>https://www.eliteprospects.com/player/483394/lucas-brenton</v>
      </c>
      <c r="K952" t="s">
        <v>27</v>
      </c>
      <c r="L952" t="s">
        <v>918</v>
      </c>
      <c r="M952" t="s">
        <v>1296</v>
      </c>
      <c r="N952">
        <v>7</v>
      </c>
      <c r="O952" t="s">
        <v>2263</v>
      </c>
      <c r="P952">
        <v>0.08</v>
      </c>
      <c r="Q952" t="s">
        <v>245</v>
      </c>
      <c r="R952">
        <v>0</v>
      </c>
      <c r="S952">
        <v>44.4</v>
      </c>
      <c r="T952">
        <v>33.299999999999997</v>
      </c>
      <c r="U952">
        <v>0</v>
      </c>
      <c r="V952">
        <v>22.2</v>
      </c>
    </row>
    <row r="953" spans="1:22" x14ac:dyDescent="0.25">
      <c r="A953" t="s">
        <v>2264</v>
      </c>
      <c r="B953" t="s">
        <v>926</v>
      </c>
      <c r="C953">
        <v>19</v>
      </c>
      <c r="D953" t="s">
        <v>140</v>
      </c>
      <c r="E953" t="s">
        <v>45</v>
      </c>
      <c r="F953" t="s">
        <v>23</v>
      </c>
      <c r="G953">
        <v>0.63</v>
      </c>
      <c r="H953" t="s">
        <v>26</v>
      </c>
      <c r="I953">
        <v>14</v>
      </c>
      <c r="J953" t="str">
        <f>HYPERLINK("https://www.eliteprospects.com/player/560054/kayden-sadhra-kang")</f>
        <v>https://www.eliteprospects.com/player/560054/kayden-sadhra-kang</v>
      </c>
      <c r="K953" t="s">
        <v>27</v>
      </c>
      <c r="L953" t="s">
        <v>918</v>
      </c>
      <c r="M953" t="s">
        <v>1296</v>
      </c>
      <c r="N953">
        <v>5</v>
      </c>
      <c r="O953" t="s">
        <v>979</v>
      </c>
      <c r="P953">
        <v>0.08</v>
      </c>
      <c r="Q953" t="s">
        <v>1325</v>
      </c>
      <c r="R953">
        <v>44.4</v>
      </c>
      <c r="S953">
        <v>11.1</v>
      </c>
      <c r="T953">
        <v>44.4</v>
      </c>
      <c r="U953">
        <v>0</v>
      </c>
      <c r="V953">
        <v>0</v>
      </c>
    </row>
    <row r="954" spans="1:22" x14ac:dyDescent="0.25">
      <c r="A954" t="s">
        <v>2265</v>
      </c>
      <c r="B954" t="s">
        <v>917</v>
      </c>
      <c r="C954">
        <v>18</v>
      </c>
      <c r="D954" t="s">
        <v>79</v>
      </c>
      <c r="E954" t="s">
        <v>32</v>
      </c>
      <c r="F954" t="s">
        <v>23</v>
      </c>
      <c r="G954">
        <v>0.67</v>
      </c>
      <c r="H954" t="s">
        <v>79</v>
      </c>
      <c r="I954">
        <v>8</v>
      </c>
      <c r="J954" t="str">
        <f>HYPERLINK("https://www.eliteprospects.com/player/485870/connor-olson")</f>
        <v>https://www.eliteprospects.com/player/485870/connor-olson</v>
      </c>
      <c r="K954" t="s">
        <v>27</v>
      </c>
      <c r="L954" t="s">
        <v>918</v>
      </c>
      <c r="M954" t="s">
        <v>1296</v>
      </c>
      <c r="N954">
        <v>5</v>
      </c>
      <c r="O954" t="s">
        <v>973</v>
      </c>
      <c r="P954">
        <v>0.08</v>
      </c>
      <c r="Q954" t="s">
        <v>1325</v>
      </c>
      <c r="R954">
        <v>44.4</v>
      </c>
      <c r="S954">
        <v>11.1</v>
      </c>
      <c r="T954">
        <v>44.4</v>
      </c>
      <c r="U954">
        <v>0</v>
      </c>
      <c r="V954">
        <v>0</v>
      </c>
    </row>
    <row r="955" spans="1:22" x14ac:dyDescent="0.25">
      <c r="A955" t="s">
        <v>2266</v>
      </c>
      <c r="B955" t="s">
        <v>917</v>
      </c>
      <c r="C955">
        <v>20</v>
      </c>
      <c r="D955" t="s">
        <v>79</v>
      </c>
      <c r="E955" t="s">
        <v>32</v>
      </c>
      <c r="F955" t="s">
        <v>23</v>
      </c>
      <c r="G955">
        <v>0.6</v>
      </c>
      <c r="H955" t="s">
        <v>26</v>
      </c>
      <c r="I955">
        <v>3</v>
      </c>
      <c r="J955" t="str">
        <f>HYPERLINK("https://www.eliteprospects.com/player/618658/jacob-holmes")</f>
        <v>https://www.eliteprospects.com/player/618658/jacob-holmes</v>
      </c>
      <c r="K955" t="s">
        <v>27</v>
      </c>
      <c r="L955" t="s">
        <v>918</v>
      </c>
      <c r="M955" t="s">
        <v>1296</v>
      </c>
      <c r="N955">
        <v>7</v>
      </c>
      <c r="O955" t="s">
        <v>948</v>
      </c>
      <c r="P955">
        <v>0.08</v>
      </c>
      <c r="Q955" t="s">
        <v>1325</v>
      </c>
      <c r="R955">
        <v>33.299999999999997</v>
      </c>
      <c r="S955">
        <v>16.7</v>
      </c>
      <c r="T955">
        <v>33.299999999999997</v>
      </c>
      <c r="U955">
        <v>16.7</v>
      </c>
      <c r="V955">
        <v>0</v>
      </c>
    </row>
    <row r="956" spans="1:22" x14ac:dyDescent="0.25">
      <c r="A956" t="s">
        <v>2267</v>
      </c>
      <c r="B956" t="s">
        <v>957</v>
      </c>
      <c r="C956">
        <v>20</v>
      </c>
      <c r="D956" t="s">
        <v>79</v>
      </c>
      <c r="E956" t="s">
        <v>32</v>
      </c>
      <c r="F956" t="s">
        <v>23</v>
      </c>
      <c r="G956">
        <v>0.6</v>
      </c>
      <c r="H956" t="s">
        <v>25</v>
      </c>
      <c r="I956">
        <v>8</v>
      </c>
      <c r="J956" t="str">
        <f>HYPERLINK("https://www.eliteprospects.com/player/559019/keaton-dowhaniuk")</f>
        <v>https://www.eliteprospects.com/player/559019/keaton-dowhaniuk</v>
      </c>
      <c r="K956" t="s">
        <v>27</v>
      </c>
      <c r="L956" t="s">
        <v>918</v>
      </c>
      <c r="M956" t="s">
        <v>1296</v>
      </c>
      <c r="N956">
        <v>7</v>
      </c>
      <c r="O956" t="s">
        <v>2263</v>
      </c>
      <c r="P956">
        <v>0.08</v>
      </c>
      <c r="Q956" t="s">
        <v>1300</v>
      </c>
      <c r="R956">
        <v>42.9</v>
      </c>
      <c r="S956">
        <v>28.6</v>
      </c>
      <c r="T956">
        <v>28.6</v>
      </c>
      <c r="U956">
        <v>0</v>
      </c>
      <c r="V956">
        <v>0</v>
      </c>
    </row>
    <row r="957" spans="1:22" x14ac:dyDescent="0.25">
      <c r="A957" t="s">
        <v>2268</v>
      </c>
      <c r="B957" t="s">
        <v>1020</v>
      </c>
      <c r="C957">
        <v>20</v>
      </c>
      <c r="D957" t="s">
        <v>96</v>
      </c>
      <c r="E957" t="s">
        <v>57</v>
      </c>
      <c r="F957" t="s">
        <v>69</v>
      </c>
      <c r="G957">
        <v>0.55000000000000004</v>
      </c>
      <c r="H957" t="s">
        <v>39</v>
      </c>
      <c r="I957">
        <v>-18</v>
      </c>
      <c r="J957" t="str">
        <f>HYPERLINK("https://www.eliteprospects.com/player/476574/jonathan-krahn")</f>
        <v>https://www.eliteprospects.com/player/476574/jonathan-krahn</v>
      </c>
      <c r="K957" t="s">
        <v>27</v>
      </c>
      <c r="L957" t="s">
        <v>918</v>
      </c>
      <c r="M957" t="s">
        <v>1546</v>
      </c>
      <c r="N957">
        <v>3</v>
      </c>
      <c r="O957" t="s">
        <v>962</v>
      </c>
      <c r="P957">
        <v>7.0000000000000007E-2</v>
      </c>
      <c r="Q957" t="s">
        <v>245</v>
      </c>
      <c r="R957">
        <v>0</v>
      </c>
      <c r="S957">
        <v>44.4</v>
      </c>
      <c r="T957">
        <v>33.299999999999997</v>
      </c>
      <c r="U957">
        <v>0</v>
      </c>
      <c r="V957">
        <v>22.2</v>
      </c>
    </row>
    <row r="958" spans="1:22" x14ac:dyDescent="0.25">
      <c r="A958" t="s">
        <v>2269</v>
      </c>
      <c r="B958" t="s">
        <v>1001</v>
      </c>
      <c r="C958">
        <v>14</v>
      </c>
      <c r="D958" t="s">
        <v>140</v>
      </c>
      <c r="E958" t="s">
        <v>26</v>
      </c>
      <c r="F958" t="s">
        <v>69</v>
      </c>
      <c r="G958">
        <v>0.79</v>
      </c>
      <c r="H958" t="s">
        <v>66</v>
      </c>
      <c r="I958">
        <v>-13</v>
      </c>
      <c r="J958" t="str">
        <f>HYPERLINK("https://www.eliteprospects.com/player/504038/jack-harper")</f>
        <v>https://www.eliteprospects.com/player/504038/jack-harper</v>
      </c>
      <c r="K958" t="s">
        <v>27</v>
      </c>
      <c r="L958" t="s">
        <v>918</v>
      </c>
      <c r="M958" t="s">
        <v>1296</v>
      </c>
      <c r="N958">
        <v>7</v>
      </c>
      <c r="O958" t="s">
        <v>919</v>
      </c>
      <c r="P958">
        <v>0.1</v>
      </c>
      <c r="Q958" t="s">
        <v>1325</v>
      </c>
      <c r="R958">
        <v>37.5</v>
      </c>
      <c r="S958">
        <v>25</v>
      </c>
      <c r="T958">
        <v>37.5</v>
      </c>
      <c r="U958">
        <v>0</v>
      </c>
      <c r="V958">
        <v>0</v>
      </c>
    </row>
    <row r="959" spans="1:22" x14ac:dyDescent="0.25">
      <c r="A959" t="s">
        <v>2270</v>
      </c>
      <c r="B959" t="s">
        <v>1036</v>
      </c>
      <c r="C959">
        <v>19</v>
      </c>
      <c r="D959" t="s">
        <v>140</v>
      </c>
      <c r="E959" t="s">
        <v>26</v>
      </c>
      <c r="F959" t="s">
        <v>69</v>
      </c>
      <c r="G959">
        <v>0.57999999999999996</v>
      </c>
      <c r="H959" t="s">
        <v>32</v>
      </c>
      <c r="I959">
        <v>0</v>
      </c>
      <c r="J959" t="str">
        <f>HYPERLINK("https://www.eliteprospects.com/player/273728/stephen-calisti")</f>
        <v>https://www.eliteprospects.com/player/273728/stephen-calisti</v>
      </c>
      <c r="K959" t="s">
        <v>27</v>
      </c>
      <c r="L959" t="s">
        <v>918</v>
      </c>
      <c r="M959" t="s">
        <v>1296</v>
      </c>
      <c r="N959">
        <v>5</v>
      </c>
      <c r="O959" t="s">
        <v>1237</v>
      </c>
      <c r="P959">
        <v>7.0000000000000007E-2</v>
      </c>
      <c r="Q959" t="s">
        <v>1300</v>
      </c>
      <c r="R959">
        <v>33.299999999999997</v>
      </c>
      <c r="S959">
        <v>22.2</v>
      </c>
      <c r="T959">
        <v>22.2</v>
      </c>
      <c r="U959">
        <v>11.1</v>
      </c>
      <c r="V959">
        <v>11.1</v>
      </c>
    </row>
    <row r="960" spans="1:22" x14ac:dyDescent="0.25">
      <c r="A960" t="s">
        <v>2271</v>
      </c>
      <c r="B960" t="s">
        <v>931</v>
      </c>
      <c r="C960">
        <v>10</v>
      </c>
      <c r="D960" t="s">
        <v>79</v>
      </c>
      <c r="E960" t="s">
        <v>45</v>
      </c>
      <c r="F960" t="s">
        <v>69</v>
      </c>
      <c r="G960">
        <v>1.1000000000000001</v>
      </c>
      <c r="H960" t="s">
        <v>66</v>
      </c>
      <c r="I960">
        <v>5</v>
      </c>
      <c r="J960" t="str">
        <f>HYPERLINK("https://www.eliteprospects.com/player/476695/clay-hanus")</f>
        <v>https://www.eliteprospects.com/player/476695/clay-hanus</v>
      </c>
      <c r="K960" t="s">
        <v>27</v>
      </c>
      <c r="L960" t="s">
        <v>918</v>
      </c>
      <c r="M960" t="s">
        <v>1296</v>
      </c>
      <c r="N960">
        <v>6</v>
      </c>
      <c r="O960" t="s">
        <v>927</v>
      </c>
      <c r="P960">
        <v>0.14000000000000001</v>
      </c>
      <c r="Q960" t="s">
        <v>1300</v>
      </c>
      <c r="R960">
        <v>42.9</v>
      </c>
      <c r="S960">
        <v>14.3</v>
      </c>
      <c r="T960">
        <v>7.1</v>
      </c>
      <c r="U960">
        <v>7.1</v>
      </c>
      <c r="V960">
        <v>28.6</v>
      </c>
    </row>
    <row r="961" spans="1:22" x14ac:dyDescent="0.25">
      <c r="A961" t="s">
        <v>2272</v>
      </c>
      <c r="B961" t="s">
        <v>954</v>
      </c>
      <c r="C961">
        <v>17</v>
      </c>
      <c r="D961" t="s">
        <v>260</v>
      </c>
      <c r="E961" t="s">
        <v>32</v>
      </c>
      <c r="F961" t="s">
        <v>69</v>
      </c>
      <c r="G961">
        <v>0.65</v>
      </c>
      <c r="H961" t="s">
        <v>132</v>
      </c>
      <c r="I961">
        <v>0</v>
      </c>
      <c r="J961" t="str">
        <f>HYPERLINK("https://www.eliteprospects.com/player/648080/nicolas-bilodeau")</f>
        <v>https://www.eliteprospects.com/player/648080/nicolas-bilodeau</v>
      </c>
      <c r="K961" t="s">
        <v>27</v>
      </c>
      <c r="L961" t="s">
        <v>918</v>
      </c>
      <c r="M961" t="s">
        <v>1296</v>
      </c>
      <c r="N961">
        <v>4</v>
      </c>
      <c r="O961" t="s">
        <v>1051</v>
      </c>
      <c r="P961">
        <v>0.08</v>
      </c>
      <c r="Q961" t="s">
        <v>1300</v>
      </c>
      <c r="R961">
        <v>33.299999999999997</v>
      </c>
      <c r="S961">
        <v>22.2</v>
      </c>
      <c r="T961">
        <v>22.2</v>
      </c>
      <c r="U961">
        <v>11.1</v>
      </c>
      <c r="V961">
        <v>11.1</v>
      </c>
    </row>
    <row r="962" spans="1:22" x14ac:dyDescent="0.25">
      <c r="A962" t="s">
        <v>2273</v>
      </c>
      <c r="B962" t="s">
        <v>931</v>
      </c>
      <c r="C962">
        <v>20</v>
      </c>
      <c r="D962" t="s">
        <v>260</v>
      </c>
      <c r="E962" t="s">
        <v>32</v>
      </c>
      <c r="F962" t="s">
        <v>69</v>
      </c>
      <c r="G962">
        <v>0.55000000000000004</v>
      </c>
      <c r="H962" t="s">
        <v>24</v>
      </c>
      <c r="I962">
        <v>20</v>
      </c>
      <c r="J962" t="str">
        <f>HYPERLINK("https://www.eliteprospects.com/player/281933/kyle-walker")</f>
        <v>https://www.eliteprospects.com/player/281933/kyle-walker</v>
      </c>
      <c r="K962" t="s">
        <v>27</v>
      </c>
      <c r="L962" t="s">
        <v>918</v>
      </c>
      <c r="M962" t="s">
        <v>1296</v>
      </c>
      <c r="N962">
        <v>6</v>
      </c>
      <c r="O962" t="s">
        <v>932</v>
      </c>
      <c r="P962">
        <v>7.0000000000000007E-2</v>
      </c>
      <c r="Q962" t="s">
        <v>1325</v>
      </c>
      <c r="R962">
        <v>44.4</v>
      </c>
      <c r="S962">
        <v>11.1</v>
      </c>
      <c r="T962">
        <v>44.4</v>
      </c>
      <c r="U962">
        <v>0</v>
      </c>
      <c r="V962">
        <v>0</v>
      </c>
    </row>
    <row r="963" spans="1:22" x14ac:dyDescent="0.25">
      <c r="A963" t="s">
        <v>2274</v>
      </c>
      <c r="B963" t="s">
        <v>1003</v>
      </c>
      <c r="C963">
        <v>14</v>
      </c>
      <c r="D963" t="s">
        <v>132</v>
      </c>
      <c r="E963" t="s">
        <v>69</v>
      </c>
      <c r="F963" t="s">
        <v>69</v>
      </c>
      <c r="G963">
        <v>0.79</v>
      </c>
      <c r="H963" t="s">
        <v>23</v>
      </c>
      <c r="I963">
        <v>0</v>
      </c>
      <c r="J963" t="str">
        <f>HYPERLINK("https://www.eliteprospects.com/player/295303/antoine-desrochers")</f>
        <v>https://www.eliteprospects.com/player/295303/antoine-desrochers</v>
      </c>
      <c r="K963" t="s">
        <v>27</v>
      </c>
      <c r="L963" t="s">
        <v>918</v>
      </c>
      <c r="M963" t="s">
        <v>1296</v>
      </c>
      <c r="N963">
        <v>6</v>
      </c>
      <c r="O963" t="s">
        <v>921</v>
      </c>
      <c r="P963">
        <v>0.1</v>
      </c>
      <c r="Q963" t="s">
        <v>245</v>
      </c>
      <c r="R963">
        <v>14.3</v>
      </c>
      <c r="S963">
        <v>42.9</v>
      </c>
      <c r="T963">
        <v>28.6</v>
      </c>
      <c r="U963">
        <v>0</v>
      </c>
      <c r="V963">
        <v>14.3</v>
      </c>
    </row>
    <row r="964" spans="1:22" x14ac:dyDescent="0.25">
      <c r="A964" t="s">
        <v>2275</v>
      </c>
      <c r="B964" t="s">
        <v>944</v>
      </c>
      <c r="C964">
        <v>20</v>
      </c>
      <c r="D964" t="s">
        <v>140</v>
      </c>
      <c r="E964" t="s">
        <v>78</v>
      </c>
      <c r="F964" t="s">
        <v>32</v>
      </c>
      <c r="G964">
        <v>0.5</v>
      </c>
      <c r="H964" t="s">
        <v>81</v>
      </c>
      <c r="I964">
        <v>6</v>
      </c>
      <c r="J964" t="str">
        <f>HYPERLINK("https://www.eliteprospects.com/player/272854/denis-toner")</f>
        <v>https://www.eliteprospects.com/player/272854/denis-toner</v>
      </c>
      <c r="K964" t="s">
        <v>27</v>
      </c>
      <c r="L964" t="s">
        <v>918</v>
      </c>
      <c r="M964" t="s">
        <v>1296</v>
      </c>
      <c r="N964">
        <v>5</v>
      </c>
      <c r="O964" t="s">
        <v>945</v>
      </c>
      <c r="P964">
        <v>0.06</v>
      </c>
      <c r="Q964" t="s">
        <v>1325</v>
      </c>
      <c r="R964">
        <v>18.2</v>
      </c>
      <c r="S964">
        <v>9.1</v>
      </c>
      <c r="T964">
        <v>63.6</v>
      </c>
      <c r="U964">
        <v>0</v>
      </c>
      <c r="V964">
        <v>9.1</v>
      </c>
    </row>
    <row r="965" spans="1:22" x14ac:dyDescent="0.25">
      <c r="A965" t="s">
        <v>2276</v>
      </c>
      <c r="B965" t="s">
        <v>1053</v>
      </c>
      <c r="C965">
        <v>17</v>
      </c>
      <c r="D965" t="s">
        <v>79</v>
      </c>
      <c r="E965" t="s">
        <v>26</v>
      </c>
      <c r="F965" t="s">
        <v>32</v>
      </c>
      <c r="G965">
        <v>0.59</v>
      </c>
      <c r="H965" t="s">
        <v>23</v>
      </c>
      <c r="I965">
        <v>0</v>
      </c>
      <c r="J965" t="str">
        <f>HYPERLINK("https://www.eliteprospects.com/player/416979/brandon-mccartney")</f>
        <v>https://www.eliteprospects.com/player/416979/brandon-mccartney</v>
      </c>
      <c r="K965" t="s">
        <v>27</v>
      </c>
      <c r="L965" t="s">
        <v>918</v>
      </c>
      <c r="M965" t="s">
        <v>1296</v>
      </c>
      <c r="N965">
        <v>2</v>
      </c>
      <c r="O965" t="s">
        <v>1021</v>
      </c>
      <c r="P965">
        <v>7.0000000000000007E-2</v>
      </c>
      <c r="Q965" t="s">
        <v>1300</v>
      </c>
      <c r="R965">
        <v>33.299999999999997</v>
      </c>
      <c r="S965">
        <v>22.2</v>
      </c>
      <c r="T965">
        <v>22.2</v>
      </c>
      <c r="U965">
        <v>11.1</v>
      </c>
      <c r="V965">
        <v>11.1</v>
      </c>
    </row>
    <row r="966" spans="1:22" x14ac:dyDescent="0.25">
      <c r="A966" t="s">
        <v>2277</v>
      </c>
      <c r="B966" t="s">
        <v>1001</v>
      </c>
      <c r="C966">
        <v>19</v>
      </c>
      <c r="D966" t="s">
        <v>79</v>
      </c>
      <c r="E966" t="s">
        <v>26</v>
      </c>
      <c r="F966" t="s">
        <v>32</v>
      </c>
      <c r="G966">
        <v>0.53</v>
      </c>
      <c r="H966" t="s">
        <v>518</v>
      </c>
      <c r="I966">
        <v>-27</v>
      </c>
      <c r="J966" t="str">
        <f>HYPERLINK("https://www.eliteprospects.com/player/337757/ethan-martini")</f>
        <v>https://www.eliteprospects.com/player/337757/ethan-martini</v>
      </c>
      <c r="K966" t="s">
        <v>27</v>
      </c>
      <c r="L966" t="s">
        <v>918</v>
      </c>
      <c r="M966" t="s">
        <v>1296</v>
      </c>
      <c r="N966">
        <v>4</v>
      </c>
      <c r="O966" t="s">
        <v>2278</v>
      </c>
      <c r="P966">
        <v>7.0000000000000007E-2</v>
      </c>
      <c r="Q966" t="s">
        <v>245</v>
      </c>
      <c r="R966">
        <v>0</v>
      </c>
      <c r="S966">
        <v>44.4</v>
      </c>
      <c r="T966">
        <v>33.299999999999997</v>
      </c>
      <c r="U966">
        <v>0</v>
      </c>
      <c r="V966">
        <v>22.2</v>
      </c>
    </row>
    <row r="967" spans="1:22" x14ac:dyDescent="0.25">
      <c r="A967" t="s">
        <v>2279</v>
      </c>
      <c r="B967" t="s">
        <v>1032</v>
      </c>
      <c r="C967">
        <v>12</v>
      </c>
      <c r="D967" t="s">
        <v>132</v>
      </c>
      <c r="E967" t="s">
        <v>32</v>
      </c>
      <c r="F967" t="s">
        <v>32</v>
      </c>
      <c r="G967">
        <v>0.83</v>
      </c>
      <c r="H967" t="s">
        <v>39</v>
      </c>
      <c r="I967">
        <v>0</v>
      </c>
      <c r="J967" t="str">
        <f>HYPERLINK("https://www.eliteprospects.com/player/417813/sam-mckinney")</f>
        <v>https://www.eliteprospects.com/player/417813/sam-mckinney</v>
      </c>
      <c r="K967" t="s">
        <v>27</v>
      </c>
      <c r="L967" t="s">
        <v>918</v>
      </c>
      <c r="M967" t="s">
        <v>1296</v>
      </c>
      <c r="N967">
        <v>5</v>
      </c>
      <c r="O967" t="s">
        <v>1094</v>
      </c>
      <c r="P967">
        <v>0.1</v>
      </c>
      <c r="Q967" t="s">
        <v>245</v>
      </c>
      <c r="R967">
        <v>14.3</v>
      </c>
      <c r="S967">
        <v>42.9</v>
      </c>
      <c r="T967">
        <v>28.6</v>
      </c>
      <c r="U967">
        <v>0</v>
      </c>
      <c r="V967">
        <v>14.3</v>
      </c>
    </row>
    <row r="968" spans="1:22" x14ac:dyDescent="0.25">
      <c r="A968" t="s">
        <v>2280</v>
      </c>
      <c r="B968" t="s">
        <v>997</v>
      </c>
      <c r="C968">
        <v>18</v>
      </c>
      <c r="D968" t="s">
        <v>66</v>
      </c>
      <c r="E968" t="s">
        <v>96</v>
      </c>
      <c r="F968" t="s">
        <v>45</v>
      </c>
      <c r="G968">
        <v>0.5</v>
      </c>
      <c r="H968" t="s">
        <v>66</v>
      </c>
      <c r="I968">
        <v>0</v>
      </c>
      <c r="J968" t="str">
        <f>HYPERLINK("https://www.eliteprospects.com/player/499905/xavier-laurent")</f>
        <v>https://www.eliteprospects.com/player/499905/xavier-laurent</v>
      </c>
      <c r="K968" t="s">
        <v>27</v>
      </c>
      <c r="L968" t="s">
        <v>918</v>
      </c>
      <c r="M968" t="s">
        <v>1296</v>
      </c>
      <c r="N968">
        <v>1</v>
      </c>
      <c r="O968" t="s">
        <v>984</v>
      </c>
      <c r="P968">
        <v>0.06</v>
      </c>
      <c r="Q968" t="s">
        <v>1300</v>
      </c>
      <c r="R968">
        <v>37.5</v>
      </c>
      <c r="S968">
        <v>37.5</v>
      </c>
      <c r="T968">
        <v>0</v>
      </c>
      <c r="U968">
        <v>12.5</v>
      </c>
      <c r="V968">
        <v>12.5</v>
      </c>
    </row>
    <row r="969" spans="1:22" x14ac:dyDescent="0.25">
      <c r="A969" t="s">
        <v>2281</v>
      </c>
      <c r="B969" t="s">
        <v>917</v>
      </c>
      <c r="C969">
        <v>14</v>
      </c>
      <c r="D969" t="s">
        <v>140</v>
      </c>
      <c r="E969" t="s">
        <v>57</v>
      </c>
      <c r="F969" t="s">
        <v>45</v>
      </c>
      <c r="G969">
        <v>0.64</v>
      </c>
      <c r="H969" t="s">
        <v>66</v>
      </c>
      <c r="I969">
        <v>5</v>
      </c>
      <c r="J969" t="str">
        <f>HYPERLINK("https://www.eliteprospects.com/player/563418/ryan-hopkins")</f>
        <v>https://www.eliteprospects.com/player/563418/ryan-hopkins</v>
      </c>
      <c r="K969" t="s">
        <v>27</v>
      </c>
      <c r="L969" t="s">
        <v>918</v>
      </c>
      <c r="M969" t="s">
        <v>1296</v>
      </c>
      <c r="N969">
        <v>2</v>
      </c>
      <c r="O969" t="s">
        <v>1076</v>
      </c>
      <c r="P969">
        <v>0.08</v>
      </c>
      <c r="Q969" t="s">
        <v>1300</v>
      </c>
      <c r="R969">
        <v>42.9</v>
      </c>
      <c r="S969">
        <v>28.6</v>
      </c>
      <c r="T969">
        <v>28.6</v>
      </c>
      <c r="U969">
        <v>0</v>
      </c>
      <c r="V969">
        <v>0</v>
      </c>
    </row>
    <row r="970" spans="1:22" x14ac:dyDescent="0.25">
      <c r="A970" t="s">
        <v>2282</v>
      </c>
      <c r="B970" t="s">
        <v>1015</v>
      </c>
      <c r="C970">
        <v>14</v>
      </c>
      <c r="D970" t="s">
        <v>140</v>
      </c>
      <c r="E970" t="s">
        <v>57</v>
      </c>
      <c r="F970" t="s">
        <v>45</v>
      </c>
      <c r="G970">
        <v>0.64</v>
      </c>
      <c r="H970" t="s">
        <v>24</v>
      </c>
      <c r="I970">
        <v>5</v>
      </c>
      <c r="J970" t="str">
        <f>HYPERLINK("https://www.eliteprospects.com/player/422105/mason-ward")</f>
        <v>https://www.eliteprospects.com/player/422105/mason-ward</v>
      </c>
      <c r="K970" t="s">
        <v>27</v>
      </c>
      <c r="L970" t="s">
        <v>918</v>
      </c>
      <c r="M970" t="s">
        <v>1296</v>
      </c>
      <c r="N970">
        <v>6</v>
      </c>
      <c r="O970" t="s">
        <v>924</v>
      </c>
      <c r="P970">
        <v>0.08</v>
      </c>
      <c r="Q970" t="s">
        <v>1300</v>
      </c>
      <c r="R970">
        <v>42.9</v>
      </c>
      <c r="S970">
        <v>28.6</v>
      </c>
      <c r="T970">
        <v>28.6</v>
      </c>
      <c r="U970">
        <v>0</v>
      </c>
      <c r="V970">
        <v>0</v>
      </c>
    </row>
    <row r="971" spans="1:22" x14ac:dyDescent="0.25">
      <c r="A971" t="s">
        <v>2283</v>
      </c>
      <c r="B971" t="s">
        <v>944</v>
      </c>
      <c r="C971">
        <v>20</v>
      </c>
      <c r="D971" t="s">
        <v>140</v>
      </c>
      <c r="E971" t="s">
        <v>57</v>
      </c>
      <c r="F971" t="s">
        <v>45</v>
      </c>
      <c r="G971">
        <v>0.45</v>
      </c>
      <c r="H971" t="s">
        <v>32</v>
      </c>
      <c r="I971">
        <v>10</v>
      </c>
      <c r="J971" t="str">
        <f>HYPERLINK("https://www.eliteprospects.com/player/410533/thomas-pelletier")</f>
        <v>https://www.eliteprospects.com/player/410533/thomas-pelletier</v>
      </c>
      <c r="K971" t="s">
        <v>27</v>
      </c>
      <c r="L971" t="s">
        <v>918</v>
      </c>
      <c r="M971" t="s">
        <v>1296</v>
      </c>
      <c r="N971">
        <v>6</v>
      </c>
      <c r="O971" t="s">
        <v>937</v>
      </c>
      <c r="P971">
        <v>0.06</v>
      </c>
      <c r="Q971" t="s">
        <v>1309</v>
      </c>
      <c r="R971">
        <v>14.3</v>
      </c>
      <c r="S971">
        <v>28.6</v>
      </c>
      <c r="T971">
        <v>28.6</v>
      </c>
      <c r="U971">
        <v>0</v>
      </c>
      <c r="V971">
        <v>28.6</v>
      </c>
    </row>
    <row r="972" spans="1:22" x14ac:dyDescent="0.25">
      <c r="A972" t="s">
        <v>2284</v>
      </c>
      <c r="B972" t="s">
        <v>972</v>
      </c>
      <c r="C972">
        <v>18</v>
      </c>
      <c r="D972" t="s">
        <v>79</v>
      </c>
      <c r="E972" t="s">
        <v>78</v>
      </c>
      <c r="F972" t="s">
        <v>45</v>
      </c>
      <c r="G972">
        <v>0.5</v>
      </c>
      <c r="H972" t="s">
        <v>178</v>
      </c>
      <c r="I972">
        <v>0</v>
      </c>
      <c r="J972" t="str">
        <f>HYPERLINK("https://www.eliteprospects.com/player/723099/naaman-hofer")</f>
        <v>https://www.eliteprospects.com/player/723099/naaman-hofer</v>
      </c>
      <c r="K972" t="s">
        <v>27</v>
      </c>
      <c r="L972" t="s">
        <v>918</v>
      </c>
      <c r="M972" t="s">
        <v>1296</v>
      </c>
      <c r="N972">
        <v>1</v>
      </c>
      <c r="O972" t="s">
        <v>984</v>
      </c>
      <c r="P972">
        <v>0.06</v>
      </c>
      <c r="Q972" t="s">
        <v>1300</v>
      </c>
      <c r="R972">
        <v>37.5</v>
      </c>
      <c r="S972">
        <v>37.5</v>
      </c>
      <c r="T972">
        <v>0</v>
      </c>
      <c r="U972">
        <v>12.5</v>
      </c>
      <c r="V972">
        <v>12.5</v>
      </c>
    </row>
    <row r="973" spans="1:22" x14ac:dyDescent="0.25">
      <c r="A973" t="s">
        <v>2285</v>
      </c>
      <c r="B973" t="s">
        <v>1011</v>
      </c>
      <c r="C973">
        <v>20</v>
      </c>
      <c r="D973" t="s">
        <v>79</v>
      </c>
      <c r="E973" t="s">
        <v>78</v>
      </c>
      <c r="F973" t="s">
        <v>45</v>
      </c>
      <c r="G973">
        <v>0.45</v>
      </c>
      <c r="H973" t="s">
        <v>23</v>
      </c>
      <c r="I973">
        <v>-6</v>
      </c>
      <c r="J973" t="str">
        <f>HYPERLINK("https://www.eliteprospects.com/player/413065/raegan-wiles")</f>
        <v>https://www.eliteprospects.com/player/413065/raegan-wiles</v>
      </c>
      <c r="K973" t="s">
        <v>27</v>
      </c>
      <c r="L973" t="s">
        <v>918</v>
      </c>
      <c r="M973" t="s">
        <v>1296</v>
      </c>
      <c r="N973">
        <v>6</v>
      </c>
      <c r="O973" t="s">
        <v>924</v>
      </c>
      <c r="P973">
        <v>0.06</v>
      </c>
      <c r="Q973" t="s">
        <v>1309</v>
      </c>
      <c r="R973">
        <v>0</v>
      </c>
      <c r="S973">
        <v>20</v>
      </c>
      <c r="T973">
        <v>40</v>
      </c>
      <c r="U973">
        <v>0</v>
      </c>
      <c r="V973">
        <v>40</v>
      </c>
    </row>
    <row r="974" spans="1:22" x14ac:dyDescent="0.25">
      <c r="A974" t="s">
        <v>2286</v>
      </c>
      <c r="B974" t="s">
        <v>926</v>
      </c>
      <c r="C974">
        <v>20</v>
      </c>
      <c r="D974" t="s">
        <v>79</v>
      </c>
      <c r="E974" t="s">
        <v>78</v>
      </c>
      <c r="F974" t="s">
        <v>45</v>
      </c>
      <c r="G974">
        <v>0.45</v>
      </c>
      <c r="H974" t="s">
        <v>39</v>
      </c>
      <c r="I974">
        <v>6</v>
      </c>
      <c r="J974" t="str">
        <f>HYPERLINK("https://www.eliteprospects.com/player/477388/alex-serraglio")</f>
        <v>https://www.eliteprospects.com/player/477388/alex-serraglio</v>
      </c>
      <c r="K974" t="s">
        <v>27</v>
      </c>
      <c r="L974" t="s">
        <v>918</v>
      </c>
      <c r="M974" t="s">
        <v>1296</v>
      </c>
      <c r="N974">
        <v>5</v>
      </c>
      <c r="O974" t="s">
        <v>979</v>
      </c>
      <c r="P974">
        <v>0.06</v>
      </c>
      <c r="Q974" t="s">
        <v>1325</v>
      </c>
      <c r="R974">
        <v>18.2</v>
      </c>
      <c r="S974">
        <v>9.1</v>
      </c>
      <c r="T974">
        <v>63.6</v>
      </c>
      <c r="U974">
        <v>0</v>
      </c>
      <c r="V974">
        <v>9.1</v>
      </c>
    </row>
    <row r="975" spans="1:22" x14ac:dyDescent="0.25">
      <c r="A975" t="s">
        <v>2287</v>
      </c>
      <c r="B975" t="s">
        <v>991</v>
      </c>
      <c r="C975">
        <v>18</v>
      </c>
      <c r="D975" t="s">
        <v>260</v>
      </c>
      <c r="E975" t="s">
        <v>26</v>
      </c>
      <c r="F975" t="s">
        <v>45</v>
      </c>
      <c r="G975">
        <v>0.5</v>
      </c>
      <c r="H975" t="s">
        <v>26</v>
      </c>
      <c r="I975">
        <v>0</v>
      </c>
      <c r="J975" t="str">
        <f>HYPERLINK("https://www.eliteprospects.com/player/657570/alexis-beaulac")</f>
        <v>https://www.eliteprospects.com/player/657570/alexis-beaulac</v>
      </c>
      <c r="K975" t="s">
        <v>27</v>
      </c>
      <c r="L975" t="s">
        <v>918</v>
      </c>
      <c r="M975" t="s">
        <v>1296</v>
      </c>
      <c r="N975">
        <v>3</v>
      </c>
      <c r="O975" t="s">
        <v>1002</v>
      </c>
      <c r="P975">
        <v>0.06</v>
      </c>
      <c r="Q975" t="s">
        <v>1300</v>
      </c>
      <c r="R975">
        <v>37.5</v>
      </c>
      <c r="S975">
        <v>37.5</v>
      </c>
      <c r="T975">
        <v>0</v>
      </c>
      <c r="U975">
        <v>12.5</v>
      </c>
      <c r="V975">
        <v>12.5</v>
      </c>
    </row>
    <row r="976" spans="1:22" x14ac:dyDescent="0.25">
      <c r="A976" t="s">
        <v>2288</v>
      </c>
      <c r="B976" t="s">
        <v>966</v>
      </c>
      <c r="C976">
        <v>18</v>
      </c>
      <c r="D976" t="s">
        <v>132</v>
      </c>
      <c r="E976" t="s">
        <v>45</v>
      </c>
      <c r="F976" t="s">
        <v>45</v>
      </c>
      <c r="G976">
        <v>0.5</v>
      </c>
      <c r="H976" t="s">
        <v>47</v>
      </c>
      <c r="I976">
        <v>8</v>
      </c>
      <c r="J976" t="str">
        <f>HYPERLINK("https://www.eliteprospects.com/player/390207/cameron-whynot")</f>
        <v>https://www.eliteprospects.com/player/390207/cameron-whynot</v>
      </c>
      <c r="K976" t="s">
        <v>27</v>
      </c>
      <c r="L976" t="s">
        <v>918</v>
      </c>
      <c r="M976" t="s">
        <v>1296</v>
      </c>
      <c r="N976">
        <v>6</v>
      </c>
      <c r="O976" t="s">
        <v>921</v>
      </c>
      <c r="P976">
        <v>0.06</v>
      </c>
      <c r="Q976" t="s">
        <v>1309</v>
      </c>
      <c r="R976">
        <v>14.3</v>
      </c>
      <c r="S976">
        <v>28.6</v>
      </c>
      <c r="T976">
        <v>28.6</v>
      </c>
      <c r="U976">
        <v>0</v>
      </c>
      <c r="V976">
        <v>28.6</v>
      </c>
    </row>
    <row r="977" spans="1:22" x14ac:dyDescent="0.25">
      <c r="A977" t="s">
        <v>2289</v>
      </c>
      <c r="B977" t="s">
        <v>966</v>
      </c>
      <c r="C977">
        <v>18</v>
      </c>
      <c r="D977" t="s">
        <v>140</v>
      </c>
      <c r="E977" t="s">
        <v>96</v>
      </c>
      <c r="F977" t="s">
        <v>26</v>
      </c>
      <c r="G977">
        <v>0.44</v>
      </c>
      <c r="H977" t="s">
        <v>111</v>
      </c>
      <c r="I977">
        <v>-1</v>
      </c>
      <c r="J977" t="str">
        <f>HYPERLINK("https://www.eliteprospects.com/player/424303/brendan-tomilson")</f>
        <v>https://www.eliteprospects.com/player/424303/brendan-tomilson</v>
      </c>
      <c r="K977" t="s">
        <v>27</v>
      </c>
      <c r="L977" t="s">
        <v>918</v>
      </c>
      <c r="M977" t="s">
        <v>1296</v>
      </c>
      <c r="N977">
        <v>5</v>
      </c>
      <c r="O977" t="s">
        <v>973</v>
      </c>
      <c r="P977">
        <v>0.06</v>
      </c>
      <c r="Q977" t="s">
        <v>1300</v>
      </c>
      <c r="R977">
        <v>37.5</v>
      </c>
      <c r="S977">
        <v>37.5</v>
      </c>
      <c r="T977">
        <v>0</v>
      </c>
      <c r="U977">
        <v>12.5</v>
      </c>
      <c r="V977">
        <v>12.5</v>
      </c>
    </row>
    <row r="978" spans="1:22" x14ac:dyDescent="0.25">
      <c r="A978" t="s">
        <v>2290</v>
      </c>
      <c r="B978" t="s">
        <v>1015</v>
      </c>
      <c r="C978">
        <v>18</v>
      </c>
      <c r="D978" t="s">
        <v>79</v>
      </c>
      <c r="E978" t="s">
        <v>57</v>
      </c>
      <c r="F978" t="s">
        <v>26</v>
      </c>
      <c r="G978">
        <v>0.44</v>
      </c>
      <c r="H978" t="s">
        <v>79</v>
      </c>
      <c r="I978">
        <v>2</v>
      </c>
      <c r="J978" t="str">
        <f>HYPERLINK("https://www.eliteprospects.com/player/475614/blake-gustafson")</f>
        <v>https://www.eliteprospects.com/player/475614/blake-gustafson</v>
      </c>
      <c r="K978" t="s">
        <v>27</v>
      </c>
      <c r="L978" t="s">
        <v>918</v>
      </c>
      <c r="M978" t="s">
        <v>1296</v>
      </c>
      <c r="N978">
        <v>6</v>
      </c>
      <c r="O978" t="s">
        <v>924</v>
      </c>
      <c r="P978">
        <v>0.06</v>
      </c>
      <c r="Q978" t="s">
        <v>1300</v>
      </c>
      <c r="R978">
        <v>57.1</v>
      </c>
      <c r="S978">
        <v>28.6</v>
      </c>
      <c r="T978">
        <v>0</v>
      </c>
      <c r="U978">
        <v>14.3</v>
      </c>
      <c r="V978">
        <v>0</v>
      </c>
    </row>
    <row r="979" spans="1:22" x14ac:dyDescent="0.25">
      <c r="A979" t="s">
        <v>2291</v>
      </c>
      <c r="B979" t="s">
        <v>1038</v>
      </c>
      <c r="C979">
        <v>18</v>
      </c>
      <c r="D979" t="s">
        <v>79</v>
      </c>
      <c r="E979" t="s">
        <v>57</v>
      </c>
      <c r="F979" t="s">
        <v>26</v>
      </c>
      <c r="G979">
        <v>0.44</v>
      </c>
      <c r="H979" t="s">
        <v>40</v>
      </c>
      <c r="I979">
        <v>0</v>
      </c>
      <c r="J979" t="str">
        <f>HYPERLINK("https://www.eliteprospects.com/player/408223/aiden-reeves")</f>
        <v>https://www.eliteprospects.com/player/408223/aiden-reeves</v>
      </c>
      <c r="K979" t="s">
        <v>27</v>
      </c>
      <c r="L979" t="s">
        <v>918</v>
      </c>
      <c r="M979" t="s">
        <v>1296</v>
      </c>
      <c r="N979">
        <v>5</v>
      </c>
      <c r="O979" t="s">
        <v>2292</v>
      </c>
      <c r="P979">
        <v>0.06</v>
      </c>
      <c r="Q979" t="s">
        <v>1300</v>
      </c>
      <c r="R979">
        <v>37.5</v>
      </c>
      <c r="S979">
        <v>37.5</v>
      </c>
      <c r="T979">
        <v>0</v>
      </c>
      <c r="U979">
        <v>12.5</v>
      </c>
      <c r="V979">
        <v>12.5</v>
      </c>
    </row>
    <row r="980" spans="1:22" x14ac:dyDescent="0.25">
      <c r="A980" t="s">
        <v>2293</v>
      </c>
      <c r="B980" t="s">
        <v>934</v>
      </c>
      <c r="C980">
        <v>18</v>
      </c>
      <c r="D980" t="s">
        <v>79</v>
      </c>
      <c r="E980" t="s">
        <v>57</v>
      </c>
      <c r="F980" t="s">
        <v>26</v>
      </c>
      <c r="G980">
        <v>0.44</v>
      </c>
      <c r="H980" t="s">
        <v>277</v>
      </c>
      <c r="I980">
        <v>1</v>
      </c>
      <c r="J980" t="str">
        <f>HYPERLINK("https://www.eliteprospects.com/player/416856/colton-kamerrer")</f>
        <v>https://www.eliteprospects.com/player/416856/colton-kamerrer</v>
      </c>
      <c r="K980" t="s">
        <v>27</v>
      </c>
      <c r="L980" t="s">
        <v>918</v>
      </c>
      <c r="M980" t="s">
        <v>1296</v>
      </c>
      <c r="N980">
        <v>5</v>
      </c>
      <c r="O980" t="s">
        <v>935</v>
      </c>
      <c r="P980">
        <v>0.06</v>
      </c>
      <c r="Q980" t="s">
        <v>1300</v>
      </c>
      <c r="R980">
        <v>57.1</v>
      </c>
      <c r="S980">
        <v>28.6</v>
      </c>
      <c r="T980">
        <v>0</v>
      </c>
      <c r="U980">
        <v>14.3</v>
      </c>
      <c r="V980">
        <v>0</v>
      </c>
    </row>
    <row r="981" spans="1:22" x14ac:dyDescent="0.25">
      <c r="A981" t="s">
        <v>2294</v>
      </c>
      <c r="B981" t="s">
        <v>986</v>
      </c>
      <c r="C981">
        <v>18</v>
      </c>
      <c r="D981" t="s">
        <v>132</v>
      </c>
      <c r="E981" t="s">
        <v>26</v>
      </c>
      <c r="F981" t="s">
        <v>26</v>
      </c>
      <c r="G981">
        <v>0.44</v>
      </c>
      <c r="H981" t="s">
        <v>32</v>
      </c>
      <c r="I981">
        <v>0</v>
      </c>
      <c r="J981" t="str">
        <f>HYPERLINK("https://www.eliteprospects.com/player/648960/kai-stothers")</f>
        <v>https://www.eliteprospects.com/player/648960/kai-stothers</v>
      </c>
      <c r="K981" t="s">
        <v>27</v>
      </c>
      <c r="L981" t="s">
        <v>918</v>
      </c>
      <c r="M981" t="s">
        <v>1296</v>
      </c>
      <c r="N981">
        <v>1</v>
      </c>
      <c r="O981" t="s">
        <v>984</v>
      </c>
      <c r="P981">
        <v>0.06</v>
      </c>
      <c r="Q981" t="s">
        <v>1300</v>
      </c>
      <c r="R981">
        <v>37.5</v>
      </c>
      <c r="S981">
        <v>37.5</v>
      </c>
      <c r="T981">
        <v>0</v>
      </c>
      <c r="U981">
        <v>12.5</v>
      </c>
      <c r="V981">
        <v>12.5</v>
      </c>
    </row>
    <row r="982" spans="1:22" x14ac:dyDescent="0.25">
      <c r="A982" t="s">
        <v>2295</v>
      </c>
      <c r="B982" t="s">
        <v>923</v>
      </c>
      <c r="C982">
        <v>18</v>
      </c>
      <c r="D982" t="s">
        <v>132</v>
      </c>
      <c r="E982" t="s">
        <v>26</v>
      </c>
      <c r="F982" t="s">
        <v>26</v>
      </c>
      <c r="G982">
        <v>0.44</v>
      </c>
      <c r="H982" t="s">
        <v>55</v>
      </c>
      <c r="I982">
        <v>13</v>
      </c>
      <c r="J982" t="str">
        <f>HYPERLINK("https://www.eliteprospects.com/player/477347/dylan-anderson")</f>
        <v>https://www.eliteprospects.com/player/477347/dylan-anderson</v>
      </c>
      <c r="K982" t="s">
        <v>27</v>
      </c>
      <c r="L982" t="s">
        <v>918</v>
      </c>
      <c r="M982" t="s">
        <v>1296</v>
      </c>
      <c r="N982">
        <v>6</v>
      </c>
      <c r="O982" t="s">
        <v>924</v>
      </c>
      <c r="P982">
        <v>0.06</v>
      </c>
      <c r="Q982" t="s">
        <v>1309</v>
      </c>
      <c r="R982">
        <v>14.3</v>
      </c>
      <c r="S982">
        <v>28.6</v>
      </c>
      <c r="T982">
        <v>28.6</v>
      </c>
      <c r="U982">
        <v>0</v>
      </c>
      <c r="V982">
        <v>28.6</v>
      </c>
    </row>
    <row r="983" spans="1:22" x14ac:dyDescent="0.25">
      <c r="A983" t="s">
        <v>2296</v>
      </c>
      <c r="B983" t="s">
        <v>959</v>
      </c>
      <c r="C983">
        <v>18</v>
      </c>
      <c r="D983" t="s">
        <v>140</v>
      </c>
      <c r="E983" t="s">
        <v>66</v>
      </c>
      <c r="F983" t="s">
        <v>78</v>
      </c>
      <c r="G983">
        <v>0.39</v>
      </c>
      <c r="H983" t="s">
        <v>57</v>
      </c>
      <c r="I983">
        <v>0</v>
      </c>
      <c r="J983" t="str">
        <f>HYPERLINK("https://www.eliteprospects.com/player/503997/alex-blanchard")</f>
        <v>https://www.eliteprospects.com/player/503997/alex-blanchard</v>
      </c>
      <c r="K983" t="s">
        <v>27</v>
      </c>
      <c r="L983" t="s">
        <v>918</v>
      </c>
      <c r="M983" t="s">
        <v>1296</v>
      </c>
      <c r="N983">
        <v>5</v>
      </c>
      <c r="O983" t="s">
        <v>973</v>
      </c>
      <c r="P983">
        <v>0.05</v>
      </c>
      <c r="Q983" t="s">
        <v>1300</v>
      </c>
      <c r="R983">
        <v>37.5</v>
      </c>
      <c r="S983">
        <v>37.5</v>
      </c>
      <c r="T983">
        <v>0</v>
      </c>
      <c r="U983">
        <v>12.5</v>
      </c>
      <c r="V983">
        <v>12.5</v>
      </c>
    </row>
    <row r="984" spans="1:22" x14ac:dyDescent="0.25">
      <c r="A984" t="s">
        <v>2297</v>
      </c>
      <c r="B984" t="s">
        <v>957</v>
      </c>
      <c r="C984">
        <v>11</v>
      </c>
      <c r="D984" t="s">
        <v>79</v>
      </c>
      <c r="E984" t="s">
        <v>96</v>
      </c>
      <c r="F984" t="s">
        <v>78</v>
      </c>
      <c r="G984">
        <v>0.64</v>
      </c>
      <c r="H984" t="s">
        <v>57</v>
      </c>
      <c r="I984">
        <v>8</v>
      </c>
      <c r="J984" t="str">
        <f>HYPERLINK("https://www.eliteprospects.com/player/505704/brody-tallman")</f>
        <v>https://www.eliteprospects.com/player/505704/brody-tallman</v>
      </c>
      <c r="K984" t="s">
        <v>27</v>
      </c>
      <c r="L984" t="s">
        <v>918</v>
      </c>
      <c r="M984" t="s">
        <v>1296</v>
      </c>
      <c r="N984">
        <v>3</v>
      </c>
      <c r="O984" t="s">
        <v>2298</v>
      </c>
      <c r="P984">
        <v>0.08</v>
      </c>
      <c r="Q984" t="s">
        <v>1325</v>
      </c>
      <c r="R984">
        <v>44.4</v>
      </c>
      <c r="S984">
        <v>11.1</v>
      </c>
      <c r="T984">
        <v>44.4</v>
      </c>
      <c r="U984">
        <v>0</v>
      </c>
      <c r="V984">
        <v>0</v>
      </c>
    </row>
    <row r="985" spans="1:22" x14ac:dyDescent="0.25">
      <c r="A985" t="s">
        <v>2299</v>
      </c>
      <c r="B985" t="s">
        <v>1036</v>
      </c>
      <c r="C985">
        <v>13</v>
      </c>
      <c r="D985" t="s">
        <v>79</v>
      </c>
      <c r="E985" t="s">
        <v>96</v>
      </c>
      <c r="F985" t="s">
        <v>78</v>
      </c>
      <c r="G985">
        <v>0.54</v>
      </c>
      <c r="H985" t="s">
        <v>23</v>
      </c>
      <c r="I985">
        <v>0</v>
      </c>
      <c r="J985" t="str">
        <f>HYPERLINK("https://www.eliteprospects.com/player/351181/rylan-thiessen")</f>
        <v>https://www.eliteprospects.com/player/351181/rylan-thiessen</v>
      </c>
      <c r="K985" t="s">
        <v>27</v>
      </c>
      <c r="L985" t="s">
        <v>918</v>
      </c>
      <c r="M985" t="s">
        <v>1296</v>
      </c>
      <c r="N985">
        <v>6</v>
      </c>
      <c r="O985" t="s">
        <v>927</v>
      </c>
      <c r="P985">
        <v>7.0000000000000007E-2</v>
      </c>
      <c r="Q985" t="s">
        <v>1300</v>
      </c>
      <c r="R985">
        <v>33.299999999999997</v>
      </c>
      <c r="S985">
        <v>22.2</v>
      </c>
      <c r="T985">
        <v>22.2</v>
      </c>
      <c r="U985">
        <v>11.1</v>
      </c>
      <c r="V985">
        <v>11.1</v>
      </c>
    </row>
    <row r="986" spans="1:22" x14ac:dyDescent="0.25">
      <c r="A986" t="s">
        <v>2300</v>
      </c>
      <c r="B986" t="s">
        <v>929</v>
      </c>
      <c r="C986">
        <v>14</v>
      </c>
      <c r="D986" t="s">
        <v>79</v>
      </c>
      <c r="E986" t="s">
        <v>96</v>
      </c>
      <c r="F986" t="s">
        <v>78</v>
      </c>
      <c r="G986">
        <v>0.5</v>
      </c>
      <c r="H986" t="s">
        <v>60</v>
      </c>
      <c r="I986">
        <v>14</v>
      </c>
      <c r="J986" t="str">
        <f>HYPERLINK("https://www.eliteprospects.com/player/505195/derek-pys")</f>
        <v>https://www.eliteprospects.com/player/505195/derek-pys</v>
      </c>
      <c r="K986" t="s">
        <v>27</v>
      </c>
      <c r="L986" t="s">
        <v>918</v>
      </c>
      <c r="M986" t="s">
        <v>1296</v>
      </c>
      <c r="N986">
        <v>2</v>
      </c>
      <c r="O986" t="s">
        <v>1076</v>
      </c>
      <c r="P986">
        <v>0.06</v>
      </c>
      <c r="Q986" t="s">
        <v>1309</v>
      </c>
      <c r="R986">
        <v>14.3</v>
      </c>
      <c r="S986">
        <v>28.6</v>
      </c>
      <c r="T986">
        <v>28.6</v>
      </c>
      <c r="U986">
        <v>0</v>
      </c>
      <c r="V986">
        <v>28.6</v>
      </c>
    </row>
    <row r="987" spans="1:22" x14ac:dyDescent="0.25">
      <c r="A987" t="s">
        <v>2301</v>
      </c>
      <c r="B987" t="s">
        <v>972</v>
      </c>
      <c r="C987">
        <v>16</v>
      </c>
      <c r="D987" t="s">
        <v>79</v>
      </c>
      <c r="E987" t="s">
        <v>96</v>
      </c>
      <c r="F987" t="s">
        <v>78</v>
      </c>
      <c r="G987">
        <v>0.44</v>
      </c>
      <c r="H987" t="s">
        <v>66</v>
      </c>
      <c r="I987">
        <v>0</v>
      </c>
      <c r="J987" t="str">
        <f>HYPERLINK("https://www.eliteprospects.com/player/564866/jack-cook")</f>
        <v>https://www.eliteprospects.com/player/564866/jack-cook</v>
      </c>
      <c r="K987" t="s">
        <v>27</v>
      </c>
      <c r="L987" t="s">
        <v>918</v>
      </c>
      <c r="M987" t="s">
        <v>1296</v>
      </c>
      <c r="N987">
        <v>1</v>
      </c>
      <c r="O987" t="s">
        <v>984</v>
      </c>
      <c r="P987">
        <v>0.06</v>
      </c>
      <c r="Q987" t="s">
        <v>1300</v>
      </c>
      <c r="R987">
        <v>37.5</v>
      </c>
      <c r="S987">
        <v>37.5</v>
      </c>
      <c r="T987">
        <v>0</v>
      </c>
      <c r="U987">
        <v>12.5</v>
      </c>
      <c r="V987">
        <v>12.5</v>
      </c>
    </row>
    <row r="988" spans="1:22" x14ac:dyDescent="0.25">
      <c r="A988" t="s">
        <v>2302</v>
      </c>
      <c r="B988" t="s">
        <v>1038</v>
      </c>
      <c r="C988">
        <v>17</v>
      </c>
      <c r="D988" t="s">
        <v>79</v>
      </c>
      <c r="E988" t="s">
        <v>96</v>
      </c>
      <c r="F988" t="s">
        <v>78</v>
      </c>
      <c r="G988">
        <v>0.41</v>
      </c>
      <c r="H988" t="s">
        <v>26</v>
      </c>
      <c r="I988">
        <v>0</v>
      </c>
      <c r="J988" t="str">
        <f>HYPERLINK("https://www.eliteprospects.com/player/505279/thomas-gangl")</f>
        <v>https://www.eliteprospects.com/player/505279/thomas-gangl</v>
      </c>
      <c r="K988" t="s">
        <v>27</v>
      </c>
      <c r="L988" t="s">
        <v>918</v>
      </c>
      <c r="M988" t="s">
        <v>1296</v>
      </c>
      <c r="N988">
        <v>3</v>
      </c>
      <c r="O988" t="s">
        <v>1039</v>
      </c>
      <c r="P988">
        <v>0.05</v>
      </c>
      <c r="Q988" t="s">
        <v>1300</v>
      </c>
      <c r="R988">
        <v>37.5</v>
      </c>
      <c r="S988">
        <v>37.5</v>
      </c>
      <c r="T988">
        <v>0</v>
      </c>
      <c r="U988">
        <v>12.5</v>
      </c>
      <c r="V988">
        <v>12.5</v>
      </c>
    </row>
    <row r="989" spans="1:22" x14ac:dyDescent="0.25">
      <c r="A989" t="s">
        <v>2303</v>
      </c>
      <c r="B989" t="s">
        <v>972</v>
      </c>
      <c r="C989">
        <v>18</v>
      </c>
      <c r="D989" t="s">
        <v>79</v>
      </c>
      <c r="E989" t="s">
        <v>96</v>
      </c>
      <c r="F989" t="s">
        <v>78</v>
      </c>
      <c r="G989">
        <v>0.39</v>
      </c>
      <c r="H989" t="s">
        <v>132</v>
      </c>
      <c r="I989">
        <v>0</v>
      </c>
      <c r="J989" t="str">
        <f>HYPERLINK("https://www.eliteprospects.com/player/582483/wil-murphy")</f>
        <v>https://www.eliteprospects.com/player/582483/wil-murphy</v>
      </c>
      <c r="K989" t="s">
        <v>27</v>
      </c>
      <c r="L989" t="s">
        <v>918</v>
      </c>
      <c r="M989" t="s">
        <v>1296</v>
      </c>
      <c r="N989">
        <v>1</v>
      </c>
      <c r="O989" t="s">
        <v>984</v>
      </c>
      <c r="P989">
        <v>0.05</v>
      </c>
      <c r="Q989" t="s">
        <v>1300</v>
      </c>
      <c r="R989">
        <v>37.5</v>
      </c>
      <c r="S989">
        <v>37.5</v>
      </c>
      <c r="T989">
        <v>0</v>
      </c>
      <c r="U989">
        <v>12.5</v>
      </c>
      <c r="V989">
        <v>12.5</v>
      </c>
    </row>
    <row r="990" spans="1:22" x14ac:dyDescent="0.25">
      <c r="A990" t="s">
        <v>2304</v>
      </c>
      <c r="B990" t="s">
        <v>929</v>
      </c>
      <c r="C990">
        <v>20</v>
      </c>
      <c r="D990" t="s">
        <v>79</v>
      </c>
      <c r="E990" t="s">
        <v>96</v>
      </c>
      <c r="F990" t="s">
        <v>78</v>
      </c>
      <c r="G990">
        <v>0.35</v>
      </c>
      <c r="H990" t="s">
        <v>26</v>
      </c>
      <c r="I990">
        <v>9</v>
      </c>
      <c r="J990" t="str">
        <f>HYPERLINK("https://www.eliteprospects.com/player/405927/cole-larkin")</f>
        <v>https://www.eliteprospects.com/player/405927/cole-larkin</v>
      </c>
      <c r="K990" t="s">
        <v>27</v>
      </c>
      <c r="L990" t="s">
        <v>918</v>
      </c>
      <c r="M990" t="s">
        <v>1296</v>
      </c>
      <c r="N990">
        <v>6</v>
      </c>
      <c r="O990" t="s">
        <v>921</v>
      </c>
      <c r="P990">
        <v>0.04</v>
      </c>
      <c r="Q990" t="s">
        <v>1488</v>
      </c>
      <c r="R990">
        <v>0</v>
      </c>
      <c r="S990">
        <v>0</v>
      </c>
      <c r="T990">
        <v>0</v>
      </c>
      <c r="U990">
        <v>0</v>
      </c>
      <c r="V990">
        <v>0</v>
      </c>
    </row>
    <row r="991" spans="1:22" x14ac:dyDescent="0.25">
      <c r="A991" t="s">
        <v>2305</v>
      </c>
      <c r="B991" t="s">
        <v>957</v>
      </c>
      <c r="C991">
        <v>20</v>
      </c>
      <c r="D991" t="s">
        <v>79</v>
      </c>
      <c r="E991" t="s">
        <v>96</v>
      </c>
      <c r="F991" t="s">
        <v>78</v>
      </c>
      <c r="G991">
        <v>0.35</v>
      </c>
      <c r="H991" t="s">
        <v>23</v>
      </c>
      <c r="I991">
        <v>-7</v>
      </c>
      <c r="J991" t="str">
        <f>HYPERLINK("https://www.eliteprospects.com/player/413478/brett-bamber")</f>
        <v>https://www.eliteprospects.com/player/413478/brett-bamber</v>
      </c>
      <c r="K991" t="s">
        <v>27</v>
      </c>
      <c r="L991" t="s">
        <v>918</v>
      </c>
      <c r="M991" t="s">
        <v>1296</v>
      </c>
      <c r="N991">
        <v>4</v>
      </c>
      <c r="O991" t="s">
        <v>1150</v>
      </c>
      <c r="P991">
        <v>0.04</v>
      </c>
      <c r="Q991" t="s">
        <v>1488</v>
      </c>
      <c r="R991">
        <v>0</v>
      </c>
      <c r="S991">
        <v>0</v>
      </c>
      <c r="T991">
        <v>0</v>
      </c>
      <c r="U991">
        <v>0</v>
      </c>
      <c r="V991">
        <v>0</v>
      </c>
    </row>
    <row r="992" spans="1:22" x14ac:dyDescent="0.25">
      <c r="A992" t="s">
        <v>2306</v>
      </c>
      <c r="B992" t="s">
        <v>966</v>
      </c>
      <c r="C992">
        <v>20</v>
      </c>
      <c r="D992" t="s">
        <v>79</v>
      </c>
      <c r="E992" t="s">
        <v>96</v>
      </c>
      <c r="F992" t="s">
        <v>78</v>
      </c>
      <c r="G992">
        <v>0.35</v>
      </c>
      <c r="H992" t="s">
        <v>24</v>
      </c>
      <c r="I992">
        <v>-3</v>
      </c>
      <c r="J992" t="str">
        <f>HYPERLINK("https://www.eliteprospects.com/player/492236/conor-shortall")</f>
        <v>https://www.eliteprospects.com/player/492236/conor-shortall</v>
      </c>
      <c r="K992" t="s">
        <v>27</v>
      </c>
      <c r="L992" t="s">
        <v>918</v>
      </c>
      <c r="M992" t="s">
        <v>1296</v>
      </c>
      <c r="N992">
        <v>5</v>
      </c>
      <c r="O992" t="s">
        <v>930</v>
      </c>
      <c r="P992">
        <v>0.04</v>
      </c>
      <c r="Q992" t="s">
        <v>1488</v>
      </c>
      <c r="R992">
        <v>0</v>
      </c>
      <c r="S992">
        <v>0</v>
      </c>
      <c r="T992">
        <v>0</v>
      </c>
      <c r="U992">
        <v>0</v>
      </c>
      <c r="V992">
        <v>0</v>
      </c>
    </row>
    <row r="993" spans="1:22" x14ac:dyDescent="0.25">
      <c r="A993" t="s">
        <v>2307</v>
      </c>
      <c r="B993" t="s">
        <v>961</v>
      </c>
      <c r="C993">
        <v>12</v>
      </c>
      <c r="D993" t="s">
        <v>260</v>
      </c>
      <c r="E993" t="s">
        <v>57</v>
      </c>
      <c r="F993" t="s">
        <v>78</v>
      </c>
      <c r="G993">
        <v>0.57999999999999996</v>
      </c>
      <c r="H993" t="s">
        <v>125</v>
      </c>
      <c r="I993">
        <v>0</v>
      </c>
      <c r="J993" t="str">
        <f>HYPERLINK("https://www.eliteprospects.com/player/620344/shawn-ramsey")</f>
        <v>https://www.eliteprospects.com/player/620344/shawn-ramsey</v>
      </c>
      <c r="K993" t="s">
        <v>27</v>
      </c>
      <c r="L993" t="s">
        <v>918</v>
      </c>
      <c r="M993" t="s">
        <v>1296</v>
      </c>
      <c r="N993">
        <v>2</v>
      </c>
      <c r="O993" t="s">
        <v>1076</v>
      </c>
      <c r="P993">
        <v>7.0000000000000007E-2</v>
      </c>
      <c r="Q993" t="s">
        <v>1300</v>
      </c>
      <c r="R993">
        <v>33.299999999999997</v>
      </c>
      <c r="S993">
        <v>22.2</v>
      </c>
      <c r="T993">
        <v>22.2</v>
      </c>
      <c r="U993">
        <v>11.1</v>
      </c>
      <c r="V993">
        <v>11.1</v>
      </c>
    </row>
    <row r="994" spans="1:22" x14ac:dyDescent="0.25">
      <c r="A994" t="s">
        <v>2308</v>
      </c>
      <c r="B994" t="s">
        <v>954</v>
      </c>
      <c r="C994">
        <v>13</v>
      </c>
      <c r="D994" t="s">
        <v>260</v>
      </c>
      <c r="E994" t="s">
        <v>57</v>
      </c>
      <c r="F994" t="s">
        <v>78</v>
      </c>
      <c r="G994">
        <v>0.54</v>
      </c>
      <c r="H994" t="s">
        <v>23</v>
      </c>
      <c r="I994">
        <v>0</v>
      </c>
      <c r="J994" t="str">
        <f>HYPERLINK("https://www.eliteprospects.com/player/355487/peter-stratis")</f>
        <v>https://www.eliteprospects.com/player/355487/peter-stratis</v>
      </c>
      <c r="K994" t="s">
        <v>27</v>
      </c>
      <c r="L994" t="s">
        <v>918</v>
      </c>
      <c r="M994" t="s">
        <v>1296</v>
      </c>
      <c r="N994">
        <v>5</v>
      </c>
      <c r="O994" t="s">
        <v>955</v>
      </c>
      <c r="P994">
        <v>7.0000000000000007E-2</v>
      </c>
      <c r="Q994" t="s">
        <v>1300</v>
      </c>
      <c r="R994">
        <v>33.299999999999997</v>
      </c>
      <c r="S994">
        <v>22.2</v>
      </c>
      <c r="T994">
        <v>22.2</v>
      </c>
      <c r="U994">
        <v>11.1</v>
      </c>
      <c r="V994">
        <v>11.1</v>
      </c>
    </row>
    <row r="995" spans="1:22" x14ac:dyDescent="0.25">
      <c r="A995" t="s">
        <v>2309</v>
      </c>
      <c r="B995" t="s">
        <v>1032</v>
      </c>
      <c r="C995">
        <v>15</v>
      </c>
      <c r="D995" t="s">
        <v>260</v>
      </c>
      <c r="E995" t="s">
        <v>57</v>
      </c>
      <c r="F995" t="s">
        <v>78</v>
      </c>
      <c r="G995">
        <v>0.47</v>
      </c>
      <c r="H995" t="s">
        <v>57</v>
      </c>
      <c r="I995">
        <v>0</v>
      </c>
      <c r="J995" t="str">
        <f>HYPERLINK("https://www.eliteprospects.com/player/342195/brendan-bays")</f>
        <v>https://www.eliteprospects.com/player/342195/brendan-bays</v>
      </c>
      <c r="K995" t="s">
        <v>27</v>
      </c>
      <c r="L995" t="s">
        <v>918</v>
      </c>
      <c r="M995" t="s">
        <v>1296</v>
      </c>
      <c r="N995">
        <v>4</v>
      </c>
      <c r="O995" t="s">
        <v>1192</v>
      </c>
      <c r="P995">
        <v>0.06</v>
      </c>
      <c r="Q995" t="s">
        <v>1300</v>
      </c>
      <c r="R995">
        <v>37.5</v>
      </c>
      <c r="S995">
        <v>37.5</v>
      </c>
      <c r="T995">
        <v>0</v>
      </c>
      <c r="U995">
        <v>12.5</v>
      </c>
      <c r="V995">
        <v>12.5</v>
      </c>
    </row>
    <row r="996" spans="1:22" x14ac:dyDescent="0.25">
      <c r="A996" t="s">
        <v>2310</v>
      </c>
      <c r="B996" t="s">
        <v>939</v>
      </c>
      <c r="C996">
        <v>16</v>
      </c>
      <c r="D996" t="s">
        <v>260</v>
      </c>
      <c r="E996" t="s">
        <v>57</v>
      </c>
      <c r="F996" t="s">
        <v>78</v>
      </c>
      <c r="G996">
        <v>0.44</v>
      </c>
      <c r="H996" t="s">
        <v>79</v>
      </c>
      <c r="I996">
        <v>12</v>
      </c>
      <c r="J996" t="str">
        <f>HYPERLINK("https://www.eliteprospects.com/player/486494/logan-bairos")</f>
        <v>https://www.eliteprospects.com/player/486494/logan-bairos</v>
      </c>
      <c r="K996" t="s">
        <v>27</v>
      </c>
      <c r="L996" t="s">
        <v>918</v>
      </c>
      <c r="M996" t="s">
        <v>1296</v>
      </c>
      <c r="N996">
        <v>6</v>
      </c>
      <c r="O996" t="s">
        <v>950</v>
      </c>
      <c r="P996">
        <v>0.06</v>
      </c>
      <c r="Q996" t="s">
        <v>1309</v>
      </c>
      <c r="R996">
        <v>14.3</v>
      </c>
      <c r="S996">
        <v>28.6</v>
      </c>
      <c r="T996">
        <v>28.6</v>
      </c>
      <c r="U996">
        <v>0</v>
      </c>
      <c r="V996">
        <v>28.6</v>
      </c>
    </row>
    <row r="997" spans="1:22" x14ac:dyDescent="0.25">
      <c r="A997" t="s">
        <v>2311</v>
      </c>
      <c r="B997" t="s">
        <v>944</v>
      </c>
      <c r="C997">
        <v>18</v>
      </c>
      <c r="D997" t="s">
        <v>260</v>
      </c>
      <c r="E997" t="s">
        <v>57</v>
      </c>
      <c r="F997" t="s">
        <v>78</v>
      </c>
      <c r="G997">
        <v>0.39</v>
      </c>
      <c r="H997" t="s">
        <v>55</v>
      </c>
      <c r="I997">
        <v>4</v>
      </c>
      <c r="J997" t="str">
        <f>HYPERLINK("https://www.eliteprospects.com/player/559042/simon-maltais")</f>
        <v>https://www.eliteprospects.com/player/559042/simon-maltais</v>
      </c>
      <c r="K997" t="s">
        <v>27</v>
      </c>
      <c r="L997" t="s">
        <v>918</v>
      </c>
      <c r="M997" t="s">
        <v>1296</v>
      </c>
      <c r="N997">
        <v>5</v>
      </c>
      <c r="O997" t="s">
        <v>930</v>
      </c>
      <c r="P997">
        <v>0.05</v>
      </c>
      <c r="Q997" t="s">
        <v>1325</v>
      </c>
      <c r="R997">
        <v>18.2</v>
      </c>
      <c r="S997">
        <v>9.1</v>
      </c>
      <c r="T997">
        <v>63.6</v>
      </c>
      <c r="U997">
        <v>0</v>
      </c>
      <c r="V997">
        <v>9.1</v>
      </c>
    </row>
    <row r="998" spans="1:22" x14ac:dyDescent="0.25">
      <c r="A998" t="s">
        <v>2312</v>
      </c>
      <c r="B998" t="s">
        <v>1003</v>
      </c>
      <c r="C998">
        <v>18</v>
      </c>
      <c r="D998" t="s">
        <v>260</v>
      </c>
      <c r="E998" t="s">
        <v>57</v>
      </c>
      <c r="F998" t="s">
        <v>78</v>
      </c>
      <c r="G998">
        <v>0.39</v>
      </c>
      <c r="H998" t="s">
        <v>178</v>
      </c>
      <c r="I998">
        <v>0</v>
      </c>
      <c r="J998" t="str">
        <f>HYPERLINK("https://www.eliteprospects.com/player/295309/jeremy-michaud")</f>
        <v>https://www.eliteprospects.com/player/295309/jeremy-michaud</v>
      </c>
      <c r="K998" t="s">
        <v>27</v>
      </c>
      <c r="L998" t="s">
        <v>918</v>
      </c>
      <c r="M998" t="s">
        <v>1296</v>
      </c>
      <c r="N998">
        <v>6</v>
      </c>
      <c r="O998" t="s">
        <v>937</v>
      </c>
      <c r="P998">
        <v>0.05</v>
      </c>
      <c r="Q998" t="s">
        <v>1300</v>
      </c>
      <c r="R998">
        <v>37.5</v>
      </c>
      <c r="S998">
        <v>37.5</v>
      </c>
      <c r="T998">
        <v>0</v>
      </c>
      <c r="U998">
        <v>12.5</v>
      </c>
      <c r="V998">
        <v>12.5</v>
      </c>
    </row>
    <row r="999" spans="1:22" x14ac:dyDescent="0.25">
      <c r="A999" t="s">
        <v>2313</v>
      </c>
      <c r="B999" t="s">
        <v>990</v>
      </c>
      <c r="C999">
        <v>19</v>
      </c>
      <c r="D999" t="s">
        <v>260</v>
      </c>
      <c r="E999" t="s">
        <v>57</v>
      </c>
      <c r="F999" t="s">
        <v>78</v>
      </c>
      <c r="G999">
        <v>0.37</v>
      </c>
      <c r="H999" t="s">
        <v>125</v>
      </c>
      <c r="I999">
        <v>0</v>
      </c>
      <c r="J999" t="str">
        <f>HYPERLINK("https://www.eliteprospects.com/player/413014/loris-rafanomezantsoa")</f>
        <v>https://www.eliteprospects.com/player/413014/loris-rafanomezantsoa</v>
      </c>
      <c r="K999" t="s">
        <v>27</v>
      </c>
      <c r="L999" t="s">
        <v>918</v>
      </c>
      <c r="M999" t="s">
        <v>1296</v>
      </c>
      <c r="N999">
        <v>6</v>
      </c>
      <c r="O999" t="s">
        <v>921</v>
      </c>
      <c r="P999">
        <v>0.05</v>
      </c>
      <c r="Q999" t="s">
        <v>1300</v>
      </c>
      <c r="R999">
        <v>37.5</v>
      </c>
      <c r="S999">
        <v>37.5</v>
      </c>
      <c r="T999">
        <v>0</v>
      </c>
      <c r="U999">
        <v>12.5</v>
      </c>
      <c r="V999">
        <v>12.5</v>
      </c>
    </row>
    <row r="1000" spans="1:22" x14ac:dyDescent="0.25">
      <c r="A1000" t="s">
        <v>2314</v>
      </c>
      <c r="B1000" t="s">
        <v>1020</v>
      </c>
      <c r="C1000">
        <v>20</v>
      </c>
      <c r="D1000" t="s">
        <v>260</v>
      </c>
      <c r="E1000" t="s">
        <v>57</v>
      </c>
      <c r="F1000" t="s">
        <v>78</v>
      </c>
      <c r="G1000">
        <v>0.35</v>
      </c>
      <c r="H1000" t="s">
        <v>32</v>
      </c>
      <c r="I1000">
        <v>-21</v>
      </c>
      <c r="J1000" t="str">
        <f>HYPERLINK("https://www.eliteprospects.com/player/580567/zack-whittaker")</f>
        <v>https://www.eliteprospects.com/player/580567/zack-whittaker</v>
      </c>
      <c r="K1000" t="s">
        <v>27</v>
      </c>
      <c r="L1000" t="s">
        <v>918</v>
      </c>
      <c r="M1000" t="s">
        <v>1296</v>
      </c>
      <c r="N1000">
        <v>1</v>
      </c>
      <c r="O1000" t="s">
        <v>984</v>
      </c>
      <c r="P1000">
        <v>0.04</v>
      </c>
      <c r="Q1000" t="s">
        <v>1488</v>
      </c>
      <c r="R1000">
        <v>0</v>
      </c>
      <c r="S1000">
        <v>0</v>
      </c>
      <c r="T1000">
        <v>0</v>
      </c>
      <c r="U1000">
        <v>0</v>
      </c>
      <c r="V1000">
        <v>0</v>
      </c>
    </row>
    <row r="1001" spans="1:22" x14ac:dyDescent="0.25">
      <c r="A1001" t="s">
        <v>2315</v>
      </c>
      <c r="B1001" t="s">
        <v>939</v>
      </c>
      <c r="C1001">
        <v>12</v>
      </c>
      <c r="D1001" t="s">
        <v>132</v>
      </c>
      <c r="E1001" t="s">
        <v>78</v>
      </c>
      <c r="F1001" t="s">
        <v>78</v>
      </c>
      <c r="G1001">
        <v>0.57999999999999996</v>
      </c>
      <c r="H1001" t="s">
        <v>23</v>
      </c>
      <c r="I1001">
        <v>16</v>
      </c>
      <c r="J1001" t="str">
        <f>HYPERLINK("https://www.eliteprospects.com/player/571045/ben-saunderson")</f>
        <v>https://www.eliteprospects.com/player/571045/ben-saunderson</v>
      </c>
      <c r="K1001" t="s">
        <v>27</v>
      </c>
      <c r="L1001" t="s">
        <v>918</v>
      </c>
      <c r="M1001" t="s">
        <v>1296</v>
      </c>
      <c r="N1001">
        <v>6</v>
      </c>
      <c r="O1001" t="s">
        <v>950</v>
      </c>
      <c r="P1001">
        <v>7.0000000000000007E-2</v>
      </c>
      <c r="Q1001" t="s">
        <v>1325</v>
      </c>
      <c r="R1001">
        <v>44.4</v>
      </c>
      <c r="S1001">
        <v>11.1</v>
      </c>
      <c r="T1001">
        <v>44.4</v>
      </c>
      <c r="U1001">
        <v>0</v>
      </c>
      <c r="V1001">
        <v>0</v>
      </c>
    </row>
    <row r="1002" spans="1:22" x14ac:dyDescent="0.25">
      <c r="A1002" t="s">
        <v>2316</v>
      </c>
      <c r="B1002" t="s">
        <v>947</v>
      </c>
      <c r="C1002">
        <v>16</v>
      </c>
      <c r="D1002" t="s">
        <v>132</v>
      </c>
      <c r="E1002" t="s">
        <v>78</v>
      </c>
      <c r="F1002" t="s">
        <v>78</v>
      </c>
      <c r="G1002">
        <v>0.44</v>
      </c>
      <c r="H1002" t="s">
        <v>38</v>
      </c>
      <c r="I1002">
        <v>0</v>
      </c>
      <c r="J1002" t="str">
        <f>HYPERLINK("https://www.eliteprospects.com/player/418525/duncan-penman")</f>
        <v>https://www.eliteprospects.com/player/418525/duncan-penman</v>
      </c>
      <c r="K1002" t="s">
        <v>27</v>
      </c>
      <c r="L1002" t="s">
        <v>918</v>
      </c>
      <c r="M1002" t="s">
        <v>1296</v>
      </c>
      <c r="N1002">
        <v>5</v>
      </c>
      <c r="O1002" t="s">
        <v>955</v>
      </c>
      <c r="P1002">
        <v>0.06</v>
      </c>
      <c r="Q1002" t="s">
        <v>1300</v>
      </c>
      <c r="R1002">
        <v>37.5</v>
      </c>
      <c r="S1002">
        <v>37.5</v>
      </c>
      <c r="T1002">
        <v>0</v>
      </c>
      <c r="U1002">
        <v>12.5</v>
      </c>
      <c r="V1002">
        <v>12.5</v>
      </c>
    </row>
    <row r="1003" spans="1:22" x14ac:dyDescent="0.25">
      <c r="A1003" t="s">
        <v>2317</v>
      </c>
      <c r="B1003" t="s">
        <v>986</v>
      </c>
      <c r="C1003">
        <v>18</v>
      </c>
      <c r="D1003" t="s">
        <v>132</v>
      </c>
      <c r="E1003" t="s">
        <v>78</v>
      </c>
      <c r="F1003" t="s">
        <v>78</v>
      </c>
      <c r="G1003">
        <v>0.39</v>
      </c>
      <c r="H1003" t="s">
        <v>79</v>
      </c>
      <c r="I1003">
        <v>0</v>
      </c>
      <c r="J1003" t="str">
        <f>HYPERLINK("https://www.eliteprospects.com/player/475244/josh-kavanagh")</f>
        <v>https://www.eliteprospects.com/player/475244/josh-kavanagh</v>
      </c>
      <c r="K1003" t="s">
        <v>27</v>
      </c>
      <c r="L1003" t="s">
        <v>918</v>
      </c>
      <c r="M1003" t="s">
        <v>1296</v>
      </c>
      <c r="N1003">
        <v>5</v>
      </c>
      <c r="O1003" t="s">
        <v>1008</v>
      </c>
      <c r="P1003">
        <v>0.05</v>
      </c>
      <c r="Q1003" t="s">
        <v>1300</v>
      </c>
      <c r="R1003">
        <v>37.5</v>
      </c>
      <c r="S1003">
        <v>37.5</v>
      </c>
      <c r="T1003">
        <v>0</v>
      </c>
      <c r="U1003">
        <v>12.5</v>
      </c>
      <c r="V1003">
        <v>12.5</v>
      </c>
    </row>
    <row r="1004" spans="1:22" x14ac:dyDescent="0.25">
      <c r="A1004" t="s">
        <v>2318</v>
      </c>
      <c r="B1004" t="s">
        <v>1084</v>
      </c>
      <c r="C1004">
        <v>19</v>
      </c>
      <c r="D1004" t="s">
        <v>132</v>
      </c>
      <c r="E1004" t="s">
        <v>78</v>
      </c>
      <c r="F1004" t="s">
        <v>78</v>
      </c>
      <c r="G1004">
        <v>0.37</v>
      </c>
      <c r="H1004" t="s">
        <v>66</v>
      </c>
      <c r="I1004">
        <v>0</v>
      </c>
      <c r="J1004" t="str">
        <f>HYPERLINK("https://www.eliteprospects.com/player/201793/dell-welton")</f>
        <v>https://www.eliteprospects.com/player/201793/dell-welton</v>
      </c>
      <c r="K1004" t="s">
        <v>27</v>
      </c>
      <c r="L1004" t="s">
        <v>918</v>
      </c>
      <c r="M1004" t="s">
        <v>1296</v>
      </c>
      <c r="N1004">
        <v>3</v>
      </c>
      <c r="O1004" t="s">
        <v>1160</v>
      </c>
      <c r="P1004">
        <v>0.05</v>
      </c>
      <c r="Q1004" t="s">
        <v>1300</v>
      </c>
      <c r="R1004">
        <v>37.5</v>
      </c>
      <c r="S1004">
        <v>37.5</v>
      </c>
      <c r="T1004">
        <v>0</v>
      </c>
      <c r="U1004">
        <v>12.5</v>
      </c>
      <c r="V1004">
        <v>12.5</v>
      </c>
    </row>
    <row r="1005" spans="1:22" x14ac:dyDescent="0.25">
      <c r="A1005" t="s">
        <v>2319</v>
      </c>
      <c r="B1005" t="s">
        <v>990</v>
      </c>
      <c r="C1005">
        <v>19</v>
      </c>
      <c r="D1005" t="s">
        <v>132</v>
      </c>
      <c r="E1005" t="s">
        <v>78</v>
      </c>
      <c r="F1005" t="s">
        <v>78</v>
      </c>
      <c r="G1005">
        <v>0.37</v>
      </c>
      <c r="H1005" t="s">
        <v>57</v>
      </c>
      <c r="I1005">
        <v>0</v>
      </c>
      <c r="J1005" t="str">
        <f>HYPERLINK("https://www.eliteprospects.com/player/677987/christophe-rondeau")</f>
        <v>https://www.eliteprospects.com/player/677987/christophe-rondeau</v>
      </c>
      <c r="K1005" t="s">
        <v>27</v>
      </c>
      <c r="L1005" t="s">
        <v>918</v>
      </c>
      <c r="M1005" t="s">
        <v>1296</v>
      </c>
      <c r="N1005">
        <v>5</v>
      </c>
      <c r="O1005" t="s">
        <v>930</v>
      </c>
      <c r="P1005">
        <v>0.05</v>
      </c>
      <c r="Q1005" t="s">
        <v>1300</v>
      </c>
      <c r="R1005">
        <v>37.5</v>
      </c>
      <c r="S1005">
        <v>37.5</v>
      </c>
      <c r="T1005">
        <v>0</v>
      </c>
      <c r="U1005">
        <v>12.5</v>
      </c>
      <c r="V1005">
        <v>12.5</v>
      </c>
    </row>
    <row r="1006" spans="1:22" x14ac:dyDescent="0.25">
      <c r="A1006" t="s">
        <v>2320</v>
      </c>
      <c r="B1006" t="s">
        <v>1005</v>
      </c>
      <c r="C1006">
        <v>18</v>
      </c>
      <c r="D1006" t="s">
        <v>66</v>
      </c>
      <c r="E1006" t="s">
        <v>79</v>
      </c>
      <c r="F1006" t="s">
        <v>57</v>
      </c>
      <c r="G1006">
        <v>0.33</v>
      </c>
      <c r="H1006" t="s">
        <v>40</v>
      </c>
      <c r="I1006">
        <v>0</v>
      </c>
      <c r="J1006" t="str">
        <f>HYPERLINK("https://www.eliteprospects.com/player/294744/braeden-virtue")</f>
        <v>https://www.eliteprospects.com/player/294744/braeden-virtue</v>
      </c>
      <c r="K1006" t="s">
        <v>27</v>
      </c>
      <c r="L1006" t="s">
        <v>918</v>
      </c>
      <c r="M1006" t="s">
        <v>1296</v>
      </c>
      <c r="N1006">
        <v>5</v>
      </c>
      <c r="O1006" t="s">
        <v>973</v>
      </c>
      <c r="P1006">
        <v>0.04</v>
      </c>
      <c r="Q1006" t="s">
        <v>1488</v>
      </c>
      <c r="R1006">
        <v>0</v>
      </c>
      <c r="S1006">
        <v>0</v>
      </c>
      <c r="T1006">
        <v>0</v>
      </c>
      <c r="U1006">
        <v>0</v>
      </c>
      <c r="V1006">
        <v>0</v>
      </c>
    </row>
    <row r="1007" spans="1:22" x14ac:dyDescent="0.25">
      <c r="A1007" t="s">
        <v>2321</v>
      </c>
      <c r="B1007" t="s">
        <v>966</v>
      </c>
      <c r="C1007">
        <v>18</v>
      </c>
      <c r="D1007" t="s">
        <v>140</v>
      </c>
      <c r="E1007" t="s">
        <v>140</v>
      </c>
      <c r="F1007" t="s">
        <v>57</v>
      </c>
      <c r="G1007">
        <v>0.33</v>
      </c>
      <c r="H1007" t="s">
        <v>53</v>
      </c>
      <c r="I1007">
        <v>3</v>
      </c>
      <c r="J1007" t="str">
        <f>HYPERLINK("https://www.eliteprospects.com/player/475175/keagan-slaney")</f>
        <v>https://www.eliteprospects.com/player/475175/keagan-slaney</v>
      </c>
      <c r="K1007" t="s">
        <v>27</v>
      </c>
      <c r="L1007" t="s">
        <v>918</v>
      </c>
      <c r="M1007" t="s">
        <v>1296</v>
      </c>
      <c r="N1007">
        <v>6</v>
      </c>
      <c r="O1007" t="s">
        <v>950</v>
      </c>
      <c r="P1007">
        <v>0.04</v>
      </c>
      <c r="Q1007" t="s">
        <v>1488</v>
      </c>
      <c r="R1007">
        <v>0</v>
      </c>
      <c r="S1007">
        <v>0</v>
      </c>
      <c r="T1007">
        <v>0</v>
      </c>
      <c r="U1007">
        <v>0</v>
      </c>
      <c r="V1007">
        <v>0</v>
      </c>
    </row>
    <row r="1008" spans="1:22" x14ac:dyDescent="0.25">
      <c r="A1008" t="s">
        <v>2322</v>
      </c>
      <c r="B1008" t="s">
        <v>931</v>
      </c>
      <c r="C1008">
        <v>14</v>
      </c>
      <c r="D1008" t="s">
        <v>79</v>
      </c>
      <c r="E1008" t="s">
        <v>66</v>
      </c>
      <c r="F1008" t="s">
        <v>57</v>
      </c>
      <c r="G1008">
        <v>0.43</v>
      </c>
      <c r="H1008" t="s">
        <v>32</v>
      </c>
      <c r="I1008">
        <v>11</v>
      </c>
      <c r="J1008" t="str">
        <f>HYPERLINK("https://www.eliteprospects.com/player/581035/layton-feist")</f>
        <v>https://www.eliteprospects.com/player/581035/layton-feist</v>
      </c>
      <c r="K1008" t="s">
        <v>27</v>
      </c>
      <c r="L1008" t="s">
        <v>918</v>
      </c>
      <c r="M1008" t="s">
        <v>1296</v>
      </c>
      <c r="N1008">
        <v>7</v>
      </c>
      <c r="O1008" t="s">
        <v>2263</v>
      </c>
      <c r="P1008">
        <v>0.05</v>
      </c>
      <c r="Q1008" t="s">
        <v>1309</v>
      </c>
      <c r="R1008">
        <v>14.3</v>
      </c>
      <c r="S1008">
        <v>28.6</v>
      </c>
      <c r="T1008">
        <v>28.6</v>
      </c>
      <c r="U1008">
        <v>0</v>
      </c>
      <c r="V1008">
        <v>28.6</v>
      </c>
    </row>
    <row r="1009" spans="1:22" x14ac:dyDescent="0.25">
      <c r="A1009" t="s">
        <v>2323</v>
      </c>
      <c r="B1009" t="s">
        <v>998</v>
      </c>
      <c r="C1009">
        <v>18</v>
      </c>
      <c r="D1009" t="s">
        <v>79</v>
      </c>
      <c r="E1009" t="s">
        <v>66</v>
      </c>
      <c r="F1009" t="s">
        <v>57</v>
      </c>
      <c r="G1009">
        <v>0.33</v>
      </c>
      <c r="H1009" t="s">
        <v>23</v>
      </c>
      <c r="I1009">
        <v>0</v>
      </c>
      <c r="J1009" t="str">
        <f>HYPERLINK("https://www.eliteprospects.com/player/418686/lucas-peric")</f>
        <v>https://www.eliteprospects.com/player/418686/lucas-peric</v>
      </c>
      <c r="K1009" t="s">
        <v>27</v>
      </c>
      <c r="L1009" t="s">
        <v>918</v>
      </c>
      <c r="M1009" t="s">
        <v>1296</v>
      </c>
      <c r="N1009">
        <v>5</v>
      </c>
      <c r="O1009" t="s">
        <v>935</v>
      </c>
      <c r="P1009">
        <v>0.04</v>
      </c>
      <c r="Q1009" t="s">
        <v>1488</v>
      </c>
      <c r="R1009">
        <v>0</v>
      </c>
      <c r="S1009">
        <v>0</v>
      </c>
      <c r="T1009">
        <v>0</v>
      </c>
      <c r="U1009">
        <v>0</v>
      </c>
      <c r="V1009">
        <v>0</v>
      </c>
    </row>
    <row r="1010" spans="1:22" x14ac:dyDescent="0.25">
      <c r="A1010" t="s">
        <v>2324</v>
      </c>
      <c r="B1010" t="s">
        <v>977</v>
      </c>
      <c r="C1010">
        <v>17</v>
      </c>
      <c r="D1010" t="s">
        <v>260</v>
      </c>
      <c r="E1010" t="s">
        <v>96</v>
      </c>
      <c r="F1010" t="s">
        <v>57</v>
      </c>
      <c r="G1010">
        <v>0.35</v>
      </c>
      <c r="H1010" t="s">
        <v>39</v>
      </c>
      <c r="I1010">
        <v>0</v>
      </c>
      <c r="J1010" t="str">
        <f>HYPERLINK("https://www.eliteprospects.com/player/702140/noah-szabo")</f>
        <v>https://www.eliteprospects.com/player/702140/noah-szabo</v>
      </c>
      <c r="K1010" t="s">
        <v>27</v>
      </c>
      <c r="L1010" t="s">
        <v>918</v>
      </c>
      <c r="M1010" t="s">
        <v>1296</v>
      </c>
      <c r="N1010">
        <v>1</v>
      </c>
      <c r="O1010" t="s">
        <v>984</v>
      </c>
      <c r="P1010">
        <v>0.04</v>
      </c>
      <c r="Q1010" t="s">
        <v>1488</v>
      </c>
      <c r="R1010">
        <v>0</v>
      </c>
      <c r="S1010">
        <v>0</v>
      </c>
      <c r="T1010">
        <v>0</v>
      </c>
      <c r="U1010">
        <v>0</v>
      </c>
      <c r="V1010">
        <v>0</v>
      </c>
    </row>
    <row r="1011" spans="1:22" x14ac:dyDescent="0.25">
      <c r="A1011" t="s">
        <v>2325</v>
      </c>
      <c r="B1011" t="s">
        <v>1003</v>
      </c>
      <c r="C1011">
        <v>18</v>
      </c>
      <c r="D1011" t="s">
        <v>260</v>
      </c>
      <c r="E1011" t="s">
        <v>96</v>
      </c>
      <c r="F1011" t="s">
        <v>57</v>
      </c>
      <c r="G1011">
        <v>0.33</v>
      </c>
      <c r="H1011" t="s">
        <v>79</v>
      </c>
      <c r="I1011">
        <v>0</v>
      </c>
      <c r="J1011" t="str">
        <f>HYPERLINK("https://www.eliteprospects.com/player/201790/ben-roode")</f>
        <v>https://www.eliteprospects.com/player/201790/ben-roode</v>
      </c>
      <c r="K1011" t="s">
        <v>27</v>
      </c>
      <c r="L1011" t="s">
        <v>918</v>
      </c>
      <c r="M1011" t="s">
        <v>1296</v>
      </c>
      <c r="N1011">
        <v>4</v>
      </c>
      <c r="O1011" t="s">
        <v>1192</v>
      </c>
      <c r="P1011">
        <v>0.04</v>
      </c>
      <c r="Q1011" t="s">
        <v>1488</v>
      </c>
      <c r="R1011">
        <v>0</v>
      </c>
      <c r="S1011">
        <v>0</v>
      </c>
      <c r="T1011">
        <v>0</v>
      </c>
      <c r="U1011">
        <v>0</v>
      </c>
      <c r="V1011">
        <v>0</v>
      </c>
    </row>
    <row r="1012" spans="1:22" x14ac:dyDescent="0.25">
      <c r="A1012" t="s">
        <v>2326</v>
      </c>
      <c r="B1012" t="s">
        <v>931</v>
      </c>
      <c r="C1012">
        <v>18</v>
      </c>
      <c r="D1012" t="s">
        <v>260</v>
      </c>
      <c r="E1012" t="s">
        <v>96</v>
      </c>
      <c r="F1012" t="s">
        <v>57</v>
      </c>
      <c r="G1012">
        <v>0.33</v>
      </c>
      <c r="H1012" t="s">
        <v>66</v>
      </c>
      <c r="I1012">
        <v>11</v>
      </c>
      <c r="J1012" t="str">
        <f>HYPERLINK("https://www.eliteprospects.com/player/561395/tanner-komzak")</f>
        <v>https://www.eliteprospects.com/player/561395/tanner-komzak</v>
      </c>
      <c r="K1012" t="s">
        <v>27</v>
      </c>
      <c r="L1012" t="s">
        <v>918</v>
      </c>
      <c r="M1012" t="s">
        <v>1296</v>
      </c>
      <c r="N1012">
        <v>3</v>
      </c>
      <c r="O1012" t="s">
        <v>1039</v>
      </c>
      <c r="P1012">
        <v>0.04</v>
      </c>
      <c r="Q1012" t="s">
        <v>1488</v>
      </c>
      <c r="R1012">
        <v>0</v>
      </c>
      <c r="S1012">
        <v>0</v>
      </c>
      <c r="T1012">
        <v>0</v>
      </c>
      <c r="U1012">
        <v>0</v>
      </c>
      <c r="V1012">
        <v>0</v>
      </c>
    </row>
    <row r="1013" spans="1:22" x14ac:dyDescent="0.25">
      <c r="A1013" t="s">
        <v>2327</v>
      </c>
      <c r="B1013" t="s">
        <v>954</v>
      </c>
      <c r="C1013">
        <v>15</v>
      </c>
      <c r="D1013" t="s">
        <v>132</v>
      </c>
      <c r="E1013" t="s">
        <v>57</v>
      </c>
      <c r="F1013" t="s">
        <v>57</v>
      </c>
      <c r="G1013">
        <v>0.4</v>
      </c>
      <c r="H1013" t="s">
        <v>39</v>
      </c>
      <c r="I1013">
        <v>0</v>
      </c>
      <c r="J1013" t="str">
        <f>HYPERLINK("https://www.eliteprospects.com/player/485318/vincent-maisonneuve")</f>
        <v>https://www.eliteprospects.com/player/485318/vincent-maisonneuve</v>
      </c>
      <c r="K1013" t="s">
        <v>27</v>
      </c>
      <c r="L1013" t="s">
        <v>918</v>
      </c>
      <c r="M1013" t="s">
        <v>1296</v>
      </c>
      <c r="N1013">
        <v>5</v>
      </c>
      <c r="O1013" t="s">
        <v>1094</v>
      </c>
      <c r="P1013">
        <v>0.05</v>
      </c>
      <c r="Q1013" t="s">
        <v>1300</v>
      </c>
      <c r="R1013">
        <v>37.5</v>
      </c>
      <c r="S1013">
        <v>37.5</v>
      </c>
      <c r="T1013">
        <v>0</v>
      </c>
      <c r="U1013">
        <v>12.5</v>
      </c>
      <c r="V1013">
        <v>12.5</v>
      </c>
    </row>
    <row r="1014" spans="1:22" x14ac:dyDescent="0.25">
      <c r="A1014" t="s">
        <v>2328</v>
      </c>
      <c r="B1014" t="s">
        <v>998</v>
      </c>
      <c r="C1014">
        <v>16</v>
      </c>
      <c r="D1014" t="s">
        <v>132</v>
      </c>
      <c r="E1014" t="s">
        <v>57</v>
      </c>
      <c r="F1014" t="s">
        <v>57</v>
      </c>
      <c r="G1014">
        <v>0.38</v>
      </c>
      <c r="H1014" t="s">
        <v>132</v>
      </c>
      <c r="I1014">
        <v>0</v>
      </c>
      <c r="J1014" t="str">
        <f>HYPERLINK("https://www.eliteprospects.com/player/503291/ian-lemieux")</f>
        <v>https://www.eliteprospects.com/player/503291/ian-lemieux</v>
      </c>
      <c r="K1014" t="s">
        <v>27</v>
      </c>
      <c r="L1014" t="s">
        <v>918</v>
      </c>
      <c r="M1014" t="s">
        <v>1296</v>
      </c>
      <c r="N1014">
        <v>6</v>
      </c>
      <c r="O1014" t="s">
        <v>995</v>
      </c>
      <c r="P1014">
        <v>0.05</v>
      </c>
      <c r="Q1014" t="s">
        <v>1300</v>
      </c>
      <c r="R1014">
        <v>37.5</v>
      </c>
      <c r="S1014">
        <v>37.5</v>
      </c>
      <c r="T1014">
        <v>0</v>
      </c>
      <c r="U1014">
        <v>12.5</v>
      </c>
      <c r="V1014">
        <v>12.5</v>
      </c>
    </row>
    <row r="1015" spans="1:22" x14ac:dyDescent="0.25">
      <c r="A1015" t="s">
        <v>2329</v>
      </c>
      <c r="B1015" t="s">
        <v>1036</v>
      </c>
      <c r="C1015">
        <v>16</v>
      </c>
      <c r="D1015" t="s">
        <v>132</v>
      </c>
      <c r="E1015" t="s">
        <v>57</v>
      </c>
      <c r="F1015" t="s">
        <v>57</v>
      </c>
      <c r="G1015">
        <v>0.38</v>
      </c>
      <c r="H1015" t="s">
        <v>57</v>
      </c>
      <c r="I1015">
        <v>0</v>
      </c>
      <c r="J1015" t="str">
        <f>HYPERLINK("https://www.eliteprospects.com/player/573654/nathan-drapeau")</f>
        <v>https://www.eliteprospects.com/player/573654/nathan-drapeau</v>
      </c>
      <c r="K1015" t="s">
        <v>27</v>
      </c>
      <c r="L1015" t="s">
        <v>918</v>
      </c>
      <c r="M1015" t="s">
        <v>1296</v>
      </c>
      <c r="N1015">
        <v>6</v>
      </c>
      <c r="O1015" t="s">
        <v>968</v>
      </c>
      <c r="P1015">
        <v>0.05</v>
      </c>
      <c r="Q1015" t="s">
        <v>1300</v>
      </c>
      <c r="R1015">
        <v>37.5</v>
      </c>
      <c r="S1015">
        <v>37.5</v>
      </c>
      <c r="T1015">
        <v>0</v>
      </c>
      <c r="U1015">
        <v>12.5</v>
      </c>
      <c r="V1015">
        <v>12.5</v>
      </c>
    </row>
    <row r="1016" spans="1:22" x14ac:dyDescent="0.25">
      <c r="A1016" t="s">
        <v>2330</v>
      </c>
      <c r="B1016" t="s">
        <v>986</v>
      </c>
      <c r="C1016">
        <v>18</v>
      </c>
      <c r="D1016" t="s">
        <v>132</v>
      </c>
      <c r="E1016" t="s">
        <v>57</v>
      </c>
      <c r="F1016" t="s">
        <v>57</v>
      </c>
      <c r="G1016">
        <v>0.33</v>
      </c>
      <c r="H1016" t="s">
        <v>32</v>
      </c>
      <c r="I1016">
        <v>0</v>
      </c>
      <c r="J1016" t="str">
        <f>HYPERLINK("https://www.eliteprospects.com/player/651851/callum-chisholm")</f>
        <v>https://www.eliteprospects.com/player/651851/callum-chisholm</v>
      </c>
      <c r="K1016" t="s">
        <v>27</v>
      </c>
      <c r="L1016" t="s">
        <v>918</v>
      </c>
      <c r="M1016" t="s">
        <v>1417</v>
      </c>
      <c r="N1016">
        <v>4</v>
      </c>
      <c r="O1016" t="s">
        <v>1257</v>
      </c>
      <c r="P1016">
        <v>0.04</v>
      </c>
      <c r="Q1016" t="s">
        <v>1488</v>
      </c>
      <c r="R1016">
        <v>0</v>
      </c>
      <c r="S1016">
        <v>0</v>
      </c>
      <c r="T1016">
        <v>0</v>
      </c>
      <c r="U1016">
        <v>0</v>
      </c>
      <c r="V1016">
        <v>0</v>
      </c>
    </row>
    <row r="1017" spans="1:22" x14ac:dyDescent="0.25">
      <c r="A1017" t="s">
        <v>2331</v>
      </c>
      <c r="B1017" t="s">
        <v>1032</v>
      </c>
      <c r="C1017">
        <v>18</v>
      </c>
      <c r="D1017" t="s">
        <v>132</v>
      </c>
      <c r="E1017" t="s">
        <v>57</v>
      </c>
      <c r="F1017" t="s">
        <v>57</v>
      </c>
      <c r="G1017">
        <v>0.33</v>
      </c>
      <c r="H1017" t="s">
        <v>53</v>
      </c>
      <c r="I1017">
        <v>0</v>
      </c>
      <c r="J1017" t="str">
        <f>HYPERLINK("https://www.eliteprospects.com/player/614365/owen-wilson")</f>
        <v>https://www.eliteprospects.com/player/614365/owen-wilson</v>
      </c>
      <c r="K1017" t="s">
        <v>27</v>
      </c>
      <c r="L1017" t="s">
        <v>918</v>
      </c>
      <c r="M1017" t="s">
        <v>1296</v>
      </c>
      <c r="N1017">
        <v>1</v>
      </c>
      <c r="O1017" t="s">
        <v>984</v>
      </c>
      <c r="P1017">
        <v>0.04</v>
      </c>
      <c r="Q1017" t="s">
        <v>1488</v>
      </c>
      <c r="R1017">
        <v>0</v>
      </c>
      <c r="S1017">
        <v>0</v>
      </c>
      <c r="T1017">
        <v>0</v>
      </c>
      <c r="U1017">
        <v>0</v>
      </c>
      <c r="V1017">
        <v>0</v>
      </c>
    </row>
    <row r="1018" spans="1:22" x14ac:dyDescent="0.25">
      <c r="A1018" t="s">
        <v>2332</v>
      </c>
      <c r="B1018" t="s">
        <v>990</v>
      </c>
      <c r="C1018">
        <v>19</v>
      </c>
      <c r="D1018" t="s">
        <v>132</v>
      </c>
      <c r="E1018" t="s">
        <v>57</v>
      </c>
      <c r="F1018" t="s">
        <v>57</v>
      </c>
      <c r="G1018">
        <v>0.32</v>
      </c>
      <c r="H1018" t="s">
        <v>38</v>
      </c>
      <c r="I1018">
        <v>0</v>
      </c>
      <c r="J1018" t="str">
        <f>HYPERLINK("https://www.eliteprospects.com/player/625751/kaylen-gauthier")</f>
        <v>https://www.eliteprospects.com/player/625751/kaylen-gauthier</v>
      </c>
      <c r="K1018" t="s">
        <v>27</v>
      </c>
      <c r="L1018" t="s">
        <v>918</v>
      </c>
      <c r="M1018" t="s">
        <v>1296</v>
      </c>
      <c r="N1018">
        <v>6</v>
      </c>
      <c r="O1018" t="s">
        <v>921</v>
      </c>
      <c r="P1018">
        <v>0.04</v>
      </c>
      <c r="Q1018" t="s">
        <v>1488</v>
      </c>
      <c r="R1018">
        <v>0</v>
      </c>
      <c r="S1018">
        <v>0</v>
      </c>
      <c r="T1018">
        <v>0</v>
      </c>
      <c r="U1018">
        <v>0</v>
      </c>
      <c r="V1018">
        <v>0</v>
      </c>
    </row>
    <row r="1019" spans="1:22" x14ac:dyDescent="0.25">
      <c r="A1019" t="s">
        <v>2333</v>
      </c>
      <c r="B1019" t="s">
        <v>1036</v>
      </c>
      <c r="C1019">
        <v>19</v>
      </c>
      <c r="D1019" t="s">
        <v>132</v>
      </c>
      <c r="E1019" t="s">
        <v>57</v>
      </c>
      <c r="F1019" t="s">
        <v>57</v>
      </c>
      <c r="G1019">
        <v>0.32</v>
      </c>
      <c r="H1019" t="s">
        <v>125</v>
      </c>
      <c r="I1019">
        <v>0</v>
      </c>
      <c r="J1019" t="str">
        <f>HYPERLINK("https://www.eliteprospects.com/player/503507/a.j.-cook")</f>
        <v>https://www.eliteprospects.com/player/503507/a.j.-cook</v>
      </c>
      <c r="K1019" t="s">
        <v>27</v>
      </c>
      <c r="L1019" t="s">
        <v>918</v>
      </c>
      <c r="M1019" t="s">
        <v>1296</v>
      </c>
      <c r="N1019">
        <v>7</v>
      </c>
      <c r="O1019" t="s">
        <v>2257</v>
      </c>
      <c r="P1019">
        <v>0.04</v>
      </c>
      <c r="Q1019" t="s">
        <v>1488</v>
      </c>
      <c r="R1019">
        <v>0</v>
      </c>
      <c r="S1019">
        <v>0</v>
      </c>
      <c r="T1019">
        <v>0</v>
      </c>
      <c r="U1019">
        <v>0</v>
      </c>
      <c r="V1019">
        <v>0</v>
      </c>
    </row>
    <row r="1020" spans="1:22" x14ac:dyDescent="0.25">
      <c r="A1020" t="s">
        <v>2334</v>
      </c>
      <c r="B1020" t="s">
        <v>934</v>
      </c>
      <c r="C1020">
        <v>20</v>
      </c>
      <c r="D1020" t="s">
        <v>132</v>
      </c>
      <c r="E1020" t="s">
        <v>57</v>
      </c>
      <c r="F1020" t="s">
        <v>57</v>
      </c>
      <c r="G1020">
        <v>0.3</v>
      </c>
      <c r="H1020" t="s">
        <v>125</v>
      </c>
      <c r="I1020">
        <v>13</v>
      </c>
      <c r="J1020" t="str">
        <f>HYPERLINK("https://www.eliteprospects.com/player/417751/nicolas-savoie")</f>
        <v>https://www.eliteprospects.com/player/417751/nicolas-savoie</v>
      </c>
      <c r="K1020" t="s">
        <v>27</v>
      </c>
      <c r="L1020" t="s">
        <v>918</v>
      </c>
      <c r="M1020" t="s">
        <v>1296</v>
      </c>
      <c r="N1020">
        <v>6</v>
      </c>
      <c r="O1020" t="s">
        <v>921</v>
      </c>
      <c r="P1020">
        <v>0.04</v>
      </c>
      <c r="Q1020" t="s">
        <v>1488</v>
      </c>
      <c r="R1020">
        <v>0</v>
      </c>
      <c r="S1020">
        <v>0</v>
      </c>
      <c r="T1020">
        <v>0</v>
      </c>
      <c r="U1020">
        <v>0</v>
      </c>
      <c r="V1020">
        <v>0</v>
      </c>
    </row>
    <row r="1021" spans="1:22" x14ac:dyDescent="0.25">
      <c r="A1021" t="s">
        <v>2335</v>
      </c>
      <c r="B1021" t="s">
        <v>942</v>
      </c>
      <c r="C1021">
        <v>18</v>
      </c>
      <c r="D1021" t="s">
        <v>140</v>
      </c>
      <c r="E1021" t="s">
        <v>79</v>
      </c>
      <c r="F1021" t="s">
        <v>96</v>
      </c>
      <c r="G1021">
        <v>0.28000000000000003</v>
      </c>
      <c r="H1021" t="s">
        <v>125</v>
      </c>
      <c r="I1021">
        <v>0</v>
      </c>
      <c r="J1021" t="str">
        <f>HYPERLINK("https://www.eliteprospects.com/player/512192/spencer-shugrue")</f>
        <v>https://www.eliteprospects.com/player/512192/spencer-shugrue</v>
      </c>
      <c r="K1021" t="s">
        <v>27</v>
      </c>
      <c r="L1021" t="s">
        <v>918</v>
      </c>
      <c r="M1021" t="s">
        <v>1296</v>
      </c>
      <c r="N1021">
        <v>6</v>
      </c>
      <c r="O1021" t="s">
        <v>950</v>
      </c>
      <c r="P1021">
        <v>0.04</v>
      </c>
      <c r="Q1021" t="s">
        <v>1488</v>
      </c>
      <c r="R1021">
        <v>0</v>
      </c>
      <c r="S1021">
        <v>0</v>
      </c>
      <c r="T1021">
        <v>0</v>
      </c>
      <c r="U1021">
        <v>0</v>
      </c>
      <c r="V1021">
        <v>0</v>
      </c>
    </row>
    <row r="1022" spans="1:22" x14ac:dyDescent="0.25">
      <c r="A1022" t="s">
        <v>2336</v>
      </c>
      <c r="B1022" t="s">
        <v>961</v>
      </c>
      <c r="C1022">
        <v>14</v>
      </c>
      <c r="D1022" t="s">
        <v>79</v>
      </c>
      <c r="E1022" t="s">
        <v>140</v>
      </c>
      <c r="F1022" t="s">
        <v>96</v>
      </c>
      <c r="G1022">
        <v>0.36</v>
      </c>
      <c r="H1022" t="s">
        <v>66</v>
      </c>
      <c r="I1022">
        <v>0</v>
      </c>
      <c r="J1022" t="str">
        <f>HYPERLINK("https://www.eliteprospects.com/player/580209/jacob-dietz")</f>
        <v>https://www.eliteprospects.com/player/580209/jacob-dietz</v>
      </c>
      <c r="K1022" t="s">
        <v>27</v>
      </c>
      <c r="L1022" t="s">
        <v>918</v>
      </c>
      <c r="M1022" t="s">
        <v>1296</v>
      </c>
      <c r="N1022">
        <v>2</v>
      </c>
      <c r="O1022" t="s">
        <v>1021</v>
      </c>
      <c r="P1022">
        <v>0.04</v>
      </c>
      <c r="Q1022" t="s">
        <v>1488</v>
      </c>
      <c r="R1022">
        <v>0</v>
      </c>
      <c r="S1022">
        <v>0</v>
      </c>
      <c r="T1022">
        <v>0</v>
      </c>
      <c r="U1022">
        <v>0</v>
      </c>
      <c r="V1022">
        <v>0</v>
      </c>
    </row>
    <row r="1023" spans="1:22" x14ac:dyDescent="0.25">
      <c r="A1023" t="s">
        <v>2337</v>
      </c>
      <c r="B1023" t="s">
        <v>947</v>
      </c>
      <c r="C1023">
        <v>16</v>
      </c>
      <c r="D1023" t="s">
        <v>79</v>
      </c>
      <c r="E1023" t="s">
        <v>140</v>
      </c>
      <c r="F1023" t="s">
        <v>96</v>
      </c>
      <c r="G1023">
        <v>0.31</v>
      </c>
      <c r="H1023" t="s">
        <v>79</v>
      </c>
      <c r="I1023">
        <v>0</v>
      </c>
      <c r="J1023" t="str">
        <f>HYPERLINK("https://www.eliteprospects.com/player/695071/dillon-stiles")</f>
        <v>https://www.eliteprospects.com/player/695071/dillon-stiles</v>
      </c>
      <c r="K1023" t="s">
        <v>27</v>
      </c>
      <c r="L1023" t="s">
        <v>918</v>
      </c>
      <c r="M1023" t="s">
        <v>1296</v>
      </c>
      <c r="N1023">
        <v>1</v>
      </c>
      <c r="O1023" t="s">
        <v>984</v>
      </c>
      <c r="P1023">
        <v>0.04</v>
      </c>
      <c r="Q1023" t="s">
        <v>1488</v>
      </c>
      <c r="R1023">
        <v>0</v>
      </c>
      <c r="S1023">
        <v>0</v>
      </c>
      <c r="T1023">
        <v>0</v>
      </c>
      <c r="U1023">
        <v>0</v>
      </c>
      <c r="V1023">
        <v>0</v>
      </c>
    </row>
    <row r="1024" spans="1:22" x14ac:dyDescent="0.25">
      <c r="A1024" t="s">
        <v>2338</v>
      </c>
      <c r="B1024" t="s">
        <v>972</v>
      </c>
      <c r="C1024">
        <v>16</v>
      </c>
      <c r="D1024" t="s">
        <v>79</v>
      </c>
      <c r="E1024" t="s">
        <v>140</v>
      </c>
      <c r="F1024" t="s">
        <v>96</v>
      </c>
      <c r="G1024">
        <v>0.31</v>
      </c>
      <c r="H1024" t="s">
        <v>24</v>
      </c>
      <c r="I1024">
        <v>0</v>
      </c>
      <c r="J1024" t="str">
        <f>HYPERLINK("https://www.eliteprospects.com/player/503018/liam-whittaker")</f>
        <v>https://www.eliteprospects.com/player/503018/liam-whittaker</v>
      </c>
      <c r="K1024" t="s">
        <v>27</v>
      </c>
      <c r="L1024" t="s">
        <v>918</v>
      </c>
      <c r="M1024" t="s">
        <v>1296</v>
      </c>
      <c r="N1024">
        <v>5</v>
      </c>
      <c r="O1024" t="s">
        <v>935</v>
      </c>
      <c r="P1024">
        <v>0.04</v>
      </c>
      <c r="Q1024" t="s">
        <v>1488</v>
      </c>
      <c r="R1024">
        <v>0</v>
      </c>
      <c r="S1024">
        <v>0</v>
      </c>
      <c r="T1024">
        <v>0</v>
      </c>
      <c r="U1024">
        <v>0</v>
      </c>
      <c r="V1024">
        <v>0</v>
      </c>
    </row>
    <row r="1025" spans="1:22" x14ac:dyDescent="0.25">
      <c r="A1025" t="s">
        <v>2339</v>
      </c>
      <c r="B1025" t="s">
        <v>1011</v>
      </c>
      <c r="C1025">
        <v>18</v>
      </c>
      <c r="D1025" t="s">
        <v>79</v>
      </c>
      <c r="E1025" t="s">
        <v>140</v>
      </c>
      <c r="F1025" t="s">
        <v>96</v>
      </c>
      <c r="G1025">
        <v>0.28000000000000003</v>
      </c>
      <c r="H1025" t="s">
        <v>66</v>
      </c>
      <c r="I1025">
        <v>-2</v>
      </c>
      <c r="J1025" t="str">
        <f>HYPERLINK("https://www.eliteprospects.com/player/620342/aaron-brown")</f>
        <v>https://www.eliteprospects.com/player/620342/aaron-brown</v>
      </c>
      <c r="K1025" t="s">
        <v>27</v>
      </c>
      <c r="L1025" t="s">
        <v>918</v>
      </c>
      <c r="M1025" t="s">
        <v>1296</v>
      </c>
      <c r="N1025">
        <v>1</v>
      </c>
      <c r="O1025" t="s">
        <v>984</v>
      </c>
      <c r="P1025">
        <v>0.04</v>
      </c>
      <c r="Q1025" t="s">
        <v>1488</v>
      </c>
      <c r="R1025">
        <v>0</v>
      </c>
      <c r="S1025">
        <v>0</v>
      </c>
      <c r="T1025">
        <v>0</v>
      </c>
      <c r="U1025">
        <v>0</v>
      </c>
      <c r="V1025">
        <v>0</v>
      </c>
    </row>
    <row r="1026" spans="1:22" x14ac:dyDescent="0.25">
      <c r="A1026" t="s">
        <v>2340</v>
      </c>
      <c r="B1026" t="s">
        <v>990</v>
      </c>
      <c r="C1026">
        <v>18</v>
      </c>
      <c r="D1026" t="s">
        <v>79</v>
      </c>
      <c r="E1026" t="s">
        <v>140</v>
      </c>
      <c r="F1026" t="s">
        <v>96</v>
      </c>
      <c r="G1026">
        <v>0.28000000000000003</v>
      </c>
      <c r="H1026" t="s">
        <v>57</v>
      </c>
      <c r="I1026">
        <v>0</v>
      </c>
      <c r="J1026" t="str">
        <f>HYPERLINK("https://www.eliteprospects.com/player/341625/olivier-boutin")</f>
        <v>https://www.eliteprospects.com/player/341625/olivier-boutin</v>
      </c>
      <c r="K1026" t="s">
        <v>27</v>
      </c>
      <c r="L1026" t="s">
        <v>918</v>
      </c>
      <c r="M1026" t="s">
        <v>1296</v>
      </c>
      <c r="N1026">
        <v>6</v>
      </c>
      <c r="O1026" t="s">
        <v>968</v>
      </c>
      <c r="P1026">
        <v>0.04</v>
      </c>
      <c r="Q1026" t="s">
        <v>1488</v>
      </c>
      <c r="R1026">
        <v>0</v>
      </c>
      <c r="S1026">
        <v>0</v>
      </c>
      <c r="T1026">
        <v>0</v>
      </c>
      <c r="U1026">
        <v>0</v>
      </c>
      <c r="V1026">
        <v>0</v>
      </c>
    </row>
    <row r="1027" spans="1:22" x14ac:dyDescent="0.25">
      <c r="A1027" t="s">
        <v>2341</v>
      </c>
      <c r="B1027" t="s">
        <v>923</v>
      </c>
      <c r="C1027">
        <v>20</v>
      </c>
      <c r="D1027" t="s">
        <v>79</v>
      </c>
      <c r="E1027" t="s">
        <v>140</v>
      </c>
      <c r="F1027" t="s">
        <v>96</v>
      </c>
      <c r="G1027">
        <v>0.25</v>
      </c>
      <c r="H1027" t="s">
        <v>55</v>
      </c>
      <c r="I1027">
        <v>4</v>
      </c>
      <c r="J1027" t="str">
        <f>HYPERLINK("https://www.eliteprospects.com/player/481984/logen-hammett")</f>
        <v>https://www.eliteprospects.com/player/481984/logen-hammett</v>
      </c>
      <c r="K1027" t="s">
        <v>27</v>
      </c>
      <c r="L1027" t="s">
        <v>918</v>
      </c>
      <c r="M1027" t="s">
        <v>1296</v>
      </c>
      <c r="N1027">
        <v>4</v>
      </c>
      <c r="O1027" t="s">
        <v>978</v>
      </c>
      <c r="P1027">
        <v>0.03</v>
      </c>
      <c r="Q1027" t="s">
        <v>1488</v>
      </c>
      <c r="R1027">
        <v>0</v>
      </c>
      <c r="S1027">
        <v>0</v>
      </c>
      <c r="T1027">
        <v>0</v>
      </c>
      <c r="U1027">
        <v>0</v>
      </c>
      <c r="V1027">
        <v>0</v>
      </c>
    </row>
    <row r="1028" spans="1:22" x14ac:dyDescent="0.25">
      <c r="A1028" t="s">
        <v>2342</v>
      </c>
      <c r="B1028" t="s">
        <v>944</v>
      </c>
      <c r="C1028">
        <v>20</v>
      </c>
      <c r="D1028" t="s">
        <v>79</v>
      </c>
      <c r="E1028" t="s">
        <v>140</v>
      </c>
      <c r="F1028" t="s">
        <v>96</v>
      </c>
      <c r="G1028">
        <v>0.25</v>
      </c>
      <c r="H1028" t="s">
        <v>491</v>
      </c>
      <c r="I1028">
        <v>1</v>
      </c>
      <c r="J1028" t="str">
        <f>HYPERLINK("https://www.eliteprospects.com/player/573857/jonathan-desrosiers")</f>
        <v>https://www.eliteprospects.com/player/573857/jonathan-desrosiers</v>
      </c>
      <c r="K1028" t="s">
        <v>27</v>
      </c>
      <c r="L1028" t="s">
        <v>918</v>
      </c>
      <c r="M1028" t="s">
        <v>1296</v>
      </c>
      <c r="N1028">
        <v>5</v>
      </c>
      <c r="O1028" t="s">
        <v>930</v>
      </c>
      <c r="P1028">
        <v>0.03</v>
      </c>
      <c r="Q1028" t="s">
        <v>1488</v>
      </c>
      <c r="R1028">
        <v>0</v>
      </c>
      <c r="S1028">
        <v>0</v>
      </c>
      <c r="T1028">
        <v>0</v>
      </c>
      <c r="U1028">
        <v>0</v>
      </c>
      <c r="V1028">
        <v>0</v>
      </c>
    </row>
    <row r="1029" spans="1:22" x14ac:dyDescent="0.25">
      <c r="A1029" t="s">
        <v>2343</v>
      </c>
      <c r="B1029" t="s">
        <v>931</v>
      </c>
      <c r="C1029">
        <v>11</v>
      </c>
      <c r="D1029" t="s">
        <v>260</v>
      </c>
      <c r="E1029" t="s">
        <v>66</v>
      </c>
      <c r="F1029" t="s">
        <v>96</v>
      </c>
      <c r="G1029">
        <v>0.45</v>
      </c>
      <c r="H1029" t="s">
        <v>79</v>
      </c>
      <c r="I1029">
        <v>7</v>
      </c>
      <c r="J1029" t="str">
        <f>HYPERLINK("https://www.eliteprospects.com/player/505630/alex-izyk")</f>
        <v>https://www.eliteprospects.com/player/505630/alex-izyk</v>
      </c>
      <c r="K1029" t="s">
        <v>27</v>
      </c>
      <c r="L1029" t="s">
        <v>918</v>
      </c>
      <c r="M1029" t="s">
        <v>1296</v>
      </c>
      <c r="N1029">
        <v>1</v>
      </c>
      <c r="O1029" t="s">
        <v>984</v>
      </c>
      <c r="P1029">
        <v>0.06</v>
      </c>
      <c r="Q1029" t="s">
        <v>1309</v>
      </c>
      <c r="R1029">
        <v>14.3</v>
      </c>
      <c r="S1029">
        <v>28.6</v>
      </c>
      <c r="T1029">
        <v>28.6</v>
      </c>
      <c r="U1029">
        <v>0</v>
      </c>
      <c r="V1029">
        <v>28.6</v>
      </c>
    </row>
    <row r="1030" spans="1:22" x14ac:dyDescent="0.25">
      <c r="A1030" t="s">
        <v>2344</v>
      </c>
      <c r="B1030" t="s">
        <v>961</v>
      </c>
      <c r="C1030">
        <v>15</v>
      </c>
      <c r="D1030" t="s">
        <v>260</v>
      </c>
      <c r="E1030" t="s">
        <v>66</v>
      </c>
      <c r="F1030" t="s">
        <v>96</v>
      </c>
      <c r="G1030">
        <v>0.33</v>
      </c>
      <c r="H1030" t="s">
        <v>66</v>
      </c>
      <c r="I1030">
        <v>0</v>
      </c>
      <c r="J1030" t="str">
        <f>HYPERLINK("https://www.eliteprospects.com/player/441330/drew-wawrow")</f>
        <v>https://www.eliteprospects.com/player/441330/drew-wawrow</v>
      </c>
      <c r="K1030" t="s">
        <v>27</v>
      </c>
      <c r="L1030" t="s">
        <v>918</v>
      </c>
      <c r="M1030" t="s">
        <v>1296</v>
      </c>
      <c r="N1030">
        <v>5</v>
      </c>
      <c r="O1030" t="s">
        <v>955</v>
      </c>
      <c r="P1030">
        <v>0.04</v>
      </c>
      <c r="Q1030" t="s">
        <v>1488</v>
      </c>
      <c r="R1030">
        <v>0</v>
      </c>
      <c r="S1030">
        <v>0</v>
      </c>
      <c r="T1030">
        <v>0</v>
      </c>
      <c r="U1030">
        <v>0</v>
      </c>
      <c r="V1030">
        <v>0</v>
      </c>
    </row>
    <row r="1031" spans="1:22" x14ac:dyDescent="0.25">
      <c r="A1031" t="s">
        <v>2345</v>
      </c>
      <c r="B1031" t="s">
        <v>959</v>
      </c>
      <c r="C1031">
        <v>16</v>
      </c>
      <c r="D1031" t="s">
        <v>260</v>
      </c>
      <c r="E1031" t="s">
        <v>66</v>
      </c>
      <c r="F1031" t="s">
        <v>96</v>
      </c>
      <c r="G1031">
        <v>0.31</v>
      </c>
      <c r="H1031" t="s">
        <v>23</v>
      </c>
      <c r="I1031">
        <v>0</v>
      </c>
      <c r="J1031" t="str">
        <f>HYPERLINK("https://www.eliteprospects.com/player/620242/alexandre-pellerin")</f>
        <v>https://www.eliteprospects.com/player/620242/alexandre-pellerin</v>
      </c>
      <c r="K1031" t="s">
        <v>27</v>
      </c>
      <c r="L1031" t="s">
        <v>918</v>
      </c>
      <c r="M1031" t="s">
        <v>1296</v>
      </c>
      <c r="N1031">
        <v>1</v>
      </c>
      <c r="O1031" t="s">
        <v>984</v>
      </c>
      <c r="P1031">
        <v>0.04</v>
      </c>
      <c r="Q1031" t="s">
        <v>1488</v>
      </c>
      <c r="R1031">
        <v>0</v>
      </c>
      <c r="S1031">
        <v>0</v>
      </c>
      <c r="T1031">
        <v>0</v>
      </c>
      <c r="U1031">
        <v>0</v>
      </c>
      <c r="V1031">
        <v>0</v>
      </c>
    </row>
    <row r="1032" spans="1:22" x14ac:dyDescent="0.25">
      <c r="A1032" t="s">
        <v>2346</v>
      </c>
      <c r="B1032" t="s">
        <v>1049</v>
      </c>
      <c r="C1032">
        <v>17</v>
      </c>
      <c r="D1032" t="s">
        <v>260</v>
      </c>
      <c r="E1032" t="s">
        <v>66</v>
      </c>
      <c r="F1032" t="s">
        <v>96</v>
      </c>
      <c r="G1032">
        <v>0.28999999999999998</v>
      </c>
      <c r="H1032" t="s">
        <v>125</v>
      </c>
      <c r="I1032">
        <v>-15</v>
      </c>
      <c r="J1032" t="str">
        <f>HYPERLINK("https://www.eliteprospects.com/player/573362/ben-bonni")</f>
        <v>https://www.eliteprospects.com/player/573362/ben-bonni</v>
      </c>
      <c r="K1032" t="s">
        <v>27</v>
      </c>
      <c r="L1032" t="s">
        <v>918</v>
      </c>
      <c r="M1032" t="s">
        <v>1417</v>
      </c>
      <c r="N1032">
        <v>4</v>
      </c>
      <c r="O1032" t="s">
        <v>978</v>
      </c>
      <c r="P1032">
        <v>0.04</v>
      </c>
      <c r="Q1032" t="s">
        <v>1488</v>
      </c>
      <c r="R1032">
        <v>0</v>
      </c>
      <c r="S1032">
        <v>0</v>
      </c>
      <c r="T1032">
        <v>0</v>
      </c>
      <c r="U1032">
        <v>0</v>
      </c>
      <c r="V1032">
        <v>0</v>
      </c>
    </row>
    <row r="1033" spans="1:22" x14ac:dyDescent="0.25">
      <c r="A1033" t="s">
        <v>2347</v>
      </c>
      <c r="B1033" t="s">
        <v>1011</v>
      </c>
      <c r="C1033">
        <v>18</v>
      </c>
      <c r="D1033" t="s">
        <v>260</v>
      </c>
      <c r="E1033" t="s">
        <v>66</v>
      </c>
      <c r="F1033" t="s">
        <v>96</v>
      </c>
      <c r="G1033">
        <v>0.28000000000000003</v>
      </c>
      <c r="H1033" t="s">
        <v>39</v>
      </c>
      <c r="I1033">
        <v>-1</v>
      </c>
      <c r="J1033" t="str">
        <f>HYPERLINK("https://www.eliteprospects.com/player/563444/drew-maddigan")</f>
        <v>https://www.eliteprospects.com/player/563444/drew-maddigan</v>
      </c>
      <c r="K1033" t="s">
        <v>27</v>
      </c>
      <c r="L1033" t="s">
        <v>918</v>
      </c>
      <c r="M1033" t="s">
        <v>1296</v>
      </c>
      <c r="N1033">
        <v>5</v>
      </c>
      <c r="O1033" t="s">
        <v>930</v>
      </c>
      <c r="P1033">
        <v>0.04</v>
      </c>
      <c r="Q1033" t="s">
        <v>1488</v>
      </c>
      <c r="R1033">
        <v>0</v>
      </c>
      <c r="S1033">
        <v>0</v>
      </c>
      <c r="T1033">
        <v>0</v>
      </c>
      <c r="U1033">
        <v>0</v>
      </c>
      <c r="V1033">
        <v>0</v>
      </c>
    </row>
    <row r="1034" spans="1:22" x14ac:dyDescent="0.25">
      <c r="A1034" t="s">
        <v>2348</v>
      </c>
      <c r="B1034" t="s">
        <v>959</v>
      </c>
      <c r="C1034">
        <v>18</v>
      </c>
      <c r="D1034" t="s">
        <v>260</v>
      </c>
      <c r="E1034" t="s">
        <v>66</v>
      </c>
      <c r="F1034" t="s">
        <v>96</v>
      </c>
      <c r="G1034">
        <v>0.28000000000000003</v>
      </c>
      <c r="H1034" t="s">
        <v>178</v>
      </c>
      <c r="I1034">
        <v>0</v>
      </c>
      <c r="J1034" t="str">
        <f>HYPERLINK("https://www.eliteprospects.com/player/418937/igor-mburanumwe")</f>
        <v>https://www.eliteprospects.com/player/418937/igor-mburanumwe</v>
      </c>
      <c r="K1034" t="s">
        <v>27</v>
      </c>
      <c r="L1034" t="s">
        <v>918</v>
      </c>
      <c r="M1034" t="s">
        <v>1296</v>
      </c>
      <c r="N1034">
        <v>5</v>
      </c>
      <c r="O1034" t="s">
        <v>930</v>
      </c>
      <c r="P1034">
        <v>0.04</v>
      </c>
      <c r="Q1034" t="s">
        <v>1488</v>
      </c>
      <c r="R1034">
        <v>0</v>
      </c>
      <c r="S1034">
        <v>0</v>
      </c>
      <c r="T1034">
        <v>0</v>
      </c>
      <c r="U1034">
        <v>0</v>
      </c>
      <c r="V1034">
        <v>0</v>
      </c>
    </row>
    <row r="1035" spans="1:22" x14ac:dyDescent="0.25">
      <c r="A1035" t="s">
        <v>2349</v>
      </c>
      <c r="B1035" t="s">
        <v>977</v>
      </c>
      <c r="C1035">
        <v>15</v>
      </c>
      <c r="D1035" t="s">
        <v>132</v>
      </c>
      <c r="E1035" t="s">
        <v>96</v>
      </c>
      <c r="F1035" t="s">
        <v>96</v>
      </c>
      <c r="G1035">
        <v>0.33</v>
      </c>
      <c r="H1035" t="s">
        <v>51</v>
      </c>
      <c r="I1035">
        <v>0</v>
      </c>
      <c r="J1035" t="str">
        <f>HYPERLINK("https://www.eliteprospects.com/player/418396/stefan-dobrich")</f>
        <v>https://www.eliteprospects.com/player/418396/stefan-dobrich</v>
      </c>
      <c r="K1035" t="s">
        <v>27</v>
      </c>
      <c r="L1035" t="s">
        <v>918</v>
      </c>
      <c r="M1035" t="s">
        <v>1296</v>
      </c>
      <c r="N1035">
        <v>3</v>
      </c>
      <c r="O1035" t="s">
        <v>962</v>
      </c>
      <c r="P1035">
        <v>0.04</v>
      </c>
      <c r="Q1035" t="s">
        <v>1488</v>
      </c>
      <c r="R1035">
        <v>0</v>
      </c>
      <c r="S1035">
        <v>0</v>
      </c>
      <c r="T1035">
        <v>0</v>
      </c>
      <c r="U1035">
        <v>0</v>
      </c>
      <c r="V1035">
        <v>0</v>
      </c>
    </row>
    <row r="1036" spans="1:22" x14ac:dyDescent="0.25">
      <c r="A1036" t="s">
        <v>2350</v>
      </c>
      <c r="B1036" t="s">
        <v>1038</v>
      </c>
      <c r="C1036">
        <v>16</v>
      </c>
      <c r="D1036" t="s">
        <v>132</v>
      </c>
      <c r="E1036" t="s">
        <v>96</v>
      </c>
      <c r="F1036" t="s">
        <v>96</v>
      </c>
      <c r="G1036">
        <v>0.31</v>
      </c>
      <c r="H1036" t="s">
        <v>66</v>
      </c>
      <c r="I1036">
        <v>0</v>
      </c>
      <c r="J1036" t="str">
        <f>HYPERLINK("https://www.eliteprospects.com/player/503979/owen-luik")</f>
        <v>https://www.eliteprospects.com/player/503979/owen-luik</v>
      </c>
      <c r="K1036" t="s">
        <v>27</v>
      </c>
      <c r="L1036" t="s">
        <v>918</v>
      </c>
      <c r="M1036" t="s">
        <v>1296</v>
      </c>
      <c r="N1036">
        <v>2</v>
      </c>
      <c r="O1036" t="s">
        <v>1021</v>
      </c>
      <c r="P1036">
        <v>0.04</v>
      </c>
      <c r="Q1036" t="s">
        <v>1488</v>
      </c>
      <c r="R1036">
        <v>0</v>
      </c>
      <c r="S1036">
        <v>0</v>
      </c>
      <c r="T1036">
        <v>0</v>
      </c>
      <c r="U1036">
        <v>0</v>
      </c>
      <c r="V1036">
        <v>0</v>
      </c>
    </row>
    <row r="1037" spans="1:22" x14ac:dyDescent="0.25">
      <c r="A1037" t="s">
        <v>2351</v>
      </c>
      <c r="B1037" t="s">
        <v>947</v>
      </c>
      <c r="C1037">
        <v>17</v>
      </c>
      <c r="D1037" t="s">
        <v>132</v>
      </c>
      <c r="E1037" t="s">
        <v>96</v>
      </c>
      <c r="F1037" t="s">
        <v>96</v>
      </c>
      <c r="G1037">
        <v>0.28999999999999998</v>
      </c>
      <c r="H1037" t="s">
        <v>39</v>
      </c>
      <c r="I1037">
        <v>0</v>
      </c>
      <c r="J1037" t="str">
        <f>HYPERLINK("https://www.eliteprospects.com/player/712050/ryan-o-dell")</f>
        <v>https://www.eliteprospects.com/player/712050/ryan-o-dell</v>
      </c>
      <c r="K1037" t="s">
        <v>27</v>
      </c>
      <c r="L1037" t="s">
        <v>918</v>
      </c>
      <c r="M1037" t="s">
        <v>1296</v>
      </c>
      <c r="N1037">
        <v>4</v>
      </c>
      <c r="O1037" t="s">
        <v>1025</v>
      </c>
      <c r="P1037">
        <v>0.04</v>
      </c>
      <c r="Q1037" t="s">
        <v>1488</v>
      </c>
      <c r="R1037">
        <v>0</v>
      </c>
      <c r="S1037">
        <v>0</v>
      </c>
      <c r="T1037">
        <v>0</v>
      </c>
      <c r="U1037">
        <v>0</v>
      </c>
      <c r="V1037">
        <v>0</v>
      </c>
    </row>
    <row r="1038" spans="1:22" x14ac:dyDescent="0.25">
      <c r="A1038" t="s">
        <v>2352</v>
      </c>
      <c r="B1038" t="s">
        <v>934</v>
      </c>
      <c r="C1038">
        <v>18</v>
      </c>
      <c r="D1038" t="s">
        <v>132</v>
      </c>
      <c r="E1038" t="s">
        <v>96</v>
      </c>
      <c r="F1038" t="s">
        <v>96</v>
      </c>
      <c r="G1038">
        <v>0.28000000000000003</v>
      </c>
      <c r="H1038" t="s">
        <v>24</v>
      </c>
      <c r="I1038">
        <v>6</v>
      </c>
      <c r="J1038" t="str">
        <f>HYPERLINK("https://www.eliteprospects.com/player/492134/eli-barnett")</f>
        <v>https://www.eliteprospects.com/player/492134/eli-barnett</v>
      </c>
      <c r="K1038" t="s">
        <v>27</v>
      </c>
      <c r="L1038" t="s">
        <v>918</v>
      </c>
      <c r="M1038" t="s">
        <v>1296</v>
      </c>
      <c r="N1038">
        <v>3</v>
      </c>
      <c r="O1038" t="s">
        <v>1039</v>
      </c>
      <c r="P1038">
        <v>0.04</v>
      </c>
      <c r="Q1038" t="s">
        <v>1488</v>
      </c>
      <c r="R1038">
        <v>0</v>
      </c>
      <c r="S1038">
        <v>0</v>
      </c>
      <c r="T1038">
        <v>0</v>
      </c>
      <c r="U1038">
        <v>0</v>
      </c>
      <c r="V1038">
        <v>0</v>
      </c>
    </row>
    <row r="1039" spans="1:22" x14ac:dyDescent="0.25">
      <c r="A1039" t="s">
        <v>2353</v>
      </c>
      <c r="B1039" t="s">
        <v>990</v>
      </c>
      <c r="C1039">
        <v>19</v>
      </c>
      <c r="D1039" t="s">
        <v>132</v>
      </c>
      <c r="E1039" t="s">
        <v>96</v>
      </c>
      <c r="F1039" t="s">
        <v>96</v>
      </c>
      <c r="G1039">
        <v>0.26</v>
      </c>
      <c r="H1039" t="s">
        <v>269</v>
      </c>
      <c r="I1039">
        <v>0</v>
      </c>
      <c r="J1039" t="str">
        <f>HYPERLINK("https://www.eliteprospects.com/player/625756/edouard-cournoyer")</f>
        <v>https://www.eliteprospects.com/player/625756/edouard-cournoyer</v>
      </c>
      <c r="K1039" t="s">
        <v>27</v>
      </c>
      <c r="L1039" t="s">
        <v>918</v>
      </c>
      <c r="M1039" t="s">
        <v>1296</v>
      </c>
      <c r="N1039">
        <v>6</v>
      </c>
      <c r="O1039" t="s">
        <v>921</v>
      </c>
      <c r="P1039">
        <v>0.03</v>
      </c>
      <c r="Q1039" t="s">
        <v>1488</v>
      </c>
      <c r="R1039">
        <v>0</v>
      </c>
      <c r="S1039">
        <v>0</v>
      </c>
      <c r="T1039">
        <v>0</v>
      </c>
      <c r="U1039">
        <v>0</v>
      </c>
      <c r="V1039">
        <v>0</v>
      </c>
    </row>
    <row r="1040" spans="1:22" x14ac:dyDescent="0.25">
      <c r="A1040" t="s">
        <v>2354</v>
      </c>
      <c r="B1040" t="s">
        <v>929</v>
      </c>
      <c r="C1040">
        <v>20</v>
      </c>
      <c r="D1040" t="s">
        <v>132</v>
      </c>
      <c r="E1040" t="s">
        <v>96</v>
      </c>
      <c r="F1040" t="s">
        <v>96</v>
      </c>
      <c r="G1040">
        <v>0.25</v>
      </c>
      <c r="H1040" t="s">
        <v>57</v>
      </c>
      <c r="I1040">
        <v>-7</v>
      </c>
      <c r="J1040" t="str">
        <f>HYPERLINK("https://www.eliteprospects.com/player/575916/isaac-vos")</f>
        <v>https://www.eliteprospects.com/player/575916/isaac-vos</v>
      </c>
      <c r="K1040" t="s">
        <v>27</v>
      </c>
      <c r="L1040" t="s">
        <v>918</v>
      </c>
      <c r="M1040" t="s">
        <v>1296</v>
      </c>
      <c r="N1040">
        <v>3</v>
      </c>
      <c r="O1040" t="s">
        <v>1002</v>
      </c>
      <c r="P1040">
        <v>0.03</v>
      </c>
      <c r="Q1040" t="s">
        <v>1488</v>
      </c>
      <c r="R1040">
        <v>0</v>
      </c>
      <c r="S1040">
        <v>0</v>
      </c>
      <c r="T1040">
        <v>0</v>
      </c>
      <c r="U1040">
        <v>0</v>
      </c>
      <c r="V1040">
        <v>0</v>
      </c>
    </row>
    <row r="1041" spans="1:22" x14ac:dyDescent="0.25">
      <c r="A1041" t="s">
        <v>2355</v>
      </c>
      <c r="B1041" t="s">
        <v>917</v>
      </c>
      <c r="C1041">
        <v>12</v>
      </c>
      <c r="D1041" t="s">
        <v>79</v>
      </c>
      <c r="E1041" t="s">
        <v>79</v>
      </c>
      <c r="F1041" t="s">
        <v>66</v>
      </c>
      <c r="G1041">
        <v>0.33</v>
      </c>
      <c r="H1041" t="s">
        <v>26</v>
      </c>
      <c r="I1041">
        <v>-7</v>
      </c>
      <c r="J1041" t="str">
        <f>HYPERLINK("https://www.eliteprospects.com/player/617883/landon-cato")</f>
        <v>https://www.eliteprospects.com/player/617883/landon-cato</v>
      </c>
      <c r="K1041" t="s">
        <v>27</v>
      </c>
      <c r="L1041" t="s">
        <v>918</v>
      </c>
      <c r="M1041" t="s">
        <v>1296</v>
      </c>
      <c r="N1041">
        <v>6</v>
      </c>
      <c r="O1041" t="s">
        <v>970</v>
      </c>
      <c r="P1041">
        <v>0.04</v>
      </c>
      <c r="Q1041" t="s">
        <v>1488</v>
      </c>
      <c r="R1041">
        <v>0</v>
      </c>
      <c r="S1041">
        <v>0</v>
      </c>
      <c r="T1041">
        <v>0</v>
      </c>
      <c r="U1041">
        <v>0</v>
      </c>
      <c r="V1041">
        <v>0</v>
      </c>
    </row>
    <row r="1042" spans="1:22" x14ac:dyDescent="0.25">
      <c r="A1042" t="s">
        <v>2356</v>
      </c>
      <c r="B1042" t="s">
        <v>1049</v>
      </c>
      <c r="C1042">
        <v>14</v>
      </c>
      <c r="D1042" t="s">
        <v>79</v>
      </c>
      <c r="E1042" t="s">
        <v>79</v>
      </c>
      <c r="F1042" t="s">
        <v>66</v>
      </c>
      <c r="G1042">
        <v>0.28999999999999998</v>
      </c>
      <c r="H1042" t="s">
        <v>84</v>
      </c>
      <c r="I1042">
        <v>-2</v>
      </c>
      <c r="J1042" t="str">
        <f>HYPERLINK("https://www.eliteprospects.com/player/645887/kaycee-coyle")</f>
        <v>https://www.eliteprospects.com/player/645887/kaycee-coyle</v>
      </c>
      <c r="K1042" t="s">
        <v>27</v>
      </c>
      <c r="L1042" t="s">
        <v>918</v>
      </c>
      <c r="M1042" t="s">
        <v>1296</v>
      </c>
      <c r="N1042">
        <v>1</v>
      </c>
      <c r="O1042" t="s">
        <v>984</v>
      </c>
      <c r="P1042">
        <v>0.04</v>
      </c>
      <c r="Q1042" t="s">
        <v>1488</v>
      </c>
      <c r="R1042">
        <v>0</v>
      </c>
      <c r="S1042">
        <v>0</v>
      </c>
      <c r="T1042">
        <v>0</v>
      </c>
      <c r="U1042">
        <v>0</v>
      </c>
      <c r="V1042">
        <v>0</v>
      </c>
    </row>
    <row r="1043" spans="1:22" x14ac:dyDescent="0.25">
      <c r="A1043" t="s">
        <v>2357</v>
      </c>
      <c r="B1043" t="s">
        <v>1118</v>
      </c>
      <c r="C1043">
        <v>17</v>
      </c>
      <c r="D1043" t="s">
        <v>79</v>
      </c>
      <c r="E1043" t="s">
        <v>79</v>
      </c>
      <c r="F1043" t="s">
        <v>66</v>
      </c>
      <c r="G1043">
        <v>0.24</v>
      </c>
      <c r="H1043" t="s">
        <v>38</v>
      </c>
      <c r="I1043">
        <v>-14</v>
      </c>
      <c r="J1043" t="str">
        <f>HYPERLINK("https://www.eliteprospects.com/player/403768/ayden-third")</f>
        <v>https://www.eliteprospects.com/player/403768/ayden-third</v>
      </c>
      <c r="K1043" t="s">
        <v>27</v>
      </c>
      <c r="L1043" t="s">
        <v>918</v>
      </c>
      <c r="M1043" t="s">
        <v>1296</v>
      </c>
      <c r="N1043">
        <v>2</v>
      </c>
      <c r="O1043" t="s">
        <v>1021</v>
      </c>
      <c r="P1043">
        <v>0.03</v>
      </c>
      <c r="Q1043" t="s">
        <v>1488</v>
      </c>
      <c r="R1043">
        <v>0</v>
      </c>
      <c r="S1043">
        <v>0</v>
      </c>
      <c r="T1043">
        <v>0</v>
      </c>
      <c r="U1043">
        <v>0</v>
      </c>
      <c r="V1043">
        <v>0</v>
      </c>
    </row>
    <row r="1044" spans="1:22" x14ac:dyDescent="0.25">
      <c r="A1044" t="s">
        <v>2358</v>
      </c>
      <c r="B1044" t="s">
        <v>986</v>
      </c>
      <c r="C1044">
        <v>18</v>
      </c>
      <c r="D1044" t="s">
        <v>79</v>
      </c>
      <c r="E1044" t="s">
        <v>79</v>
      </c>
      <c r="F1044" t="s">
        <v>66</v>
      </c>
      <c r="G1044">
        <v>0.22</v>
      </c>
      <c r="H1044" t="s">
        <v>32</v>
      </c>
      <c r="I1044">
        <v>0</v>
      </c>
      <c r="J1044" t="str">
        <f>HYPERLINK("https://www.eliteprospects.com/player/566499/alec-mcdonald")</f>
        <v>https://www.eliteprospects.com/player/566499/alec-mcdonald</v>
      </c>
      <c r="K1044" t="s">
        <v>27</v>
      </c>
      <c r="L1044" t="s">
        <v>918</v>
      </c>
      <c r="M1044" t="s">
        <v>1296</v>
      </c>
      <c r="N1044">
        <v>1</v>
      </c>
      <c r="O1044" t="s">
        <v>984</v>
      </c>
      <c r="P1044">
        <v>0.03</v>
      </c>
      <c r="Q1044" t="s">
        <v>1488</v>
      </c>
      <c r="R1044">
        <v>0</v>
      </c>
      <c r="S1044">
        <v>0</v>
      </c>
      <c r="T1044">
        <v>0</v>
      </c>
      <c r="U1044">
        <v>0</v>
      </c>
      <c r="V1044">
        <v>0</v>
      </c>
    </row>
    <row r="1045" spans="1:22" x14ac:dyDescent="0.25">
      <c r="A1045" t="s">
        <v>2359</v>
      </c>
      <c r="B1045" t="s">
        <v>944</v>
      </c>
      <c r="C1045">
        <v>20</v>
      </c>
      <c r="D1045" t="s">
        <v>79</v>
      </c>
      <c r="E1045" t="s">
        <v>79</v>
      </c>
      <c r="F1045" t="s">
        <v>66</v>
      </c>
      <c r="G1045">
        <v>0.2</v>
      </c>
      <c r="H1045" t="s">
        <v>39</v>
      </c>
      <c r="I1045">
        <v>12</v>
      </c>
      <c r="J1045" t="str">
        <f>HYPERLINK("https://www.eliteprospects.com/player/384420/yann-felix-lapointe")</f>
        <v>https://www.eliteprospects.com/player/384420/yann-felix-lapointe</v>
      </c>
      <c r="K1045" t="s">
        <v>27</v>
      </c>
      <c r="L1045" t="s">
        <v>918</v>
      </c>
      <c r="M1045" t="s">
        <v>1296</v>
      </c>
      <c r="N1045">
        <v>5</v>
      </c>
      <c r="O1045" t="s">
        <v>945</v>
      </c>
      <c r="P1045">
        <v>0.02</v>
      </c>
      <c r="Q1045" t="s">
        <v>1488</v>
      </c>
      <c r="R1045">
        <v>0</v>
      </c>
      <c r="S1045">
        <v>0</v>
      </c>
      <c r="T1045">
        <v>0</v>
      </c>
      <c r="U1045">
        <v>0</v>
      </c>
      <c r="V1045">
        <v>0</v>
      </c>
    </row>
    <row r="1046" spans="1:22" x14ac:dyDescent="0.25">
      <c r="A1046" t="s">
        <v>2360</v>
      </c>
      <c r="B1046" t="s">
        <v>923</v>
      </c>
      <c r="C1046">
        <v>11</v>
      </c>
      <c r="D1046" t="s">
        <v>260</v>
      </c>
      <c r="E1046" t="s">
        <v>140</v>
      </c>
      <c r="F1046" t="s">
        <v>66</v>
      </c>
      <c r="G1046">
        <v>0.36</v>
      </c>
      <c r="H1046" t="s">
        <v>26</v>
      </c>
      <c r="I1046">
        <v>-3</v>
      </c>
      <c r="J1046" t="str">
        <f>HYPERLINK("https://www.eliteprospects.com/player/571919/pavel-bocharov")</f>
        <v>https://www.eliteprospects.com/player/571919/pavel-bocharov</v>
      </c>
      <c r="K1046" t="s">
        <v>27</v>
      </c>
      <c r="L1046" t="s">
        <v>918</v>
      </c>
      <c r="M1046" t="s">
        <v>1296</v>
      </c>
      <c r="N1046">
        <v>5</v>
      </c>
      <c r="O1046" t="s">
        <v>979</v>
      </c>
      <c r="P1046">
        <v>0.04</v>
      </c>
      <c r="Q1046" t="s">
        <v>1488</v>
      </c>
      <c r="R1046">
        <v>0</v>
      </c>
      <c r="S1046">
        <v>0</v>
      </c>
      <c r="T1046">
        <v>0</v>
      </c>
      <c r="U1046">
        <v>0</v>
      </c>
      <c r="V1046">
        <v>0</v>
      </c>
    </row>
    <row r="1047" spans="1:22" x14ac:dyDescent="0.25">
      <c r="A1047" t="s">
        <v>2361</v>
      </c>
      <c r="B1047" t="s">
        <v>929</v>
      </c>
      <c r="C1047">
        <v>12</v>
      </c>
      <c r="D1047" t="s">
        <v>260</v>
      </c>
      <c r="E1047" t="s">
        <v>140</v>
      </c>
      <c r="F1047" t="s">
        <v>66</v>
      </c>
      <c r="G1047">
        <v>0.33</v>
      </c>
      <c r="H1047" t="s">
        <v>26</v>
      </c>
      <c r="I1047">
        <v>-8</v>
      </c>
      <c r="J1047" t="str">
        <f>HYPERLINK("https://www.eliteprospects.com/player/491928/zach-biggar")</f>
        <v>https://www.eliteprospects.com/player/491928/zach-biggar</v>
      </c>
      <c r="K1047" t="s">
        <v>27</v>
      </c>
      <c r="L1047" t="s">
        <v>918</v>
      </c>
      <c r="M1047" t="s">
        <v>1296</v>
      </c>
      <c r="N1047">
        <v>6</v>
      </c>
      <c r="O1047" t="s">
        <v>968</v>
      </c>
      <c r="P1047">
        <v>0.04</v>
      </c>
      <c r="Q1047" t="s">
        <v>1488</v>
      </c>
      <c r="R1047">
        <v>0</v>
      </c>
      <c r="S1047">
        <v>0</v>
      </c>
      <c r="T1047">
        <v>0</v>
      </c>
      <c r="U1047">
        <v>0</v>
      </c>
      <c r="V1047">
        <v>0</v>
      </c>
    </row>
    <row r="1048" spans="1:22" x14ac:dyDescent="0.25">
      <c r="A1048" t="s">
        <v>2362</v>
      </c>
      <c r="B1048" t="s">
        <v>934</v>
      </c>
      <c r="C1048">
        <v>15</v>
      </c>
      <c r="D1048" t="s">
        <v>260</v>
      </c>
      <c r="E1048" t="s">
        <v>140</v>
      </c>
      <c r="F1048" t="s">
        <v>66</v>
      </c>
      <c r="G1048">
        <v>0.27</v>
      </c>
      <c r="H1048" t="s">
        <v>40</v>
      </c>
      <c r="I1048">
        <v>2</v>
      </c>
      <c r="J1048" t="str">
        <f>HYPERLINK("https://www.eliteprospects.com/player/599320/marc-olivier-beaudry")</f>
        <v>https://www.eliteprospects.com/player/599320/marc-olivier-beaudry</v>
      </c>
      <c r="K1048" t="s">
        <v>27</v>
      </c>
      <c r="L1048" t="s">
        <v>918</v>
      </c>
      <c r="M1048" t="s">
        <v>1296</v>
      </c>
      <c r="N1048">
        <v>6</v>
      </c>
      <c r="O1048" t="s">
        <v>968</v>
      </c>
      <c r="P1048">
        <v>0.03</v>
      </c>
      <c r="Q1048" t="s">
        <v>1488</v>
      </c>
      <c r="R1048">
        <v>0</v>
      </c>
      <c r="S1048">
        <v>0</v>
      </c>
      <c r="T1048">
        <v>0</v>
      </c>
      <c r="U1048">
        <v>0</v>
      </c>
      <c r="V1048">
        <v>0</v>
      </c>
    </row>
    <row r="1049" spans="1:22" x14ac:dyDescent="0.25">
      <c r="A1049" t="s">
        <v>2363</v>
      </c>
      <c r="B1049" t="s">
        <v>966</v>
      </c>
      <c r="C1049">
        <v>18</v>
      </c>
      <c r="D1049" t="s">
        <v>260</v>
      </c>
      <c r="E1049" t="s">
        <v>140</v>
      </c>
      <c r="F1049" t="s">
        <v>66</v>
      </c>
      <c r="G1049">
        <v>0.22</v>
      </c>
      <c r="H1049" t="s">
        <v>79</v>
      </c>
      <c r="I1049">
        <v>13</v>
      </c>
      <c r="J1049" t="str">
        <f>HYPERLINK("https://www.eliteprospects.com/player/201783/charlie-desroches")</f>
        <v>https://www.eliteprospects.com/player/201783/charlie-desroches</v>
      </c>
      <c r="K1049" t="s">
        <v>27</v>
      </c>
      <c r="L1049" t="s">
        <v>918</v>
      </c>
      <c r="M1049" t="s">
        <v>1296</v>
      </c>
      <c r="N1049">
        <v>6</v>
      </c>
      <c r="O1049" t="s">
        <v>921</v>
      </c>
      <c r="P1049">
        <v>0.03</v>
      </c>
      <c r="Q1049" t="s">
        <v>1488</v>
      </c>
      <c r="R1049">
        <v>0</v>
      </c>
      <c r="S1049">
        <v>0</v>
      </c>
      <c r="T1049">
        <v>0</v>
      </c>
      <c r="U1049">
        <v>0</v>
      </c>
      <c r="V1049">
        <v>0</v>
      </c>
    </row>
    <row r="1050" spans="1:22" x14ac:dyDescent="0.25">
      <c r="A1050" t="s">
        <v>2364</v>
      </c>
      <c r="B1050" t="s">
        <v>997</v>
      </c>
      <c r="C1050">
        <v>18</v>
      </c>
      <c r="D1050" t="s">
        <v>260</v>
      </c>
      <c r="E1050" t="s">
        <v>140</v>
      </c>
      <c r="F1050" t="s">
        <v>66</v>
      </c>
      <c r="G1050">
        <v>0.22</v>
      </c>
      <c r="H1050" t="s">
        <v>57</v>
      </c>
      <c r="I1050">
        <v>0</v>
      </c>
      <c r="J1050" t="str">
        <f>HYPERLINK("https://www.eliteprospects.com/player/625757/vincent-fredette")</f>
        <v>https://www.eliteprospects.com/player/625757/vincent-fredette</v>
      </c>
      <c r="K1050" t="s">
        <v>27</v>
      </c>
      <c r="L1050" t="s">
        <v>918</v>
      </c>
      <c r="M1050" t="s">
        <v>1296</v>
      </c>
      <c r="N1050">
        <v>5</v>
      </c>
      <c r="O1050" t="s">
        <v>1094</v>
      </c>
      <c r="P1050">
        <v>0.03</v>
      </c>
      <c r="Q1050" t="s">
        <v>1488</v>
      </c>
      <c r="R1050">
        <v>0</v>
      </c>
      <c r="S1050">
        <v>0</v>
      </c>
      <c r="T1050">
        <v>0</v>
      </c>
      <c r="U1050">
        <v>0</v>
      </c>
      <c r="V1050">
        <v>0</v>
      </c>
    </row>
    <row r="1051" spans="1:22" x14ac:dyDescent="0.25">
      <c r="A1051" t="s">
        <v>2365</v>
      </c>
      <c r="B1051" t="s">
        <v>1049</v>
      </c>
      <c r="C1051">
        <v>18</v>
      </c>
      <c r="D1051" t="s">
        <v>260</v>
      </c>
      <c r="E1051" t="s">
        <v>140</v>
      </c>
      <c r="F1051" t="s">
        <v>66</v>
      </c>
      <c r="G1051">
        <v>0.22</v>
      </c>
      <c r="H1051" t="s">
        <v>55</v>
      </c>
      <c r="I1051">
        <v>-8</v>
      </c>
      <c r="J1051" t="str">
        <f>HYPERLINK("https://www.eliteprospects.com/player/647235/samuel-borschowa")</f>
        <v>https://www.eliteprospects.com/player/647235/samuel-borschowa</v>
      </c>
      <c r="K1051" t="s">
        <v>27</v>
      </c>
      <c r="L1051" t="s">
        <v>918</v>
      </c>
      <c r="M1051" t="s">
        <v>1296</v>
      </c>
      <c r="N1051">
        <v>4</v>
      </c>
      <c r="O1051" t="s">
        <v>978</v>
      </c>
      <c r="P1051">
        <v>0.03</v>
      </c>
      <c r="Q1051" t="s">
        <v>1488</v>
      </c>
      <c r="R1051">
        <v>0</v>
      </c>
      <c r="S1051">
        <v>0</v>
      </c>
      <c r="T1051">
        <v>0</v>
      </c>
      <c r="U1051">
        <v>0</v>
      </c>
      <c r="V1051">
        <v>0</v>
      </c>
    </row>
    <row r="1052" spans="1:22" x14ac:dyDescent="0.25">
      <c r="A1052" t="s">
        <v>2366</v>
      </c>
      <c r="B1052" t="s">
        <v>991</v>
      </c>
      <c r="C1052">
        <v>18</v>
      </c>
      <c r="D1052" t="s">
        <v>260</v>
      </c>
      <c r="E1052" t="s">
        <v>140</v>
      </c>
      <c r="F1052" t="s">
        <v>66</v>
      </c>
      <c r="G1052">
        <v>0.22</v>
      </c>
      <c r="H1052" t="s">
        <v>24</v>
      </c>
      <c r="I1052">
        <v>0</v>
      </c>
      <c r="J1052" t="str">
        <f>HYPERLINK("https://www.eliteprospects.com/player/403779/chase-lacombe")</f>
        <v>https://www.eliteprospects.com/player/403779/chase-lacombe</v>
      </c>
      <c r="K1052" t="s">
        <v>27</v>
      </c>
      <c r="L1052" t="s">
        <v>918</v>
      </c>
      <c r="M1052" t="s">
        <v>1296</v>
      </c>
      <c r="N1052">
        <v>5</v>
      </c>
      <c r="O1052" t="s">
        <v>2292</v>
      </c>
      <c r="P1052">
        <v>0.03</v>
      </c>
      <c r="Q1052" t="s">
        <v>1488</v>
      </c>
      <c r="R1052">
        <v>0</v>
      </c>
      <c r="S1052">
        <v>0</v>
      </c>
      <c r="T1052">
        <v>0</v>
      </c>
      <c r="U1052">
        <v>0</v>
      </c>
      <c r="V1052">
        <v>0</v>
      </c>
    </row>
    <row r="1053" spans="1:22" x14ac:dyDescent="0.25">
      <c r="A1053" t="s">
        <v>2367</v>
      </c>
      <c r="B1053" t="s">
        <v>944</v>
      </c>
      <c r="C1053">
        <v>19</v>
      </c>
      <c r="D1053" t="s">
        <v>260</v>
      </c>
      <c r="E1053" t="s">
        <v>140</v>
      </c>
      <c r="F1053" t="s">
        <v>66</v>
      </c>
      <c r="G1053">
        <v>0.21</v>
      </c>
      <c r="H1053" t="s">
        <v>589</v>
      </c>
      <c r="I1053">
        <v>5</v>
      </c>
      <c r="J1053" t="str">
        <f>HYPERLINK("https://www.eliteprospects.com/player/382864/alexis-arsenault")</f>
        <v>https://www.eliteprospects.com/player/382864/alexis-arsenault</v>
      </c>
      <c r="K1053" t="s">
        <v>27</v>
      </c>
      <c r="L1053" t="s">
        <v>918</v>
      </c>
      <c r="M1053" t="s">
        <v>1296</v>
      </c>
      <c r="N1053">
        <v>6</v>
      </c>
      <c r="O1053" t="s">
        <v>1057</v>
      </c>
      <c r="P1053">
        <v>0.03</v>
      </c>
      <c r="Q1053" t="s">
        <v>1488</v>
      </c>
      <c r="R1053">
        <v>0</v>
      </c>
      <c r="S1053">
        <v>0</v>
      </c>
      <c r="T1053">
        <v>0</v>
      </c>
      <c r="U1053">
        <v>0</v>
      </c>
      <c r="V1053">
        <v>0</v>
      </c>
    </row>
    <row r="1054" spans="1:22" x14ac:dyDescent="0.25">
      <c r="A1054" t="s">
        <v>2368</v>
      </c>
      <c r="B1054" t="s">
        <v>931</v>
      </c>
      <c r="C1054">
        <v>11</v>
      </c>
      <c r="D1054" t="s">
        <v>132</v>
      </c>
      <c r="E1054" t="s">
        <v>66</v>
      </c>
      <c r="F1054" t="s">
        <v>66</v>
      </c>
      <c r="G1054">
        <v>0.36</v>
      </c>
      <c r="H1054" t="s">
        <v>57</v>
      </c>
      <c r="I1054">
        <v>-3</v>
      </c>
      <c r="J1054" t="str">
        <f>HYPERLINK("https://www.eliteprospects.com/player/523482/leith-olafson")</f>
        <v>https://www.eliteprospects.com/player/523482/leith-olafson</v>
      </c>
      <c r="K1054" t="s">
        <v>27</v>
      </c>
      <c r="L1054" t="s">
        <v>918</v>
      </c>
      <c r="M1054" t="s">
        <v>1296</v>
      </c>
      <c r="N1054">
        <v>1</v>
      </c>
      <c r="O1054" t="s">
        <v>984</v>
      </c>
      <c r="P1054">
        <v>0.04</v>
      </c>
      <c r="Q1054" t="s">
        <v>1488</v>
      </c>
      <c r="R1054">
        <v>0</v>
      </c>
      <c r="S1054">
        <v>0</v>
      </c>
      <c r="T1054">
        <v>0</v>
      </c>
      <c r="U1054">
        <v>0</v>
      </c>
      <c r="V1054">
        <v>0</v>
      </c>
    </row>
    <row r="1055" spans="1:22" x14ac:dyDescent="0.25">
      <c r="A1055" t="s">
        <v>2369</v>
      </c>
      <c r="B1055" t="s">
        <v>939</v>
      </c>
      <c r="C1055">
        <v>12</v>
      </c>
      <c r="D1055" t="s">
        <v>132</v>
      </c>
      <c r="E1055" t="s">
        <v>66</v>
      </c>
      <c r="F1055" t="s">
        <v>66</v>
      </c>
      <c r="G1055">
        <v>0.33</v>
      </c>
      <c r="H1055" t="s">
        <v>26</v>
      </c>
      <c r="I1055">
        <v>0</v>
      </c>
      <c r="J1055" t="str">
        <f>HYPERLINK("https://www.eliteprospects.com/player/279032/ty-prefontaine")</f>
        <v>https://www.eliteprospects.com/player/279032/ty-prefontaine</v>
      </c>
      <c r="K1055" t="s">
        <v>27</v>
      </c>
      <c r="L1055" t="s">
        <v>918</v>
      </c>
      <c r="M1055" t="s">
        <v>1296</v>
      </c>
      <c r="N1055">
        <v>6</v>
      </c>
      <c r="O1055" t="s">
        <v>975</v>
      </c>
      <c r="P1055">
        <v>0.04</v>
      </c>
      <c r="Q1055" t="s">
        <v>1488</v>
      </c>
      <c r="R1055">
        <v>0</v>
      </c>
      <c r="S1055">
        <v>0</v>
      </c>
      <c r="T1055">
        <v>0</v>
      </c>
      <c r="U1055">
        <v>0</v>
      </c>
      <c r="V1055">
        <v>0</v>
      </c>
    </row>
    <row r="1056" spans="1:22" x14ac:dyDescent="0.25">
      <c r="A1056" t="s">
        <v>2370</v>
      </c>
      <c r="B1056" t="s">
        <v>966</v>
      </c>
      <c r="C1056">
        <v>12</v>
      </c>
      <c r="D1056" t="s">
        <v>132</v>
      </c>
      <c r="E1056" t="s">
        <v>66</v>
      </c>
      <c r="F1056" t="s">
        <v>66</v>
      </c>
      <c r="G1056">
        <v>0.33</v>
      </c>
      <c r="H1056" t="s">
        <v>269</v>
      </c>
      <c r="I1056">
        <v>6</v>
      </c>
      <c r="J1056" t="str">
        <f>HYPERLINK("https://www.eliteprospects.com/player/337731/luke-zazula")</f>
        <v>https://www.eliteprospects.com/player/337731/luke-zazula</v>
      </c>
      <c r="K1056" t="s">
        <v>27</v>
      </c>
      <c r="L1056" t="s">
        <v>918</v>
      </c>
      <c r="M1056" t="s">
        <v>1296</v>
      </c>
      <c r="N1056">
        <v>6</v>
      </c>
      <c r="O1056" t="s">
        <v>932</v>
      </c>
      <c r="P1056">
        <v>0.04</v>
      </c>
      <c r="Q1056" t="s">
        <v>1488</v>
      </c>
      <c r="R1056">
        <v>0</v>
      </c>
      <c r="S1056">
        <v>0</v>
      </c>
      <c r="T1056">
        <v>0</v>
      </c>
      <c r="U1056">
        <v>0</v>
      </c>
      <c r="V1056">
        <v>0</v>
      </c>
    </row>
    <row r="1057" spans="1:22" x14ac:dyDescent="0.25">
      <c r="A1057" t="s">
        <v>2371</v>
      </c>
      <c r="B1057" t="s">
        <v>942</v>
      </c>
      <c r="C1057">
        <v>14</v>
      </c>
      <c r="D1057" t="s">
        <v>132</v>
      </c>
      <c r="E1057" t="s">
        <v>66</v>
      </c>
      <c r="F1057" t="s">
        <v>66</v>
      </c>
      <c r="G1057">
        <v>0.28999999999999998</v>
      </c>
      <c r="H1057" t="s">
        <v>81</v>
      </c>
      <c r="I1057">
        <v>0</v>
      </c>
      <c r="J1057" t="str">
        <f>HYPERLINK("https://www.eliteprospects.com/player/582757/jaden-raad")</f>
        <v>https://www.eliteprospects.com/player/582757/jaden-raad</v>
      </c>
      <c r="K1057" t="s">
        <v>27</v>
      </c>
      <c r="L1057" t="s">
        <v>918</v>
      </c>
      <c r="M1057" t="s">
        <v>1296</v>
      </c>
      <c r="N1057">
        <v>2</v>
      </c>
      <c r="O1057" t="s">
        <v>1021</v>
      </c>
      <c r="P1057">
        <v>0.04</v>
      </c>
      <c r="Q1057" t="s">
        <v>1488</v>
      </c>
      <c r="R1057">
        <v>0</v>
      </c>
      <c r="S1057">
        <v>0</v>
      </c>
      <c r="T1057">
        <v>0</v>
      </c>
      <c r="U1057">
        <v>0</v>
      </c>
      <c r="V1057">
        <v>0</v>
      </c>
    </row>
    <row r="1058" spans="1:22" x14ac:dyDescent="0.25">
      <c r="A1058" t="s">
        <v>2372</v>
      </c>
      <c r="B1058" t="s">
        <v>1005</v>
      </c>
      <c r="C1058">
        <v>15</v>
      </c>
      <c r="D1058" t="s">
        <v>132</v>
      </c>
      <c r="E1058" t="s">
        <v>66</v>
      </c>
      <c r="F1058" t="s">
        <v>66</v>
      </c>
      <c r="G1058">
        <v>0.27</v>
      </c>
      <c r="H1058" t="s">
        <v>132</v>
      </c>
      <c r="I1058">
        <v>0</v>
      </c>
      <c r="J1058" t="str">
        <f>HYPERLINK("https://www.eliteprospects.com/player/413829/james-mayotte")</f>
        <v>https://www.eliteprospects.com/player/413829/james-mayotte</v>
      </c>
      <c r="K1058" t="s">
        <v>27</v>
      </c>
      <c r="L1058" t="s">
        <v>918</v>
      </c>
      <c r="M1058" t="s">
        <v>1296</v>
      </c>
      <c r="N1058">
        <v>5</v>
      </c>
      <c r="O1058" t="s">
        <v>935</v>
      </c>
      <c r="P1058">
        <v>0.03</v>
      </c>
      <c r="Q1058" t="s">
        <v>1488</v>
      </c>
      <c r="R1058">
        <v>0</v>
      </c>
      <c r="S1058">
        <v>0</v>
      </c>
      <c r="T1058">
        <v>0</v>
      </c>
      <c r="U1058">
        <v>0</v>
      </c>
      <c r="V1058">
        <v>0</v>
      </c>
    </row>
    <row r="1059" spans="1:22" x14ac:dyDescent="0.25">
      <c r="A1059" t="s">
        <v>2373</v>
      </c>
      <c r="B1059" t="s">
        <v>1001</v>
      </c>
      <c r="C1059">
        <v>15</v>
      </c>
      <c r="D1059" t="s">
        <v>132</v>
      </c>
      <c r="E1059" t="s">
        <v>66</v>
      </c>
      <c r="F1059" t="s">
        <v>66</v>
      </c>
      <c r="G1059">
        <v>0.27</v>
      </c>
      <c r="H1059" t="s">
        <v>32</v>
      </c>
      <c r="I1059">
        <v>-11</v>
      </c>
      <c r="J1059" t="str">
        <f>HYPERLINK("https://www.eliteprospects.com/player/524809/jared-cosman")</f>
        <v>https://www.eliteprospects.com/player/524809/jared-cosman</v>
      </c>
      <c r="K1059" t="s">
        <v>27</v>
      </c>
      <c r="L1059" t="s">
        <v>918</v>
      </c>
      <c r="M1059" t="s">
        <v>1296</v>
      </c>
      <c r="N1059">
        <v>5</v>
      </c>
      <c r="O1059" t="s">
        <v>930</v>
      </c>
      <c r="P1059">
        <v>0.03</v>
      </c>
      <c r="Q1059" t="s">
        <v>1488</v>
      </c>
      <c r="R1059">
        <v>0</v>
      </c>
      <c r="S1059">
        <v>0</v>
      </c>
      <c r="T1059">
        <v>0</v>
      </c>
      <c r="U1059">
        <v>0</v>
      </c>
      <c r="V1059">
        <v>0</v>
      </c>
    </row>
    <row r="1060" spans="1:22" x14ac:dyDescent="0.25">
      <c r="A1060" t="s">
        <v>2374</v>
      </c>
      <c r="B1060" t="s">
        <v>1015</v>
      </c>
      <c r="C1060">
        <v>16</v>
      </c>
      <c r="D1060" t="s">
        <v>132</v>
      </c>
      <c r="E1060" t="s">
        <v>66</v>
      </c>
      <c r="F1060" t="s">
        <v>66</v>
      </c>
      <c r="G1060">
        <v>0.25</v>
      </c>
      <c r="H1060" t="s">
        <v>79</v>
      </c>
      <c r="I1060">
        <v>-13</v>
      </c>
      <c r="J1060" t="str">
        <f>HYPERLINK("https://www.eliteprospects.com/player/282381/aiden-yakimchuk")</f>
        <v>https://www.eliteprospects.com/player/282381/aiden-yakimchuk</v>
      </c>
      <c r="K1060" t="s">
        <v>27</v>
      </c>
      <c r="L1060" t="s">
        <v>918</v>
      </c>
      <c r="M1060" t="s">
        <v>1296</v>
      </c>
      <c r="N1060">
        <v>4</v>
      </c>
      <c r="O1060" t="s">
        <v>1150</v>
      </c>
      <c r="P1060">
        <v>0.03</v>
      </c>
      <c r="Q1060" t="s">
        <v>1488</v>
      </c>
      <c r="R1060">
        <v>0</v>
      </c>
      <c r="S1060">
        <v>0</v>
      </c>
      <c r="T1060">
        <v>0</v>
      </c>
      <c r="U1060">
        <v>0</v>
      </c>
      <c r="V1060">
        <v>0</v>
      </c>
    </row>
    <row r="1061" spans="1:22" x14ac:dyDescent="0.25">
      <c r="A1061" t="s">
        <v>2375</v>
      </c>
      <c r="B1061" t="s">
        <v>1003</v>
      </c>
      <c r="C1061">
        <v>16</v>
      </c>
      <c r="D1061" t="s">
        <v>132</v>
      </c>
      <c r="E1061" t="s">
        <v>66</v>
      </c>
      <c r="F1061" t="s">
        <v>66</v>
      </c>
      <c r="G1061">
        <v>0.25</v>
      </c>
      <c r="H1061" t="s">
        <v>26</v>
      </c>
      <c r="I1061">
        <v>0</v>
      </c>
      <c r="J1061" t="str">
        <f>HYPERLINK("https://www.eliteprospects.com/player/482067/nolan-ford")</f>
        <v>https://www.eliteprospects.com/player/482067/nolan-ford</v>
      </c>
      <c r="K1061" t="s">
        <v>27</v>
      </c>
      <c r="L1061" t="s">
        <v>918</v>
      </c>
      <c r="M1061" t="s">
        <v>1296</v>
      </c>
      <c r="N1061">
        <v>4</v>
      </c>
      <c r="O1061" t="s">
        <v>940</v>
      </c>
      <c r="P1061">
        <v>0.03</v>
      </c>
      <c r="Q1061" t="s">
        <v>1488</v>
      </c>
      <c r="R1061">
        <v>0</v>
      </c>
      <c r="S1061">
        <v>0</v>
      </c>
      <c r="T1061">
        <v>0</v>
      </c>
      <c r="U1061">
        <v>0</v>
      </c>
      <c r="V1061">
        <v>0</v>
      </c>
    </row>
    <row r="1062" spans="1:22" x14ac:dyDescent="0.25">
      <c r="A1062" t="s">
        <v>2376</v>
      </c>
      <c r="B1062" t="s">
        <v>1032</v>
      </c>
      <c r="C1062">
        <v>17</v>
      </c>
      <c r="D1062" t="s">
        <v>132</v>
      </c>
      <c r="E1062" t="s">
        <v>66</v>
      </c>
      <c r="F1062" t="s">
        <v>66</v>
      </c>
      <c r="G1062">
        <v>0.24</v>
      </c>
      <c r="H1062" t="s">
        <v>512</v>
      </c>
      <c r="I1062">
        <v>0</v>
      </c>
      <c r="J1062" t="str">
        <f>HYPERLINK("https://www.eliteprospects.com/player/711670/blair-scott")</f>
        <v>https://www.eliteprospects.com/player/711670/blair-scott</v>
      </c>
      <c r="K1062" t="s">
        <v>27</v>
      </c>
      <c r="L1062" t="s">
        <v>918</v>
      </c>
      <c r="M1062" t="s">
        <v>1296</v>
      </c>
      <c r="N1062">
        <v>4</v>
      </c>
      <c r="O1062" t="s">
        <v>1025</v>
      </c>
      <c r="P1062">
        <v>0.03</v>
      </c>
      <c r="Q1062" t="s">
        <v>1488</v>
      </c>
      <c r="R1062">
        <v>0</v>
      </c>
      <c r="S1062">
        <v>0</v>
      </c>
      <c r="T1062">
        <v>0</v>
      </c>
      <c r="U1062">
        <v>0</v>
      </c>
      <c r="V1062">
        <v>0</v>
      </c>
    </row>
    <row r="1063" spans="1:22" x14ac:dyDescent="0.25">
      <c r="A1063" t="s">
        <v>2377</v>
      </c>
      <c r="B1063" t="s">
        <v>972</v>
      </c>
      <c r="C1063">
        <v>18</v>
      </c>
      <c r="D1063" t="s">
        <v>132</v>
      </c>
      <c r="E1063" t="s">
        <v>66</v>
      </c>
      <c r="F1063" t="s">
        <v>66</v>
      </c>
      <c r="G1063">
        <v>0.22</v>
      </c>
      <c r="H1063" t="s">
        <v>32</v>
      </c>
      <c r="I1063">
        <v>0</v>
      </c>
      <c r="J1063" t="str">
        <f>HYPERLINK("https://www.eliteprospects.com/player/526230/marko-stojkov")</f>
        <v>https://www.eliteprospects.com/player/526230/marko-stojkov</v>
      </c>
      <c r="K1063" t="s">
        <v>27</v>
      </c>
      <c r="L1063" t="s">
        <v>918</v>
      </c>
      <c r="M1063" t="s">
        <v>1296</v>
      </c>
      <c r="N1063">
        <v>3</v>
      </c>
      <c r="O1063" t="s">
        <v>1211</v>
      </c>
      <c r="P1063">
        <v>0.03</v>
      </c>
      <c r="Q1063" t="s">
        <v>1488</v>
      </c>
      <c r="R1063">
        <v>0</v>
      </c>
      <c r="S1063">
        <v>0</v>
      </c>
      <c r="T1063">
        <v>0</v>
      </c>
      <c r="U1063">
        <v>0</v>
      </c>
      <c r="V1063">
        <v>0</v>
      </c>
    </row>
    <row r="1064" spans="1:22" x14ac:dyDescent="0.25">
      <c r="A1064" t="s">
        <v>2378</v>
      </c>
      <c r="B1064" t="s">
        <v>1032</v>
      </c>
      <c r="C1064">
        <v>18</v>
      </c>
      <c r="D1064" t="s">
        <v>132</v>
      </c>
      <c r="E1064" t="s">
        <v>66</v>
      </c>
      <c r="F1064" t="s">
        <v>66</v>
      </c>
      <c r="G1064">
        <v>0.22</v>
      </c>
      <c r="H1064" t="s">
        <v>23</v>
      </c>
      <c r="I1064">
        <v>0</v>
      </c>
      <c r="J1064" t="str">
        <f>HYPERLINK("https://www.eliteprospects.com/player/521752/jordan-hendry")</f>
        <v>https://www.eliteprospects.com/player/521752/jordan-hendry</v>
      </c>
      <c r="K1064" t="s">
        <v>27</v>
      </c>
      <c r="L1064" t="s">
        <v>918</v>
      </c>
      <c r="M1064" t="s">
        <v>1296</v>
      </c>
      <c r="N1064">
        <v>2</v>
      </c>
      <c r="O1064" t="s">
        <v>1021</v>
      </c>
      <c r="P1064">
        <v>0.03</v>
      </c>
      <c r="Q1064" t="s">
        <v>1488</v>
      </c>
      <c r="R1064">
        <v>0</v>
      </c>
      <c r="S1064">
        <v>0</v>
      </c>
      <c r="T1064">
        <v>0</v>
      </c>
      <c r="U1064">
        <v>0</v>
      </c>
      <c r="V1064">
        <v>0</v>
      </c>
    </row>
    <row r="1065" spans="1:22" x14ac:dyDescent="0.25">
      <c r="A1065" t="s">
        <v>2379</v>
      </c>
      <c r="B1065" t="s">
        <v>929</v>
      </c>
      <c r="C1065">
        <v>18</v>
      </c>
      <c r="D1065" t="s">
        <v>132</v>
      </c>
      <c r="E1065" t="s">
        <v>66</v>
      </c>
      <c r="F1065" t="s">
        <v>66</v>
      </c>
      <c r="G1065">
        <v>0.22</v>
      </c>
      <c r="H1065" t="s">
        <v>55</v>
      </c>
      <c r="I1065">
        <v>7</v>
      </c>
      <c r="J1065" t="str">
        <f>HYPERLINK("https://www.eliteprospects.com/player/449203/alexandre-de-gagne")</f>
        <v>https://www.eliteprospects.com/player/449203/alexandre-de-gagne</v>
      </c>
      <c r="K1065" t="s">
        <v>27</v>
      </c>
      <c r="L1065" t="s">
        <v>918</v>
      </c>
      <c r="M1065" t="s">
        <v>1296</v>
      </c>
      <c r="N1065">
        <v>6</v>
      </c>
      <c r="O1065" t="s">
        <v>1057</v>
      </c>
      <c r="P1065">
        <v>0.03</v>
      </c>
      <c r="Q1065" t="s">
        <v>1488</v>
      </c>
      <c r="R1065">
        <v>0</v>
      </c>
      <c r="S1065">
        <v>0</v>
      </c>
      <c r="T1065">
        <v>0</v>
      </c>
      <c r="U1065">
        <v>0</v>
      </c>
      <c r="V1065">
        <v>0</v>
      </c>
    </row>
    <row r="1066" spans="1:22" x14ac:dyDescent="0.25">
      <c r="A1066" t="s">
        <v>2380</v>
      </c>
      <c r="B1066" t="s">
        <v>1084</v>
      </c>
      <c r="C1066">
        <v>18</v>
      </c>
      <c r="D1066" t="s">
        <v>132</v>
      </c>
      <c r="E1066" t="s">
        <v>66</v>
      </c>
      <c r="F1066" t="s">
        <v>66</v>
      </c>
      <c r="G1066">
        <v>0.22</v>
      </c>
      <c r="H1066" t="s">
        <v>40</v>
      </c>
      <c r="I1066">
        <v>0</v>
      </c>
      <c r="J1066" t="str">
        <f>HYPERLINK("https://www.eliteprospects.com/player/749299/james-mcdowall")</f>
        <v>https://www.eliteprospects.com/player/749299/james-mcdowall</v>
      </c>
      <c r="K1066" t="s">
        <v>27</v>
      </c>
      <c r="L1066" t="s">
        <v>918</v>
      </c>
      <c r="M1066" t="s">
        <v>1296</v>
      </c>
      <c r="N1066">
        <v>1</v>
      </c>
      <c r="O1066" t="s">
        <v>984</v>
      </c>
      <c r="P1066">
        <v>0.03</v>
      </c>
      <c r="Q1066" t="s">
        <v>1488</v>
      </c>
      <c r="R1066">
        <v>0</v>
      </c>
      <c r="S1066">
        <v>0</v>
      </c>
      <c r="T1066">
        <v>0</v>
      </c>
      <c r="U1066">
        <v>0</v>
      </c>
      <c r="V1066">
        <v>0</v>
      </c>
    </row>
    <row r="1067" spans="1:22" x14ac:dyDescent="0.25">
      <c r="A1067" t="s">
        <v>2381</v>
      </c>
      <c r="B1067" t="s">
        <v>1053</v>
      </c>
      <c r="C1067">
        <v>18</v>
      </c>
      <c r="D1067" t="s">
        <v>132</v>
      </c>
      <c r="E1067" t="s">
        <v>66</v>
      </c>
      <c r="F1067" t="s">
        <v>66</v>
      </c>
      <c r="G1067">
        <v>0.22</v>
      </c>
      <c r="H1067" t="s">
        <v>280</v>
      </c>
      <c r="I1067">
        <v>0</v>
      </c>
      <c r="J1067" t="str">
        <f>HYPERLINK("https://www.eliteprospects.com/player/479568/david-mabey")</f>
        <v>https://www.eliteprospects.com/player/479568/david-mabey</v>
      </c>
      <c r="K1067" t="s">
        <v>27</v>
      </c>
      <c r="L1067" t="s">
        <v>918</v>
      </c>
      <c r="M1067" t="s">
        <v>1296</v>
      </c>
      <c r="N1067">
        <v>3</v>
      </c>
      <c r="O1067" t="s">
        <v>962</v>
      </c>
      <c r="P1067">
        <v>0.03</v>
      </c>
      <c r="Q1067" t="s">
        <v>1488</v>
      </c>
      <c r="R1067">
        <v>0</v>
      </c>
      <c r="S1067">
        <v>0</v>
      </c>
      <c r="T1067">
        <v>0</v>
      </c>
      <c r="U1067">
        <v>0</v>
      </c>
      <c r="V1067">
        <v>0</v>
      </c>
    </row>
    <row r="1068" spans="1:22" x14ac:dyDescent="0.25">
      <c r="A1068" t="s">
        <v>2382</v>
      </c>
      <c r="B1068" t="s">
        <v>923</v>
      </c>
      <c r="C1068">
        <v>12</v>
      </c>
      <c r="D1068" t="s">
        <v>79</v>
      </c>
      <c r="E1068" t="s">
        <v>260</v>
      </c>
      <c r="F1068" t="s">
        <v>140</v>
      </c>
      <c r="G1068">
        <v>0.25</v>
      </c>
      <c r="H1068" t="s">
        <v>26</v>
      </c>
      <c r="I1068">
        <v>2</v>
      </c>
      <c r="J1068" t="str">
        <f>HYPERLINK("https://www.eliteprospects.com/player/575014/kaiden-bugera")</f>
        <v>https://www.eliteprospects.com/player/575014/kaiden-bugera</v>
      </c>
      <c r="K1068" t="s">
        <v>27</v>
      </c>
      <c r="L1068" t="s">
        <v>918</v>
      </c>
      <c r="M1068" t="s">
        <v>1296</v>
      </c>
      <c r="N1068">
        <v>1</v>
      </c>
      <c r="O1068" t="s">
        <v>984</v>
      </c>
      <c r="P1068">
        <v>0.03</v>
      </c>
      <c r="Q1068" t="s">
        <v>1488</v>
      </c>
      <c r="R1068">
        <v>0</v>
      </c>
      <c r="S1068">
        <v>0</v>
      </c>
      <c r="T1068">
        <v>0</v>
      </c>
      <c r="U1068">
        <v>0</v>
      </c>
      <c r="V1068">
        <v>0</v>
      </c>
    </row>
    <row r="1069" spans="1:22" x14ac:dyDescent="0.25">
      <c r="A1069" t="s">
        <v>2383</v>
      </c>
      <c r="B1069" t="s">
        <v>923</v>
      </c>
      <c r="C1069">
        <v>13</v>
      </c>
      <c r="D1069" t="s">
        <v>79</v>
      </c>
      <c r="E1069" t="s">
        <v>260</v>
      </c>
      <c r="F1069" t="s">
        <v>140</v>
      </c>
      <c r="G1069">
        <v>0.23</v>
      </c>
      <c r="H1069" t="s">
        <v>66</v>
      </c>
      <c r="I1069">
        <v>3</v>
      </c>
      <c r="J1069" t="str">
        <f>HYPERLINK("https://www.eliteprospects.com/player/569263/tre-fouquette")</f>
        <v>https://www.eliteprospects.com/player/569263/tre-fouquette</v>
      </c>
      <c r="K1069" t="s">
        <v>27</v>
      </c>
      <c r="L1069" t="s">
        <v>918</v>
      </c>
      <c r="M1069" t="s">
        <v>1296</v>
      </c>
      <c r="N1069">
        <v>5</v>
      </c>
      <c r="O1069" t="s">
        <v>979</v>
      </c>
      <c r="P1069">
        <v>0.03</v>
      </c>
      <c r="Q1069" t="s">
        <v>1488</v>
      </c>
      <c r="R1069">
        <v>0</v>
      </c>
      <c r="S1069">
        <v>0</v>
      </c>
      <c r="T1069">
        <v>0</v>
      </c>
      <c r="U1069">
        <v>0</v>
      </c>
      <c r="V1069">
        <v>0</v>
      </c>
    </row>
    <row r="1070" spans="1:22" x14ac:dyDescent="0.25">
      <c r="A1070" t="s">
        <v>2384</v>
      </c>
      <c r="B1070" t="s">
        <v>1005</v>
      </c>
      <c r="C1070">
        <v>19</v>
      </c>
      <c r="D1070" t="s">
        <v>79</v>
      </c>
      <c r="E1070" t="s">
        <v>260</v>
      </c>
      <c r="F1070" t="s">
        <v>140</v>
      </c>
      <c r="G1070">
        <v>0.16</v>
      </c>
      <c r="H1070" t="s">
        <v>52</v>
      </c>
      <c r="I1070">
        <v>0</v>
      </c>
      <c r="J1070" t="str">
        <f>HYPERLINK("https://www.eliteprospects.com/player/412431/majid-kaddoura")</f>
        <v>https://www.eliteprospects.com/player/412431/majid-kaddoura</v>
      </c>
      <c r="K1070" t="s">
        <v>27</v>
      </c>
      <c r="L1070" t="s">
        <v>918</v>
      </c>
      <c r="M1070" t="s">
        <v>1296</v>
      </c>
      <c r="N1070">
        <v>6</v>
      </c>
      <c r="O1070" t="s">
        <v>927</v>
      </c>
      <c r="P1070">
        <v>0.02</v>
      </c>
      <c r="Q1070" t="s">
        <v>1488</v>
      </c>
      <c r="R1070">
        <v>0</v>
      </c>
      <c r="S1070">
        <v>0</v>
      </c>
      <c r="T1070">
        <v>0</v>
      </c>
      <c r="U1070">
        <v>0</v>
      </c>
      <c r="V1070">
        <v>0</v>
      </c>
    </row>
    <row r="1071" spans="1:22" x14ac:dyDescent="0.25">
      <c r="A1071" t="s">
        <v>2385</v>
      </c>
      <c r="B1071" t="s">
        <v>926</v>
      </c>
      <c r="C1071">
        <v>13</v>
      </c>
      <c r="D1071" t="s">
        <v>260</v>
      </c>
      <c r="E1071" t="s">
        <v>79</v>
      </c>
      <c r="F1071" t="s">
        <v>140</v>
      </c>
      <c r="G1071">
        <v>0.23</v>
      </c>
      <c r="H1071" t="s">
        <v>132</v>
      </c>
      <c r="I1071">
        <v>2</v>
      </c>
      <c r="J1071" t="str">
        <f>HYPERLINK("https://www.eliteprospects.com/player/291453/matthew-smith")</f>
        <v>https://www.eliteprospects.com/player/291453/matthew-smith</v>
      </c>
      <c r="K1071" t="s">
        <v>27</v>
      </c>
      <c r="L1071" t="s">
        <v>918</v>
      </c>
      <c r="M1071" t="s">
        <v>1296</v>
      </c>
      <c r="N1071">
        <v>6</v>
      </c>
      <c r="O1071" t="s">
        <v>932</v>
      </c>
      <c r="P1071">
        <v>0.03</v>
      </c>
      <c r="Q1071" t="s">
        <v>1488</v>
      </c>
      <c r="R1071">
        <v>0</v>
      </c>
      <c r="S1071">
        <v>0</v>
      </c>
      <c r="T1071">
        <v>0</v>
      </c>
      <c r="U1071">
        <v>0</v>
      </c>
      <c r="V1071">
        <v>0</v>
      </c>
    </row>
    <row r="1072" spans="1:22" x14ac:dyDescent="0.25">
      <c r="A1072" t="s">
        <v>2386</v>
      </c>
      <c r="B1072" t="s">
        <v>939</v>
      </c>
      <c r="C1072">
        <v>14</v>
      </c>
      <c r="D1072" t="s">
        <v>260</v>
      </c>
      <c r="E1072" t="s">
        <v>79</v>
      </c>
      <c r="F1072" t="s">
        <v>140</v>
      </c>
      <c r="G1072">
        <v>0.21</v>
      </c>
      <c r="H1072" t="s">
        <v>24</v>
      </c>
      <c r="I1072">
        <v>-1</v>
      </c>
      <c r="J1072" t="str">
        <f>HYPERLINK("https://www.eliteprospects.com/player/201953/cole-jordan")</f>
        <v>https://www.eliteprospects.com/player/201953/cole-jordan</v>
      </c>
      <c r="K1072" t="s">
        <v>27</v>
      </c>
      <c r="L1072" t="s">
        <v>918</v>
      </c>
      <c r="M1072" t="s">
        <v>1296</v>
      </c>
      <c r="N1072">
        <v>6</v>
      </c>
      <c r="O1072" t="s">
        <v>924</v>
      </c>
      <c r="P1072">
        <v>0.03</v>
      </c>
      <c r="Q1072" t="s">
        <v>1488</v>
      </c>
      <c r="R1072">
        <v>0</v>
      </c>
      <c r="S1072">
        <v>0</v>
      </c>
      <c r="T1072">
        <v>0</v>
      </c>
      <c r="U1072">
        <v>0</v>
      </c>
      <c r="V1072">
        <v>0</v>
      </c>
    </row>
    <row r="1073" spans="1:22" x14ac:dyDescent="0.25">
      <c r="A1073" t="s">
        <v>2387</v>
      </c>
      <c r="B1073" t="s">
        <v>947</v>
      </c>
      <c r="C1073">
        <v>15</v>
      </c>
      <c r="D1073" t="s">
        <v>260</v>
      </c>
      <c r="E1073" t="s">
        <v>79</v>
      </c>
      <c r="F1073" t="s">
        <v>140</v>
      </c>
      <c r="G1073">
        <v>0.2</v>
      </c>
      <c r="H1073" t="s">
        <v>53</v>
      </c>
      <c r="I1073">
        <v>0</v>
      </c>
      <c r="J1073" t="str">
        <f>HYPERLINK("https://www.eliteprospects.com/player/481408/ian-ferguson")</f>
        <v>https://www.eliteprospects.com/player/481408/ian-ferguson</v>
      </c>
      <c r="K1073" t="s">
        <v>27</v>
      </c>
      <c r="L1073" t="s">
        <v>918</v>
      </c>
      <c r="M1073" t="s">
        <v>1296</v>
      </c>
      <c r="N1073">
        <v>6</v>
      </c>
      <c r="O1073" t="s">
        <v>924</v>
      </c>
      <c r="P1073">
        <v>0.02</v>
      </c>
      <c r="Q1073" t="s">
        <v>1488</v>
      </c>
      <c r="R1073">
        <v>0</v>
      </c>
      <c r="S1073">
        <v>0</v>
      </c>
      <c r="T1073">
        <v>0</v>
      </c>
      <c r="U1073">
        <v>0</v>
      </c>
      <c r="V1073">
        <v>0</v>
      </c>
    </row>
    <row r="1074" spans="1:22" x14ac:dyDescent="0.25">
      <c r="A1074" t="s">
        <v>2388</v>
      </c>
      <c r="B1074" t="s">
        <v>944</v>
      </c>
      <c r="C1074">
        <v>17</v>
      </c>
      <c r="D1074" t="s">
        <v>260</v>
      </c>
      <c r="E1074" t="s">
        <v>79</v>
      </c>
      <c r="F1074" t="s">
        <v>140</v>
      </c>
      <c r="G1074">
        <v>0.18</v>
      </c>
      <c r="H1074" t="s">
        <v>529</v>
      </c>
      <c r="I1074">
        <v>3</v>
      </c>
      <c r="J1074" t="str">
        <f>HYPERLINK("https://www.eliteprospects.com/player/571212/charles-cote")</f>
        <v>https://www.eliteprospects.com/player/571212/charles-cote</v>
      </c>
      <c r="K1074" t="s">
        <v>27</v>
      </c>
      <c r="L1074" t="s">
        <v>918</v>
      </c>
      <c r="M1074" t="s">
        <v>1296</v>
      </c>
      <c r="N1074">
        <v>5</v>
      </c>
      <c r="O1074" t="s">
        <v>930</v>
      </c>
      <c r="P1074">
        <v>0.02</v>
      </c>
      <c r="Q1074" t="s">
        <v>1488</v>
      </c>
      <c r="R1074">
        <v>0</v>
      </c>
      <c r="S1074">
        <v>0</v>
      </c>
      <c r="T1074">
        <v>0</v>
      </c>
      <c r="U1074">
        <v>0</v>
      </c>
      <c r="V1074">
        <v>0</v>
      </c>
    </row>
    <row r="1075" spans="1:22" x14ac:dyDescent="0.25">
      <c r="A1075" t="s">
        <v>2389</v>
      </c>
      <c r="B1075" t="s">
        <v>991</v>
      </c>
      <c r="C1075">
        <v>18</v>
      </c>
      <c r="D1075" t="s">
        <v>260</v>
      </c>
      <c r="E1075" t="s">
        <v>79</v>
      </c>
      <c r="F1075" t="s">
        <v>140</v>
      </c>
      <c r="G1075">
        <v>0.17</v>
      </c>
      <c r="H1075" t="s">
        <v>125</v>
      </c>
      <c r="I1075">
        <v>0</v>
      </c>
      <c r="J1075" t="str">
        <f>HYPERLINK("https://www.eliteprospects.com/player/300779/willem-larsen")</f>
        <v>https://www.eliteprospects.com/player/300779/willem-larsen</v>
      </c>
      <c r="K1075" t="s">
        <v>27</v>
      </c>
      <c r="L1075" t="s">
        <v>918</v>
      </c>
      <c r="M1075" t="s">
        <v>1296</v>
      </c>
      <c r="N1075">
        <v>4</v>
      </c>
      <c r="O1075" t="s">
        <v>940</v>
      </c>
      <c r="P1075">
        <v>0.02</v>
      </c>
      <c r="Q1075" t="s">
        <v>1488</v>
      </c>
      <c r="R1075">
        <v>0</v>
      </c>
      <c r="S1075">
        <v>0</v>
      </c>
      <c r="T1075">
        <v>0</v>
      </c>
      <c r="U1075">
        <v>0</v>
      </c>
      <c r="V1075">
        <v>0</v>
      </c>
    </row>
    <row r="1076" spans="1:22" x14ac:dyDescent="0.25">
      <c r="A1076" t="s">
        <v>2390</v>
      </c>
      <c r="B1076" t="s">
        <v>929</v>
      </c>
      <c r="C1076">
        <v>18</v>
      </c>
      <c r="D1076" t="s">
        <v>260</v>
      </c>
      <c r="E1076" t="s">
        <v>79</v>
      </c>
      <c r="F1076" t="s">
        <v>140</v>
      </c>
      <c r="G1076">
        <v>0.17</v>
      </c>
      <c r="H1076" t="s">
        <v>638</v>
      </c>
      <c r="I1076">
        <v>-1</v>
      </c>
      <c r="J1076" t="str">
        <f>HYPERLINK("https://www.eliteprospects.com/player/598379/antoine-michaud")</f>
        <v>https://www.eliteprospects.com/player/598379/antoine-michaud</v>
      </c>
      <c r="K1076" t="s">
        <v>27</v>
      </c>
      <c r="L1076" t="s">
        <v>918</v>
      </c>
      <c r="M1076" t="s">
        <v>1296</v>
      </c>
      <c r="N1076">
        <v>5</v>
      </c>
      <c r="O1076" t="s">
        <v>930</v>
      </c>
      <c r="P1076">
        <v>0.02</v>
      </c>
      <c r="Q1076" t="s">
        <v>1488</v>
      </c>
      <c r="R1076">
        <v>0</v>
      </c>
      <c r="S1076">
        <v>0</v>
      </c>
      <c r="T1076">
        <v>0</v>
      </c>
      <c r="U1076">
        <v>0</v>
      </c>
      <c r="V1076">
        <v>0</v>
      </c>
    </row>
    <row r="1077" spans="1:22" x14ac:dyDescent="0.25">
      <c r="A1077" t="s">
        <v>2391</v>
      </c>
      <c r="B1077" t="s">
        <v>1011</v>
      </c>
      <c r="C1077">
        <v>18</v>
      </c>
      <c r="D1077" t="s">
        <v>260</v>
      </c>
      <c r="E1077" t="s">
        <v>79</v>
      </c>
      <c r="F1077" t="s">
        <v>140</v>
      </c>
      <c r="G1077">
        <v>0.17</v>
      </c>
      <c r="H1077" t="s">
        <v>716</v>
      </c>
      <c r="I1077">
        <v>0</v>
      </c>
      <c r="J1077" t="str">
        <f>HYPERLINK("https://www.eliteprospects.com/player/418415/mark-woolley")</f>
        <v>https://www.eliteprospects.com/player/418415/mark-woolley</v>
      </c>
      <c r="K1077" t="s">
        <v>27</v>
      </c>
      <c r="L1077" t="s">
        <v>918</v>
      </c>
      <c r="M1077" t="s">
        <v>1296</v>
      </c>
      <c r="N1077">
        <v>5</v>
      </c>
      <c r="O1077" t="s">
        <v>935</v>
      </c>
      <c r="P1077">
        <v>0.02</v>
      </c>
      <c r="Q1077" t="s">
        <v>1488</v>
      </c>
      <c r="R1077">
        <v>0</v>
      </c>
      <c r="S1077">
        <v>0</v>
      </c>
      <c r="T1077">
        <v>0</v>
      </c>
      <c r="U1077">
        <v>0</v>
      </c>
      <c r="V1077">
        <v>0</v>
      </c>
    </row>
    <row r="1078" spans="1:22" x14ac:dyDescent="0.25">
      <c r="A1078" t="s">
        <v>2392</v>
      </c>
      <c r="B1078" t="s">
        <v>931</v>
      </c>
      <c r="C1078">
        <v>20</v>
      </c>
      <c r="D1078" t="s">
        <v>260</v>
      </c>
      <c r="E1078" t="s">
        <v>79</v>
      </c>
      <c r="F1078" t="s">
        <v>140</v>
      </c>
      <c r="G1078">
        <v>0.15</v>
      </c>
      <c r="H1078" t="s">
        <v>132</v>
      </c>
      <c r="I1078">
        <v>-1</v>
      </c>
      <c r="J1078" t="str">
        <f>HYPERLINK("https://www.eliteprospects.com/player/351084/mike-ladyman")</f>
        <v>https://www.eliteprospects.com/player/351084/mike-ladyman</v>
      </c>
      <c r="K1078" t="s">
        <v>27</v>
      </c>
      <c r="L1078" t="s">
        <v>918</v>
      </c>
      <c r="M1078" t="s">
        <v>1296</v>
      </c>
      <c r="N1078">
        <v>5</v>
      </c>
      <c r="O1078" t="s">
        <v>1107</v>
      </c>
      <c r="P1078">
        <v>0.02</v>
      </c>
      <c r="Q1078" t="s">
        <v>1488</v>
      </c>
      <c r="R1078">
        <v>0</v>
      </c>
      <c r="S1078">
        <v>0</v>
      </c>
      <c r="T1078">
        <v>0</v>
      </c>
      <c r="U1078">
        <v>0</v>
      </c>
      <c r="V1078">
        <v>0</v>
      </c>
    </row>
    <row r="1079" spans="1:22" x14ac:dyDescent="0.25">
      <c r="A1079" t="s">
        <v>2393</v>
      </c>
      <c r="B1079" t="s">
        <v>947</v>
      </c>
      <c r="C1079">
        <v>14</v>
      </c>
      <c r="D1079" t="s">
        <v>132</v>
      </c>
      <c r="E1079" t="s">
        <v>140</v>
      </c>
      <c r="F1079" t="s">
        <v>140</v>
      </c>
      <c r="G1079">
        <v>0.21</v>
      </c>
      <c r="H1079" t="s">
        <v>53</v>
      </c>
      <c r="I1079">
        <v>0</v>
      </c>
      <c r="J1079" t="str">
        <f>HYPERLINK("https://www.eliteprospects.com/player/592642/nolan-roberts")</f>
        <v>https://www.eliteprospects.com/player/592642/nolan-roberts</v>
      </c>
      <c r="K1079" t="s">
        <v>27</v>
      </c>
      <c r="L1079" t="s">
        <v>918</v>
      </c>
      <c r="M1079" t="s">
        <v>1296</v>
      </c>
      <c r="N1079">
        <v>1</v>
      </c>
      <c r="O1079" t="s">
        <v>984</v>
      </c>
      <c r="P1079">
        <v>0.03</v>
      </c>
      <c r="Q1079" t="s">
        <v>1488</v>
      </c>
      <c r="R1079">
        <v>0</v>
      </c>
      <c r="S1079">
        <v>0</v>
      </c>
      <c r="T1079">
        <v>0</v>
      </c>
      <c r="U1079">
        <v>0</v>
      </c>
      <c r="V1079">
        <v>0</v>
      </c>
    </row>
    <row r="1080" spans="1:22" x14ac:dyDescent="0.25">
      <c r="A1080" t="s">
        <v>2394</v>
      </c>
      <c r="B1080" t="s">
        <v>1049</v>
      </c>
      <c r="C1080">
        <v>16</v>
      </c>
      <c r="D1080" t="s">
        <v>132</v>
      </c>
      <c r="E1080" t="s">
        <v>140</v>
      </c>
      <c r="F1080" t="s">
        <v>140</v>
      </c>
      <c r="G1080">
        <v>0.19</v>
      </c>
      <c r="H1080" t="s">
        <v>57</v>
      </c>
      <c r="I1080">
        <v>4</v>
      </c>
      <c r="J1080" t="str">
        <f>HYPERLINK("https://www.eliteprospects.com/player/416997/evan-toth")</f>
        <v>https://www.eliteprospects.com/player/416997/evan-toth</v>
      </c>
      <c r="K1080" t="s">
        <v>27</v>
      </c>
      <c r="L1080" t="s">
        <v>918</v>
      </c>
      <c r="M1080" t="s">
        <v>1296</v>
      </c>
      <c r="N1080">
        <v>6</v>
      </c>
      <c r="O1080" t="s">
        <v>927</v>
      </c>
      <c r="P1080">
        <v>0.02</v>
      </c>
      <c r="Q1080" t="s">
        <v>1488</v>
      </c>
      <c r="R1080">
        <v>0</v>
      </c>
      <c r="S1080">
        <v>0</v>
      </c>
      <c r="T1080">
        <v>0</v>
      </c>
      <c r="U1080">
        <v>0</v>
      </c>
      <c r="V1080">
        <v>0</v>
      </c>
    </row>
    <row r="1081" spans="1:22" x14ac:dyDescent="0.25">
      <c r="A1081" t="s">
        <v>2395</v>
      </c>
      <c r="B1081" t="s">
        <v>986</v>
      </c>
      <c r="C1081">
        <v>16</v>
      </c>
      <c r="D1081" t="s">
        <v>132</v>
      </c>
      <c r="E1081" t="s">
        <v>140</v>
      </c>
      <c r="F1081" t="s">
        <v>140</v>
      </c>
      <c r="G1081">
        <v>0.19</v>
      </c>
      <c r="H1081" t="s">
        <v>39</v>
      </c>
      <c r="I1081">
        <v>0</v>
      </c>
      <c r="J1081" t="str">
        <f>HYPERLINK("https://www.eliteprospects.com/player/483411/nolan-bettens")</f>
        <v>https://www.eliteprospects.com/player/483411/nolan-bettens</v>
      </c>
      <c r="K1081" t="s">
        <v>27</v>
      </c>
      <c r="L1081" t="s">
        <v>918</v>
      </c>
      <c r="M1081" t="s">
        <v>1296</v>
      </c>
      <c r="N1081">
        <v>1</v>
      </c>
      <c r="O1081" t="s">
        <v>984</v>
      </c>
      <c r="P1081">
        <v>0.02</v>
      </c>
      <c r="Q1081" t="s">
        <v>1488</v>
      </c>
      <c r="R1081">
        <v>0</v>
      </c>
      <c r="S1081">
        <v>0</v>
      </c>
      <c r="T1081">
        <v>0</v>
      </c>
      <c r="U1081">
        <v>0</v>
      </c>
      <c r="V1081">
        <v>0</v>
      </c>
    </row>
    <row r="1082" spans="1:22" x14ac:dyDescent="0.25">
      <c r="A1082" t="s">
        <v>2396</v>
      </c>
      <c r="B1082" t="s">
        <v>1015</v>
      </c>
      <c r="C1082">
        <v>17</v>
      </c>
      <c r="D1082" t="s">
        <v>132</v>
      </c>
      <c r="E1082" t="s">
        <v>140</v>
      </c>
      <c r="F1082" t="s">
        <v>140</v>
      </c>
      <c r="G1082">
        <v>0.18</v>
      </c>
      <c r="H1082" t="s">
        <v>23</v>
      </c>
      <c r="I1082">
        <v>-1</v>
      </c>
      <c r="J1082" t="str">
        <f>HYPERLINK("https://www.eliteprospects.com/player/413413/joel-sexsmith")</f>
        <v>https://www.eliteprospects.com/player/413413/joel-sexsmith</v>
      </c>
      <c r="K1082" t="s">
        <v>27</v>
      </c>
      <c r="L1082" t="s">
        <v>918</v>
      </c>
      <c r="M1082" t="s">
        <v>1296</v>
      </c>
      <c r="N1082">
        <v>6</v>
      </c>
      <c r="O1082" t="s">
        <v>927</v>
      </c>
      <c r="P1082">
        <v>0.02</v>
      </c>
      <c r="Q1082" t="s">
        <v>1488</v>
      </c>
      <c r="R1082">
        <v>0</v>
      </c>
      <c r="S1082">
        <v>0</v>
      </c>
      <c r="T1082">
        <v>0</v>
      </c>
      <c r="U1082">
        <v>0</v>
      </c>
      <c r="V1082">
        <v>0</v>
      </c>
    </row>
    <row r="1083" spans="1:22" x14ac:dyDescent="0.25">
      <c r="A1083" t="s">
        <v>2397</v>
      </c>
      <c r="B1083" t="s">
        <v>1118</v>
      </c>
      <c r="C1083">
        <v>17</v>
      </c>
      <c r="D1083" t="s">
        <v>132</v>
      </c>
      <c r="E1083" t="s">
        <v>140</v>
      </c>
      <c r="F1083" t="s">
        <v>140</v>
      </c>
      <c r="G1083">
        <v>0.18</v>
      </c>
      <c r="H1083" t="s">
        <v>25</v>
      </c>
      <c r="I1083">
        <v>-19</v>
      </c>
      <c r="J1083" t="str">
        <f>HYPERLINK("https://www.eliteprospects.com/player/569178/rylan-silzer")</f>
        <v>https://www.eliteprospects.com/player/569178/rylan-silzer</v>
      </c>
      <c r="K1083" t="s">
        <v>27</v>
      </c>
      <c r="L1083" t="s">
        <v>918</v>
      </c>
      <c r="M1083" t="s">
        <v>1296</v>
      </c>
      <c r="N1083">
        <v>1</v>
      </c>
      <c r="O1083" t="s">
        <v>984</v>
      </c>
      <c r="P1083">
        <v>0.02</v>
      </c>
      <c r="Q1083" t="s">
        <v>1488</v>
      </c>
      <c r="R1083">
        <v>0</v>
      </c>
      <c r="S1083">
        <v>0</v>
      </c>
      <c r="T1083">
        <v>0</v>
      </c>
      <c r="U1083">
        <v>0</v>
      </c>
      <c r="V1083">
        <v>0</v>
      </c>
    </row>
    <row r="1084" spans="1:22" x14ac:dyDescent="0.25">
      <c r="A1084" t="s">
        <v>2398</v>
      </c>
      <c r="B1084" t="s">
        <v>942</v>
      </c>
      <c r="C1084">
        <v>18</v>
      </c>
      <c r="D1084" t="s">
        <v>132</v>
      </c>
      <c r="E1084" t="s">
        <v>140</v>
      </c>
      <c r="F1084" t="s">
        <v>140</v>
      </c>
      <c r="G1084">
        <v>0.17</v>
      </c>
      <c r="H1084" t="s">
        <v>32</v>
      </c>
      <c r="I1084">
        <v>0</v>
      </c>
      <c r="J1084" t="str">
        <f>HYPERLINK("https://www.eliteprospects.com/player/418523/evan-brand")</f>
        <v>https://www.eliteprospects.com/player/418523/evan-brand</v>
      </c>
      <c r="K1084" t="s">
        <v>27</v>
      </c>
      <c r="L1084" t="s">
        <v>918</v>
      </c>
      <c r="M1084" t="s">
        <v>1296</v>
      </c>
      <c r="N1084">
        <v>5</v>
      </c>
      <c r="O1084" t="s">
        <v>935</v>
      </c>
      <c r="P1084">
        <v>0.02</v>
      </c>
      <c r="Q1084" t="s">
        <v>1488</v>
      </c>
      <c r="R1084">
        <v>0</v>
      </c>
      <c r="S1084">
        <v>0</v>
      </c>
      <c r="T1084">
        <v>0</v>
      </c>
      <c r="U1084">
        <v>0</v>
      </c>
      <c r="V1084">
        <v>0</v>
      </c>
    </row>
    <row r="1085" spans="1:22" x14ac:dyDescent="0.25">
      <c r="A1085" t="s">
        <v>2399</v>
      </c>
      <c r="B1085" t="s">
        <v>1053</v>
      </c>
      <c r="C1085">
        <v>18</v>
      </c>
      <c r="D1085" t="s">
        <v>132</v>
      </c>
      <c r="E1085" t="s">
        <v>140</v>
      </c>
      <c r="F1085" t="s">
        <v>140</v>
      </c>
      <c r="G1085">
        <v>0.17</v>
      </c>
      <c r="H1085" t="s">
        <v>24</v>
      </c>
      <c r="I1085">
        <v>0</v>
      </c>
      <c r="J1085" t="str">
        <f>HYPERLINK("https://www.eliteprospects.com/player/413420/bryan-mcandrews")</f>
        <v>https://www.eliteprospects.com/player/413420/bryan-mcandrews</v>
      </c>
      <c r="K1085" t="s">
        <v>27</v>
      </c>
      <c r="L1085" t="s">
        <v>918</v>
      </c>
      <c r="M1085" t="s">
        <v>1296</v>
      </c>
      <c r="N1085">
        <v>5</v>
      </c>
      <c r="O1085" t="s">
        <v>1107</v>
      </c>
      <c r="P1085">
        <v>0.02</v>
      </c>
      <c r="Q1085" t="s">
        <v>1488</v>
      </c>
      <c r="R1085">
        <v>0</v>
      </c>
      <c r="S1085">
        <v>0</v>
      </c>
      <c r="T1085">
        <v>0</v>
      </c>
      <c r="U1085">
        <v>0</v>
      </c>
      <c r="V1085">
        <v>0</v>
      </c>
    </row>
    <row r="1086" spans="1:22" x14ac:dyDescent="0.25">
      <c r="A1086" t="s">
        <v>2400</v>
      </c>
      <c r="B1086" t="s">
        <v>998</v>
      </c>
      <c r="C1086">
        <v>18</v>
      </c>
      <c r="D1086" t="s">
        <v>132</v>
      </c>
      <c r="E1086" t="s">
        <v>140</v>
      </c>
      <c r="F1086" t="s">
        <v>140</v>
      </c>
      <c r="G1086">
        <v>0.17</v>
      </c>
      <c r="H1086" t="s">
        <v>47</v>
      </c>
      <c r="I1086">
        <v>0</v>
      </c>
      <c r="J1086" t="str">
        <f>HYPERLINK("https://www.eliteprospects.com/player/399348/jack-duff")</f>
        <v>https://www.eliteprospects.com/player/399348/jack-duff</v>
      </c>
      <c r="K1086" t="s">
        <v>27</v>
      </c>
      <c r="L1086" t="s">
        <v>918</v>
      </c>
      <c r="M1086" t="s">
        <v>1296</v>
      </c>
      <c r="N1086">
        <v>5</v>
      </c>
      <c r="O1086" t="s">
        <v>955</v>
      </c>
      <c r="P1086">
        <v>0.02</v>
      </c>
      <c r="Q1086" t="s">
        <v>1488</v>
      </c>
      <c r="R1086">
        <v>0</v>
      </c>
      <c r="S1086">
        <v>0</v>
      </c>
      <c r="T1086">
        <v>0</v>
      </c>
      <c r="U1086">
        <v>0</v>
      </c>
      <c r="V1086">
        <v>0</v>
      </c>
    </row>
    <row r="1087" spans="1:22" x14ac:dyDescent="0.25">
      <c r="A1087" t="s">
        <v>2401</v>
      </c>
      <c r="B1087" t="s">
        <v>923</v>
      </c>
      <c r="C1087">
        <v>18</v>
      </c>
      <c r="D1087" t="s">
        <v>132</v>
      </c>
      <c r="E1087" t="s">
        <v>140</v>
      </c>
      <c r="F1087" t="s">
        <v>140</v>
      </c>
      <c r="G1087">
        <v>0.17</v>
      </c>
      <c r="H1087" t="s">
        <v>34</v>
      </c>
      <c r="I1087">
        <v>12</v>
      </c>
      <c r="J1087" t="str">
        <f>HYPERLINK("https://www.eliteprospects.com/player/483632/wyatt-wilson")</f>
        <v>https://www.eliteprospects.com/player/483632/wyatt-wilson</v>
      </c>
      <c r="K1087" t="s">
        <v>27</v>
      </c>
      <c r="L1087" t="s">
        <v>918</v>
      </c>
      <c r="M1087" t="s">
        <v>1296</v>
      </c>
      <c r="N1087">
        <v>4</v>
      </c>
      <c r="O1087" t="s">
        <v>978</v>
      </c>
      <c r="P1087">
        <v>0.02</v>
      </c>
      <c r="Q1087" t="s">
        <v>1488</v>
      </c>
      <c r="R1087">
        <v>0</v>
      </c>
      <c r="S1087">
        <v>0</v>
      </c>
      <c r="T1087">
        <v>0</v>
      </c>
      <c r="U1087">
        <v>0</v>
      </c>
      <c r="V1087">
        <v>0</v>
      </c>
    </row>
    <row r="1088" spans="1:22" x14ac:dyDescent="0.25">
      <c r="A1088" t="s">
        <v>2402</v>
      </c>
      <c r="B1088" t="s">
        <v>957</v>
      </c>
      <c r="C1088">
        <v>20</v>
      </c>
      <c r="D1088" t="s">
        <v>132</v>
      </c>
      <c r="E1088" t="s">
        <v>140</v>
      </c>
      <c r="F1088" t="s">
        <v>140</v>
      </c>
      <c r="G1088">
        <v>0.15</v>
      </c>
      <c r="H1088" t="s">
        <v>39</v>
      </c>
      <c r="I1088">
        <v>-3</v>
      </c>
      <c r="J1088" t="str">
        <f>HYPERLINK("https://www.eliteprospects.com/player/413504/tyson-kowaluk")</f>
        <v>https://www.eliteprospects.com/player/413504/tyson-kowaluk</v>
      </c>
      <c r="K1088" t="s">
        <v>27</v>
      </c>
      <c r="L1088" t="s">
        <v>918</v>
      </c>
      <c r="M1088" t="s">
        <v>1296</v>
      </c>
      <c r="N1088">
        <v>2</v>
      </c>
      <c r="O1088" t="s">
        <v>1021</v>
      </c>
      <c r="P1088">
        <v>0.02</v>
      </c>
      <c r="Q1088" t="s">
        <v>1488</v>
      </c>
      <c r="R1088">
        <v>0</v>
      </c>
      <c r="S1088">
        <v>0</v>
      </c>
      <c r="T1088">
        <v>0</v>
      </c>
      <c r="U1088">
        <v>0</v>
      </c>
      <c r="V1088">
        <v>0</v>
      </c>
    </row>
    <row r="1089" spans="1:22" x14ac:dyDescent="0.25">
      <c r="A1089" t="s">
        <v>2403</v>
      </c>
      <c r="B1089" t="s">
        <v>1020</v>
      </c>
      <c r="C1089">
        <v>20</v>
      </c>
      <c r="D1089" t="s">
        <v>132</v>
      </c>
      <c r="E1089" t="s">
        <v>140</v>
      </c>
      <c r="F1089" t="s">
        <v>140</v>
      </c>
      <c r="G1089">
        <v>0.15</v>
      </c>
      <c r="H1089" t="s">
        <v>24</v>
      </c>
      <c r="I1089">
        <v>-16</v>
      </c>
      <c r="J1089" t="str">
        <f>HYPERLINK("https://www.eliteprospects.com/player/562486/eduard-wruck")</f>
        <v>https://www.eliteprospects.com/player/562486/eduard-wruck</v>
      </c>
      <c r="K1089" t="s">
        <v>27</v>
      </c>
      <c r="L1089" t="s">
        <v>918</v>
      </c>
      <c r="M1089" t="s">
        <v>1296</v>
      </c>
      <c r="N1089">
        <v>2</v>
      </c>
      <c r="O1089" t="s">
        <v>1021</v>
      </c>
      <c r="P1089">
        <v>0.02</v>
      </c>
      <c r="Q1089" t="s">
        <v>1488</v>
      </c>
      <c r="R1089">
        <v>0</v>
      </c>
      <c r="S1089">
        <v>0</v>
      </c>
      <c r="T1089">
        <v>0</v>
      </c>
      <c r="U1089">
        <v>0</v>
      </c>
      <c r="V1089">
        <v>0</v>
      </c>
    </row>
    <row r="1090" spans="1:22" x14ac:dyDescent="0.25">
      <c r="A1090" t="s">
        <v>2404</v>
      </c>
      <c r="B1090" t="s">
        <v>947</v>
      </c>
      <c r="C1090">
        <v>16</v>
      </c>
      <c r="D1090" t="s">
        <v>79</v>
      </c>
      <c r="E1090" t="s">
        <v>132</v>
      </c>
      <c r="F1090" t="s">
        <v>79</v>
      </c>
      <c r="G1090">
        <v>0.13</v>
      </c>
      <c r="H1090" t="s">
        <v>265</v>
      </c>
      <c r="I1090">
        <v>0</v>
      </c>
      <c r="J1090" t="str">
        <f>HYPERLINK("https://www.eliteprospects.com/player/424340/ethan-doyle")</f>
        <v>https://www.eliteprospects.com/player/424340/ethan-doyle</v>
      </c>
      <c r="K1090" t="s">
        <v>27</v>
      </c>
      <c r="L1090" t="s">
        <v>918</v>
      </c>
      <c r="M1090" t="s">
        <v>2405</v>
      </c>
      <c r="N1090">
        <v>3</v>
      </c>
      <c r="O1090" t="s">
        <v>962</v>
      </c>
      <c r="P1090">
        <v>0.02</v>
      </c>
      <c r="Q1090" t="s">
        <v>1488</v>
      </c>
      <c r="R1090">
        <v>0</v>
      </c>
      <c r="S1090">
        <v>0</v>
      </c>
      <c r="T1090">
        <v>0</v>
      </c>
      <c r="U1090">
        <v>0</v>
      </c>
      <c r="V1090">
        <v>0</v>
      </c>
    </row>
    <row r="1091" spans="1:22" x14ac:dyDescent="0.25">
      <c r="A1091" t="s">
        <v>2406</v>
      </c>
      <c r="B1091" t="s">
        <v>977</v>
      </c>
      <c r="C1091">
        <v>10</v>
      </c>
      <c r="D1091" t="s">
        <v>260</v>
      </c>
      <c r="E1091" t="s">
        <v>260</v>
      </c>
      <c r="F1091" t="s">
        <v>79</v>
      </c>
      <c r="G1091">
        <v>0.2</v>
      </c>
      <c r="H1091" t="s">
        <v>57</v>
      </c>
      <c r="I1091">
        <v>0</v>
      </c>
      <c r="J1091" t="str">
        <f>HYPERLINK("https://www.eliteprospects.com/player/418252/frank-jenkins")</f>
        <v>https://www.eliteprospects.com/player/418252/frank-jenkins</v>
      </c>
      <c r="K1091" t="s">
        <v>27</v>
      </c>
      <c r="L1091" t="s">
        <v>918</v>
      </c>
      <c r="M1091" t="s">
        <v>1296</v>
      </c>
      <c r="N1091">
        <v>4</v>
      </c>
      <c r="O1091" t="s">
        <v>1070</v>
      </c>
      <c r="P1091">
        <v>0.02</v>
      </c>
      <c r="Q1091" t="s">
        <v>1488</v>
      </c>
      <c r="R1091">
        <v>0</v>
      </c>
      <c r="S1091">
        <v>0</v>
      </c>
      <c r="T1091">
        <v>0</v>
      </c>
      <c r="U1091">
        <v>0</v>
      </c>
      <c r="V1091">
        <v>0</v>
      </c>
    </row>
    <row r="1092" spans="1:22" x14ac:dyDescent="0.25">
      <c r="A1092" t="s">
        <v>2407</v>
      </c>
      <c r="B1092" t="s">
        <v>1038</v>
      </c>
      <c r="C1092">
        <v>11</v>
      </c>
      <c r="D1092" t="s">
        <v>260</v>
      </c>
      <c r="E1092" t="s">
        <v>260</v>
      </c>
      <c r="F1092" t="s">
        <v>79</v>
      </c>
      <c r="G1092">
        <v>0.18</v>
      </c>
      <c r="H1092" t="s">
        <v>79</v>
      </c>
      <c r="I1092">
        <v>0</v>
      </c>
      <c r="J1092" t="str">
        <f>HYPERLINK("https://www.eliteprospects.com/player/479776/ranvir-gill-shane")</f>
        <v>https://www.eliteprospects.com/player/479776/ranvir-gill-shane</v>
      </c>
      <c r="K1092" t="s">
        <v>27</v>
      </c>
      <c r="L1092" t="s">
        <v>918</v>
      </c>
      <c r="M1092" t="s">
        <v>1296</v>
      </c>
      <c r="N1092">
        <v>4</v>
      </c>
      <c r="O1092" t="s">
        <v>1025</v>
      </c>
      <c r="P1092">
        <v>0.02</v>
      </c>
      <c r="Q1092" t="s">
        <v>1488</v>
      </c>
      <c r="R1092">
        <v>0</v>
      </c>
      <c r="S1092">
        <v>0</v>
      </c>
      <c r="T1092">
        <v>0</v>
      </c>
      <c r="U1092">
        <v>0</v>
      </c>
      <c r="V1092">
        <v>0</v>
      </c>
    </row>
    <row r="1093" spans="1:22" x14ac:dyDescent="0.25">
      <c r="A1093" t="s">
        <v>2408</v>
      </c>
      <c r="B1093" t="s">
        <v>1036</v>
      </c>
      <c r="C1093">
        <v>12</v>
      </c>
      <c r="D1093" t="s">
        <v>260</v>
      </c>
      <c r="E1093" t="s">
        <v>260</v>
      </c>
      <c r="F1093" t="s">
        <v>79</v>
      </c>
      <c r="G1093">
        <v>0.17</v>
      </c>
      <c r="H1093" t="s">
        <v>66</v>
      </c>
      <c r="I1093">
        <v>0</v>
      </c>
      <c r="J1093" t="str">
        <f>HYPERLINK("https://www.eliteprospects.com/player/600856/sawyer-prokopetz")</f>
        <v>https://www.eliteprospects.com/player/600856/sawyer-prokopetz</v>
      </c>
      <c r="K1093" t="s">
        <v>27</v>
      </c>
      <c r="L1093" t="s">
        <v>918</v>
      </c>
      <c r="M1093" t="s">
        <v>1296</v>
      </c>
      <c r="N1093">
        <v>1</v>
      </c>
      <c r="O1093" t="s">
        <v>984</v>
      </c>
      <c r="P1093">
        <v>0.02</v>
      </c>
      <c r="Q1093" t="s">
        <v>1488</v>
      </c>
      <c r="R1093">
        <v>0</v>
      </c>
      <c r="S1093">
        <v>0</v>
      </c>
      <c r="T1093">
        <v>0</v>
      </c>
      <c r="U1093">
        <v>0</v>
      </c>
      <c r="V1093">
        <v>0</v>
      </c>
    </row>
    <row r="1094" spans="1:22" x14ac:dyDescent="0.25">
      <c r="A1094" t="s">
        <v>2409</v>
      </c>
      <c r="B1094" t="s">
        <v>1005</v>
      </c>
      <c r="C1094">
        <v>13</v>
      </c>
      <c r="D1094" t="s">
        <v>260</v>
      </c>
      <c r="E1094" t="s">
        <v>260</v>
      </c>
      <c r="F1094" t="s">
        <v>79</v>
      </c>
      <c r="G1094">
        <v>0.15</v>
      </c>
      <c r="H1094" t="s">
        <v>26</v>
      </c>
      <c r="I1094">
        <v>0</v>
      </c>
      <c r="J1094" t="str">
        <f>HYPERLINK("https://www.eliteprospects.com/player/562188/masen-culley")</f>
        <v>https://www.eliteprospects.com/player/562188/masen-culley</v>
      </c>
      <c r="K1094" t="s">
        <v>27</v>
      </c>
      <c r="L1094" t="s">
        <v>918</v>
      </c>
      <c r="M1094" t="s">
        <v>1296</v>
      </c>
      <c r="N1094">
        <v>1</v>
      </c>
      <c r="O1094" t="s">
        <v>984</v>
      </c>
      <c r="P1094">
        <v>0.02</v>
      </c>
      <c r="Q1094" t="s">
        <v>1488</v>
      </c>
      <c r="R1094">
        <v>0</v>
      </c>
      <c r="S1094">
        <v>0</v>
      </c>
      <c r="T1094">
        <v>0</v>
      </c>
      <c r="U1094">
        <v>0</v>
      </c>
      <c r="V1094">
        <v>0</v>
      </c>
    </row>
    <row r="1095" spans="1:22" x14ac:dyDescent="0.25">
      <c r="A1095" t="s">
        <v>2410</v>
      </c>
      <c r="B1095" t="s">
        <v>986</v>
      </c>
      <c r="C1095">
        <v>14</v>
      </c>
      <c r="D1095" t="s">
        <v>260</v>
      </c>
      <c r="E1095" t="s">
        <v>260</v>
      </c>
      <c r="F1095" t="s">
        <v>79</v>
      </c>
      <c r="G1095">
        <v>0.14000000000000001</v>
      </c>
      <c r="H1095" t="s">
        <v>57</v>
      </c>
      <c r="I1095">
        <v>0</v>
      </c>
      <c r="J1095" t="str">
        <f>HYPERLINK("https://www.eliteprospects.com/player/418418/bryce-kilbourne")</f>
        <v>https://www.eliteprospects.com/player/418418/bryce-kilbourne</v>
      </c>
      <c r="K1095" t="s">
        <v>27</v>
      </c>
      <c r="L1095" t="s">
        <v>918</v>
      </c>
      <c r="M1095" t="s">
        <v>1296</v>
      </c>
      <c r="N1095">
        <v>3</v>
      </c>
      <c r="O1095" t="s">
        <v>962</v>
      </c>
      <c r="P1095">
        <v>0.02</v>
      </c>
      <c r="Q1095" t="s">
        <v>1488</v>
      </c>
      <c r="R1095">
        <v>0</v>
      </c>
      <c r="S1095">
        <v>0</v>
      </c>
      <c r="T1095">
        <v>0</v>
      </c>
      <c r="U1095">
        <v>0</v>
      </c>
      <c r="V1095">
        <v>0</v>
      </c>
    </row>
    <row r="1096" spans="1:22" x14ac:dyDescent="0.25">
      <c r="A1096" t="s">
        <v>2411</v>
      </c>
      <c r="B1096" t="s">
        <v>991</v>
      </c>
      <c r="C1096">
        <v>15</v>
      </c>
      <c r="D1096" t="s">
        <v>260</v>
      </c>
      <c r="E1096" t="s">
        <v>260</v>
      </c>
      <c r="F1096" t="s">
        <v>79</v>
      </c>
      <c r="G1096">
        <v>0.13</v>
      </c>
      <c r="H1096" t="s">
        <v>79</v>
      </c>
      <c r="I1096">
        <v>0</v>
      </c>
      <c r="J1096" t="str">
        <f>HYPERLINK("https://www.eliteprospects.com/player/581948/mason-chitaroni")</f>
        <v>https://www.eliteprospects.com/player/581948/mason-chitaroni</v>
      </c>
      <c r="K1096" t="s">
        <v>27</v>
      </c>
      <c r="L1096" t="s">
        <v>918</v>
      </c>
      <c r="M1096" t="s">
        <v>1296</v>
      </c>
      <c r="N1096">
        <v>3</v>
      </c>
      <c r="O1096" t="s">
        <v>1119</v>
      </c>
      <c r="P1096">
        <v>0.02</v>
      </c>
      <c r="Q1096" t="s">
        <v>1488</v>
      </c>
      <c r="R1096">
        <v>0</v>
      </c>
      <c r="S1096">
        <v>0</v>
      </c>
      <c r="T1096">
        <v>0</v>
      </c>
      <c r="U1096">
        <v>0</v>
      </c>
      <c r="V1096">
        <v>0</v>
      </c>
    </row>
    <row r="1097" spans="1:22" x14ac:dyDescent="0.25">
      <c r="A1097" t="s">
        <v>2412</v>
      </c>
      <c r="B1097" t="s">
        <v>1005</v>
      </c>
      <c r="C1097">
        <v>16</v>
      </c>
      <c r="D1097" t="s">
        <v>260</v>
      </c>
      <c r="E1097" t="s">
        <v>260</v>
      </c>
      <c r="F1097" t="s">
        <v>79</v>
      </c>
      <c r="G1097">
        <v>0.13</v>
      </c>
      <c r="H1097" t="s">
        <v>26</v>
      </c>
      <c r="I1097">
        <v>0</v>
      </c>
      <c r="J1097" t="str">
        <f>HYPERLINK("https://www.eliteprospects.com/player/317452/alexandre-hogue")</f>
        <v>https://www.eliteprospects.com/player/317452/alexandre-hogue</v>
      </c>
      <c r="K1097" t="s">
        <v>27</v>
      </c>
      <c r="L1097" t="s">
        <v>918</v>
      </c>
      <c r="M1097" t="s">
        <v>1296</v>
      </c>
      <c r="N1097">
        <v>4</v>
      </c>
      <c r="O1097" t="s">
        <v>1006</v>
      </c>
      <c r="P1097">
        <v>0.02</v>
      </c>
      <c r="Q1097" t="s">
        <v>1488</v>
      </c>
      <c r="R1097">
        <v>0</v>
      </c>
      <c r="S1097">
        <v>0</v>
      </c>
      <c r="T1097">
        <v>0</v>
      </c>
      <c r="U1097">
        <v>0</v>
      </c>
      <c r="V1097">
        <v>0</v>
      </c>
    </row>
    <row r="1098" spans="1:22" x14ac:dyDescent="0.25">
      <c r="A1098" t="s">
        <v>2413</v>
      </c>
      <c r="B1098" t="s">
        <v>1118</v>
      </c>
      <c r="C1098">
        <v>18</v>
      </c>
      <c r="D1098" t="s">
        <v>260</v>
      </c>
      <c r="E1098" t="s">
        <v>260</v>
      </c>
      <c r="F1098" t="s">
        <v>79</v>
      </c>
      <c r="G1098">
        <v>0.11</v>
      </c>
      <c r="H1098" t="s">
        <v>79</v>
      </c>
      <c r="I1098">
        <v>-13</v>
      </c>
      <c r="J1098" t="str">
        <f>HYPERLINK("https://www.eliteprospects.com/player/403802/leyton-holoien")</f>
        <v>https://www.eliteprospects.com/player/403802/leyton-holoien</v>
      </c>
      <c r="K1098" t="s">
        <v>27</v>
      </c>
      <c r="L1098" t="s">
        <v>918</v>
      </c>
      <c r="M1098" t="s">
        <v>1296</v>
      </c>
      <c r="N1098">
        <v>2</v>
      </c>
      <c r="O1098" t="s">
        <v>1021</v>
      </c>
      <c r="P1098">
        <v>0.01</v>
      </c>
      <c r="Q1098" t="s">
        <v>1488</v>
      </c>
      <c r="R1098">
        <v>0</v>
      </c>
      <c r="S1098">
        <v>0</v>
      </c>
      <c r="T1098">
        <v>0</v>
      </c>
      <c r="U1098">
        <v>0</v>
      </c>
      <c r="V1098">
        <v>0</v>
      </c>
    </row>
    <row r="1099" spans="1:22" x14ac:dyDescent="0.25">
      <c r="A1099" t="s">
        <v>2414</v>
      </c>
      <c r="B1099" t="s">
        <v>997</v>
      </c>
      <c r="C1099">
        <v>18</v>
      </c>
      <c r="D1099" t="s">
        <v>260</v>
      </c>
      <c r="E1099" t="s">
        <v>260</v>
      </c>
      <c r="F1099" t="s">
        <v>79</v>
      </c>
      <c r="G1099">
        <v>0.11</v>
      </c>
      <c r="H1099" t="s">
        <v>57</v>
      </c>
      <c r="I1099">
        <v>0</v>
      </c>
      <c r="J1099" t="str">
        <f>HYPERLINK("https://www.eliteprospects.com/player/411172/christopher-inniss")</f>
        <v>https://www.eliteprospects.com/player/411172/christopher-inniss</v>
      </c>
      <c r="K1099" t="s">
        <v>27</v>
      </c>
      <c r="L1099" t="s">
        <v>918</v>
      </c>
      <c r="M1099" t="s">
        <v>1296</v>
      </c>
      <c r="N1099">
        <v>6</v>
      </c>
      <c r="O1099" t="s">
        <v>937</v>
      </c>
      <c r="P1099">
        <v>0.01</v>
      </c>
      <c r="Q1099" t="s">
        <v>1488</v>
      </c>
      <c r="R1099">
        <v>0</v>
      </c>
      <c r="S1099">
        <v>0</v>
      </c>
      <c r="T1099">
        <v>0</v>
      </c>
      <c r="U1099">
        <v>0</v>
      </c>
      <c r="V1099">
        <v>0</v>
      </c>
    </row>
    <row r="1100" spans="1:22" x14ac:dyDescent="0.25">
      <c r="A1100" t="s">
        <v>2415</v>
      </c>
      <c r="B1100" t="s">
        <v>942</v>
      </c>
      <c r="C1100">
        <v>18</v>
      </c>
      <c r="D1100" t="s">
        <v>260</v>
      </c>
      <c r="E1100" t="s">
        <v>260</v>
      </c>
      <c r="F1100" t="s">
        <v>79</v>
      </c>
      <c r="G1100">
        <v>0.11</v>
      </c>
      <c r="H1100" t="s">
        <v>39</v>
      </c>
      <c r="I1100">
        <v>0</v>
      </c>
      <c r="J1100" t="str">
        <f>HYPERLINK("https://www.eliteprospects.com/player/418057/liam-ross")</f>
        <v>https://www.eliteprospects.com/player/418057/liam-ross</v>
      </c>
      <c r="K1100" t="s">
        <v>27</v>
      </c>
      <c r="L1100" t="s">
        <v>918</v>
      </c>
      <c r="M1100" t="s">
        <v>1296</v>
      </c>
      <c r="N1100">
        <v>5</v>
      </c>
      <c r="O1100" t="s">
        <v>935</v>
      </c>
      <c r="P1100">
        <v>0.01</v>
      </c>
      <c r="Q1100" t="s">
        <v>1488</v>
      </c>
      <c r="R1100">
        <v>0</v>
      </c>
      <c r="S1100">
        <v>0</v>
      </c>
      <c r="T1100">
        <v>0</v>
      </c>
      <c r="U1100">
        <v>0</v>
      </c>
      <c r="V1100">
        <v>0</v>
      </c>
    </row>
    <row r="1101" spans="1:22" x14ac:dyDescent="0.25">
      <c r="A1101" t="s">
        <v>2416</v>
      </c>
      <c r="B1101" t="s">
        <v>959</v>
      </c>
      <c r="C1101">
        <v>18</v>
      </c>
      <c r="D1101" t="s">
        <v>260</v>
      </c>
      <c r="E1101" t="s">
        <v>260</v>
      </c>
      <c r="F1101" t="s">
        <v>79</v>
      </c>
      <c r="G1101">
        <v>0.11</v>
      </c>
      <c r="H1101" t="s">
        <v>24</v>
      </c>
      <c r="I1101">
        <v>0</v>
      </c>
      <c r="J1101" t="str">
        <f>HYPERLINK("https://www.eliteprospects.com/player/484169/nicolas-pavan")</f>
        <v>https://www.eliteprospects.com/player/484169/nicolas-pavan</v>
      </c>
      <c r="K1101" t="s">
        <v>27</v>
      </c>
      <c r="L1101" t="s">
        <v>918</v>
      </c>
      <c r="M1101" t="s">
        <v>1417</v>
      </c>
      <c r="N1101">
        <v>6</v>
      </c>
      <c r="O1101" t="s">
        <v>921</v>
      </c>
      <c r="P1101">
        <v>0.01</v>
      </c>
      <c r="Q1101" t="s">
        <v>1488</v>
      </c>
      <c r="R1101">
        <v>0</v>
      </c>
      <c r="S1101">
        <v>0</v>
      </c>
      <c r="T1101">
        <v>0</v>
      </c>
      <c r="U1101">
        <v>0</v>
      </c>
      <c r="V1101">
        <v>0</v>
      </c>
    </row>
    <row r="1102" spans="1:22" x14ac:dyDescent="0.25">
      <c r="A1102" t="s">
        <v>2417</v>
      </c>
      <c r="B1102" t="s">
        <v>1011</v>
      </c>
      <c r="C1102">
        <v>18</v>
      </c>
      <c r="D1102" t="s">
        <v>260</v>
      </c>
      <c r="E1102" t="s">
        <v>260</v>
      </c>
      <c r="F1102" t="s">
        <v>79</v>
      </c>
      <c r="G1102">
        <v>0.11</v>
      </c>
      <c r="H1102" t="s">
        <v>84</v>
      </c>
      <c r="I1102">
        <v>-3</v>
      </c>
      <c r="J1102" t="str">
        <f>HYPERLINK("https://www.eliteprospects.com/player/405897/brandon-casey")</f>
        <v>https://www.eliteprospects.com/player/405897/brandon-casey</v>
      </c>
      <c r="K1102" t="s">
        <v>27</v>
      </c>
      <c r="L1102" t="s">
        <v>918</v>
      </c>
      <c r="M1102" t="s">
        <v>1296</v>
      </c>
      <c r="N1102">
        <v>4</v>
      </c>
      <c r="O1102" t="s">
        <v>1192</v>
      </c>
      <c r="P1102">
        <v>0.01</v>
      </c>
      <c r="Q1102" t="s">
        <v>1488</v>
      </c>
      <c r="R1102">
        <v>0</v>
      </c>
      <c r="S1102">
        <v>0</v>
      </c>
      <c r="T1102">
        <v>0</v>
      </c>
      <c r="U1102">
        <v>0</v>
      </c>
      <c r="V1102">
        <v>0</v>
      </c>
    </row>
    <row r="1103" spans="1:22" x14ac:dyDescent="0.25">
      <c r="A1103" t="s">
        <v>2418</v>
      </c>
      <c r="B1103" t="s">
        <v>917</v>
      </c>
      <c r="C1103">
        <v>19</v>
      </c>
      <c r="D1103" t="s">
        <v>260</v>
      </c>
      <c r="E1103" t="s">
        <v>260</v>
      </c>
      <c r="F1103" t="s">
        <v>79</v>
      </c>
      <c r="G1103">
        <v>0.11</v>
      </c>
      <c r="H1103" t="s">
        <v>513</v>
      </c>
      <c r="I1103">
        <v>8</v>
      </c>
      <c r="J1103" t="str">
        <f>HYPERLINK("https://www.eliteprospects.com/player/504298/nolan-dillingham")</f>
        <v>https://www.eliteprospects.com/player/504298/nolan-dillingham</v>
      </c>
      <c r="K1103" t="s">
        <v>27</v>
      </c>
      <c r="L1103" t="s">
        <v>918</v>
      </c>
      <c r="M1103" t="s">
        <v>1296</v>
      </c>
      <c r="N1103">
        <v>6</v>
      </c>
      <c r="O1103" t="s">
        <v>970</v>
      </c>
      <c r="P1103">
        <v>0.01</v>
      </c>
      <c r="Q1103" t="s">
        <v>1488</v>
      </c>
      <c r="R1103">
        <v>0</v>
      </c>
      <c r="S1103">
        <v>0</v>
      </c>
      <c r="T1103">
        <v>0</v>
      </c>
      <c r="U1103">
        <v>0</v>
      </c>
      <c r="V1103">
        <v>0</v>
      </c>
    </row>
    <row r="1104" spans="1:22" x14ac:dyDescent="0.25">
      <c r="A1104" t="s">
        <v>2419</v>
      </c>
      <c r="B1104" t="s">
        <v>1020</v>
      </c>
      <c r="C1104">
        <v>20</v>
      </c>
      <c r="D1104" t="s">
        <v>260</v>
      </c>
      <c r="E1104" t="s">
        <v>260</v>
      </c>
      <c r="F1104" t="s">
        <v>79</v>
      </c>
      <c r="G1104">
        <v>0.1</v>
      </c>
      <c r="H1104" t="s">
        <v>40</v>
      </c>
      <c r="I1104">
        <v>-10</v>
      </c>
      <c r="J1104" t="str">
        <f>HYPERLINK("https://www.eliteprospects.com/player/489303/ricards-landmanis")</f>
        <v>https://www.eliteprospects.com/player/489303/ricards-landmanis</v>
      </c>
      <c r="K1104" t="s">
        <v>27</v>
      </c>
      <c r="L1104" t="s">
        <v>918</v>
      </c>
      <c r="M1104" t="s">
        <v>1296</v>
      </c>
      <c r="N1104">
        <v>2</v>
      </c>
      <c r="O1104" t="s">
        <v>1076</v>
      </c>
      <c r="P1104">
        <v>0.01</v>
      </c>
      <c r="Q1104" t="s">
        <v>1488</v>
      </c>
      <c r="R1104">
        <v>0</v>
      </c>
      <c r="S1104">
        <v>0</v>
      </c>
      <c r="T1104">
        <v>0</v>
      </c>
      <c r="U1104">
        <v>0</v>
      </c>
      <c r="V1104">
        <v>0</v>
      </c>
    </row>
    <row r="1105" spans="1:22" x14ac:dyDescent="0.25">
      <c r="A1105" t="s">
        <v>2420</v>
      </c>
      <c r="B1105" t="s">
        <v>997</v>
      </c>
      <c r="C1105">
        <v>11</v>
      </c>
      <c r="D1105" t="s">
        <v>132</v>
      </c>
      <c r="E1105" t="s">
        <v>79</v>
      </c>
      <c r="F1105" t="s">
        <v>79</v>
      </c>
      <c r="G1105">
        <v>0.18</v>
      </c>
      <c r="H1105" t="s">
        <v>66</v>
      </c>
      <c r="I1105">
        <v>0</v>
      </c>
      <c r="J1105" t="str">
        <f>HYPERLINK("https://www.eliteprospects.com/player/571231/zachary-lessard")</f>
        <v>https://www.eliteprospects.com/player/571231/zachary-lessard</v>
      </c>
      <c r="K1105" t="s">
        <v>27</v>
      </c>
      <c r="L1105" t="s">
        <v>918</v>
      </c>
      <c r="M1105" t="s">
        <v>1296</v>
      </c>
      <c r="N1105">
        <v>5</v>
      </c>
      <c r="O1105" t="s">
        <v>930</v>
      </c>
      <c r="P1105">
        <v>0.02</v>
      </c>
      <c r="Q1105" t="s">
        <v>1488</v>
      </c>
      <c r="R1105">
        <v>0</v>
      </c>
      <c r="S1105">
        <v>0</v>
      </c>
      <c r="T1105">
        <v>0</v>
      </c>
      <c r="U1105">
        <v>0</v>
      </c>
      <c r="V1105">
        <v>0</v>
      </c>
    </row>
    <row r="1106" spans="1:22" x14ac:dyDescent="0.25">
      <c r="A1106" t="s">
        <v>2421</v>
      </c>
      <c r="B1106" t="s">
        <v>929</v>
      </c>
      <c r="C1106">
        <v>13</v>
      </c>
      <c r="D1106" t="s">
        <v>132</v>
      </c>
      <c r="E1106" t="s">
        <v>79</v>
      </c>
      <c r="F1106" t="s">
        <v>79</v>
      </c>
      <c r="G1106">
        <v>0.15</v>
      </c>
      <c r="H1106" t="s">
        <v>79</v>
      </c>
      <c r="I1106">
        <v>-4</v>
      </c>
      <c r="J1106" t="str">
        <f>HYPERLINK("https://www.eliteprospects.com/player/267665/tim-gould")</f>
        <v>https://www.eliteprospects.com/player/267665/tim-gould</v>
      </c>
      <c r="K1106" t="s">
        <v>27</v>
      </c>
      <c r="L1106" t="s">
        <v>918</v>
      </c>
      <c r="M1106" t="s">
        <v>1296</v>
      </c>
      <c r="N1106">
        <v>4</v>
      </c>
      <c r="O1106" t="s">
        <v>2422</v>
      </c>
      <c r="P1106">
        <v>0.02</v>
      </c>
      <c r="Q1106" t="s">
        <v>1488</v>
      </c>
      <c r="R1106">
        <v>0</v>
      </c>
      <c r="S1106">
        <v>0</v>
      </c>
      <c r="T1106">
        <v>0</v>
      </c>
      <c r="U1106">
        <v>0</v>
      </c>
      <c r="V1106">
        <v>0</v>
      </c>
    </row>
    <row r="1107" spans="1:22" x14ac:dyDescent="0.25">
      <c r="A1107" t="s">
        <v>2423</v>
      </c>
      <c r="B1107" t="s">
        <v>1036</v>
      </c>
      <c r="C1107">
        <v>13</v>
      </c>
      <c r="D1107" t="s">
        <v>132</v>
      </c>
      <c r="E1107" t="s">
        <v>79</v>
      </c>
      <c r="F1107" t="s">
        <v>79</v>
      </c>
      <c r="G1107">
        <v>0.15</v>
      </c>
      <c r="H1107" t="s">
        <v>79</v>
      </c>
      <c r="I1107">
        <v>0</v>
      </c>
      <c r="J1107" t="str">
        <f>HYPERLINK("https://www.eliteprospects.com/player/482006/jacob-hoffrogge")</f>
        <v>https://www.eliteprospects.com/player/482006/jacob-hoffrogge</v>
      </c>
      <c r="K1107" t="s">
        <v>27</v>
      </c>
      <c r="L1107" t="s">
        <v>918</v>
      </c>
      <c r="M1107" t="s">
        <v>1296</v>
      </c>
      <c r="N1107">
        <v>5</v>
      </c>
      <c r="O1107" t="s">
        <v>979</v>
      </c>
      <c r="P1107">
        <v>0.02</v>
      </c>
      <c r="Q1107" t="s">
        <v>1488</v>
      </c>
      <c r="R1107">
        <v>0</v>
      </c>
      <c r="S1107">
        <v>0</v>
      </c>
      <c r="T1107">
        <v>0</v>
      </c>
      <c r="U1107">
        <v>0</v>
      </c>
      <c r="V1107">
        <v>0</v>
      </c>
    </row>
    <row r="1108" spans="1:22" x14ac:dyDescent="0.25">
      <c r="A1108" t="s">
        <v>2424</v>
      </c>
      <c r="B1108" t="s">
        <v>1053</v>
      </c>
      <c r="C1108">
        <v>13</v>
      </c>
      <c r="D1108" t="s">
        <v>132</v>
      </c>
      <c r="E1108" t="s">
        <v>79</v>
      </c>
      <c r="F1108" t="s">
        <v>79</v>
      </c>
      <c r="G1108">
        <v>0.15</v>
      </c>
      <c r="H1108" t="s">
        <v>47</v>
      </c>
      <c r="I1108">
        <v>0</v>
      </c>
      <c r="J1108" t="str">
        <f>HYPERLINK("https://www.eliteprospects.com/player/351796/cole-beamin")</f>
        <v>https://www.eliteprospects.com/player/351796/cole-beamin</v>
      </c>
      <c r="K1108" t="s">
        <v>27</v>
      </c>
      <c r="L1108" t="s">
        <v>918</v>
      </c>
      <c r="M1108" t="s">
        <v>1296</v>
      </c>
      <c r="N1108">
        <v>4</v>
      </c>
      <c r="O1108" t="s">
        <v>1004</v>
      </c>
      <c r="P1108">
        <v>0.02</v>
      </c>
      <c r="Q1108" t="s">
        <v>1488</v>
      </c>
      <c r="R1108">
        <v>0</v>
      </c>
      <c r="S1108">
        <v>0</v>
      </c>
      <c r="T1108">
        <v>0</v>
      </c>
      <c r="U1108">
        <v>0</v>
      </c>
      <c r="V1108">
        <v>0</v>
      </c>
    </row>
    <row r="1109" spans="1:22" x14ac:dyDescent="0.25">
      <c r="A1109" t="s">
        <v>2425</v>
      </c>
      <c r="B1109" t="s">
        <v>1020</v>
      </c>
      <c r="C1109">
        <v>13</v>
      </c>
      <c r="D1109" t="s">
        <v>132</v>
      </c>
      <c r="E1109" t="s">
        <v>79</v>
      </c>
      <c r="F1109" t="s">
        <v>79</v>
      </c>
      <c r="G1109">
        <v>0.15</v>
      </c>
      <c r="H1109" t="s">
        <v>25</v>
      </c>
      <c r="I1109">
        <v>-6</v>
      </c>
      <c r="J1109" t="str">
        <f>HYPERLINK("https://www.eliteprospects.com/player/570293/tristan-serrao")</f>
        <v>https://www.eliteprospects.com/player/570293/tristan-serrao</v>
      </c>
      <c r="K1109" t="s">
        <v>27</v>
      </c>
      <c r="L1109" t="s">
        <v>918</v>
      </c>
      <c r="M1109" t="s">
        <v>1296</v>
      </c>
      <c r="N1109">
        <v>1</v>
      </c>
      <c r="O1109" t="s">
        <v>984</v>
      </c>
      <c r="P1109">
        <v>0.02</v>
      </c>
      <c r="Q1109" t="s">
        <v>1488</v>
      </c>
      <c r="R1109">
        <v>0</v>
      </c>
      <c r="S1109">
        <v>0</v>
      </c>
      <c r="T1109">
        <v>0</v>
      </c>
      <c r="U1109">
        <v>0</v>
      </c>
      <c r="V1109">
        <v>0</v>
      </c>
    </row>
    <row r="1110" spans="1:22" x14ac:dyDescent="0.25">
      <c r="A1110" t="s">
        <v>2426</v>
      </c>
      <c r="B1110" t="s">
        <v>917</v>
      </c>
      <c r="C1110">
        <v>14</v>
      </c>
      <c r="D1110" t="s">
        <v>132</v>
      </c>
      <c r="E1110" t="s">
        <v>79</v>
      </c>
      <c r="F1110" t="s">
        <v>79</v>
      </c>
      <c r="G1110">
        <v>0.14000000000000001</v>
      </c>
      <c r="H1110" t="s">
        <v>66</v>
      </c>
      <c r="I1110">
        <v>-3</v>
      </c>
      <c r="J1110" t="str">
        <f>HYPERLINK("https://www.eliteprospects.com/player/472995/luke-vardy")</f>
        <v>https://www.eliteprospects.com/player/472995/luke-vardy</v>
      </c>
      <c r="K1110" t="s">
        <v>27</v>
      </c>
      <c r="L1110" t="s">
        <v>918</v>
      </c>
      <c r="M1110" t="s">
        <v>1296</v>
      </c>
      <c r="N1110">
        <v>1</v>
      </c>
      <c r="O1110" t="s">
        <v>984</v>
      </c>
      <c r="P1110">
        <v>0.02</v>
      </c>
      <c r="Q1110" t="s">
        <v>1488</v>
      </c>
      <c r="R1110">
        <v>0</v>
      </c>
      <c r="S1110">
        <v>0</v>
      </c>
      <c r="T1110">
        <v>0</v>
      </c>
      <c r="U1110">
        <v>0</v>
      </c>
      <c r="V1110">
        <v>0</v>
      </c>
    </row>
    <row r="1111" spans="1:22" x14ac:dyDescent="0.25">
      <c r="A1111" t="s">
        <v>2427</v>
      </c>
      <c r="B1111" t="s">
        <v>1003</v>
      </c>
      <c r="C1111">
        <v>15</v>
      </c>
      <c r="D1111" t="s">
        <v>132</v>
      </c>
      <c r="E1111" t="s">
        <v>79</v>
      </c>
      <c r="F1111" t="s">
        <v>79</v>
      </c>
      <c r="G1111">
        <v>0.13</v>
      </c>
      <c r="H1111" t="s">
        <v>66</v>
      </c>
      <c r="I1111">
        <v>0</v>
      </c>
      <c r="J1111" t="str">
        <f>HYPERLINK("https://www.eliteprospects.com/player/726313/nolan-ling")</f>
        <v>https://www.eliteprospects.com/player/726313/nolan-ling</v>
      </c>
      <c r="K1111" t="s">
        <v>27</v>
      </c>
      <c r="L1111" t="s">
        <v>918</v>
      </c>
      <c r="M1111" t="s">
        <v>1296</v>
      </c>
      <c r="N1111">
        <v>4</v>
      </c>
      <c r="O1111" t="s">
        <v>2428</v>
      </c>
      <c r="P1111">
        <v>0.02</v>
      </c>
      <c r="Q1111" t="s">
        <v>1488</v>
      </c>
      <c r="R1111">
        <v>0</v>
      </c>
      <c r="S1111">
        <v>0</v>
      </c>
      <c r="T1111">
        <v>0</v>
      </c>
      <c r="U1111">
        <v>0</v>
      </c>
      <c r="V1111">
        <v>0</v>
      </c>
    </row>
    <row r="1112" spans="1:22" x14ac:dyDescent="0.25">
      <c r="A1112" t="s">
        <v>2429</v>
      </c>
      <c r="B1112" t="s">
        <v>926</v>
      </c>
      <c r="C1112">
        <v>15</v>
      </c>
      <c r="D1112" t="s">
        <v>132</v>
      </c>
      <c r="E1112" t="s">
        <v>79</v>
      </c>
      <c r="F1112" t="s">
        <v>79</v>
      </c>
      <c r="G1112">
        <v>0.13</v>
      </c>
      <c r="H1112" t="s">
        <v>23</v>
      </c>
      <c r="I1112">
        <v>13</v>
      </c>
      <c r="J1112" t="str">
        <f>HYPERLINK("https://www.eliteprospects.com/player/351088/jonny-lambos")</f>
        <v>https://www.eliteprospects.com/player/351088/jonny-lambos</v>
      </c>
      <c r="K1112" t="s">
        <v>27</v>
      </c>
      <c r="L1112" t="s">
        <v>918</v>
      </c>
      <c r="M1112" t="s">
        <v>1296</v>
      </c>
      <c r="N1112">
        <v>6</v>
      </c>
      <c r="O1112" t="s">
        <v>927</v>
      </c>
      <c r="P1112">
        <v>0.02</v>
      </c>
      <c r="Q1112" t="s">
        <v>1488</v>
      </c>
      <c r="R1112">
        <v>0</v>
      </c>
      <c r="S1112">
        <v>0</v>
      </c>
      <c r="T1112">
        <v>0</v>
      </c>
      <c r="U1112">
        <v>0</v>
      </c>
      <c r="V1112">
        <v>0</v>
      </c>
    </row>
    <row r="1113" spans="1:22" x14ac:dyDescent="0.25">
      <c r="A1113" t="s">
        <v>2430</v>
      </c>
      <c r="B1113" t="s">
        <v>1005</v>
      </c>
      <c r="C1113">
        <v>15</v>
      </c>
      <c r="D1113" t="s">
        <v>132</v>
      </c>
      <c r="E1113" t="s">
        <v>79</v>
      </c>
      <c r="F1113" t="s">
        <v>79</v>
      </c>
      <c r="G1113">
        <v>0.13</v>
      </c>
      <c r="H1113" t="s">
        <v>178</v>
      </c>
      <c r="I1113">
        <v>0</v>
      </c>
      <c r="J1113" t="str">
        <f>HYPERLINK("https://www.eliteprospects.com/player/408779/andrew-hunt")</f>
        <v>https://www.eliteprospects.com/player/408779/andrew-hunt</v>
      </c>
      <c r="K1113" t="s">
        <v>27</v>
      </c>
      <c r="L1113" t="s">
        <v>918</v>
      </c>
      <c r="M1113" t="s">
        <v>1296</v>
      </c>
      <c r="N1113">
        <v>4</v>
      </c>
      <c r="O1113" t="s">
        <v>940</v>
      </c>
      <c r="P1113">
        <v>0.02</v>
      </c>
      <c r="Q1113" t="s">
        <v>1488</v>
      </c>
      <c r="R1113">
        <v>0</v>
      </c>
      <c r="S1113">
        <v>0</v>
      </c>
      <c r="T1113">
        <v>0</v>
      </c>
      <c r="U1113">
        <v>0</v>
      </c>
      <c r="V1113">
        <v>0</v>
      </c>
    </row>
    <row r="1114" spans="1:22" x14ac:dyDescent="0.25">
      <c r="A1114" t="s">
        <v>2431</v>
      </c>
      <c r="B1114" t="s">
        <v>977</v>
      </c>
      <c r="C1114">
        <v>16</v>
      </c>
      <c r="D1114" t="s">
        <v>132</v>
      </c>
      <c r="E1114" t="s">
        <v>79</v>
      </c>
      <c r="F1114" t="s">
        <v>79</v>
      </c>
      <c r="G1114">
        <v>0.13</v>
      </c>
      <c r="H1114" t="s">
        <v>132</v>
      </c>
      <c r="I1114">
        <v>0</v>
      </c>
      <c r="J1114" t="str">
        <f>HYPERLINK("https://www.eliteprospects.com/player/526071/sam-grabner")</f>
        <v>https://www.eliteprospects.com/player/526071/sam-grabner</v>
      </c>
      <c r="K1114" t="s">
        <v>27</v>
      </c>
      <c r="L1114" t="s">
        <v>918</v>
      </c>
      <c r="M1114" t="s">
        <v>1296</v>
      </c>
      <c r="N1114">
        <v>1</v>
      </c>
      <c r="O1114" t="s">
        <v>984</v>
      </c>
      <c r="P1114">
        <v>0.02</v>
      </c>
      <c r="Q1114" t="s">
        <v>1488</v>
      </c>
      <c r="R1114">
        <v>0</v>
      </c>
      <c r="S1114">
        <v>0</v>
      </c>
      <c r="T1114">
        <v>0</v>
      </c>
      <c r="U1114">
        <v>0</v>
      </c>
      <c r="V1114">
        <v>0</v>
      </c>
    </row>
    <row r="1115" spans="1:22" x14ac:dyDescent="0.25">
      <c r="A1115" t="s">
        <v>2432</v>
      </c>
      <c r="B1115" t="s">
        <v>998</v>
      </c>
      <c r="C1115">
        <v>16</v>
      </c>
      <c r="D1115" t="s">
        <v>132</v>
      </c>
      <c r="E1115" t="s">
        <v>79</v>
      </c>
      <c r="F1115" t="s">
        <v>79</v>
      </c>
      <c r="G1115">
        <v>0.13</v>
      </c>
      <c r="H1115" t="s">
        <v>26</v>
      </c>
      <c r="I1115">
        <v>0</v>
      </c>
      <c r="J1115" t="str">
        <f>HYPERLINK("https://www.eliteprospects.com/player/503982/nathan-ribau")</f>
        <v>https://www.eliteprospects.com/player/503982/nathan-ribau</v>
      </c>
      <c r="K1115" t="s">
        <v>27</v>
      </c>
      <c r="L1115" t="s">
        <v>918</v>
      </c>
      <c r="M1115" t="s">
        <v>1296</v>
      </c>
      <c r="N1115">
        <v>7</v>
      </c>
      <c r="O1115" t="s">
        <v>919</v>
      </c>
      <c r="P1115">
        <v>0.02</v>
      </c>
      <c r="Q1115" t="s">
        <v>1488</v>
      </c>
      <c r="R1115">
        <v>0</v>
      </c>
      <c r="S1115">
        <v>0</v>
      </c>
      <c r="T1115">
        <v>0</v>
      </c>
      <c r="U1115">
        <v>0</v>
      </c>
      <c r="V1115">
        <v>0</v>
      </c>
    </row>
    <row r="1116" spans="1:22" x14ac:dyDescent="0.25">
      <c r="A1116" t="s">
        <v>2433</v>
      </c>
      <c r="B1116" t="s">
        <v>959</v>
      </c>
      <c r="C1116">
        <v>16</v>
      </c>
      <c r="D1116" t="s">
        <v>132</v>
      </c>
      <c r="E1116" t="s">
        <v>79</v>
      </c>
      <c r="F1116" t="s">
        <v>79</v>
      </c>
      <c r="G1116">
        <v>0.13</v>
      </c>
      <c r="H1116" t="s">
        <v>55</v>
      </c>
      <c r="I1116">
        <v>0</v>
      </c>
      <c r="J1116" t="str">
        <f>HYPERLINK("https://www.eliteprospects.com/player/648905/samuel-kingsley")</f>
        <v>https://www.eliteprospects.com/player/648905/samuel-kingsley</v>
      </c>
      <c r="K1116" t="s">
        <v>27</v>
      </c>
      <c r="L1116" t="s">
        <v>918</v>
      </c>
      <c r="M1116" t="s">
        <v>1296</v>
      </c>
      <c r="N1116">
        <v>4</v>
      </c>
      <c r="O1116" t="s">
        <v>1051</v>
      </c>
      <c r="P1116">
        <v>0.02</v>
      </c>
      <c r="Q1116" t="s">
        <v>1488</v>
      </c>
      <c r="R1116">
        <v>0</v>
      </c>
      <c r="S1116">
        <v>0</v>
      </c>
      <c r="T1116">
        <v>0</v>
      </c>
      <c r="U1116">
        <v>0</v>
      </c>
      <c r="V1116">
        <v>0</v>
      </c>
    </row>
    <row r="1117" spans="1:22" x14ac:dyDescent="0.25">
      <c r="A1117" t="s">
        <v>2434</v>
      </c>
      <c r="B1117" t="s">
        <v>1049</v>
      </c>
      <c r="C1117">
        <v>17</v>
      </c>
      <c r="D1117" t="s">
        <v>132</v>
      </c>
      <c r="E1117" t="s">
        <v>79</v>
      </c>
      <c r="F1117" t="s">
        <v>79</v>
      </c>
      <c r="G1117">
        <v>0.12</v>
      </c>
      <c r="H1117" t="s">
        <v>39</v>
      </c>
      <c r="I1117">
        <v>-4</v>
      </c>
      <c r="J1117" t="str">
        <f>HYPERLINK("https://www.eliteprospects.com/player/565740/tanner-willick")</f>
        <v>https://www.eliteprospects.com/player/565740/tanner-willick</v>
      </c>
      <c r="K1117" t="s">
        <v>27</v>
      </c>
      <c r="L1117" t="s">
        <v>918</v>
      </c>
      <c r="M1117" t="s">
        <v>1296</v>
      </c>
      <c r="N1117">
        <v>2</v>
      </c>
      <c r="O1117" t="s">
        <v>1076</v>
      </c>
      <c r="P1117">
        <v>0.02</v>
      </c>
      <c r="Q1117" t="s">
        <v>1488</v>
      </c>
      <c r="R1117">
        <v>0</v>
      </c>
      <c r="S1117">
        <v>0</v>
      </c>
      <c r="T1117">
        <v>0</v>
      </c>
      <c r="U1117">
        <v>0</v>
      </c>
      <c r="V1117">
        <v>0</v>
      </c>
    </row>
    <row r="1118" spans="1:22" x14ac:dyDescent="0.25">
      <c r="A1118" t="s">
        <v>2435</v>
      </c>
      <c r="B1118" t="s">
        <v>1084</v>
      </c>
      <c r="C1118">
        <v>18</v>
      </c>
      <c r="D1118" t="s">
        <v>132</v>
      </c>
      <c r="E1118" t="s">
        <v>79</v>
      </c>
      <c r="F1118" t="s">
        <v>79</v>
      </c>
      <c r="G1118">
        <v>0.11</v>
      </c>
      <c r="H1118" t="s">
        <v>26</v>
      </c>
      <c r="I1118">
        <v>0</v>
      </c>
      <c r="J1118" t="str">
        <f>HYPERLINK("https://www.eliteprospects.com/player/336777/devin-pimm")</f>
        <v>https://www.eliteprospects.com/player/336777/devin-pimm</v>
      </c>
      <c r="K1118" t="s">
        <v>27</v>
      </c>
      <c r="L1118" t="s">
        <v>918</v>
      </c>
      <c r="M1118" t="s">
        <v>1296</v>
      </c>
      <c r="N1118">
        <v>3</v>
      </c>
      <c r="O1118" t="s">
        <v>962</v>
      </c>
      <c r="P1118">
        <v>0.01</v>
      </c>
      <c r="Q1118" t="s">
        <v>1488</v>
      </c>
      <c r="R1118">
        <v>0</v>
      </c>
      <c r="S1118">
        <v>0</v>
      </c>
      <c r="T1118">
        <v>0</v>
      </c>
      <c r="U1118">
        <v>0</v>
      </c>
      <c r="V1118">
        <v>0</v>
      </c>
    </row>
    <row r="1119" spans="1:22" x14ac:dyDescent="0.25">
      <c r="A1119" t="s">
        <v>2436</v>
      </c>
      <c r="B1119" t="s">
        <v>944</v>
      </c>
      <c r="C1119">
        <v>18</v>
      </c>
      <c r="D1119" t="s">
        <v>132</v>
      </c>
      <c r="E1119" t="s">
        <v>79</v>
      </c>
      <c r="F1119" t="s">
        <v>79</v>
      </c>
      <c r="G1119">
        <v>0.11</v>
      </c>
      <c r="H1119" t="s">
        <v>47</v>
      </c>
      <c r="I1119">
        <v>2</v>
      </c>
      <c r="J1119" t="str">
        <f>HYPERLINK("https://www.eliteprospects.com/player/419302/marc-antoine-mercier")</f>
        <v>https://www.eliteprospects.com/player/419302/marc-antoine-mercier</v>
      </c>
      <c r="K1119" t="s">
        <v>27</v>
      </c>
      <c r="L1119" t="s">
        <v>918</v>
      </c>
      <c r="M1119" t="s">
        <v>1296</v>
      </c>
      <c r="N1119">
        <v>5</v>
      </c>
      <c r="O1119" t="s">
        <v>1094</v>
      </c>
      <c r="P1119">
        <v>0.01</v>
      </c>
      <c r="Q1119" t="s">
        <v>1488</v>
      </c>
      <c r="R1119">
        <v>0</v>
      </c>
      <c r="S1119">
        <v>0</v>
      </c>
      <c r="T1119">
        <v>0</v>
      </c>
      <c r="U1119">
        <v>0</v>
      </c>
      <c r="V1119">
        <v>0</v>
      </c>
    </row>
    <row r="1120" spans="1:22" x14ac:dyDescent="0.25">
      <c r="A1120" t="s">
        <v>2437</v>
      </c>
      <c r="B1120" t="s">
        <v>1084</v>
      </c>
      <c r="C1120">
        <v>19</v>
      </c>
      <c r="D1120" t="s">
        <v>132</v>
      </c>
      <c r="E1120" t="s">
        <v>79</v>
      </c>
      <c r="F1120" t="s">
        <v>79</v>
      </c>
      <c r="G1120">
        <v>0.11</v>
      </c>
      <c r="H1120" t="s">
        <v>79</v>
      </c>
      <c r="I1120">
        <v>0</v>
      </c>
      <c r="J1120" t="str">
        <f>HYPERLINK("https://www.eliteprospects.com/player/317488/bruce-coltart")</f>
        <v>https://www.eliteprospects.com/player/317488/bruce-coltart</v>
      </c>
      <c r="K1120" t="s">
        <v>27</v>
      </c>
      <c r="L1120" t="s">
        <v>918</v>
      </c>
      <c r="M1120" t="s">
        <v>1296</v>
      </c>
      <c r="N1120">
        <v>3</v>
      </c>
      <c r="O1120" t="s">
        <v>962</v>
      </c>
      <c r="P1120">
        <v>0.01</v>
      </c>
      <c r="Q1120" t="s">
        <v>1488</v>
      </c>
      <c r="R1120">
        <v>0</v>
      </c>
      <c r="S1120">
        <v>0</v>
      </c>
      <c r="T1120">
        <v>0</v>
      </c>
      <c r="U1120">
        <v>0</v>
      </c>
      <c r="V1120">
        <v>0</v>
      </c>
    </row>
    <row r="1121" spans="1:22" x14ac:dyDescent="0.25">
      <c r="A1121" t="s">
        <v>2438</v>
      </c>
      <c r="B1121" t="s">
        <v>966</v>
      </c>
      <c r="C1121">
        <v>10</v>
      </c>
      <c r="D1121" t="s">
        <v>260</v>
      </c>
      <c r="E1121" t="s">
        <v>132</v>
      </c>
      <c r="F1121" t="s">
        <v>260</v>
      </c>
      <c r="G1121">
        <v>0.1</v>
      </c>
      <c r="H1121" t="s">
        <v>79</v>
      </c>
      <c r="I1121">
        <v>3</v>
      </c>
      <c r="J1121" t="str">
        <f>HYPERLINK("https://www.eliteprospects.com/player/516637/jordan-grill")</f>
        <v>https://www.eliteprospects.com/player/516637/jordan-grill</v>
      </c>
      <c r="K1121" t="s">
        <v>27</v>
      </c>
      <c r="L1121" t="s">
        <v>918</v>
      </c>
      <c r="M1121" t="s">
        <v>1296</v>
      </c>
      <c r="N1121">
        <v>1</v>
      </c>
      <c r="O1121" t="s">
        <v>984</v>
      </c>
      <c r="P1121">
        <v>0.01</v>
      </c>
      <c r="Q1121" t="s">
        <v>1488</v>
      </c>
      <c r="R1121">
        <v>0</v>
      </c>
      <c r="S1121">
        <v>0</v>
      </c>
      <c r="T1121">
        <v>0</v>
      </c>
      <c r="U1121">
        <v>0</v>
      </c>
      <c r="V1121">
        <v>0</v>
      </c>
    </row>
    <row r="1122" spans="1:22" x14ac:dyDescent="0.25">
      <c r="A1122" t="s">
        <v>2439</v>
      </c>
      <c r="B1122" t="s">
        <v>961</v>
      </c>
      <c r="C1122">
        <v>10</v>
      </c>
      <c r="D1122" t="s">
        <v>260</v>
      </c>
      <c r="E1122" t="s">
        <v>132</v>
      </c>
      <c r="F1122" t="s">
        <v>260</v>
      </c>
      <c r="G1122">
        <v>0.1</v>
      </c>
      <c r="H1122" t="s">
        <v>66</v>
      </c>
      <c r="I1122">
        <v>0</v>
      </c>
      <c r="J1122" t="str">
        <f>HYPERLINK("https://www.eliteprospects.com/player/418343/samuel-willits")</f>
        <v>https://www.eliteprospects.com/player/418343/samuel-willits</v>
      </c>
      <c r="K1122" t="s">
        <v>27</v>
      </c>
      <c r="L1122" t="s">
        <v>918</v>
      </c>
      <c r="M1122" t="s">
        <v>1296</v>
      </c>
      <c r="N1122">
        <v>3</v>
      </c>
      <c r="O1122" t="s">
        <v>962</v>
      </c>
      <c r="P1122">
        <v>0.01</v>
      </c>
      <c r="Q1122" t="s">
        <v>1488</v>
      </c>
      <c r="R1122">
        <v>0</v>
      </c>
      <c r="S1122">
        <v>0</v>
      </c>
      <c r="T1122">
        <v>0</v>
      </c>
      <c r="U1122">
        <v>0</v>
      </c>
      <c r="V1122">
        <v>0</v>
      </c>
    </row>
    <row r="1123" spans="1:22" x14ac:dyDescent="0.25">
      <c r="A1123" t="s">
        <v>2440</v>
      </c>
      <c r="B1123" t="s">
        <v>1032</v>
      </c>
      <c r="C1123">
        <v>10</v>
      </c>
      <c r="D1123" t="s">
        <v>260</v>
      </c>
      <c r="E1123" t="s">
        <v>132</v>
      </c>
      <c r="F1123" t="s">
        <v>260</v>
      </c>
      <c r="G1123">
        <v>0.1</v>
      </c>
      <c r="H1123" t="s">
        <v>23</v>
      </c>
      <c r="I1123">
        <v>0</v>
      </c>
      <c r="J1123" t="str">
        <f>HYPERLINK("https://www.eliteprospects.com/player/881775/brayden-velliaris")</f>
        <v>https://www.eliteprospects.com/player/881775/brayden-velliaris</v>
      </c>
      <c r="K1123" t="s">
        <v>27</v>
      </c>
      <c r="L1123" t="s">
        <v>918</v>
      </c>
      <c r="M1123" t="s">
        <v>1296</v>
      </c>
      <c r="N1123">
        <v>3</v>
      </c>
      <c r="O1123" t="s">
        <v>1211</v>
      </c>
      <c r="P1123">
        <v>0.01</v>
      </c>
      <c r="Q1123" t="s">
        <v>1488</v>
      </c>
      <c r="R1123">
        <v>0</v>
      </c>
      <c r="S1123">
        <v>0</v>
      </c>
      <c r="T1123">
        <v>0</v>
      </c>
      <c r="U1123">
        <v>0</v>
      </c>
      <c r="V1123">
        <v>0</v>
      </c>
    </row>
    <row r="1124" spans="1:22" x14ac:dyDescent="0.25">
      <c r="A1124" t="s">
        <v>2441</v>
      </c>
      <c r="B1124" t="s">
        <v>1118</v>
      </c>
      <c r="C1124">
        <v>16</v>
      </c>
      <c r="D1124" t="s">
        <v>260</v>
      </c>
      <c r="E1124" t="s">
        <v>132</v>
      </c>
      <c r="F1124" t="s">
        <v>260</v>
      </c>
      <c r="G1124">
        <v>0.06</v>
      </c>
      <c r="H1124" t="s">
        <v>23</v>
      </c>
      <c r="I1124">
        <v>-12</v>
      </c>
      <c r="J1124" t="str">
        <f>HYPERLINK("https://www.eliteprospects.com/player/482790/ashton-fishley")</f>
        <v>https://www.eliteprospects.com/player/482790/ashton-fishley</v>
      </c>
      <c r="K1124" t="s">
        <v>27</v>
      </c>
      <c r="L1124" t="s">
        <v>918</v>
      </c>
      <c r="M1124" t="s">
        <v>1296</v>
      </c>
      <c r="N1124">
        <v>1</v>
      </c>
      <c r="O1124" t="s">
        <v>984</v>
      </c>
      <c r="P1124">
        <v>0.01</v>
      </c>
      <c r="Q1124" t="s">
        <v>1488</v>
      </c>
      <c r="R1124">
        <v>0</v>
      </c>
      <c r="S1124">
        <v>0</v>
      </c>
      <c r="T1124">
        <v>0</v>
      </c>
      <c r="U1124">
        <v>0</v>
      </c>
      <c r="V1124">
        <v>0</v>
      </c>
    </row>
    <row r="1125" spans="1:22" x14ac:dyDescent="0.25">
      <c r="A1125" t="s">
        <v>2442</v>
      </c>
      <c r="B1125" t="s">
        <v>998</v>
      </c>
      <c r="C1125">
        <v>10</v>
      </c>
      <c r="D1125" t="s">
        <v>132</v>
      </c>
      <c r="E1125" t="s">
        <v>260</v>
      </c>
      <c r="F1125" t="s">
        <v>260</v>
      </c>
      <c r="G1125">
        <v>0.1</v>
      </c>
      <c r="H1125" t="s">
        <v>66</v>
      </c>
      <c r="I1125">
        <v>0</v>
      </c>
      <c r="J1125" t="str">
        <f>HYPERLINK("https://www.eliteprospects.com/player/485348/ethan-peters")</f>
        <v>https://www.eliteprospects.com/player/485348/ethan-peters</v>
      </c>
      <c r="K1125" t="s">
        <v>27</v>
      </c>
      <c r="L1125" t="s">
        <v>918</v>
      </c>
      <c r="M1125" t="s">
        <v>1296</v>
      </c>
      <c r="N1125">
        <v>5</v>
      </c>
      <c r="O1125" t="s">
        <v>979</v>
      </c>
      <c r="P1125">
        <v>0.01</v>
      </c>
      <c r="Q1125" t="s">
        <v>1488</v>
      </c>
      <c r="R1125">
        <v>0</v>
      </c>
      <c r="S1125">
        <v>0</v>
      </c>
      <c r="T1125">
        <v>0</v>
      </c>
      <c r="U1125">
        <v>0</v>
      </c>
      <c r="V1125">
        <v>0</v>
      </c>
    </row>
    <row r="1126" spans="1:22" x14ac:dyDescent="0.25">
      <c r="A1126" t="s">
        <v>2443</v>
      </c>
      <c r="B1126" t="s">
        <v>934</v>
      </c>
      <c r="C1126">
        <v>11</v>
      </c>
      <c r="D1126" t="s">
        <v>132</v>
      </c>
      <c r="E1126" t="s">
        <v>260</v>
      </c>
      <c r="F1126" t="s">
        <v>260</v>
      </c>
      <c r="G1126">
        <v>0.09</v>
      </c>
      <c r="H1126" t="s">
        <v>57</v>
      </c>
      <c r="I1126">
        <v>0</v>
      </c>
      <c r="J1126" t="str">
        <f>HYPERLINK("https://www.eliteprospects.com/player/649403/roberto-mancini")</f>
        <v>https://www.eliteprospects.com/player/649403/roberto-mancini</v>
      </c>
      <c r="K1126" t="s">
        <v>27</v>
      </c>
      <c r="L1126" t="s">
        <v>918</v>
      </c>
      <c r="M1126" t="s">
        <v>1296</v>
      </c>
      <c r="N1126">
        <v>7</v>
      </c>
      <c r="O1126" t="s">
        <v>948</v>
      </c>
      <c r="P1126">
        <v>0.01</v>
      </c>
      <c r="Q1126" t="s">
        <v>1488</v>
      </c>
      <c r="R1126">
        <v>0</v>
      </c>
      <c r="S1126">
        <v>0</v>
      </c>
      <c r="T1126">
        <v>0</v>
      </c>
      <c r="U1126">
        <v>0</v>
      </c>
      <c r="V1126">
        <v>0</v>
      </c>
    </row>
    <row r="1127" spans="1:22" x14ac:dyDescent="0.25">
      <c r="A1127" t="s">
        <v>2444</v>
      </c>
      <c r="B1127" t="s">
        <v>939</v>
      </c>
      <c r="C1127">
        <v>12</v>
      </c>
      <c r="D1127" t="s">
        <v>132</v>
      </c>
      <c r="E1127" t="s">
        <v>260</v>
      </c>
      <c r="F1127" t="s">
        <v>260</v>
      </c>
      <c r="G1127">
        <v>0.08</v>
      </c>
      <c r="H1127" t="s">
        <v>79</v>
      </c>
      <c r="I1127">
        <v>-4</v>
      </c>
      <c r="J1127" t="str">
        <f>HYPERLINK("https://www.eliteprospects.com/player/287452/ethan-regnier")</f>
        <v>https://www.eliteprospects.com/player/287452/ethan-regnier</v>
      </c>
      <c r="K1127" t="s">
        <v>27</v>
      </c>
      <c r="L1127" t="s">
        <v>918</v>
      </c>
      <c r="M1127" t="s">
        <v>1546</v>
      </c>
      <c r="N1127">
        <v>5</v>
      </c>
      <c r="O1127" t="s">
        <v>1107</v>
      </c>
      <c r="P1127">
        <v>0.01</v>
      </c>
      <c r="Q1127" t="s">
        <v>1488</v>
      </c>
      <c r="R1127">
        <v>0</v>
      </c>
      <c r="S1127">
        <v>0</v>
      </c>
      <c r="T1127">
        <v>0</v>
      </c>
      <c r="U1127">
        <v>0</v>
      </c>
      <c r="V1127">
        <v>0</v>
      </c>
    </row>
    <row r="1128" spans="1:22" x14ac:dyDescent="0.25">
      <c r="A1128" t="s">
        <v>2445</v>
      </c>
      <c r="B1128" t="s">
        <v>957</v>
      </c>
      <c r="C1128">
        <v>12</v>
      </c>
      <c r="D1128" t="s">
        <v>132</v>
      </c>
      <c r="E1128" t="s">
        <v>260</v>
      </c>
      <c r="F1128" t="s">
        <v>260</v>
      </c>
      <c r="G1128">
        <v>0.08</v>
      </c>
      <c r="H1128" t="s">
        <v>79</v>
      </c>
      <c r="I1128">
        <v>2</v>
      </c>
      <c r="J1128" t="str">
        <f>HYPERLINK("https://www.eliteprospects.com/player/575016/dylan-bidyk")</f>
        <v>https://www.eliteprospects.com/player/575016/dylan-bidyk</v>
      </c>
      <c r="K1128" t="s">
        <v>27</v>
      </c>
      <c r="L1128" t="s">
        <v>918</v>
      </c>
      <c r="M1128" t="s">
        <v>1296</v>
      </c>
      <c r="N1128">
        <v>1</v>
      </c>
      <c r="O1128" t="s">
        <v>984</v>
      </c>
      <c r="P1128">
        <v>0.01</v>
      </c>
      <c r="Q1128" t="s">
        <v>1488</v>
      </c>
      <c r="R1128">
        <v>0</v>
      </c>
      <c r="S1128">
        <v>0</v>
      </c>
      <c r="T1128">
        <v>0</v>
      </c>
      <c r="U1128">
        <v>0</v>
      </c>
      <c r="V1128">
        <v>0</v>
      </c>
    </row>
    <row r="1129" spans="1:22" x14ac:dyDescent="0.25">
      <c r="A1129" t="s">
        <v>2446</v>
      </c>
      <c r="B1129" t="s">
        <v>1118</v>
      </c>
      <c r="C1129">
        <v>12</v>
      </c>
      <c r="D1129" t="s">
        <v>132</v>
      </c>
      <c r="E1129" t="s">
        <v>260</v>
      </c>
      <c r="F1129" t="s">
        <v>260</v>
      </c>
      <c r="G1129">
        <v>0.08</v>
      </c>
      <c r="H1129" t="s">
        <v>26</v>
      </c>
      <c r="I1129">
        <v>-14</v>
      </c>
      <c r="J1129" t="str">
        <f>HYPERLINK("https://www.eliteprospects.com/player/560989/jaren-brinson")</f>
        <v>https://www.eliteprospects.com/player/560989/jaren-brinson</v>
      </c>
      <c r="K1129" t="s">
        <v>27</v>
      </c>
      <c r="L1129" t="s">
        <v>918</v>
      </c>
      <c r="M1129" t="s">
        <v>1296</v>
      </c>
      <c r="N1129">
        <v>5</v>
      </c>
      <c r="O1129" t="s">
        <v>979</v>
      </c>
      <c r="P1129">
        <v>0.01</v>
      </c>
      <c r="Q1129" t="s">
        <v>1488</v>
      </c>
      <c r="R1129">
        <v>0</v>
      </c>
      <c r="S1129">
        <v>0</v>
      </c>
      <c r="T1129">
        <v>0</v>
      </c>
      <c r="U1129">
        <v>0</v>
      </c>
      <c r="V1129">
        <v>0</v>
      </c>
    </row>
    <row r="1130" spans="1:22" x14ac:dyDescent="0.25">
      <c r="A1130" t="s">
        <v>2447</v>
      </c>
      <c r="B1130" t="s">
        <v>1001</v>
      </c>
      <c r="C1130">
        <v>12</v>
      </c>
      <c r="D1130" t="s">
        <v>132</v>
      </c>
      <c r="E1130" t="s">
        <v>260</v>
      </c>
      <c r="F1130" t="s">
        <v>260</v>
      </c>
      <c r="G1130">
        <v>0.08</v>
      </c>
      <c r="H1130" t="s">
        <v>513</v>
      </c>
      <c r="I1130">
        <v>-12</v>
      </c>
      <c r="J1130" t="str">
        <f>HYPERLINK("https://www.eliteprospects.com/player/569196/liam-rodman")</f>
        <v>https://www.eliteprospects.com/player/569196/liam-rodman</v>
      </c>
      <c r="K1130" t="s">
        <v>27</v>
      </c>
      <c r="L1130" t="s">
        <v>918</v>
      </c>
      <c r="M1130" t="s">
        <v>1296</v>
      </c>
      <c r="N1130">
        <v>1</v>
      </c>
      <c r="O1130" t="s">
        <v>984</v>
      </c>
      <c r="P1130">
        <v>0.01</v>
      </c>
      <c r="Q1130" t="s">
        <v>1488</v>
      </c>
      <c r="R1130">
        <v>0</v>
      </c>
      <c r="S1130">
        <v>0</v>
      </c>
      <c r="T1130">
        <v>0</v>
      </c>
      <c r="U1130">
        <v>0</v>
      </c>
      <c r="V1130">
        <v>0</v>
      </c>
    </row>
    <row r="1131" spans="1:22" x14ac:dyDescent="0.25">
      <c r="A1131" t="s">
        <v>2448</v>
      </c>
      <c r="B1131" t="s">
        <v>1038</v>
      </c>
      <c r="C1131">
        <v>13</v>
      </c>
      <c r="D1131" t="s">
        <v>132</v>
      </c>
      <c r="E1131" t="s">
        <v>260</v>
      </c>
      <c r="F1131" t="s">
        <v>260</v>
      </c>
      <c r="G1131">
        <v>0.08</v>
      </c>
      <c r="H1131" t="s">
        <v>66</v>
      </c>
      <c r="I1131">
        <v>0</v>
      </c>
      <c r="J1131" t="str">
        <f>HYPERLINK("https://www.eliteprospects.com/player/651971/ethan-mcfarland")</f>
        <v>https://www.eliteprospects.com/player/651971/ethan-mcfarland</v>
      </c>
      <c r="K1131" t="s">
        <v>27</v>
      </c>
      <c r="L1131" t="s">
        <v>918</v>
      </c>
      <c r="M1131" t="s">
        <v>1296</v>
      </c>
      <c r="N1131">
        <v>1</v>
      </c>
      <c r="O1131" t="s">
        <v>984</v>
      </c>
      <c r="P1131">
        <v>0.01</v>
      </c>
      <c r="Q1131" t="s">
        <v>1488</v>
      </c>
      <c r="R1131">
        <v>0</v>
      </c>
      <c r="S1131">
        <v>0</v>
      </c>
      <c r="T1131">
        <v>0</v>
      </c>
      <c r="U1131">
        <v>0</v>
      </c>
      <c r="V1131">
        <v>0</v>
      </c>
    </row>
    <row r="1132" spans="1:22" x14ac:dyDescent="0.25">
      <c r="A1132" t="s">
        <v>2449</v>
      </c>
      <c r="B1132" t="s">
        <v>947</v>
      </c>
      <c r="C1132">
        <v>13</v>
      </c>
      <c r="D1132" t="s">
        <v>132</v>
      </c>
      <c r="E1132" t="s">
        <v>260</v>
      </c>
      <c r="F1132" t="s">
        <v>260</v>
      </c>
      <c r="G1132">
        <v>0.08</v>
      </c>
      <c r="H1132" t="s">
        <v>38</v>
      </c>
      <c r="I1132">
        <v>0</v>
      </c>
      <c r="J1132" t="str">
        <f>HYPERLINK("https://www.eliteprospects.com/player/506437/ethan-casper")</f>
        <v>https://www.eliteprospects.com/player/506437/ethan-casper</v>
      </c>
      <c r="K1132" t="s">
        <v>27</v>
      </c>
      <c r="L1132" t="s">
        <v>918</v>
      </c>
      <c r="M1132" t="s">
        <v>1296</v>
      </c>
      <c r="N1132">
        <v>1</v>
      </c>
      <c r="O1132" t="s">
        <v>984</v>
      </c>
      <c r="P1132">
        <v>0.01</v>
      </c>
      <c r="Q1132" t="s">
        <v>1488</v>
      </c>
      <c r="R1132">
        <v>0</v>
      </c>
      <c r="S1132">
        <v>0</v>
      </c>
      <c r="T1132">
        <v>0</v>
      </c>
      <c r="U1132">
        <v>0</v>
      </c>
      <c r="V1132">
        <v>0</v>
      </c>
    </row>
    <row r="1133" spans="1:22" x14ac:dyDescent="0.25">
      <c r="A1133" t="s">
        <v>2450</v>
      </c>
      <c r="B1133" t="s">
        <v>961</v>
      </c>
      <c r="C1133">
        <v>13</v>
      </c>
      <c r="D1133" t="s">
        <v>132</v>
      </c>
      <c r="E1133" t="s">
        <v>260</v>
      </c>
      <c r="F1133" t="s">
        <v>260</v>
      </c>
      <c r="G1133">
        <v>0.08</v>
      </c>
      <c r="H1133" t="s">
        <v>55</v>
      </c>
      <c r="I1133">
        <v>0</v>
      </c>
      <c r="J1133" t="str">
        <f>HYPERLINK("https://www.eliteprospects.com/player/542042/anthony-allepot")</f>
        <v>https://www.eliteprospects.com/player/542042/anthony-allepot</v>
      </c>
      <c r="K1133" t="s">
        <v>27</v>
      </c>
      <c r="L1133" t="s">
        <v>918</v>
      </c>
      <c r="M1133" t="s">
        <v>1296</v>
      </c>
      <c r="N1133">
        <v>5</v>
      </c>
      <c r="O1133" t="s">
        <v>973</v>
      </c>
      <c r="P1133">
        <v>0.01</v>
      </c>
      <c r="Q1133" t="s">
        <v>1488</v>
      </c>
      <c r="R1133">
        <v>0</v>
      </c>
      <c r="S1133">
        <v>0</v>
      </c>
      <c r="T1133">
        <v>0</v>
      </c>
      <c r="U1133">
        <v>0</v>
      </c>
      <c r="V1133">
        <v>0</v>
      </c>
    </row>
    <row r="1134" spans="1:22" x14ac:dyDescent="0.25">
      <c r="A1134" t="s">
        <v>2451</v>
      </c>
      <c r="B1134" t="s">
        <v>1011</v>
      </c>
      <c r="C1134">
        <v>15</v>
      </c>
      <c r="D1134" t="s">
        <v>132</v>
      </c>
      <c r="E1134" t="s">
        <v>260</v>
      </c>
      <c r="F1134" t="s">
        <v>260</v>
      </c>
      <c r="G1134">
        <v>7.0000000000000007E-2</v>
      </c>
      <c r="H1134" t="s">
        <v>79</v>
      </c>
      <c r="I1134">
        <v>-5</v>
      </c>
      <c r="J1134" t="str">
        <f>HYPERLINK("https://www.eliteprospects.com/player/660326/logan-cunningham")</f>
        <v>https://www.eliteprospects.com/player/660326/logan-cunningham</v>
      </c>
      <c r="K1134" t="s">
        <v>27</v>
      </c>
      <c r="L1134" t="s">
        <v>918</v>
      </c>
      <c r="M1134" t="s">
        <v>1296</v>
      </c>
      <c r="N1134">
        <v>5</v>
      </c>
      <c r="O1134" t="s">
        <v>979</v>
      </c>
      <c r="P1134">
        <v>0.01</v>
      </c>
      <c r="Q1134" t="s">
        <v>1488</v>
      </c>
      <c r="R1134">
        <v>0</v>
      </c>
      <c r="S1134">
        <v>0</v>
      </c>
      <c r="T1134">
        <v>0</v>
      </c>
      <c r="U1134">
        <v>0</v>
      </c>
      <c r="V1134">
        <v>0</v>
      </c>
    </row>
    <row r="1135" spans="1:22" x14ac:dyDescent="0.25">
      <c r="A1135" t="s">
        <v>2452</v>
      </c>
      <c r="B1135" t="s">
        <v>1020</v>
      </c>
      <c r="C1135">
        <v>16</v>
      </c>
      <c r="D1135" t="s">
        <v>132</v>
      </c>
      <c r="E1135" t="s">
        <v>260</v>
      </c>
      <c r="F1135" t="s">
        <v>260</v>
      </c>
      <c r="G1135">
        <v>0.06</v>
      </c>
      <c r="H1135" t="s">
        <v>66</v>
      </c>
      <c r="I1135">
        <v>-11</v>
      </c>
      <c r="J1135" t="str">
        <f>HYPERLINK("https://www.eliteprospects.com/player/541162/adam-leitch")</f>
        <v>https://www.eliteprospects.com/player/541162/adam-leitch</v>
      </c>
      <c r="K1135" t="s">
        <v>27</v>
      </c>
      <c r="L1135" t="s">
        <v>918</v>
      </c>
      <c r="M1135" t="s">
        <v>1296</v>
      </c>
      <c r="N1135">
        <v>1</v>
      </c>
      <c r="O1135" t="s">
        <v>984</v>
      </c>
      <c r="P1135">
        <v>0.01</v>
      </c>
      <c r="Q1135" t="s">
        <v>1488</v>
      </c>
      <c r="R1135">
        <v>0</v>
      </c>
      <c r="S1135">
        <v>0</v>
      </c>
      <c r="T1135">
        <v>0</v>
      </c>
      <c r="U1135">
        <v>0</v>
      </c>
      <c r="V1135">
        <v>0</v>
      </c>
    </row>
    <row r="1136" spans="1:22" x14ac:dyDescent="0.25">
      <c r="A1136" t="s">
        <v>2453</v>
      </c>
      <c r="B1136" t="s">
        <v>1015</v>
      </c>
      <c r="C1136">
        <v>16</v>
      </c>
      <c r="D1136" t="s">
        <v>132</v>
      </c>
      <c r="E1136" t="s">
        <v>260</v>
      </c>
      <c r="F1136" t="s">
        <v>260</v>
      </c>
      <c r="G1136">
        <v>0.06</v>
      </c>
      <c r="H1136" t="s">
        <v>32</v>
      </c>
      <c r="I1136">
        <v>0</v>
      </c>
      <c r="J1136" t="str">
        <f>HYPERLINK("https://www.eliteprospects.com/player/282492/konrad-belcourt")</f>
        <v>https://www.eliteprospects.com/player/282492/konrad-belcourt</v>
      </c>
      <c r="K1136" t="s">
        <v>27</v>
      </c>
      <c r="L1136" t="s">
        <v>918</v>
      </c>
      <c r="M1136" t="s">
        <v>1296</v>
      </c>
      <c r="N1136">
        <v>2</v>
      </c>
      <c r="O1136" t="s">
        <v>1021</v>
      </c>
      <c r="P1136">
        <v>0.01</v>
      </c>
      <c r="Q1136" t="s">
        <v>1488</v>
      </c>
      <c r="R1136">
        <v>0</v>
      </c>
      <c r="S1136">
        <v>0</v>
      </c>
      <c r="T1136">
        <v>0</v>
      </c>
      <c r="U1136">
        <v>0</v>
      </c>
      <c r="V1136">
        <v>0</v>
      </c>
    </row>
    <row r="1137" spans="1:22" x14ac:dyDescent="0.25">
      <c r="A1137" t="s">
        <v>2454</v>
      </c>
      <c r="B1137" t="s">
        <v>998</v>
      </c>
      <c r="C1137">
        <v>16</v>
      </c>
      <c r="D1137" t="s">
        <v>132</v>
      </c>
      <c r="E1137" t="s">
        <v>260</v>
      </c>
      <c r="F1137" t="s">
        <v>260</v>
      </c>
      <c r="G1137">
        <v>0.06</v>
      </c>
      <c r="H1137" t="s">
        <v>23</v>
      </c>
      <c r="I1137">
        <v>0</v>
      </c>
      <c r="J1137" t="str">
        <f>HYPERLINK("https://www.eliteprospects.com/player/502874/cameron-morton")</f>
        <v>https://www.eliteprospects.com/player/502874/cameron-morton</v>
      </c>
      <c r="K1137" t="s">
        <v>27</v>
      </c>
      <c r="L1137" t="s">
        <v>918</v>
      </c>
      <c r="M1137" t="s">
        <v>1296</v>
      </c>
      <c r="N1137">
        <v>6</v>
      </c>
      <c r="O1137" t="s">
        <v>995</v>
      </c>
      <c r="P1137">
        <v>0.01</v>
      </c>
      <c r="Q1137" t="s">
        <v>1488</v>
      </c>
      <c r="R1137">
        <v>0</v>
      </c>
      <c r="S1137">
        <v>0</v>
      </c>
      <c r="T1137">
        <v>0</v>
      </c>
      <c r="U1137">
        <v>0</v>
      </c>
      <c r="V1137">
        <v>0</v>
      </c>
    </row>
    <row r="1138" spans="1:22" x14ac:dyDescent="0.25">
      <c r="A1138" t="s">
        <v>2455</v>
      </c>
      <c r="B1138" t="s">
        <v>1053</v>
      </c>
      <c r="C1138">
        <v>17</v>
      </c>
      <c r="D1138" t="s">
        <v>132</v>
      </c>
      <c r="E1138" t="s">
        <v>260</v>
      </c>
      <c r="F1138" t="s">
        <v>260</v>
      </c>
      <c r="G1138">
        <v>0.06</v>
      </c>
      <c r="H1138" t="s">
        <v>66</v>
      </c>
      <c r="I1138">
        <v>0</v>
      </c>
      <c r="J1138" t="str">
        <f>HYPERLINK("https://www.eliteprospects.com/player/421644/logan-holm")</f>
        <v>https://www.eliteprospects.com/player/421644/logan-holm</v>
      </c>
      <c r="K1138" t="s">
        <v>27</v>
      </c>
      <c r="L1138" t="s">
        <v>918</v>
      </c>
      <c r="M1138" t="s">
        <v>1296</v>
      </c>
      <c r="N1138">
        <v>2</v>
      </c>
      <c r="O1138" t="s">
        <v>1021</v>
      </c>
      <c r="P1138">
        <v>0.01</v>
      </c>
      <c r="Q1138" t="s">
        <v>1488</v>
      </c>
      <c r="R1138">
        <v>0</v>
      </c>
      <c r="S1138">
        <v>0</v>
      </c>
      <c r="T1138">
        <v>0</v>
      </c>
      <c r="U1138">
        <v>0</v>
      </c>
      <c r="V1138">
        <v>0</v>
      </c>
    </row>
    <row r="1139" spans="1:22" x14ac:dyDescent="0.25">
      <c r="A1139" t="s">
        <v>2456</v>
      </c>
      <c r="B1139" t="s">
        <v>954</v>
      </c>
      <c r="C1139">
        <v>17</v>
      </c>
      <c r="D1139" t="s">
        <v>132</v>
      </c>
      <c r="E1139" t="s">
        <v>260</v>
      </c>
      <c r="F1139" t="s">
        <v>260</v>
      </c>
      <c r="G1139">
        <v>0.06</v>
      </c>
      <c r="H1139" t="s">
        <v>38</v>
      </c>
      <c r="I1139">
        <v>0</v>
      </c>
      <c r="J1139" t="str">
        <f>HYPERLINK("https://www.eliteprospects.com/player/582559/cam-gauvreau")</f>
        <v>https://www.eliteprospects.com/player/582559/cam-gauvreau</v>
      </c>
      <c r="K1139" t="s">
        <v>27</v>
      </c>
      <c r="L1139" t="s">
        <v>918</v>
      </c>
      <c r="M1139" t="s">
        <v>1296</v>
      </c>
      <c r="N1139">
        <v>4</v>
      </c>
      <c r="O1139" t="s">
        <v>1025</v>
      </c>
      <c r="P1139">
        <v>0.01</v>
      </c>
      <c r="Q1139" t="s">
        <v>1488</v>
      </c>
      <c r="R1139">
        <v>0</v>
      </c>
      <c r="S1139">
        <v>0</v>
      </c>
      <c r="T1139">
        <v>0</v>
      </c>
      <c r="U1139">
        <v>0</v>
      </c>
      <c r="V1139">
        <v>0</v>
      </c>
    </row>
    <row r="1140" spans="1:22" x14ac:dyDescent="0.25">
      <c r="A1140" t="s">
        <v>2457</v>
      </c>
      <c r="B1140" t="s">
        <v>1032</v>
      </c>
      <c r="C1140">
        <v>17</v>
      </c>
      <c r="D1140" t="s">
        <v>132</v>
      </c>
      <c r="E1140" t="s">
        <v>260</v>
      </c>
      <c r="F1140" t="s">
        <v>260</v>
      </c>
      <c r="G1140">
        <v>0.06</v>
      </c>
      <c r="H1140" t="s">
        <v>125</v>
      </c>
      <c r="I1140">
        <v>0</v>
      </c>
      <c r="J1140" t="str">
        <f>HYPERLINK("https://www.eliteprospects.com/player/413066/kieran-ruscheinski")</f>
        <v>https://www.eliteprospects.com/player/413066/kieran-ruscheinski</v>
      </c>
      <c r="K1140" t="s">
        <v>27</v>
      </c>
      <c r="L1140" t="s">
        <v>918</v>
      </c>
      <c r="M1140" t="s">
        <v>1296</v>
      </c>
      <c r="N1140">
        <v>3</v>
      </c>
      <c r="O1140" t="s">
        <v>1039</v>
      </c>
      <c r="P1140">
        <v>0.01</v>
      </c>
      <c r="Q1140" t="s">
        <v>1488</v>
      </c>
      <c r="R1140">
        <v>0</v>
      </c>
      <c r="S1140">
        <v>0</v>
      </c>
      <c r="T1140">
        <v>0</v>
      </c>
      <c r="U1140">
        <v>0</v>
      </c>
      <c r="V1140">
        <v>0</v>
      </c>
    </row>
    <row r="1141" spans="1:22" x14ac:dyDescent="0.25">
      <c r="A1141" t="s">
        <v>2458</v>
      </c>
      <c r="B1141" t="s">
        <v>972</v>
      </c>
      <c r="C1141">
        <v>18</v>
      </c>
      <c r="D1141" t="s">
        <v>132</v>
      </c>
      <c r="E1141" t="s">
        <v>260</v>
      </c>
      <c r="F1141" t="s">
        <v>260</v>
      </c>
      <c r="G1141">
        <v>0.06</v>
      </c>
      <c r="H1141" t="s">
        <v>79</v>
      </c>
      <c r="I1141">
        <v>0</v>
      </c>
      <c r="J1141" t="str">
        <f>HYPERLINK("https://www.eliteprospects.com/player/675217/timothy-porter")</f>
        <v>https://www.eliteprospects.com/player/675217/timothy-porter</v>
      </c>
      <c r="K1141" t="s">
        <v>27</v>
      </c>
      <c r="L1141" t="s">
        <v>918</v>
      </c>
      <c r="M1141" t="s">
        <v>1296</v>
      </c>
      <c r="N1141">
        <v>1</v>
      </c>
      <c r="O1141" t="s">
        <v>984</v>
      </c>
      <c r="P1141">
        <v>0.01</v>
      </c>
      <c r="Q1141" t="s">
        <v>1488</v>
      </c>
      <c r="R1141">
        <v>0</v>
      </c>
      <c r="S1141">
        <v>0</v>
      </c>
      <c r="T1141">
        <v>0</v>
      </c>
      <c r="U1141">
        <v>0</v>
      </c>
      <c r="V1141">
        <v>0</v>
      </c>
    </row>
    <row r="1142" spans="1:22" x14ac:dyDescent="0.25">
      <c r="A1142" t="s">
        <v>2459</v>
      </c>
      <c r="B1142" t="s">
        <v>991</v>
      </c>
      <c r="C1142">
        <v>18</v>
      </c>
      <c r="D1142" t="s">
        <v>132</v>
      </c>
      <c r="E1142" t="s">
        <v>260</v>
      </c>
      <c r="F1142" t="s">
        <v>260</v>
      </c>
      <c r="G1142">
        <v>0.06</v>
      </c>
      <c r="H1142" t="s">
        <v>32</v>
      </c>
      <c r="I1142">
        <v>0</v>
      </c>
      <c r="J1142" t="str">
        <f>HYPERLINK("https://www.eliteprospects.com/player/646143/cole-jenken")</f>
        <v>https://www.eliteprospects.com/player/646143/cole-jenken</v>
      </c>
      <c r="K1142" t="s">
        <v>27</v>
      </c>
      <c r="L1142" t="s">
        <v>918</v>
      </c>
      <c r="M1142" t="s">
        <v>1296</v>
      </c>
      <c r="N1142">
        <v>1</v>
      </c>
      <c r="O1142" t="s">
        <v>984</v>
      </c>
      <c r="P1142">
        <v>0.01</v>
      </c>
      <c r="Q1142" t="s">
        <v>1488</v>
      </c>
      <c r="R1142">
        <v>0</v>
      </c>
      <c r="S1142">
        <v>0</v>
      </c>
      <c r="T1142">
        <v>0</v>
      </c>
      <c r="U1142">
        <v>0</v>
      </c>
      <c r="V1142">
        <v>0</v>
      </c>
    </row>
    <row r="1143" spans="1:22" x14ac:dyDescent="0.25">
      <c r="A1143" t="s">
        <v>2460</v>
      </c>
      <c r="B1143" t="s">
        <v>954</v>
      </c>
      <c r="C1143">
        <v>18</v>
      </c>
      <c r="D1143" t="s">
        <v>132</v>
      </c>
      <c r="E1143" t="s">
        <v>260</v>
      </c>
      <c r="F1143" t="s">
        <v>260</v>
      </c>
      <c r="G1143">
        <v>0.06</v>
      </c>
      <c r="H1143" t="s">
        <v>23</v>
      </c>
      <c r="I1143">
        <v>0</v>
      </c>
      <c r="J1143" t="str">
        <f>HYPERLINK("https://www.eliteprospects.com/player/413333/anson-mcmaster")</f>
        <v>https://www.eliteprospects.com/player/413333/anson-mcmaster</v>
      </c>
      <c r="K1143" t="s">
        <v>27</v>
      </c>
      <c r="L1143" t="s">
        <v>918</v>
      </c>
      <c r="M1143" t="s">
        <v>1296</v>
      </c>
      <c r="N1143">
        <v>6</v>
      </c>
      <c r="O1143" t="s">
        <v>924</v>
      </c>
      <c r="P1143">
        <v>0.01</v>
      </c>
      <c r="Q1143" t="s">
        <v>1488</v>
      </c>
      <c r="R1143">
        <v>0</v>
      </c>
      <c r="S1143">
        <v>0</v>
      </c>
      <c r="T1143">
        <v>0</v>
      </c>
      <c r="U1143">
        <v>0</v>
      </c>
      <c r="V1143">
        <v>0</v>
      </c>
    </row>
    <row r="1144" spans="1:22" x14ac:dyDescent="0.25">
      <c r="A1144" t="s">
        <v>2461</v>
      </c>
      <c r="B1144" t="s">
        <v>1053</v>
      </c>
      <c r="C1144">
        <v>18</v>
      </c>
      <c r="D1144" t="s">
        <v>132</v>
      </c>
      <c r="E1144" t="s">
        <v>260</v>
      </c>
      <c r="F1144" t="s">
        <v>260</v>
      </c>
      <c r="G1144">
        <v>0.06</v>
      </c>
      <c r="H1144" t="s">
        <v>38</v>
      </c>
      <c r="I1144">
        <v>0</v>
      </c>
      <c r="J1144" t="str">
        <f>HYPERLINK("https://www.eliteprospects.com/player/506977/lucas-eagle")</f>
        <v>https://www.eliteprospects.com/player/506977/lucas-eagle</v>
      </c>
      <c r="K1144" t="s">
        <v>27</v>
      </c>
      <c r="L1144" t="s">
        <v>918</v>
      </c>
      <c r="M1144" t="s">
        <v>1296</v>
      </c>
      <c r="N1144">
        <v>2</v>
      </c>
      <c r="O1144" t="s">
        <v>1021</v>
      </c>
      <c r="P1144">
        <v>0.01</v>
      </c>
      <c r="Q1144" t="s">
        <v>1488</v>
      </c>
      <c r="R1144">
        <v>0</v>
      </c>
      <c r="S1144">
        <v>0</v>
      </c>
      <c r="T1144">
        <v>0</v>
      </c>
      <c r="U1144">
        <v>0</v>
      </c>
      <c r="V1144">
        <v>0</v>
      </c>
    </row>
    <row r="1145" spans="1:22" x14ac:dyDescent="0.25">
      <c r="A1145" t="s">
        <v>2462</v>
      </c>
      <c r="B1145" t="s">
        <v>1001</v>
      </c>
      <c r="C1145">
        <v>19</v>
      </c>
      <c r="D1145" t="s">
        <v>132</v>
      </c>
      <c r="E1145" t="s">
        <v>260</v>
      </c>
      <c r="F1145" t="s">
        <v>260</v>
      </c>
      <c r="G1145">
        <v>0.05</v>
      </c>
      <c r="H1145" t="s">
        <v>55</v>
      </c>
      <c r="I1145">
        <v>-13</v>
      </c>
      <c r="J1145" t="str">
        <f>HYPERLINK("https://www.eliteprospects.com/player/563392/josh-o-connor")</f>
        <v>https://www.eliteprospects.com/player/563392/josh-o-connor</v>
      </c>
      <c r="K1145" t="s">
        <v>27</v>
      </c>
      <c r="L1145" t="s">
        <v>918</v>
      </c>
      <c r="M1145" t="s">
        <v>1296</v>
      </c>
      <c r="N1145">
        <v>1</v>
      </c>
      <c r="O1145" t="s">
        <v>984</v>
      </c>
      <c r="P1145">
        <v>0.01</v>
      </c>
      <c r="Q1145" t="s">
        <v>1488</v>
      </c>
      <c r="R1145">
        <v>0</v>
      </c>
      <c r="S1145">
        <v>0</v>
      </c>
      <c r="T1145">
        <v>0</v>
      </c>
      <c r="U1145">
        <v>0</v>
      </c>
      <c r="V1145">
        <v>0</v>
      </c>
    </row>
    <row r="1146" spans="1:22" x14ac:dyDescent="0.25">
      <c r="A1146" t="s">
        <v>2463</v>
      </c>
      <c r="B1146" t="s">
        <v>957</v>
      </c>
      <c r="C1146">
        <v>10</v>
      </c>
      <c r="D1146" t="s">
        <v>132</v>
      </c>
      <c r="E1146" t="s">
        <v>132</v>
      </c>
      <c r="F1146" t="s">
        <v>132</v>
      </c>
      <c r="G1146">
        <v>0</v>
      </c>
      <c r="H1146" t="s">
        <v>66</v>
      </c>
      <c r="I1146">
        <v>-3</v>
      </c>
      <c r="J1146" t="str">
        <f>HYPERLINK("https://www.eliteprospects.com/player/476567/jack-parker")</f>
        <v>https://www.eliteprospects.com/player/476567/jack-parker</v>
      </c>
      <c r="K1146" t="s">
        <v>27</v>
      </c>
      <c r="L1146" t="s">
        <v>918</v>
      </c>
      <c r="M1146" t="s">
        <v>1296</v>
      </c>
      <c r="N1146">
        <v>2</v>
      </c>
      <c r="O1146" t="s">
        <v>1021</v>
      </c>
      <c r="P1146">
        <v>0</v>
      </c>
      <c r="Q1146" t="s">
        <v>1488</v>
      </c>
      <c r="R1146">
        <v>0</v>
      </c>
      <c r="S1146">
        <v>0</v>
      </c>
      <c r="T1146">
        <v>0</v>
      </c>
      <c r="U1146">
        <v>0</v>
      </c>
      <c r="V1146">
        <v>0</v>
      </c>
    </row>
    <row r="1147" spans="1:22" x14ac:dyDescent="0.25">
      <c r="A1147" t="s">
        <v>2464</v>
      </c>
      <c r="B1147" t="s">
        <v>942</v>
      </c>
      <c r="C1147">
        <v>11</v>
      </c>
      <c r="D1147" t="s">
        <v>132</v>
      </c>
      <c r="E1147" t="s">
        <v>132</v>
      </c>
      <c r="F1147" t="s">
        <v>132</v>
      </c>
      <c r="G1147">
        <v>0</v>
      </c>
      <c r="H1147" t="s">
        <v>26</v>
      </c>
      <c r="I1147">
        <v>0</v>
      </c>
      <c r="J1147" t="str">
        <f>HYPERLINK("https://www.eliteprospects.com/player/559029/easton-kovacs")</f>
        <v>https://www.eliteprospects.com/player/559029/easton-kovacs</v>
      </c>
      <c r="K1147" t="s">
        <v>27</v>
      </c>
      <c r="L1147" t="s">
        <v>918</v>
      </c>
      <c r="M1147" t="s">
        <v>1296</v>
      </c>
      <c r="N1147">
        <v>5</v>
      </c>
      <c r="O1147" t="s">
        <v>979</v>
      </c>
      <c r="P1147">
        <v>0</v>
      </c>
      <c r="Q1147" t="s">
        <v>1488</v>
      </c>
      <c r="R1147">
        <v>0</v>
      </c>
      <c r="S1147">
        <v>0</v>
      </c>
      <c r="T1147">
        <v>0</v>
      </c>
      <c r="U1147">
        <v>0</v>
      </c>
      <c r="V1147">
        <v>0</v>
      </c>
    </row>
    <row r="1148" spans="1:22" x14ac:dyDescent="0.25">
      <c r="A1148" t="s">
        <v>2465</v>
      </c>
      <c r="B1148" t="s">
        <v>1003</v>
      </c>
      <c r="C1148">
        <v>11</v>
      </c>
      <c r="D1148" t="s">
        <v>132</v>
      </c>
      <c r="E1148" t="s">
        <v>132</v>
      </c>
      <c r="F1148" t="s">
        <v>132</v>
      </c>
      <c r="G1148">
        <v>0</v>
      </c>
      <c r="H1148" t="s">
        <v>32</v>
      </c>
      <c r="I1148">
        <v>0</v>
      </c>
      <c r="J1148" t="str">
        <f>HYPERLINK("https://www.eliteprospects.com/player/483413/tayem-gislason")</f>
        <v>https://www.eliteprospects.com/player/483413/tayem-gislason</v>
      </c>
      <c r="K1148" t="s">
        <v>27</v>
      </c>
      <c r="L1148" t="s">
        <v>918</v>
      </c>
      <c r="M1148" t="s">
        <v>1296</v>
      </c>
      <c r="N1148">
        <v>4</v>
      </c>
      <c r="O1148" t="s">
        <v>978</v>
      </c>
      <c r="P1148">
        <v>0</v>
      </c>
      <c r="Q1148" t="s">
        <v>1488</v>
      </c>
      <c r="R1148">
        <v>0</v>
      </c>
      <c r="S1148">
        <v>0</v>
      </c>
      <c r="T1148">
        <v>0</v>
      </c>
      <c r="U1148">
        <v>0</v>
      </c>
      <c r="V1148">
        <v>0</v>
      </c>
    </row>
    <row r="1149" spans="1:22" x14ac:dyDescent="0.25">
      <c r="A1149" t="s">
        <v>2466</v>
      </c>
      <c r="B1149" t="s">
        <v>1003</v>
      </c>
      <c r="C1149">
        <v>12</v>
      </c>
      <c r="D1149" t="s">
        <v>132</v>
      </c>
      <c r="E1149" t="s">
        <v>132</v>
      </c>
      <c r="F1149" t="s">
        <v>132</v>
      </c>
      <c r="G1149">
        <v>0</v>
      </c>
      <c r="H1149" t="s">
        <v>57</v>
      </c>
      <c r="I1149">
        <v>0</v>
      </c>
      <c r="J1149" t="str">
        <f>HYPERLINK("https://www.eliteprospects.com/player/651803/alexander-park")</f>
        <v>https://www.eliteprospects.com/player/651803/alexander-park</v>
      </c>
      <c r="K1149" t="s">
        <v>27</v>
      </c>
      <c r="L1149" t="s">
        <v>918</v>
      </c>
      <c r="M1149" t="s">
        <v>1296</v>
      </c>
      <c r="N1149">
        <v>1</v>
      </c>
      <c r="O1149" t="s">
        <v>984</v>
      </c>
      <c r="P1149">
        <v>0</v>
      </c>
      <c r="Q1149" t="s">
        <v>1488</v>
      </c>
      <c r="R1149">
        <v>0</v>
      </c>
      <c r="S1149">
        <v>0</v>
      </c>
      <c r="T1149">
        <v>0</v>
      </c>
      <c r="U1149">
        <v>0</v>
      </c>
      <c r="V1149">
        <v>0</v>
      </c>
    </row>
    <row r="1150" spans="1:22" x14ac:dyDescent="0.25">
      <c r="A1150" t="s">
        <v>2467</v>
      </c>
      <c r="B1150" t="s">
        <v>1005</v>
      </c>
      <c r="C1150">
        <v>12</v>
      </c>
      <c r="D1150" t="s">
        <v>132</v>
      </c>
      <c r="E1150" t="s">
        <v>132</v>
      </c>
      <c r="F1150" t="s">
        <v>132</v>
      </c>
      <c r="G1150">
        <v>0</v>
      </c>
      <c r="H1150" t="s">
        <v>26</v>
      </c>
      <c r="I1150">
        <v>0</v>
      </c>
      <c r="J1150" t="str">
        <f>HYPERLINK("https://www.eliteprospects.com/player/577918/charles-poudrette")</f>
        <v>https://www.eliteprospects.com/player/577918/charles-poudrette</v>
      </c>
      <c r="K1150" t="s">
        <v>27</v>
      </c>
      <c r="L1150" t="s">
        <v>918</v>
      </c>
      <c r="M1150" t="s">
        <v>1296</v>
      </c>
      <c r="N1150">
        <v>1</v>
      </c>
      <c r="O1150" t="s">
        <v>984</v>
      </c>
      <c r="P1150">
        <v>0</v>
      </c>
      <c r="Q1150" t="s">
        <v>1488</v>
      </c>
      <c r="R1150">
        <v>0</v>
      </c>
      <c r="S1150">
        <v>0</v>
      </c>
      <c r="T1150">
        <v>0</v>
      </c>
      <c r="U1150">
        <v>0</v>
      </c>
      <c r="V1150">
        <v>0</v>
      </c>
    </row>
    <row r="1151" spans="1:22" x14ac:dyDescent="0.25">
      <c r="A1151" t="s">
        <v>2468</v>
      </c>
      <c r="B1151" t="s">
        <v>1001</v>
      </c>
      <c r="C1151">
        <v>12</v>
      </c>
      <c r="D1151" t="s">
        <v>132</v>
      </c>
      <c r="E1151" t="s">
        <v>132</v>
      </c>
      <c r="F1151" t="s">
        <v>132</v>
      </c>
      <c r="G1151">
        <v>0</v>
      </c>
      <c r="H1151" t="s">
        <v>47</v>
      </c>
      <c r="I1151">
        <v>-13</v>
      </c>
      <c r="J1151" t="str">
        <f>HYPERLINK("https://www.eliteprospects.com/player/473291/zach-welsh")</f>
        <v>https://www.eliteprospects.com/player/473291/zach-welsh</v>
      </c>
      <c r="K1151" t="s">
        <v>27</v>
      </c>
      <c r="L1151" t="s">
        <v>918</v>
      </c>
      <c r="M1151" t="s">
        <v>1296</v>
      </c>
      <c r="N1151">
        <v>5</v>
      </c>
      <c r="O1151" t="s">
        <v>930</v>
      </c>
      <c r="P1151">
        <v>0</v>
      </c>
      <c r="Q1151" t="s">
        <v>1488</v>
      </c>
      <c r="R1151">
        <v>0</v>
      </c>
      <c r="S1151">
        <v>0</v>
      </c>
      <c r="T1151">
        <v>0</v>
      </c>
      <c r="U1151">
        <v>0</v>
      </c>
      <c r="V1151">
        <v>0</v>
      </c>
    </row>
    <row r="1152" spans="1:22" x14ac:dyDescent="0.25">
      <c r="A1152" t="s">
        <v>2469</v>
      </c>
      <c r="B1152" t="s">
        <v>961</v>
      </c>
      <c r="C1152">
        <v>17</v>
      </c>
      <c r="D1152" t="s">
        <v>132</v>
      </c>
      <c r="E1152" t="s">
        <v>132</v>
      </c>
      <c r="F1152" t="s">
        <v>132</v>
      </c>
      <c r="G1152">
        <v>0</v>
      </c>
      <c r="H1152" t="s">
        <v>57</v>
      </c>
      <c r="I1152">
        <v>0</v>
      </c>
      <c r="J1152" t="str">
        <f>HYPERLINK("https://www.eliteprospects.com/player/730452/nathan-sauder")</f>
        <v>https://www.eliteprospects.com/player/730452/nathan-sauder</v>
      </c>
      <c r="K1152" t="s">
        <v>27</v>
      </c>
      <c r="L1152" t="s">
        <v>918</v>
      </c>
      <c r="M1152" t="s">
        <v>1296</v>
      </c>
      <c r="N1152">
        <v>5</v>
      </c>
      <c r="O1152" t="s">
        <v>1008</v>
      </c>
      <c r="P1152">
        <v>0</v>
      </c>
      <c r="Q1152" t="s">
        <v>1488</v>
      </c>
      <c r="R1152">
        <v>0</v>
      </c>
      <c r="S1152">
        <v>0</v>
      </c>
      <c r="T1152">
        <v>0</v>
      </c>
      <c r="U1152">
        <v>0</v>
      </c>
      <c r="V1152">
        <v>0</v>
      </c>
    </row>
    <row r="1153" spans="1:22" x14ac:dyDescent="0.25">
      <c r="A1153" t="s">
        <v>2470</v>
      </c>
      <c r="B1153" t="s">
        <v>1084</v>
      </c>
      <c r="C1153">
        <v>17</v>
      </c>
      <c r="D1153" t="s">
        <v>132</v>
      </c>
      <c r="E1153" t="s">
        <v>132</v>
      </c>
      <c r="F1153" t="s">
        <v>132</v>
      </c>
      <c r="G1153">
        <v>0</v>
      </c>
      <c r="H1153" t="s">
        <v>46</v>
      </c>
      <c r="I1153">
        <v>0</v>
      </c>
      <c r="J1153" t="str">
        <f>HYPERLINK("https://www.eliteprospects.com/player/636112/wade-bolton")</f>
        <v>https://www.eliteprospects.com/player/636112/wade-bolton</v>
      </c>
      <c r="K1153" t="s">
        <v>27</v>
      </c>
      <c r="L1153" t="s">
        <v>918</v>
      </c>
      <c r="M1153" t="s">
        <v>1296</v>
      </c>
      <c r="N1153">
        <v>2</v>
      </c>
      <c r="O1153" t="s">
        <v>1021</v>
      </c>
      <c r="P1153">
        <v>0</v>
      </c>
      <c r="Q1153" t="s">
        <v>1488</v>
      </c>
      <c r="R1153">
        <v>0</v>
      </c>
      <c r="S1153">
        <v>0</v>
      </c>
      <c r="T1153">
        <v>0</v>
      </c>
      <c r="U1153">
        <v>0</v>
      </c>
      <c r="V1153">
        <v>0</v>
      </c>
    </row>
    <row r="1154" spans="1:22" x14ac:dyDescent="0.25">
      <c r="J1154" s="4"/>
    </row>
    <row r="1155" spans="1:22" x14ac:dyDescent="0.25">
      <c r="J1155" s="4"/>
    </row>
    <row r="1156" spans="1:22" x14ac:dyDescent="0.25">
      <c r="J1156" s="4"/>
    </row>
    <row r="1157" spans="1:22" x14ac:dyDescent="0.25">
      <c r="J1157" s="4"/>
    </row>
    <row r="1158" spans="1:22" x14ac:dyDescent="0.25">
      <c r="J1158" s="4"/>
    </row>
    <row r="1159" spans="1:22" x14ac:dyDescent="0.25">
      <c r="J1159" s="4"/>
    </row>
    <row r="1160" spans="1:22" x14ac:dyDescent="0.25">
      <c r="J1160" s="4"/>
    </row>
    <row r="1161" spans="1:22" x14ac:dyDescent="0.25">
      <c r="J1161" s="4"/>
    </row>
    <row r="1162" spans="1:22" x14ac:dyDescent="0.25">
      <c r="J1162" s="4"/>
    </row>
    <row r="1163" spans="1:22" x14ac:dyDescent="0.25">
      <c r="J1163" s="4"/>
    </row>
    <row r="1164" spans="1:22" x14ac:dyDescent="0.25">
      <c r="J1164" s="4"/>
    </row>
    <row r="1165" spans="1:22" x14ac:dyDescent="0.25">
      <c r="J1165" s="4"/>
    </row>
    <row r="1166" spans="1:22" x14ac:dyDescent="0.25">
      <c r="J1166" s="4"/>
    </row>
    <row r="1167" spans="1:22" x14ac:dyDescent="0.25">
      <c r="J1167" s="4"/>
    </row>
    <row r="1168" spans="1:22" x14ac:dyDescent="0.25">
      <c r="J1168" s="4"/>
    </row>
    <row r="1169" spans="10:10" x14ac:dyDescent="0.25">
      <c r="J1169" s="4"/>
    </row>
    <row r="1170" spans="10:10" x14ac:dyDescent="0.25">
      <c r="J1170" s="4"/>
    </row>
    <row r="1171" spans="10:10" x14ac:dyDescent="0.25">
      <c r="J1171" s="4"/>
    </row>
    <row r="1172" spans="10:10" x14ac:dyDescent="0.25">
      <c r="J1172" s="4"/>
    </row>
    <row r="1173" spans="10:10" x14ac:dyDescent="0.25">
      <c r="J1173" s="4"/>
    </row>
    <row r="1174" spans="10:10" x14ac:dyDescent="0.25">
      <c r="J1174" s="4"/>
    </row>
    <row r="1175" spans="10:10" x14ac:dyDescent="0.25">
      <c r="J1175" s="4"/>
    </row>
    <row r="1176" spans="10:10" x14ac:dyDescent="0.25">
      <c r="J1176" s="4"/>
    </row>
    <row r="1177" spans="10:10" x14ac:dyDescent="0.25">
      <c r="J1177" s="4"/>
    </row>
    <row r="1178" spans="10:10" x14ac:dyDescent="0.25">
      <c r="J1178" s="4"/>
    </row>
    <row r="1179" spans="10:10" x14ac:dyDescent="0.25">
      <c r="J1179" s="4"/>
    </row>
    <row r="1180" spans="10:10" x14ac:dyDescent="0.25">
      <c r="J1180" s="4"/>
    </row>
    <row r="1181" spans="10:10" x14ac:dyDescent="0.25">
      <c r="J1181" s="4"/>
    </row>
    <row r="1182" spans="10:10" x14ac:dyDescent="0.25">
      <c r="J1182" s="4"/>
    </row>
    <row r="1183" spans="10:10" x14ac:dyDescent="0.25">
      <c r="J1183" s="4"/>
    </row>
    <row r="1184" spans="10:10" x14ac:dyDescent="0.25">
      <c r="J1184" s="4"/>
    </row>
    <row r="1185" spans="10:10" x14ac:dyDescent="0.25">
      <c r="J1185" s="4"/>
    </row>
    <row r="1186" spans="10:10" x14ac:dyDescent="0.25">
      <c r="J1186" s="4"/>
    </row>
    <row r="1187" spans="10:10" x14ac:dyDescent="0.25">
      <c r="J1187" s="4"/>
    </row>
    <row r="1188" spans="10:10" x14ac:dyDescent="0.25">
      <c r="J1188" s="4"/>
    </row>
    <row r="1189" spans="10:10" x14ac:dyDescent="0.25">
      <c r="J1189" s="4"/>
    </row>
    <row r="1190" spans="10:10" x14ac:dyDescent="0.25">
      <c r="J1190" s="4"/>
    </row>
    <row r="1191" spans="10:10" x14ac:dyDescent="0.25">
      <c r="J1191" s="4"/>
    </row>
    <row r="1192" spans="10:10" x14ac:dyDescent="0.25">
      <c r="J1192" s="4"/>
    </row>
    <row r="1193" spans="10:10" x14ac:dyDescent="0.25">
      <c r="J1193" s="4"/>
    </row>
    <row r="1194" spans="10:10" x14ac:dyDescent="0.25">
      <c r="J1194" s="4"/>
    </row>
    <row r="1195" spans="10:10" x14ac:dyDescent="0.25">
      <c r="J1195" s="4"/>
    </row>
    <row r="1196" spans="10:10" x14ac:dyDescent="0.25">
      <c r="J1196" s="4"/>
    </row>
    <row r="1197" spans="10:10" x14ac:dyDescent="0.25">
      <c r="J1197" s="4"/>
    </row>
    <row r="1198" spans="10:10" x14ac:dyDescent="0.25">
      <c r="J1198" s="4"/>
    </row>
    <row r="1199" spans="10:10" x14ac:dyDescent="0.25">
      <c r="J1199" s="4"/>
    </row>
    <row r="1200" spans="10:10" x14ac:dyDescent="0.25">
      <c r="J1200" s="4"/>
    </row>
    <row r="1201" spans="10:10" x14ac:dyDescent="0.25">
      <c r="J1201" s="4"/>
    </row>
    <row r="1202" spans="10:10" x14ac:dyDescent="0.25">
      <c r="J1202" s="4"/>
    </row>
    <row r="1203" spans="10:10" x14ac:dyDescent="0.25">
      <c r="J1203" s="4"/>
    </row>
    <row r="1204" spans="10:10" x14ac:dyDescent="0.25">
      <c r="J1204" s="4"/>
    </row>
    <row r="1205" spans="10:10" x14ac:dyDescent="0.25">
      <c r="J1205" s="4"/>
    </row>
    <row r="1206" spans="10:10" x14ac:dyDescent="0.25">
      <c r="J1206" s="4"/>
    </row>
    <row r="1207" spans="10:10" x14ac:dyDescent="0.25">
      <c r="J1207" s="4"/>
    </row>
    <row r="1208" spans="10:10" x14ac:dyDescent="0.25">
      <c r="J1208" s="4"/>
    </row>
    <row r="1209" spans="10:10" x14ac:dyDescent="0.25">
      <c r="J1209" s="4"/>
    </row>
    <row r="1210" spans="10:10" x14ac:dyDescent="0.25">
      <c r="J1210" s="4"/>
    </row>
    <row r="1211" spans="10:10" x14ac:dyDescent="0.25">
      <c r="J1211" s="4"/>
    </row>
    <row r="1212" spans="10:10" x14ac:dyDescent="0.25">
      <c r="J1212" s="4"/>
    </row>
    <row r="1213" spans="10:10" x14ac:dyDescent="0.25">
      <c r="J1213" s="4"/>
    </row>
    <row r="1214" spans="10:10" x14ac:dyDescent="0.25">
      <c r="J1214" s="4"/>
    </row>
    <row r="1215" spans="10:10" x14ac:dyDescent="0.25">
      <c r="J1215" s="4"/>
    </row>
    <row r="1216" spans="10:10" x14ac:dyDescent="0.25">
      <c r="J1216" s="4"/>
    </row>
    <row r="1217" spans="10:10" x14ac:dyDescent="0.25">
      <c r="J1217" s="4"/>
    </row>
    <row r="1218" spans="10:10" x14ac:dyDescent="0.25">
      <c r="J1218" s="4"/>
    </row>
    <row r="1219" spans="10:10" x14ac:dyDescent="0.25">
      <c r="J1219" s="4"/>
    </row>
    <row r="1220" spans="10:10" x14ac:dyDescent="0.25">
      <c r="J1220" s="4"/>
    </row>
    <row r="1221" spans="10:10" x14ac:dyDescent="0.25">
      <c r="J1221" s="4"/>
    </row>
    <row r="1222" spans="10:10" x14ac:dyDescent="0.25">
      <c r="J1222" s="4"/>
    </row>
    <row r="1223" spans="10:10" x14ac:dyDescent="0.25">
      <c r="J1223" s="4"/>
    </row>
    <row r="1224" spans="10:10" x14ac:dyDescent="0.25">
      <c r="J1224" s="4"/>
    </row>
    <row r="1225" spans="10:10" x14ac:dyDescent="0.25">
      <c r="J1225" s="4"/>
    </row>
    <row r="1226" spans="10:10" x14ac:dyDescent="0.25">
      <c r="J1226" s="4"/>
    </row>
    <row r="1227" spans="10:10" x14ac:dyDescent="0.25">
      <c r="J1227" s="4"/>
    </row>
    <row r="1228" spans="10:10" x14ac:dyDescent="0.25">
      <c r="J1228" s="4"/>
    </row>
    <row r="1229" spans="10:10" x14ac:dyDescent="0.25">
      <c r="J1229" s="4"/>
    </row>
    <row r="1230" spans="10:10" x14ac:dyDescent="0.25">
      <c r="J1230" s="4"/>
    </row>
    <row r="1231" spans="10:10" x14ac:dyDescent="0.25">
      <c r="J1231" s="4"/>
    </row>
    <row r="1232" spans="10:10" x14ac:dyDescent="0.25">
      <c r="J1232" s="4"/>
    </row>
    <row r="1233" spans="10:10" x14ac:dyDescent="0.25">
      <c r="J1233" s="4"/>
    </row>
    <row r="1234" spans="10:10" x14ac:dyDescent="0.25">
      <c r="J1234" s="4"/>
    </row>
    <row r="1235" spans="10:10" x14ac:dyDescent="0.25">
      <c r="J1235" s="4"/>
    </row>
    <row r="1236" spans="10:10" x14ac:dyDescent="0.25">
      <c r="J1236" s="4"/>
    </row>
    <row r="1237" spans="10:10" x14ac:dyDescent="0.25">
      <c r="J1237" s="4"/>
    </row>
    <row r="1238" spans="10:10" x14ac:dyDescent="0.25">
      <c r="J1238" s="4"/>
    </row>
    <row r="1239" spans="10:10" x14ac:dyDescent="0.25">
      <c r="J1239" s="4"/>
    </row>
    <row r="1240" spans="10:10" x14ac:dyDescent="0.25">
      <c r="J1240" s="4"/>
    </row>
    <row r="1241" spans="10:10" x14ac:dyDescent="0.25">
      <c r="J1241" s="4"/>
    </row>
    <row r="1242" spans="10:10" x14ac:dyDescent="0.25">
      <c r="J1242" s="4"/>
    </row>
    <row r="1243" spans="10:10" x14ac:dyDescent="0.25">
      <c r="J1243" s="4"/>
    </row>
    <row r="1244" spans="10:10" x14ac:dyDescent="0.25">
      <c r="J1244" s="4"/>
    </row>
    <row r="1245" spans="10:10" x14ac:dyDescent="0.25">
      <c r="J1245" s="4"/>
    </row>
    <row r="1246" spans="10:10" x14ac:dyDescent="0.25">
      <c r="J1246" s="4"/>
    </row>
    <row r="1247" spans="10:10" x14ac:dyDescent="0.25">
      <c r="J1247" s="4"/>
    </row>
    <row r="1248" spans="10:10" x14ac:dyDescent="0.25">
      <c r="J1248" s="4"/>
    </row>
    <row r="1249" spans="10:10" x14ac:dyDescent="0.25">
      <c r="J1249" s="4"/>
    </row>
    <row r="1250" spans="10:10" x14ac:dyDescent="0.25">
      <c r="J1250" s="4"/>
    </row>
    <row r="1251" spans="10:10" x14ac:dyDescent="0.25">
      <c r="J1251" s="4"/>
    </row>
    <row r="1252" spans="10:10" x14ac:dyDescent="0.25">
      <c r="J1252" s="4"/>
    </row>
    <row r="1253" spans="10:10" x14ac:dyDescent="0.25">
      <c r="J1253" s="4"/>
    </row>
    <row r="1254" spans="10:10" x14ac:dyDescent="0.25">
      <c r="J1254" s="4"/>
    </row>
    <row r="1255" spans="10:10" x14ac:dyDescent="0.25">
      <c r="J1255" s="4"/>
    </row>
    <row r="1256" spans="10:10" x14ac:dyDescent="0.25">
      <c r="J1256" s="4"/>
    </row>
    <row r="1257" spans="10:10" x14ac:dyDescent="0.25">
      <c r="J1257" s="4"/>
    </row>
    <row r="1258" spans="10:10" x14ac:dyDescent="0.25">
      <c r="J1258" s="4"/>
    </row>
    <row r="1259" spans="10:10" x14ac:dyDescent="0.25">
      <c r="J1259" s="4"/>
    </row>
    <row r="1260" spans="10:10" x14ac:dyDescent="0.25">
      <c r="J1260" s="4"/>
    </row>
    <row r="1261" spans="10:10" x14ac:dyDescent="0.25">
      <c r="J1261" s="4"/>
    </row>
    <row r="1262" spans="10:10" x14ac:dyDescent="0.25">
      <c r="J1262" s="4"/>
    </row>
    <row r="1263" spans="10:10" x14ac:dyDescent="0.25">
      <c r="J1263" s="4"/>
    </row>
    <row r="1264" spans="10:10" x14ac:dyDescent="0.25">
      <c r="J1264" s="4"/>
    </row>
    <row r="1265" spans="10:10" x14ac:dyDescent="0.25">
      <c r="J1265" s="4"/>
    </row>
    <row r="1266" spans="10:10" x14ac:dyDescent="0.25">
      <c r="J1266" s="4"/>
    </row>
    <row r="1267" spans="10:10" x14ac:dyDescent="0.25">
      <c r="J1267" s="4"/>
    </row>
    <row r="1268" spans="10:10" x14ac:dyDescent="0.25">
      <c r="J1268" s="4"/>
    </row>
    <row r="1269" spans="10:10" x14ac:dyDescent="0.25">
      <c r="J1269" s="4"/>
    </row>
    <row r="1270" spans="10:10" x14ac:dyDescent="0.25">
      <c r="J1270" s="4"/>
    </row>
    <row r="1271" spans="10:10" x14ac:dyDescent="0.25">
      <c r="J1271" s="4"/>
    </row>
    <row r="1272" spans="10:10" x14ac:dyDescent="0.25">
      <c r="J1272" s="4"/>
    </row>
    <row r="1273" spans="10:10" x14ac:dyDescent="0.25">
      <c r="J1273" s="4"/>
    </row>
    <row r="1274" spans="10:10" x14ac:dyDescent="0.25">
      <c r="J1274" s="4"/>
    </row>
    <row r="1275" spans="10:10" x14ac:dyDescent="0.25">
      <c r="J1275" s="4"/>
    </row>
    <row r="1276" spans="10:10" x14ac:dyDescent="0.25">
      <c r="J1276" s="4"/>
    </row>
    <row r="1277" spans="10:10" x14ac:dyDescent="0.25">
      <c r="J1277" s="4"/>
    </row>
    <row r="1278" spans="10:10" x14ac:dyDescent="0.25">
      <c r="J1278" s="4"/>
    </row>
    <row r="1279" spans="10:10" x14ac:dyDescent="0.25">
      <c r="J1279" s="4"/>
    </row>
    <row r="1280" spans="10:10" x14ac:dyDescent="0.25">
      <c r="J1280" s="4"/>
    </row>
    <row r="1281" spans="10:10" x14ac:dyDescent="0.25">
      <c r="J1281" s="4"/>
    </row>
    <row r="1282" spans="10:10" x14ac:dyDescent="0.25">
      <c r="J1282" s="4"/>
    </row>
    <row r="1283" spans="10:10" x14ac:dyDescent="0.25">
      <c r="J1283" s="4"/>
    </row>
    <row r="1284" spans="10:10" x14ac:dyDescent="0.25">
      <c r="J1284" s="4"/>
    </row>
    <row r="1285" spans="10:10" x14ac:dyDescent="0.25">
      <c r="J1285" s="4"/>
    </row>
    <row r="1286" spans="10:10" x14ac:dyDescent="0.25">
      <c r="J1286" s="4"/>
    </row>
    <row r="1287" spans="10:10" x14ac:dyDescent="0.25">
      <c r="J1287" s="4"/>
    </row>
    <row r="1288" spans="10:10" x14ac:dyDescent="0.25">
      <c r="J1288" s="4"/>
    </row>
    <row r="1289" spans="10:10" x14ac:dyDescent="0.25">
      <c r="J1289" s="4"/>
    </row>
    <row r="1290" spans="10:10" x14ac:dyDescent="0.25">
      <c r="J1290" s="4"/>
    </row>
    <row r="1291" spans="10:10" x14ac:dyDescent="0.25">
      <c r="J1291" s="4"/>
    </row>
    <row r="1292" spans="10:10" x14ac:dyDescent="0.25">
      <c r="J1292" s="4"/>
    </row>
    <row r="1293" spans="10:10" x14ac:dyDescent="0.25">
      <c r="J1293" s="4"/>
    </row>
    <row r="1294" spans="10:10" x14ac:dyDescent="0.25">
      <c r="J1294" s="4"/>
    </row>
    <row r="1295" spans="10:10" x14ac:dyDescent="0.25">
      <c r="J1295" s="4"/>
    </row>
    <row r="1296" spans="10:10" x14ac:dyDescent="0.25">
      <c r="J1296" s="4"/>
    </row>
    <row r="1297" spans="10:10" x14ac:dyDescent="0.25">
      <c r="J1297" s="4"/>
    </row>
    <row r="1298" spans="10:10" x14ac:dyDescent="0.25">
      <c r="J1298" s="4"/>
    </row>
    <row r="1299" spans="10:10" x14ac:dyDescent="0.25">
      <c r="J1299" s="4"/>
    </row>
    <row r="1300" spans="10:10" x14ac:dyDescent="0.25">
      <c r="J1300" s="4"/>
    </row>
    <row r="1301" spans="10:10" x14ac:dyDescent="0.25">
      <c r="J1301" s="4"/>
    </row>
    <row r="1302" spans="10:10" x14ac:dyDescent="0.25">
      <c r="J1302" s="4"/>
    </row>
    <row r="1303" spans="10:10" x14ac:dyDescent="0.25">
      <c r="J1303" s="4"/>
    </row>
    <row r="1304" spans="10:10" x14ac:dyDescent="0.25">
      <c r="J1304" s="4"/>
    </row>
    <row r="1305" spans="10:10" x14ac:dyDescent="0.25">
      <c r="J1305" s="4"/>
    </row>
    <row r="1306" spans="10:10" x14ac:dyDescent="0.25">
      <c r="J1306" s="4"/>
    </row>
    <row r="1307" spans="10:10" x14ac:dyDescent="0.25">
      <c r="J1307" s="4"/>
    </row>
    <row r="1308" spans="10:10" x14ac:dyDescent="0.25">
      <c r="J1308" s="4"/>
    </row>
    <row r="1309" spans="10:10" x14ac:dyDescent="0.25">
      <c r="J1309" s="4"/>
    </row>
    <row r="1310" spans="10:10" x14ac:dyDescent="0.25">
      <c r="J1310" s="4"/>
    </row>
    <row r="1311" spans="10:10" x14ac:dyDescent="0.25">
      <c r="J1311" s="4"/>
    </row>
    <row r="1312" spans="10:10" x14ac:dyDescent="0.25">
      <c r="J1312" s="4"/>
    </row>
    <row r="1313" spans="10:10" x14ac:dyDescent="0.25">
      <c r="J1313" s="4"/>
    </row>
    <row r="1314" spans="10:10" x14ac:dyDescent="0.25">
      <c r="J1314" s="4"/>
    </row>
    <row r="1315" spans="10:10" x14ac:dyDescent="0.25">
      <c r="J1315" s="4"/>
    </row>
    <row r="1316" spans="10:10" x14ac:dyDescent="0.25">
      <c r="J1316" s="4"/>
    </row>
    <row r="1317" spans="10:10" x14ac:dyDescent="0.25">
      <c r="J1317" s="4"/>
    </row>
    <row r="1318" spans="10:10" x14ac:dyDescent="0.25">
      <c r="J1318" s="4"/>
    </row>
    <row r="1319" spans="10:10" x14ac:dyDescent="0.25">
      <c r="J1319" s="4"/>
    </row>
    <row r="1320" spans="10:10" x14ac:dyDescent="0.25">
      <c r="J1320" s="4"/>
    </row>
    <row r="1321" spans="10:10" x14ac:dyDescent="0.25">
      <c r="J1321" s="4"/>
    </row>
    <row r="1322" spans="10:10" x14ac:dyDescent="0.25">
      <c r="J1322" s="4"/>
    </row>
    <row r="1323" spans="10:10" x14ac:dyDescent="0.25">
      <c r="J1323" s="4"/>
    </row>
    <row r="1324" spans="10:10" x14ac:dyDescent="0.25">
      <c r="J1324" s="4"/>
    </row>
    <row r="1325" spans="10:10" x14ac:dyDescent="0.25">
      <c r="J1325" s="4"/>
    </row>
    <row r="1326" spans="10:10" x14ac:dyDescent="0.25">
      <c r="J1326" s="4"/>
    </row>
    <row r="1327" spans="10:10" x14ac:dyDescent="0.25">
      <c r="J1327" s="4"/>
    </row>
    <row r="1328" spans="10:10" x14ac:dyDescent="0.25">
      <c r="J1328" s="4"/>
    </row>
    <row r="1329" spans="10:10" x14ac:dyDescent="0.25">
      <c r="J1329" s="4"/>
    </row>
    <row r="1330" spans="10:10" x14ac:dyDescent="0.25">
      <c r="J1330" s="4"/>
    </row>
    <row r="1331" spans="10:10" x14ac:dyDescent="0.25">
      <c r="J1331" s="4"/>
    </row>
    <row r="1332" spans="10:10" x14ac:dyDescent="0.25">
      <c r="J1332" s="4"/>
    </row>
    <row r="1333" spans="10:10" x14ac:dyDescent="0.25">
      <c r="J1333" s="4"/>
    </row>
    <row r="1334" spans="10:10" x14ac:dyDescent="0.25">
      <c r="J1334" s="4"/>
    </row>
    <row r="1335" spans="10:10" x14ac:dyDescent="0.25">
      <c r="J1335" s="4"/>
    </row>
    <row r="1336" spans="10:10" x14ac:dyDescent="0.25">
      <c r="J1336" s="4"/>
    </row>
    <row r="1337" spans="10:10" x14ac:dyDescent="0.25">
      <c r="J1337" s="4"/>
    </row>
    <row r="1338" spans="10:10" x14ac:dyDescent="0.25">
      <c r="J1338" s="4"/>
    </row>
    <row r="1339" spans="10:10" x14ac:dyDescent="0.25">
      <c r="J1339" s="4"/>
    </row>
    <row r="1340" spans="10:10" x14ac:dyDescent="0.25">
      <c r="J1340" s="4"/>
    </row>
    <row r="1341" spans="10:10" x14ac:dyDescent="0.25">
      <c r="J1341" s="4"/>
    </row>
    <row r="1342" spans="10:10" x14ac:dyDescent="0.25">
      <c r="J1342" s="4"/>
    </row>
    <row r="1343" spans="10:10" x14ac:dyDescent="0.25">
      <c r="J1343" s="4"/>
    </row>
    <row r="1344" spans="10:10" x14ac:dyDescent="0.25">
      <c r="J1344" s="4"/>
    </row>
    <row r="1345" spans="10:10" x14ac:dyDescent="0.25">
      <c r="J1345" s="4"/>
    </row>
    <row r="1346" spans="10:10" x14ac:dyDescent="0.25">
      <c r="J1346" s="4"/>
    </row>
    <row r="1347" spans="10:10" x14ac:dyDescent="0.25">
      <c r="J1347" s="4"/>
    </row>
    <row r="1348" spans="10:10" x14ac:dyDescent="0.25">
      <c r="J1348" s="4"/>
    </row>
    <row r="1349" spans="10:10" x14ac:dyDescent="0.25">
      <c r="J1349" s="4"/>
    </row>
    <row r="1350" spans="10:10" x14ac:dyDescent="0.25">
      <c r="J1350" s="4"/>
    </row>
    <row r="1351" spans="10:10" x14ac:dyDescent="0.25">
      <c r="J1351" s="4"/>
    </row>
    <row r="1352" spans="10:10" x14ac:dyDescent="0.25">
      <c r="J1352" s="4"/>
    </row>
    <row r="1353" spans="10:10" x14ac:dyDescent="0.25">
      <c r="J1353" s="4"/>
    </row>
    <row r="1354" spans="10:10" x14ac:dyDescent="0.25">
      <c r="J1354" s="4"/>
    </row>
    <row r="1355" spans="10:10" x14ac:dyDescent="0.25">
      <c r="J1355" s="4"/>
    </row>
    <row r="1356" spans="10:10" x14ac:dyDescent="0.25">
      <c r="J1356" s="4"/>
    </row>
    <row r="1357" spans="10:10" x14ac:dyDescent="0.25">
      <c r="J1357" s="4"/>
    </row>
    <row r="1358" spans="10:10" x14ac:dyDescent="0.25">
      <c r="J1358" s="4"/>
    </row>
    <row r="1359" spans="10:10" x14ac:dyDescent="0.25">
      <c r="J1359" s="4"/>
    </row>
    <row r="1360" spans="10:10" x14ac:dyDescent="0.25">
      <c r="J1360" s="4"/>
    </row>
    <row r="1361" spans="10:10" x14ac:dyDescent="0.25">
      <c r="J1361" s="4"/>
    </row>
    <row r="1362" spans="10:10" x14ac:dyDescent="0.25">
      <c r="J1362" s="4"/>
    </row>
    <row r="1363" spans="10:10" x14ac:dyDescent="0.25">
      <c r="J1363" s="4"/>
    </row>
    <row r="1364" spans="10:10" x14ac:dyDescent="0.25">
      <c r="J1364" s="4"/>
    </row>
    <row r="1365" spans="10:10" x14ac:dyDescent="0.25">
      <c r="J1365" s="4"/>
    </row>
    <row r="1366" spans="10:10" x14ac:dyDescent="0.25">
      <c r="J1366" s="4"/>
    </row>
    <row r="1367" spans="10:10" x14ac:dyDescent="0.25">
      <c r="J1367" s="4"/>
    </row>
    <row r="1368" spans="10:10" x14ac:dyDescent="0.25">
      <c r="J1368" s="4"/>
    </row>
    <row r="1369" spans="10:10" x14ac:dyDescent="0.25">
      <c r="J1369" s="4"/>
    </row>
    <row r="1370" spans="10:10" x14ac:dyDescent="0.25">
      <c r="J1370" s="4"/>
    </row>
    <row r="1371" spans="10:10" x14ac:dyDescent="0.25">
      <c r="J1371" s="4"/>
    </row>
    <row r="1372" spans="10:10" x14ac:dyDescent="0.25">
      <c r="J1372" s="4"/>
    </row>
    <row r="1373" spans="10:10" x14ac:dyDescent="0.25">
      <c r="J1373" s="4"/>
    </row>
    <row r="1374" spans="10:10" x14ac:dyDescent="0.25">
      <c r="J1374" s="4"/>
    </row>
    <row r="1375" spans="10:10" x14ac:dyDescent="0.25">
      <c r="J1375" s="4"/>
    </row>
    <row r="1376" spans="10:10" x14ac:dyDescent="0.25">
      <c r="J1376" s="4"/>
    </row>
    <row r="1377" spans="10:10" x14ac:dyDescent="0.25">
      <c r="J1377" s="4"/>
    </row>
    <row r="1378" spans="10:10" x14ac:dyDescent="0.25">
      <c r="J1378" s="4"/>
    </row>
    <row r="1379" spans="10:10" x14ac:dyDescent="0.25">
      <c r="J1379" s="4"/>
    </row>
    <row r="1380" spans="10:10" x14ac:dyDescent="0.25">
      <c r="J1380" s="4"/>
    </row>
    <row r="1381" spans="10:10" x14ac:dyDescent="0.25">
      <c r="J1381" s="4"/>
    </row>
    <row r="1382" spans="10:10" x14ac:dyDescent="0.25">
      <c r="J1382" s="4"/>
    </row>
    <row r="1383" spans="10:10" x14ac:dyDescent="0.25">
      <c r="J1383" s="4"/>
    </row>
    <row r="1384" spans="10:10" x14ac:dyDescent="0.25">
      <c r="J1384" s="4"/>
    </row>
    <row r="1385" spans="10:10" x14ac:dyDescent="0.25">
      <c r="J1385" s="4"/>
    </row>
    <row r="1386" spans="10:10" x14ac:dyDescent="0.25">
      <c r="J1386" s="4"/>
    </row>
    <row r="1387" spans="10:10" x14ac:dyDescent="0.25">
      <c r="J1387" s="4"/>
    </row>
    <row r="1388" spans="10:10" x14ac:dyDescent="0.25">
      <c r="J1388" s="4"/>
    </row>
    <row r="1389" spans="10:10" x14ac:dyDescent="0.25">
      <c r="J1389" s="4"/>
    </row>
    <row r="1390" spans="10:10" x14ac:dyDescent="0.25">
      <c r="J1390" s="4"/>
    </row>
    <row r="1391" spans="10:10" x14ac:dyDescent="0.25">
      <c r="J1391" s="4"/>
    </row>
    <row r="1392" spans="10:10" x14ac:dyDescent="0.25">
      <c r="J1392" s="4"/>
    </row>
    <row r="1393" spans="10:10" x14ac:dyDescent="0.25">
      <c r="J1393" s="4"/>
    </row>
    <row r="1394" spans="10:10" x14ac:dyDescent="0.25">
      <c r="J1394" s="4"/>
    </row>
    <row r="1395" spans="10:10" x14ac:dyDescent="0.25">
      <c r="J1395" s="4"/>
    </row>
    <row r="1396" spans="10:10" x14ac:dyDescent="0.25">
      <c r="J1396" s="4"/>
    </row>
    <row r="1397" spans="10:10" x14ac:dyDescent="0.25">
      <c r="J1397" s="4"/>
    </row>
    <row r="1398" spans="10:10" x14ac:dyDescent="0.25">
      <c r="J1398" s="4"/>
    </row>
    <row r="1399" spans="10:10" x14ac:dyDescent="0.25">
      <c r="J1399" s="4"/>
    </row>
    <row r="1400" spans="10:10" x14ac:dyDescent="0.25">
      <c r="J1400" s="4"/>
    </row>
    <row r="1401" spans="10:10" x14ac:dyDescent="0.25">
      <c r="J1401" s="4"/>
    </row>
    <row r="1402" spans="10:10" x14ac:dyDescent="0.25">
      <c r="J1402" s="4"/>
    </row>
    <row r="1403" spans="10:10" x14ac:dyDescent="0.25">
      <c r="J1403" s="4"/>
    </row>
    <row r="1404" spans="10:10" x14ac:dyDescent="0.25">
      <c r="J1404" s="4"/>
    </row>
    <row r="1405" spans="10:10" x14ac:dyDescent="0.25">
      <c r="J1405" s="4"/>
    </row>
    <row r="1406" spans="10:10" x14ac:dyDescent="0.25">
      <c r="J1406" s="4"/>
    </row>
    <row r="1407" spans="10:10" x14ac:dyDescent="0.25">
      <c r="J1407" s="4"/>
    </row>
    <row r="1408" spans="10:10" x14ac:dyDescent="0.25">
      <c r="J1408" s="4"/>
    </row>
    <row r="1409" spans="10:10" x14ac:dyDescent="0.25">
      <c r="J1409" s="4"/>
    </row>
    <row r="1410" spans="10:10" x14ac:dyDescent="0.25">
      <c r="J1410" s="4"/>
    </row>
    <row r="1411" spans="10:10" x14ac:dyDescent="0.25">
      <c r="J1411" s="4"/>
    </row>
    <row r="1412" spans="10:10" x14ac:dyDescent="0.25">
      <c r="J1412" s="4"/>
    </row>
    <row r="1413" spans="10:10" x14ac:dyDescent="0.25">
      <c r="J1413" s="4"/>
    </row>
    <row r="1414" spans="10:10" x14ac:dyDescent="0.25">
      <c r="J1414" s="4"/>
    </row>
    <row r="1415" spans="10:10" x14ac:dyDescent="0.25">
      <c r="J1415" s="4"/>
    </row>
    <row r="1416" spans="10:10" x14ac:dyDescent="0.25">
      <c r="J1416" s="4"/>
    </row>
    <row r="1417" spans="10:10" x14ac:dyDescent="0.25">
      <c r="J1417" s="4"/>
    </row>
    <row r="1418" spans="10:10" x14ac:dyDescent="0.25">
      <c r="J1418" s="4"/>
    </row>
    <row r="1419" spans="10:10" x14ac:dyDescent="0.25">
      <c r="J1419" s="4"/>
    </row>
    <row r="1420" spans="10:10" x14ac:dyDescent="0.25">
      <c r="J1420" s="4"/>
    </row>
    <row r="1421" spans="10:10" x14ac:dyDescent="0.25">
      <c r="J1421" s="4"/>
    </row>
    <row r="1422" spans="10:10" x14ac:dyDescent="0.25">
      <c r="J1422" s="4"/>
    </row>
    <row r="1423" spans="10:10" x14ac:dyDescent="0.25">
      <c r="J1423" s="4"/>
    </row>
    <row r="1424" spans="10:10" x14ac:dyDescent="0.25">
      <c r="J1424" s="4"/>
    </row>
    <row r="1425" spans="10:10" x14ac:dyDescent="0.25">
      <c r="J1425" s="4"/>
    </row>
    <row r="1426" spans="10:10" x14ac:dyDescent="0.25">
      <c r="J1426" s="4"/>
    </row>
    <row r="1427" spans="10:10" x14ac:dyDescent="0.25">
      <c r="J1427" s="4"/>
    </row>
    <row r="1428" spans="10:10" x14ac:dyDescent="0.25">
      <c r="J1428" s="4"/>
    </row>
    <row r="1429" spans="10:10" x14ac:dyDescent="0.25">
      <c r="J1429" s="4"/>
    </row>
    <row r="1430" spans="10:10" x14ac:dyDescent="0.25">
      <c r="J1430" s="4"/>
    </row>
    <row r="1431" spans="10:10" x14ac:dyDescent="0.25">
      <c r="J1431" s="4"/>
    </row>
    <row r="1432" spans="10:10" x14ac:dyDescent="0.25">
      <c r="J1432" s="4"/>
    </row>
    <row r="1433" spans="10:10" x14ac:dyDescent="0.25">
      <c r="J1433" s="4"/>
    </row>
    <row r="1434" spans="10:10" x14ac:dyDescent="0.25">
      <c r="J1434" s="4"/>
    </row>
    <row r="1435" spans="10:10" x14ac:dyDescent="0.25">
      <c r="J1435" s="4"/>
    </row>
    <row r="1436" spans="10:10" x14ac:dyDescent="0.25">
      <c r="J1436" s="4"/>
    </row>
    <row r="1437" spans="10:10" x14ac:dyDescent="0.25">
      <c r="J1437" s="4"/>
    </row>
    <row r="1438" spans="10:10" x14ac:dyDescent="0.25">
      <c r="J1438" s="4"/>
    </row>
    <row r="1439" spans="10:10" x14ac:dyDescent="0.25">
      <c r="J1439" s="4"/>
    </row>
    <row r="1440" spans="10:10" x14ac:dyDescent="0.25">
      <c r="J1440" s="4"/>
    </row>
    <row r="1441" spans="10:10" x14ac:dyDescent="0.25">
      <c r="J1441" s="4"/>
    </row>
    <row r="1442" spans="10:10" x14ac:dyDescent="0.25">
      <c r="J1442" s="4"/>
    </row>
    <row r="1443" spans="10:10" x14ac:dyDescent="0.25">
      <c r="J1443" s="4"/>
    </row>
    <row r="1444" spans="10:10" x14ac:dyDescent="0.25">
      <c r="J1444" s="4"/>
    </row>
    <row r="1445" spans="10:10" x14ac:dyDescent="0.25">
      <c r="J1445" s="4"/>
    </row>
    <row r="1446" spans="10:10" x14ac:dyDescent="0.25">
      <c r="J1446" s="4"/>
    </row>
    <row r="1447" spans="10:10" x14ac:dyDescent="0.25">
      <c r="J1447" s="4"/>
    </row>
    <row r="1448" spans="10:10" x14ac:dyDescent="0.25">
      <c r="J1448" s="4"/>
    </row>
    <row r="1449" spans="10:10" x14ac:dyDescent="0.25">
      <c r="J1449" s="4"/>
    </row>
    <row r="1450" spans="10:10" x14ac:dyDescent="0.25">
      <c r="J1450" s="4"/>
    </row>
    <row r="1451" spans="10:10" x14ac:dyDescent="0.25">
      <c r="J1451" s="4"/>
    </row>
    <row r="1452" spans="10:10" x14ac:dyDescent="0.25">
      <c r="J1452" s="4"/>
    </row>
    <row r="1453" spans="10:10" x14ac:dyDescent="0.25">
      <c r="J1453" s="4"/>
    </row>
    <row r="1454" spans="10:10" x14ac:dyDescent="0.25">
      <c r="J1454" s="4"/>
    </row>
    <row r="1455" spans="10:10" x14ac:dyDescent="0.25">
      <c r="J1455" s="4"/>
    </row>
    <row r="1456" spans="10:10" x14ac:dyDescent="0.25">
      <c r="J1456" s="4"/>
    </row>
    <row r="1457" spans="10:10" x14ac:dyDescent="0.25">
      <c r="J1457" s="4"/>
    </row>
    <row r="1458" spans="10:10" x14ac:dyDescent="0.25">
      <c r="J1458" s="4"/>
    </row>
    <row r="1459" spans="10:10" x14ac:dyDescent="0.25">
      <c r="J1459" s="4"/>
    </row>
    <row r="1460" spans="10:10" x14ac:dyDescent="0.25">
      <c r="J1460" s="4"/>
    </row>
    <row r="1461" spans="10:10" x14ac:dyDescent="0.25">
      <c r="J1461" s="4"/>
    </row>
    <row r="1462" spans="10:10" x14ac:dyDescent="0.25">
      <c r="J1462" s="4"/>
    </row>
    <row r="1463" spans="10:10" x14ac:dyDescent="0.25">
      <c r="J1463" s="4"/>
    </row>
    <row r="1464" spans="10:10" x14ac:dyDescent="0.25">
      <c r="J1464" s="4"/>
    </row>
    <row r="1465" spans="10:10" x14ac:dyDescent="0.25">
      <c r="J1465" s="4"/>
    </row>
    <row r="1466" spans="10:10" x14ac:dyDescent="0.25">
      <c r="J1466" s="4"/>
    </row>
    <row r="1467" spans="10:10" x14ac:dyDescent="0.25">
      <c r="J1467" s="4"/>
    </row>
    <row r="1468" spans="10:10" x14ac:dyDescent="0.25">
      <c r="J1468" s="4"/>
    </row>
    <row r="1469" spans="10:10" x14ac:dyDescent="0.25">
      <c r="J1469" s="4"/>
    </row>
    <row r="1470" spans="10:10" x14ac:dyDescent="0.25">
      <c r="J1470" s="4"/>
    </row>
    <row r="1471" spans="10:10" x14ac:dyDescent="0.25">
      <c r="J1471" s="4"/>
    </row>
    <row r="1472" spans="10:10" x14ac:dyDescent="0.25">
      <c r="J1472" s="4"/>
    </row>
    <row r="1473" spans="10:10" x14ac:dyDescent="0.25">
      <c r="J1473" s="4"/>
    </row>
    <row r="1474" spans="10:10" x14ac:dyDescent="0.25">
      <c r="J1474" s="4"/>
    </row>
    <row r="1475" spans="10:10" x14ac:dyDescent="0.25">
      <c r="J1475" s="4"/>
    </row>
    <row r="1476" spans="10:10" x14ac:dyDescent="0.25">
      <c r="J1476" s="4"/>
    </row>
    <row r="1477" spans="10:10" x14ac:dyDescent="0.25">
      <c r="J1477" s="4"/>
    </row>
    <row r="1478" spans="10:10" x14ac:dyDescent="0.25">
      <c r="J1478" s="4"/>
    </row>
    <row r="1479" spans="10:10" x14ac:dyDescent="0.25">
      <c r="J1479" s="4"/>
    </row>
    <row r="1480" spans="10:10" x14ac:dyDescent="0.25">
      <c r="J1480" s="4"/>
    </row>
    <row r="1481" spans="10:10" x14ac:dyDescent="0.25">
      <c r="J1481" s="4"/>
    </row>
    <row r="1482" spans="10:10" x14ac:dyDescent="0.25">
      <c r="J1482" s="4"/>
    </row>
    <row r="1483" spans="10:10" x14ac:dyDescent="0.25">
      <c r="J1483" s="4"/>
    </row>
    <row r="1484" spans="10:10" x14ac:dyDescent="0.25">
      <c r="J1484" s="4"/>
    </row>
    <row r="1485" spans="10:10" x14ac:dyDescent="0.25">
      <c r="J1485" s="4"/>
    </row>
    <row r="1486" spans="10:10" x14ac:dyDescent="0.25">
      <c r="J1486" s="4"/>
    </row>
    <row r="1487" spans="10:10" x14ac:dyDescent="0.25">
      <c r="J1487" s="4"/>
    </row>
    <row r="1488" spans="10:10" x14ac:dyDescent="0.25">
      <c r="J1488" s="4"/>
    </row>
    <row r="1489" spans="10:10" x14ac:dyDescent="0.25">
      <c r="J1489" s="4"/>
    </row>
    <row r="1490" spans="10:10" x14ac:dyDescent="0.25">
      <c r="J1490" s="4"/>
    </row>
    <row r="1491" spans="10:10" x14ac:dyDescent="0.25">
      <c r="J1491" s="4"/>
    </row>
    <row r="1492" spans="10:10" x14ac:dyDescent="0.25">
      <c r="J1492" s="4"/>
    </row>
    <row r="1493" spans="10:10" x14ac:dyDescent="0.25">
      <c r="J1493" s="4"/>
    </row>
    <row r="1494" spans="10:10" x14ac:dyDescent="0.25">
      <c r="J1494" s="4"/>
    </row>
    <row r="1495" spans="10:10" x14ac:dyDescent="0.25">
      <c r="J1495" s="4"/>
    </row>
    <row r="1496" spans="10:10" x14ac:dyDescent="0.25">
      <c r="J1496" s="4"/>
    </row>
    <row r="1497" spans="10:10" x14ac:dyDescent="0.25">
      <c r="J1497" s="4"/>
    </row>
    <row r="1498" spans="10:10" x14ac:dyDescent="0.25">
      <c r="J1498" s="4"/>
    </row>
    <row r="1499" spans="10:10" x14ac:dyDescent="0.25">
      <c r="J1499" s="4"/>
    </row>
    <row r="1500" spans="10:10" x14ac:dyDescent="0.25">
      <c r="J1500" s="4"/>
    </row>
    <row r="1501" spans="10:10" x14ac:dyDescent="0.25">
      <c r="J1501" s="4"/>
    </row>
    <row r="1502" spans="10:10" x14ac:dyDescent="0.25">
      <c r="J1502" s="4"/>
    </row>
    <row r="1503" spans="10:10" x14ac:dyDescent="0.25">
      <c r="J1503" s="4"/>
    </row>
    <row r="1504" spans="10:10" x14ac:dyDescent="0.25">
      <c r="J1504" s="4"/>
    </row>
    <row r="1505" spans="10:10" x14ac:dyDescent="0.25">
      <c r="J1505" s="4"/>
    </row>
    <row r="1506" spans="10:10" x14ac:dyDescent="0.25">
      <c r="J1506" s="4"/>
    </row>
    <row r="1507" spans="10:10" x14ac:dyDescent="0.25">
      <c r="J1507" s="4"/>
    </row>
    <row r="1508" spans="10:10" x14ac:dyDescent="0.25">
      <c r="J1508" s="4"/>
    </row>
    <row r="1509" spans="10:10" x14ac:dyDescent="0.25">
      <c r="J1509" s="4"/>
    </row>
    <row r="1510" spans="10:10" x14ac:dyDescent="0.25">
      <c r="J1510" s="4"/>
    </row>
    <row r="1511" spans="10:10" x14ac:dyDescent="0.25">
      <c r="J1511" s="4"/>
    </row>
    <row r="1512" spans="10:10" x14ac:dyDescent="0.25">
      <c r="J1512" s="4"/>
    </row>
    <row r="1513" spans="10:10" x14ac:dyDescent="0.25">
      <c r="J1513" s="4"/>
    </row>
    <row r="1514" spans="10:10" x14ac:dyDescent="0.25">
      <c r="J1514" s="4"/>
    </row>
    <row r="1515" spans="10:10" x14ac:dyDescent="0.25">
      <c r="J1515" s="4"/>
    </row>
    <row r="1516" spans="10:10" x14ac:dyDescent="0.25">
      <c r="J1516" s="4"/>
    </row>
    <row r="1517" spans="10:10" x14ac:dyDescent="0.25">
      <c r="J1517" s="4"/>
    </row>
    <row r="1518" spans="10:10" x14ac:dyDescent="0.25">
      <c r="J1518" s="4"/>
    </row>
    <row r="1519" spans="10:10" x14ac:dyDescent="0.25">
      <c r="J1519" s="4"/>
    </row>
    <row r="1520" spans="10:10" x14ac:dyDescent="0.25">
      <c r="J1520" s="4"/>
    </row>
    <row r="1521" spans="10:10" x14ac:dyDescent="0.25">
      <c r="J1521" s="4"/>
    </row>
    <row r="1522" spans="10:10" x14ac:dyDescent="0.25">
      <c r="J1522" s="4"/>
    </row>
    <row r="1523" spans="10:10" x14ac:dyDescent="0.25">
      <c r="J1523" s="4"/>
    </row>
    <row r="1524" spans="10:10" x14ac:dyDescent="0.25">
      <c r="J1524" s="4"/>
    </row>
    <row r="1525" spans="10:10" x14ac:dyDescent="0.25">
      <c r="J1525" s="4"/>
    </row>
    <row r="1526" spans="10:10" x14ac:dyDescent="0.25">
      <c r="J1526" s="4"/>
    </row>
    <row r="1527" spans="10:10" x14ac:dyDescent="0.25">
      <c r="J1527" s="4"/>
    </row>
    <row r="1528" spans="10:10" x14ac:dyDescent="0.25">
      <c r="J1528" s="4"/>
    </row>
    <row r="1529" spans="10:10" x14ac:dyDescent="0.25">
      <c r="J1529" s="4"/>
    </row>
    <row r="1530" spans="10:10" x14ac:dyDescent="0.25">
      <c r="J1530" s="4"/>
    </row>
    <row r="1531" spans="10:10" x14ac:dyDescent="0.25">
      <c r="J1531" s="4"/>
    </row>
    <row r="1532" spans="10:10" x14ac:dyDescent="0.25">
      <c r="J1532" s="4"/>
    </row>
    <row r="1533" spans="10:10" x14ac:dyDescent="0.25">
      <c r="J1533" s="4"/>
    </row>
    <row r="1534" spans="10:10" x14ac:dyDescent="0.25">
      <c r="J1534" s="4"/>
    </row>
    <row r="1535" spans="10:10" x14ac:dyDescent="0.25">
      <c r="J1535" s="4"/>
    </row>
    <row r="1536" spans="10:10" x14ac:dyDescent="0.25">
      <c r="J1536" s="4"/>
    </row>
    <row r="1537" spans="10:10" x14ac:dyDescent="0.25">
      <c r="J1537" s="4"/>
    </row>
    <row r="1538" spans="10:10" x14ac:dyDescent="0.25">
      <c r="J1538" s="4"/>
    </row>
    <row r="1539" spans="10:10" x14ac:dyDescent="0.25">
      <c r="J1539" s="4"/>
    </row>
    <row r="1540" spans="10:10" x14ac:dyDescent="0.25">
      <c r="J1540" s="4"/>
    </row>
    <row r="1541" spans="10:10" x14ac:dyDescent="0.25">
      <c r="J1541" s="4"/>
    </row>
    <row r="1542" spans="10:10" x14ac:dyDescent="0.25">
      <c r="J1542" s="4"/>
    </row>
    <row r="1543" spans="10:10" x14ac:dyDescent="0.25">
      <c r="J1543" s="4"/>
    </row>
    <row r="1544" spans="10:10" x14ac:dyDescent="0.25">
      <c r="J1544" s="4"/>
    </row>
    <row r="1545" spans="10:10" x14ac:dyDescent="0.25">
      <c r="J1545" s="4"/>
    </row>
    <row r="1546" spans="10:10" x14ac:dyDescent="0.25">
      <c r="J1546" s="4"/>
    </row>
    <row r="1547" spans="10:10" x14ac:dyDescent="0.25">
      <c r="J1547" s="4"/>
    </row>
    <row r="1548" spans="10:10" x14ac:dyDescent="0.25">
      <c r="J1548" s="4"/>
    </row>
    <row r="1549" spans="10:10" x14ac:dyDescent="0.25">
      <c r="J1549" s="4"/>
    </row>
    <row r="1550" spans="10:10" x14ac:dyDescent="0.25">
      <c r="J1550" s="4"/>
    </row>
    <row r="1551" spans="10:10" x14ac:dyDescent="0.25">
      <c r="J1551" s="4"/>
    </row>
    <row r="1552" spans="10:10" x14ac:dyDescent="0.25">
      <c r="J1552" s="4"/>
    </row>
    <row r="1553" spans="10:10" x14ac:dyDescent="0.25">
      <c r="J1553" s="4"/>
    </row>
    <row r="1554" spans="10:10" x14ac:dyDescent="0.25">
      <c r="J1554" s="4"/>
    </row>
    <row r="1555" spans="10:10" x14ac:dyDescent="0.25">
      <c r="J1555" s="4"/>
    </row>
    <row r="1556" spans="10:10" x14ac:dyDescent="0.25">
      <c r="J1556" s="4"/>
    </row>
    <row r="1557" spans="10:10" x14ac:dyDescent="0.25">
      <c r="J1557" s="4"/>
    </row>
    <row r="1558" spans="10:10" x14ac:dyDescent="0.25">
      <c r="J1558" s="4"/>
    </row>
    <row r="1559" spans="10:10" x14ac:dyDescent="0.25">
      <c r="J1559" s="4"/>
    </row>
    <row r="1560" spans="10:10" x14ac:dyDescent="0.25">
      <c r="J1560" s="4"/>
    </row>
    <row r="1561" spans="10:10" x14ac:dyDescent="0.25">
      <c r="J1561" s="4"/>
    </row>
    <row r="1562" spans="10:10" x14ac:dyDescent="0.25">
      <c r="J1562" s="4"/>
    </row>
    <row r="1563" spans="10:10" x14ac:dyDescent="0.25">
      <c r="J1563" s="4"/>
    </row>
    <row r="1564" spans="10:10" x14ac:dyDescent="0.25">
      <c r="J1564" s="4"/>
    </row>
    <row r="1565" spans="10:10" x14ac:dyDescent="0.25">
      <c r="J1565" s="4"/>
    </row>
    <row r="1566" spans="10:10" x14ac:dyDescent="0.25">
      <c r="J1566" s="4"/>
    </row>
    <row r="1567" spans="10:10" x14ac:dyDescent="0.25">
      <c r="J1567" s="4"/>
    </row>
    <row r="1568" spans="10:10" x14ac:dyDescent="0.25">
      <c r="J1568" s="4"/>
    </row>
    <row r="1569" spans="10:10" x14ac:dyDescent="0.25">
      <c r="J1569" s="4"/>
    </row>
    <row r="1570" spans="10:10" x14ac:dyDescent="0.25">
      <c r="J1570" s="4"/>
    </row>
    <row r="1571" spans="10:10" x14ac:dyDescent="0.25">
      <c r="J1571" s="4"/>
    </row>
    <row r="1572" spans="10:10" x14ac:dyDescent="0.25">
      <c r="J1572" s="4"/>
    </row>
    <row r="1573" spans="10:10" x14ac:dyDescent="0.25">
      <c r="J1573" s="4"/>
    </row>
    <row r="1574" spans="10:10" x14ac:dyDescent="0.25">
      <c r="J1574" s="4"/>
    </row>
    <row r="1575" spans="10:10" x14ac:dyDescent="0.25">
      <c r="J1575" s="4"/>
    </row>
    <row r="1576" spans="10:10" x14ac:dyDescent="0.25">
      <c r="J1576" s="4"/>
    </row>
    <row r="1577" spans="10:10" x14ac:dyDescent="0.25">
      <c r="J1577" s="4"/>
    </row>
    <row r="1578" spans="10:10" x14ac:dyDescent="0.25">
      <c r="J1578" s="4"/>
    </row>
    <row r="1579" spans="10:10" x14ac:dyDescent="0.25">
      <c r="J1579" s="4"/>
    </row>
    <row r="1580" spans="10:10" x14ac:dyDescent="0.25">
      <c r="J1580" s="4"/>
    </row>
    <row r="1581" spans="10:10" x14ac:dyDescent="0.25">
      <c r="J1581" s="4"/>
    </row>
    <row r="1582" spans="10:10" x14ac:dyDescent="0.25">
      <c r="J1582" s="4"/>
    </row>
    <row r="1583" spans="10:10" x14ac:dyDescent="0.25">
      <c r="J1583" s="4"/>
    </row>
    <row r="1584" spans="10:10" x14ac:dyDescent="0.25">
      <c r="J1584" s="4"/>
    </row>
    <row r="1585" spans="10:10" x14ac:dyDescent="0.25">
      <c r="J1585" s="4"/>
    </row>
    <row r="1586" spans="10:10" x14ac:dyDescent="0.25">
      <c r="J1586" s="4"/>
    </row>
    <row r="1587" spans="10:10" x14ac:dyDescent="0.25">
      <c r="J1587" s="4"/>
    </row>
    <row r="1588" spans="10:10" x14ac:dyDescent="0.25">
      <c r="J1588" s="4"/>
    </row>
    <row r="1589" spans="10:10" x14ac:dyDescent="0.25">
      <c r="J1589" s="4"/>
    </row>
    <row r="1590" spans="10:10" x14ac:dyDescent="0.25">
      <c r="J1590" s="4"/>
    </row>
    <row r="1591" spans="10:10" x14ac:dyDescent="0.25">
      <c r="J1591" s="4"/>
    </row>
    <row r="1592" spans="10:10" x14ac:dyDescent="0.25">
      <c r="J1592" s="4"/>
    </row>
    <row r="1593" spans="10:10" x14ac:dyDescent="0.25">
      <c r="J1593" s="4"/>
    </row>
    <row r="1594" spans="10:10" x14ac:dyDescent="0.25">
      <c r="J1594" s="4"/>
    </row>
    <row r="1595" spans="10:10" x14ac:dyDescent="0.25">
      <c r="J1595" s="4"/>
    </row>
    <row r="1596" spans="10:10" x14ac:dyDescent="0.25">
      <c r="J1596" s="4"/>
    </row>
    <row r="1597" spans="10:10" x14ac:dyDescent="0.25">
      <c r="J1597" s="4"/>
    </row>
    <row r="1598" spans="10:10" x14ac:dyDescent="0.25">
      <c r="J1598" s="4"/>
    </row>
    <row r="1599" spans="10:10" x14ac:dyDescent="0.25">
      <c r="J1599" s="4"/>
    </row>
    <row r="1600" spans="10:10" x14ac:dyDescent="0.25">
      <c r="J1600" s="4"/>
    </row>
    <row r="1601" spans="10:10" x14ac:dyDescent="0.25">
      <c r="J1601" s="4"/>
    </row>
    <row r="1602" spans="10:10" x14ac:dyDescent="0.25">
      <c r="J1602" s="4"/>
    </row>
    <row r="1603" spans="10:10" x14ac:dyDescent="0.25">
      <c r="J1603" s="4"/>
    </row>
    <row r="1604" spans="10:10" x14ac:dyDescent="0.25">
      <c r="J1604" s="4"/>
    </row>
    <row r="1605" spans="10:10" x14ac:dyDescent="0.25">
      <c r="J1605" s="4"/>
    </row>
    <row r="1606" spans="10:10" x14ac:dyDescent="0.25">
      <c r="J1606" s="4"/>
    </row>
    <row r="1607" spans="10:10" x14ac:dyDescent="0.25">
      <c r="J1607" s="4"/>
    </row>
    <row r="1608" spans="10:10" x14ac:dyDescent="0.25">
      <c r="J1608" s="4"/>
    </row>
    <row r="1609" spans="10:10" x14ac:dyDescent="0.25">
      <c r="J1609" s="4"/>
    </row>
    <row r="1610" spans="10:10" x14ac:dyDescent="0.25">
      <c r="J1610" s="4"/>
    </row>
    <row r="1611" spans="10:10" x14ac:dyDescent="0.25">
      <c r="J1611" s="4"/>
    </row>
    <row r="1612" spans="10:10" x14ac:dyDescent="0.25">
      <c r="J1612" s="4"/>
    </row>
    <row r="1613" spans="10:10" x14ac:dyDescent="0.25">
      <c r="J1613" s="4"/>
    </row>
    <row r="1614" spans="10:10" x14ac:dyDescent="0.25">
      <c r="J1614" s="4"/>
    </row>
    <row r="1615" spans="10:10" x14ac:dyDescent="0.25">
      <c r="J1615" s="4"/>
    </row>
    <row r="1616" spans="10:10" x14ac:dyDescent="0.25">
      <c r="J1616" s="4"/>
    </row>
    <row r="1617" spans="10:10" x14ac:dyDescent="0.25">
      <c r="J1617" s="4"/>
    </row>
    <row r="1618" spans="10:10" x14ac:dyDescent="0.25">
      <c r="J1618" s="4"/>
    </row>
    <row r="1619" spans="10:10" x14ac:dyDescent="0.25">
      <c r="J1619" s="4"/>
    </row>
    <row r="1620" spans="10:10" x14ac:dyDescent="0.25">
      <c r="J1620" s="4"/>
    </row>
    <row r="1621" spans="10:10" x14ac:dyDescent="0.25">
      <c r="J1621" s="4"/>
    </row>
    <row r="1622" spans="10:10" x14ac:dyDescent="0.25">
      <c r="J1622" s="4"/>
    </row>
    <row r="1623" spans="10:10" x14ac:dyDescent="0.25">
      <c r="J1623" s="4"/>
    </row>
    <row r="1624" spans="10:10" x14ac:dyDescent="0.25">
      <c r="J1624" s="4"/>
    </row>
    <row r="1625" spans="10:10" x14ac:dyDescent="0.25">
      <c r="J1625" s="4"/>
    </row>
    <row r="1626" spans="10:10" x14ac:dyDescent="0.25">
      <c r="J1626" s="4"/>
    </row>
    <row r="1627" spans="10:10" x14ac:dyDescent="0.25">
      <c r="J1627" s="4"/>
    </row>
    <row r="1628" spans="10:10" x14ac:dyDescent="0.25">
      <c r="J1628" s="4"/>
    </row>
    <row r="1629" spans="10:10" x14ac:dyDescent="0.25">
      <c r="J1629" s="4"/>
    </row>
    <row r="1630" spans="10:10" x14ac:dyDescent="0.25">
      <c r="J1630" s="4"/>
    </row>
    <row r="1631" spans="10:10" x14ac:dyDescent="0.25">
      <c r="J1631" s="4"/>
    </row>
    <row r="1632" spans="10:10" x14ac:dyDescent="0.25">
      <c r="J1632" s="4"/>
    </row>
    <row r="1633" spans="10:10" x14ac:dyDescent="0.25">
      <c r="J1633" s="4"/>
    </row>
    <row r="1634" spans="10:10" x14ac:dyDescent="0.25">
      <c r="J1634" s="4"/>
    </row>
    <row r="1635" spans="10:10" x14ac:dyDescent="0.25">
      <c r="J1635" s="4"/>
    </row>
    <row r="1636" spans="10:10" x14ac:dyDescent="0.25">
      <c r="J1636" s="4"/>
    </row>
    <row r="1637" spans="10:10" x14ac:dyDescent="0.25">
      <c r="J1637" s="4"/>
    </row>
    <row r="1638" spans="10:10" x14ac:dyDescent="0.25">
      <c r="J1638" s="4"/>
    </row>
    <row r="1639" spans="10:10" x14ac:dyDescent="0.25">
      <c r="J1639" s="4"/>
    </row>
    <row r="1640" spans="10:10" x14ac:dyDescent="0.25">
      <c r="J1640" s="4"/>
    </row>
    <row r="1641" spans="10:10" x14ac:dyDescent="0.25">
      <c r="J1641" s="4"/>
    </row>
    <row r="1642" spans="10:10" x14ac:dyDescent="0.25">
      <c r="J1642" s="4"/>
    </row>
    <row r="1643" spans="10:10" x14ac:dyDescent="0.25">
      <c r="J1643" s="4"/>
    </row>
    <row r="1644" spans="10:10" x14ac:dyDescent="0.25">
      <c r="J1644" s="4"/>
    </row>
    <row r="1645" spans="10:10" x14ac:dyDescent="0.25">
      <c r="J1645" s="4"/>
    </row>
    <row r="1646" spans="10:10" x14ac:dyDescent="0.25">
      <c r="J1646" s="4"/>
    </row>
    <row r="1647" spans="10:10" x14ac:dyDescent="0.25">
      <c r="J1647" s="4"/>
    </row>
    <row r="1648" spans="10:10" x14ac:dyDescent="0.25">
      <c r="J1648" s="4"/>
    </row>
    <row r="1649" spans="10:10" x14ac:dyDescent="0.25">
      <c r="J1649" s="4"/>
    </row>
    <row r="1650" spans="10:10" x14ac:dyDescent="0.25">
      <c r="J1650" s="4"/>
    </row>
    <row r="1651" spans="10:10" x14ac:dyDescent="0.25">
      <c r="J1651" s="4"/>
    </row>
    <row r="1652" spans="10:10" x14ac:dyDescent="0.25">
      <c r="J1652" s="4"/>
    </row>
    <row r="1653" spans="10:10" x14ac:dyDescent="0.25">
      <c r="J1653" s="4"/>
    </row>
    <row r="1654" spans="10:10" x14ac:dyDescent="0.25">
      <c r="J1654" s="4"/>
    </row>
    <row r="1655" spans="10:10" x14ac:dyDescent="0.25">
      <c r="J1655" s="4"/>
    </row>
    <row r="1656" spans="10:10" x14ac:dyDescent="0.25">
      <c r="J1656" s="4"/>
    </row>
    <row r="1657" spans="10:10" x14ac:dyDescent="0.25">
      <c r="J1657" s="4"/>
    </row>
    <row r="1658" spans="10:10" x14ac:dyDescent="0.25">
      <c r="J1658" s="4"/>
    </row>
    <row r="1659" spans="10:10" x14ac:dyDescent="0.25">
      <c r="J1659" s="4"/>
    </row>
    <row r="1660" spans="10:10" x14ac:dyDescent="0.25">
      <c r="J1660" s="4"/>
    </row>
    <row r="1661" spans="10:10" x14ac:dyDescent="0.25">
      <c r="J1661" s="4"/>
    </row>
    <row r="1662" spans="10:10" x14ac:dyDescent="0.25">
      <c r="J1662" s="4"/>
    </row>
    <row r="1663" spans="10:10" x14ac:dyDescent="0.25">
      <c r="J1663" s="4"/>
    </row>
    <row r="1664" spans="10:10" x14ac:dyDescent="0.25">
      <c r="J1664" s="4"/>
    </row>
    <row r="1665" spans="10:10" x14ac:dyDescent="0.25">
      <c r="J1665" s="4"/>
    </row>
    <row r="1666" spans="10:10" x14ac:dyDescent="0.25">
      <c r="J1666" s="4"/>
    </row>
    <row r="1667" spans="10:10" x14ac:dyDescent="0.25">
      <c r="J1667" s="4"/>
    </row>
    <row r="1668" spans="10:10" x14ac:dyDescent="0.25">
      <c r="J1668" s="4"/>
    </row>
    <row r="1669" spans="10:10" x14ac:dyDescent="0.25">
      <c r="J1669" s="4"/>
    </row>
    <row r="1670" spans="10:10" x14ac:dyDescent="0.25">
      <c r="J1670" s="4"/>
    </row>
    <row r="1671" spans="10:10" x14ac:dyDescent="0.25">
      <c r="J1671" s="4"/>
    </row>
    <row r="1672" spans="10:10" x14ac:dyDescent="0.25">
      <c r="J1672" s="4"/>
    </row>
    <row r="1673" spans="10:10" x14ac:dyDescent="0.25">
      <c r="J1673" s="4"/>
    </row>
    <row r="1674" spans="10:10" x14ac:dyDescent="0.25">
      <c r="J1674" s="4"/>
    </row>
    <row r="1675" spans="10:10" x14ac:dyDescent="0.25">
      <c r="J1675" s="4"/>
    </row>
    <row r="1676" spans="10:10" x14ac:dyDescent="0.25">
      <c r="J1676" s="4"/>
    </row>
    <row r="1677" spans="10:10" x14ac:dyDescent="0.25">
      <c r="J1677" s="4"/>
    </row>
    <row r="1678" spans="10:10" x14ac:dyDescent="0.25">
      <c r="J1678" s="4"/>
    </row>
    <row r="1679" spans="10:10" x14ac:dyDescent="0.25">
      <c r="J1679" s="4"/>
    </row>
    <row r="1680" spans="10:10" x14ac:dyDescent="0.25">
      <c r="J1680" s="4"/>
    </row>
    <row r="1681" spans="10:10" x14ac:dyDescent="0.25">
      <c r="J1681" s="4"/>
    </row>
    <row r="1682" spans="10:10" x14ac:dyDescent="0.25">
      <c r="J1682" s="4"/>
    </row>
    <row r="1683" spans="10:10" x14ac:dyDescent="0.25">
      <c r="J1683" s="4"/>
    </row>
    <row r="1684" spans="10:10" x14ac:dyDescent="0.25">
      <c r="J1684" s="4"/>
    </row>
    <row r="1685" spans="10:10" x14ac:dyDescent="0.25">
      <c r="J1685" s="4"/>
    </row>
    <row r="1686" spans="10:10" x14ac:dyDescent="0.25">
      <c r="J1686" s="4"/>
    </row>
    <row r="1687" spans="10:10" x14ac:dyDescent="0.25">
      <c r="J1687" s="4"/>
    </row>
    <row r="1688" spans="10:10" x14ac:dyDescent="0.25">
      <c r="J1688" s="4"/>
    </row>
    <row r="1689" spans="10:10" x14ac:dyDescent="0.25">
      <c r="J1689" s="4"/>
    </row>
    <row r="1690" spans="10:10" x14ac:dyDescent="0.25">
      <c r="J1690" s="4"/>
    </row>
    <row r="1691" spans="10:10" x14ac:dyDescent="0.25">
      <c r="J1691" s="4"/>
    </row>
    <row r="1692" spans="10:10" x14ac:dyDescent="0.25">
      <c r="J1692" s="4"/>
    </row>
    <row r="1693" spans="10:10" x14ac:dyDescent="0.25">
      <c r="J1693" s="4"/>
    </row>
    <row r="1694" spans="10:10" x14ac:dyDescent="0.25">
      <c r="J1694" s="4"/>
    </row>
    <row r="1695" spans="10:10" x14ac:dyDescent="0.25">
      <c r="J1695" s="4"/>
    </row>
    <row r="1696" spans="10:10" x14ac:dyDescent="0.25">
      <c r="J1696" s="4"/>
    </row>
    <row r="1697" spans="10:10" x14ac:dyDescent="0.25">
      <c r="J1697" s="4"/>
    </row>
    <row r="1698" spans="10:10" x14ac:dyDescent="0.25">
      <c r="J1698" s="4"/>
    </row>
    <row r="1699" spans="10:10" x14ac:dyDescent="0.25">
      <c r="J1699" s="4"/>
    </row>
    <row r="1700" spans="10:10" x14ac:dyDescent="0.25">
      <c r="J1700" s="4"/>
    </row>
    <row r="1701" spans="10:10" x14ac:dyDescent="0.25">
      <c r="J1701" s="4"/>
    </row>
    <row r="1702" spans="10:10" x14ac:dyDescent="0.25">
      <c r="J1702" s="4"/>
    </row>
    <row r="1703" spans="10:10" x14ac:dyDescent="0.25">
      <c r="J1703" s="4"/>
    </row>
    <row r="1704" spans="10:10" x14ac:dyDescent="0.25">
      <c r="J1704" s="4"/>
    </row>
    <row r="1705" spans="10:10" x14ac:dyDescent="0.25">
      <c r="J1705" s="4"/>
    </row>
    <row r="1706" spans="10:10" x14ac:dyDescent="0.25">
      <c r="J1706" s="4"/>
    </row>
    <row r="1707" spans="10:10" x14ac:dyDescent="0.25">
      <c r="J1707" s="4"/>
    </row>
    <row r="1708" spans="10:10" x14ac:dyDescent="0.25">
      <c r="J1708" s="4"/>
    </row>
    <row r="1709" spans="10:10" x14ac:dyDescent="0.25">
      <c r="J1709" s="4"/>
    </row>
    <row r="1710" spans="10:10" x14ac:dyDescent="0.25">
      <c r="J1710" s="4"/>
    </row>
    <row r="1711" spans="10:10" x14ac:dyDescent="0.25">
      <c r="J1711" s="4"/>
    </row>
    <row r="1712" spans="10:10" x14ac:dyDescent="0.25">
      <c r="J1712" s="4"/>
    </row>
    <row r="1713" spans="10:10" x14ac:dyDescent="0.25">
      <c r="J1713" s="4"/>
    </row>
    <row r="1714" spans="10:10" x14ac:dyDescent="0.25">
      <c r="J1714" s="4"/>
    </row>
    <row r="1715" spans="10:10" x14ac:dyDescent="0.25">
      <c r="J1715" s="4"/>
    </row>
    <row r="1716" spans="10:10" x14ac:dyDescent="0.25">
      <c r="J1716" s="4"/>
    </row>
    <row r="1717" spans="10:10" x14ac:dyDescent="0.25">
      <c r="J1717" s="4"/>
    </row>
    <row r="1718" spans="10:10" x14ac:dyDescent="0.25">
      <c r="J1718" s="4"/>
    </row>
    <row r="1719" spans="10:10" x14ac:dyDescent="0.25">
      <c r="J1719" s="4"/>
    </row>
    <row r="1720" spans="10:10" x14ac:dyDescent="0.25">
      <c r="J1720" s="4"/>
    </row>
    <row r="1721" spans="10:10" x14ac:dyDescent="0.25">
      <c r="J1721" s="4"/>
    </row>
    <row r="1722" spans="10:10" x14ac:dyDescent="0.25">
      <c r="J1722" s="4"/>
    </row>
    <row r="1723" spans="10:10" x14ac:dyDescent="0.25">
      <c r="J1723" s="4"/>
    </row>
    <row r="1724" spans="10:10" x14ac:dyDescent="0.25">
      <c r="J1724" s="4"/>
    </row>
    <row r="1725" spans="10:10" x14ac:dyDescent="0.25">
      <c r="J1725" s="4"/>
    </row>
    <row r="1726" spans="10:10" x14ac:dyDescent="0.25">
      <c r="J1726" s="4"/>
    </row>
    <row r="1727" spans="10:10" x14ac:dyDescent="0.25">
      <c r="J1727" s="4"/>
    </row>
    <row r="1728" spans="10:10" x14ac:dyDescent="0.25">
      <c r="J1728" s="4"/>
    </row>
    <row r="1729" spans="10:10" x14ac:dyDescent="0.25">
      <c r="J1729" s="4"/>
    </row>
    <row r="1730" spans="10:10" x14ac:dyDescent="0.25">
      <c r="J1730" s="4"/>
    </row>
    <row r="1731" spans="10:10" x14ac:dyDescent="0.25">
      <c r="J1731" s="4"/>
    </row>
    <row r="1732" spans="10:10" x14ac:dyDescent="0.25">
      <c r="J1732" s="4"/>
    </row>
    <row r="1733" spans="10:10" x14ac:dyDescent="0.25">
      <c r="J1733" s="4"/>
    </row>
    <row r="1734" spans="10:10" x14ac:dyDescent="0.25">
      <c r="J1734" s="4"/>
    </row>
    <row r="1735" spans="10:10" x14ac:dyDescent="0.25">
      <c r="J1735" s="4"/>
    </row>
    <row r="1736" spans="10:10" x14ac:dyDescent="0.25">
      <c r="J1736" s="4"/>
    </row>
    <row r="1737" spans="10:10" x14ac:dyDescent="0.25">
      <c r="J1737" s="4"/>
    </row>
    <row r="1738" spans="10:10" x14ac:dyDescent="0.25">
      <c r="J1738" s="4"/>
    </row>
    <row r="1739" spans="10:10" x14ac:dyDescent="0.25">
      <c r="J1739" s="4"/>
    </row>
    <row r="1740" spans="10:10" x14ac:dyDescent="0.25">
      <c r="J1740" s="4"/>
    </row>
    <row r="1741" spans="10:10" x14ac:dyDescent="0.25">
      <c r="J1741" s="4"/>
    </row>
    <row r="1742" spans="10:10" x14ac:dyDescent="0.25">
      <c r="J1742" s="4"/>
    </row>
    <row r="1743" spans="10:10" x14ac:dyDescent="0.25">
      <c r="J1743" s="4"/>
    </row>
    <row r="1744" spans="10:10" x14ac:dyDescent="0.25">
      <c r="J1744" s="4"/>
    </row>
    <row r="1745" spans="10:10" x14ac:dyDescent="0.25">
      <c r="J1745" s="4"/>
    </row>
    <row r="1746" spans="10:10" x14ac:dyDescent="0.25">
      <c r="J1746" s="4"/>
    </row>
    <row r="1747" spans="10:10" x14ac:dyDescent="0.25">
      <c r="J1747" s="4"/>
    </row>
    <row r="1748" spans="10:10" x14ac:dyDescent="0.25">
      <c r="J1748" s="4"/>
    </row>
    <row r="1749" spans="10:10" x14ac:dyDescent="0.25">
      <c r="J1749" s="4"/>
    </row>
    <row r="1750" spans="10:10" x14ac:dyDescent="0.25">
      <c r="J1750" s="4"/>
    </row>
    <row r="1751" spans="10:10" x14ac:dyDescent="0.25">
      <c r="J1751" s="4"/>
    </row>
    <row r="1752" spans="10:10" x14ac:dyDescent="0.25">
      <c r="J1752" s="4"/>
    </row>
    <row r="1753" spans="10:10" x14ac:dyDescent="0.25">
      <c r="J1753" s="4"/>
    </row>
    <row r="1754" spans="10:10" x14ac:dyDescent="0.25">
      <c r="J1754" s="4"/>
    </row>
    <row r="1755" spans="10:10" x14ac:dyDescent="0.25">
      <c r="J1755" s="4"/>
    </row>
    <row r="1756" spans="10:10" x14ac:dyDescent="0.25">
      <c r="J1756" s="4"/>
    </row>
    <row r="1757" spans="10:10" x14ac:dyDescent="0.25">
      <c r="J1757" s="4"/>
    </row>
    <row r="1758" spans="10:10" x14ac:dyDescent="0.25">
      <c r="J1758" s="4"/>
    </row>
    <row r="1759" spans="10:10" x14ac:dyDescent="0.25">
      <c r="J1759" s="4"/>
    </row>
    <row r="1760" spans="10:10" x14ac:dyDescent="0.25">
      <c r="J1760" s="4"/>
    </row>
    <row r="1761" spans="10:10" x14ac:dyDescent="0.25">
      <c r="J1761" s="4"/>
    </row>
    <row r="1762" spans="10:10" x14ac:dyDescent="0.25">
      <c r="J1762" s="4"/>
    </row>
    <row r="1763" spans="10:10" x14ac:dyDescent="0.25">
      <c r="J1763" s="4"/>
    </row>
    <row r="1764" spans="10:10" x14ac:dyDescent="0.25">
      <c r="J1764" s="4"/>
    </row>
    <row r="1765" spans="10:10" x14ac:dyDescent="0.25">
      <c r="J1765" s="4"/>
    </row>
    <row r="1766" spans="10:10" x14ac:dyDescent="0.25">
      <c r="J1766" s="4"/>
    </row>
    <row r="1767" spans="10:10" x14ac:dyDescent="0.25">
      <c r="J1767" s="4"/>
    </row>
    <row r="1768" spans="10:10" x14ac:dyDescent="0.25">
      <c r="J1768" s="4"/>
    </row>
    <row r="1769" spans="10:10" x14ac:dyDescent="0.25">
      <c r="J1769" s="4"/>
    </row>
    <row r="1770" spans="10:10" x14ac:dyDescent="0.25">
      <c r="J1770" s="4"/>
    </row>
    <row r="1771" spans="10:10" x14ac:dyDescent="0.25">
      <c r="J1771" s="4"/>
    </row>
    <row r="1772" spans="10:10" x14ac:dyDescent="0.25">
      <c r="J1772" s="4"/>
    </row>
    <row r="1773" spans="10:10" x14ac:dyDescent="0.25">
      <c r="J1773" s="4"/>
    </row>
    <row r="1774" spans="10:10" x14ac:dyDescent="0.25">
      <c r="J1774" s="4"/>
    </row>
    <row r="1775" spans="10:10" x14ac:dyDescent="0.25">
      <c r="J1775" s="4"/>
    </row>
    <row r="1776" spans="10:10" x14ac:dyDescent="0.25">
      <c r="J1776" s="4"/>
    </row>
    <row r="1777" spans="10:10" x14ac:dyDescent="0.25">
      <c r="J1777" s="4"/>
    </row>
    <row r="1778" spans="10:10" x14ac:dyDescent="0.25">
      <c r="J1778" s="4"/>
    </row>
    <row r="1779" spans="10:10" x14ac:dyDescent="0.25">
      <c r="J1779" s="4"/>
    </row>
    <row r="1780" spans="10:10" x14ac:dyDescent="0.25">
      <c r="J1780" s="4"/>
    </row>
    <row r="1781" spans="10:10" x14ac:dyDescent="0.25">
      <c r="J1781" s="4"/>
    </row>
    <row r="1782" spans="10:10" x14ac:dyDescent="0.25">
      <c r="J1782" s="4"/>
    </row>
    <row r="1783" spans="10:10" x14ac:dyDescent="0.25">
      <c r="J1783" s="4"/>
    </row>
    <row r="1784" spans="10:10" x14ac:dyDescent="0.25">
      <c r="J1784" s="4"/>
    </row>
    <row r="1785" spans="10:10" x14ac:dyDescent="0.25">
      <c r="J1785" s="4"/>
    </row>
    <row r="1786" spans="10:10" x14ac:dyDescent="0.25">
      <c r="J1786" s="4"/>
    </row>
    <row r="1787" spans="10:10" x14ac:dyDescent="0.25">
      <c r="J1787" s="4"/>
    </row>
    <row r="1788" spans="10:10" x14ac:dyDescent="0.25">
      <c r="J1788" s="4"/>
    </row>
    <row r="1789" spans="10:10" x14ac:dyDescent="0.25">
      <c r="J1789" s="4"/>
    </row>
    <row r="1790" spans="10:10" x14ac:dyDescent="0.25">
      <c r="J1790" s="4"/>
    </row>
    <row r="1791" spans="10:10" x14ac:dyDescent="0.25">
      <c r="J1791" s="4"/>
    </row>
    <row r="1792" spans="10:10" x14ac:dyDescent="0.25">
      <c r="J1792" s="4"/>
    </row>
    <row r="1793" spans="10:10" x14ac:dyDescent="0.25">
      <c r="J1793" s="4"/>
    </row>
    <row r="1794" spans="10:10" x14ac:dyDescent="0.25">
      <c r="J1794" s="4"/>
    </row>
    <row r="1795" spans="10:10" x14ac:dyDescent="0.25">
      <c r="J1795" s="4"/>
    </row>
    <row r="1796" spans="10:10" x14ac:dyDescent="0.25">
      <c r="J1796" s="4"/>
    </row>
    <row r="1797" spans="10:10" x14ac:dyDescent="0.25">
      <c r="J1797" s="4"/>
    </row>
    <row r="1798" spans="10:10" x14ac:dyDescent="0.25">
      <c r="J1798" s="4"/>
    </row>
    <row r="1799" spans="10:10" x14ac:dyDescent="0.25">
      <c r="J1799" s="4"/>
    </row>
    <row r="1800" spans="10:10" x14ac:dyDescent="0.25">
      <c r="J1800" s="4"/>
    </row>
    <row r="1801" spans="10:10" x14ac:dyDescent="0.25">
      <c r="J1801" s="4"/>
    </row>
    <row r="1802" spans="10:10" x14ac:dyDescent="0.25">
      <c r="J1802" s="4"/>
    </row>
    <row r="1803" spans="10:10" x14ac:dyDescent="0.25">
      <c r="J1803" s="4"/>
    </row>
    <row r="1804" spans="10:10" x14ac:dyDescent="0.25">
      <c r="J1804" s="4"/>
    </row>
    <row r="1805" spans="10:10" x14ac:dyDescent="0.25">
      <c r="J1805" s="4"/>
    </row>
    <row r="1806" spans="10:10" x14ac:dyDescent="0.25">
      <c r="J1806" s="4"/>
    </row>
    <row r="1807" spans="10:10" x14ac:dyDescent="0.25">
      <c r="J1807" s="4"/>
    </row>
    <row r="1808" spans="10:10" x14ac:dyDescent="0.25">
      <c r="J1808" s="4"/>
    </row>
    <row r="1809" spans="10:10" x14ac:dyDescent="0.25">
      <c r="J1809" s="4"/>
    </row>
    <row r="1810" spans="10:10" x14ac:dyDescent="0.25">
      <c r="J1810" s="4"/>
    </row>
    <row r="1811" spans="10:10" x14ac:dyDescent="0.25">
      <c r="J1811" s="4"/>
    </row>
    <row r="1812" spans="10:10" x14ac:dyDescent="0.25">
      <c r="J1812" s="4"/>
    </row>
    <row r="1813" spans="10:10" x14ac:dyDescent="0.25">
      <c r="J1813" s="4"/>
    </row>
    <row r="1814" spans="10:10" x14ac:dyDescent="0.25">
      <c r="J1814" s="4"/>
    </row>
    <row r="1815" spans="10:10" x14ac:dyDescent="0.25">
      <c r="J1815" s="4"/>
    </row>
    <row r="1816" spans="10:10" x14ac:dyDescent="0.25">
      <c r="J1816" s="4"/>
    </row>
    <row r="1817" spans="10:10" x14ac:dyDescent="0.25">
      <c r="J1817" s="4"/>
    </row>
    <row r="1818" spans="10:10" x14ac:dyDescent="0.25">
      <c r="J1818" s="4"/>
    </row>
    <row r="1819" spans="10:10" x14ac:dyDescent="0.25">
      <c r="J1819" s="4"/>
    </row>
    <row r="1820" spans="10:10" x14ac:dyDescent="0.25">
      <c r="J1820" s="4"/>
    </row>
    <row r="1821" spans="10:10" x14ac:dyDescent="0.25">
      <c r="J1821" s="4"/>
    </row>
    <row r="1822" spans="10:10" x14ac:dyDescent="0.25">
      <c r="J1822" s="4"/>
    </row>
    <row r="1823" spans="10:10" x14ac:dyDescent="0.25">
      <c r="J1823" s="4"/>
    </row>
    <row r="1824" spans="10:10" x14ac:dyDescent="0.25">
      <c r="J1824" s="4"/>
    </row>
    <row r="1825" spans="10:10" x14ac:dyDescent="0.25">
      <c r="J1825" s="4"/>
    </row>
    <row r="1826" spans="10:10" x14ac:dyDescent="0.25">
      <c r="J1826" s="4"/>
    </row>
    <row r="1827" spans="10:10" x14ac:dyDescent="0.25">
      <c r="J1827" s="4"/>
    </row>
    <row r="1828" spans="10:10" x14ac:dyDescent="0.25">
      <c r="J1828" s="4"/>
    </row>
    <row r="1829" spans="10:10" x14ac:dyDescent="0.25">
      <c r="J1829" s="4"/>
    </row>
    <row r="1830" spans="10:10" x14ac:dyDescent="0.25">
      <c r="J1830" s="4"/>
    </row>
    <row r="1831" spans="10:10" x14ac:dyDescent="0.25">
      <c r="J1831" s="4"/>
    </row>
    <row r="1832" spans="10:10" x14ac:dyDescent="0.25">
      <c r="J1832" s="4"/>
    </row>
    <row r="1833" spans="10:10" x14ac:dyDescent="0.25">
      <c r="J1833" s="4"/>
    </row>
    <row r="1834" spans="10:10" x14ac:dyDescent="0.25">
      <c r="J1834" s="4"/>
    </row>
    <row r="1835" spans="10:10" x14ac:dyDescent="0.25">
      <c r="J1835" s="4"/>
    </row>
    <row r="1836" spans="10:10" x14ac:dyDescent="0.25">
      <c r="J1836" s="4"/>
    </row>
    <row r="1837" spans="10:10" x14ac:dyDescent="0.25">
      <c r="J1837" s="4"/>
    </row>
    <row r="1838" spans="10:10" x14ac:dyDescent="0.25">
      <c r="J1838" s="4"/>
    </row>
    <row r="1839" spans="10:10" x14ac:dyDescent="0.25">
      <c r="J1839" s="4"/>
    </row>
    <row r="1840" spans="10:10" x14ac:dyDescent="0.25">
      <c r="J1840" s="4"/>
    </row>
    <row r="1841" spans="10:10" x14ac:dyDescent="0.25">
      <c r="J1841" s="4"/>
    </row>
    <row r="1842" spans="10:10" x14ac:dyDescent="0.25">
      <c r="J1842" s="4"/>
    </row>
    <row r="1843" spans="10:10" x14ac:dyDescent="0.25">
      <c r="J1843" s="4"/>
    </row>
    <row r="1844" spans="10:10" x14ac:dyDescent="0.25">
      <c r="J1844" s="4"/>
    </row>
    <row r="1845" spans="10:10" x14ac:dyDescent="0.25">
      <c r="J1845" s="4"/>
    </row>
    <row r="1846" spans="10:10" x14ac:dyDescent="0.25">
      <c r="J1846" s="4"/>
    </row>
    <row r="1847" spans="10:10" x14ac:dyDescent="0.25">
      <c r="J1847" s="4"/>
    </row>
    <row r="1848" spans="10:10" x14ac:dyDescent="0.25">
      <c r="J1848" s="4"/>
    </row>
    <row r="1849" spans="10:10" x14ac:dyDescent="0.25">
      <c r="J1849" s="4"/>
    </row>
    <row r="1850" spans="10:10" x14ac:dyDescent="0.25">
      <c r="J1850" s="4"/>
    </row>
    <row r="1851" spans="10:10" x14ac:dyDescent="0.25">
      <c r="J1851" s="4"/>
    </row>
    <row r="1852" spans="10:10" x14ac:dyDescent="0.25">
      <c r="J1852" s="4"/>
    </row>
    <row r="1853" spans="10:10" x14ac:dyDescent="0.25">
      <c r="J1853" s="4"/>
    </row>
    <row r="1854" spans="10:10" x14ac:dyDescent="0.25">
      <c r="J1854" s="4"/>
    </row>
    <row r="1855" spans="10:10" x14ac:dyDescent="0.25">
      <c r="J1855" s="4"/>
    </row>
    <row r="1856" spans="10:10" x14ac:dyDescent="0.25">
      <c r="J1856" s="4"/>
    </row>
    <row r="1857" spans="10:10" x14ac:dyDescent="0.25">
      <c r="J1857" s="4"/>
    </row>
    <row r="1858" spans="10:10" x14ac:dyDescent="0.25">
      <c r="J1858" s="4"/>
    </row>
    <row r="1859" spans="10:10" x14ac:dyDescent="0.25">
      <c r="J1859" s="4"/>
    </row>
    <row r="1860" spans="10:10" x14ac:dyDescent="0.25">
      <c r="J1860" s="4"/>
    </row>
    <row r="1861" spans="10:10" x14ac:dyDescent="0.25">
      <c r="J1861" s="4"/>
    </row>
    <row r="1862" spans="10:10" x14ac:dyDescent="0.25">
      <c r="J1862" s="4"/>
    </row>
    <row r="1863" spans="10:10" x14ac:dyDescent="0.25">
      <c r="J1863" s="4"/>
    </row>
    <row r="1864" spans="10:10" x14ac:dyDescent="0.25">
      <c r="J1864" s="4"/>
    </row>
    <row r="1865" spans="10:10" x14ac:dyDescent="0.25">
      <c r="J1865" s="4"/>
    </row>
    <row r="1866" spans="10:10" x14ac:dyDescent="0.25">
      <c r="J1866" s="4"/>
    </row>
    <row r="1867" spans="10:10" x14ac:dyDescent="0.25">
      <c r="J1867" s="4"/>
    </row>
    <row r="1868" spans="10:10" x14ac:dyDescent="0.25">
      <c r="J1868" s="4"/>
    </row>
    <row r="1869" spans="10:10" x14ac:dyDescent="0.25">
      <c r="J1869" s="4"/>
    </row>
    <row r="1870" spans="10:10" x14ac:dyDescent="0.25">
      <c r="J1870" s="4"/>
    </row>
    <row r="1871" spans="10:10" x14ac:dyDescent="0.25">
      <c r="J1871" s="4"/>
    </row>
    <row r="1872" spans="10:10" x14ac:dyDescent="0.25">
      <c r="J1872" s="4"/>
    </row>
    <row r="1873" spans="10:10" x14ac:dyDescent="0.25">
      <c r="J1873" s="4"/>
    </row>
    <row r="1874" spans="10:10" x14ac:dyDescent="0.25">
      <c r="J1874" s="4"/>
    </row>
    <row r="1875" spans="10:10" x14ac:dyDescent="0.25">
      <c r="J1875" s="4"/>
    </row>
    <row r="1876" spans="10:10" x14ac:dyDescent="0.25">
      <c r="J1876" s="4"/>
    </row>
    <row r="1877" spans="10:10" x14ac:dyDescent="0.25">
      <c r="J1877" s="4"/>
    </row>
    <row r="1878" spans="10:10" x14ac:dyDescent="0.25">
      <c r="J1878" s="4"/>
    </row>
    <row r="1879" spans="10:10" x14ac:dyDescent="0.25">
      <c r="J1879" s="4"/>
    </row>
    <row r="1880" spans="10:10" x14ac:dyDescent="0.25">
      <c r="J1880" s="4"/>
    </row>
    <row r="1881" spans="10:10" x14ac:dyDescent="0.25">
      <c r="J1881" s="4"/>
    </row>
    <row r="1882" spans="10:10" x14ac:dyDescent="0.25">
      <c r="J1882" s="4"/>
    </row>
    <row r="1883" spans="10:10" x14ac:dyDescent="0.25">
      <c r="J1883" s="4"/>
    </row>
    <row r="1884" spans="10:10" x14ac:dyDescent="0.25">
      <c r="J1884" s="4"/>
    </row>
    <row r="1885" spans="10:10" x14ac:dyDescent="0.25">
      <c r="J1885" s="4"/>
    </row>
    <row r="1886" spans="10:10" x14ac:dyDescent="0.25">
      <c r="J1886" s="4"/>
    </row>
    <row r="1887" spans="10:10" x14ac:dyDescent="0.25">
      <c r="J1887" s="4"/>
    </row>
    <row r="1888" spans="10:10" x14ac:dyDescent="0.25">
      <c r="J1888" s="4"/>
    </row>
    <row r="1889" spans="10:10" x14ac:dyDescent="0.25">
      <c r="J1889" s="4"/>
    </row>
    <row r="1890" spans="10:10" x14ac:dyDescent="0.25">
      <c r="J1890" s="4"/>
    </row>
    <row r="1891" spans="10:10" x14ac:dyDescent="0.25">
      <c r="J1891" s="4"/>
    </row>
    <row r="1892" spans="10:10" x14ac:dyDescent="0.25">
      <c r="J1892" s="4"/>
    </row>
    <row r="1893" spans="10:10" x14ac:dyDescent="0.25">
      <c r="J1893" s="4"/>
    </row>
    <row r="1894" spans="10:10" x14ac:dyDescent="0.25">
      <c r="J1894" s="4"/>
    </row>
    <row r="1895" spans="10:10" x14ac:dyDescent="0.25">
      <c r="J1895" s="4"/>
    </row>
    <row r="1896" spans="10:10" x14ac:dyDescent="0.25">
      <c r="J1896" s="4"/>
    </row>
    <row r="1897" spans="10:10" x14ac:dyDescent="0.25">
      <c r="J1897" s="4"/>
    </row>
    <row r="1898" spans="10:10" x14ac:dyDescent="0.25">
      <c r="J1898" s="4"/>
    </row>
    <row r="1899" spans="10:10" x14ac:dyDescent="0.25">
      <c r="J1899" s="4"/>
    </row>
    <row r="1900" spans="10:10" x14ac:dyDescent="0.25">
      <c r="J1900" s="4"/>
    </row>
    <row r="1901" spans="10:10" x14ac:dyDescent="0.25">
      <c r="J1901" s="4"/>
    </row>
    <row r="1902" spans="10:10" x14ac:dyDescent="0.25">
      <c r="J1902" s="4"/>
    </row>
    <row r="1903" spans="10:10" x14ac:dyDescent="0.25">
      <c r="J1903" s="4"/>
    </row>
    <row r="1904" spans="10:10" x14ac:dyDescent="0.25">
      <c r="J1904" s="4"/>
    </row>
    <row r="1905" spans="10:10" x14ac:dyDescent="0.25">
      <c r="J1905" s="4"/>
    </row>
    <row r="1906" spans="10:10" x14ac:dyDescent="0.25">
      <c r="J1906" s="4"/>
    </row>
    <row r="1907" spans="10:10" x14ac:dyDescent="0.25">
      <c r="J1907" s="4"/>
    </row>
    <row r="1908" spans="10:10" x14ac:dyDescent="0.25">
      <c r="J1908" s="4"/>
    </row>
    <row r="1909" spans="10:10" x14ac:dyDescent="0.25">
      <c r="J1909" s="4"/>
    </row>
    <row r="1910" spans="10:10" x14ac:dyDescent="0.25">
      <c r="J1910" s="4"/>
    </row>
    <row r="1911" spans="10:10" x14ac:dyDescent="0.25">
      <c r="J1911" s="4"/>
    </row>
    <row r="1912" spans="10:10" x14ac:dyDescent="0.25">
      <c r="J1912" s="4"/>
    </row>
    <row r="1913" spans="10:10" x14ac:dyDescent="0.25">
      <c r="J1913" s="4"/>
    </row>
    <row r="1914" spans="10:10" x14ac:dyDescent="0.25">
      <c r="J1914" s="4"/>
    </row>
    <row r="1915" spans="10:10" x14ac:dyDescent="0.25">
      <c r="J1915" s="4"/>
    </row>
    <row r="1916" spans="10:10" x14ac:dyDescent="0.25">
      <c r="J1916" s="4"/>
    </row>
    <row r="1917" spans="10:10" x14ac:dyDescent="0.25">
      <c r="J1917" s="4"/>
    </row>
    <row r="1918" spans="10:10" x14ac:dyDescent="0.25">
      <c r="J1918" s="4"/>
    </row>
    <row r="1919" spans="10:10" x14ac:dyDescent="0.25">
      <c r="J1919" s="4"/>
    </row>
    <row r="1920" spans="10:10" x14ac:dyDescent="0.25">
      <c r="J1920" s="4"/>
    </row>
    <row r="1921" spans="10:10" x14ac:dyDescent="0.25">
      <c r="J1921" s="4"/>
    </row>
    <row r="1922" spans="10:10" x14ac:dyDescent="0.25">
      <c r="J1922" s="4"/>
    </row>
    <row r="1923" spans="10:10" x14ac:dyDescent="0.25">
      <c r="J1923" s="4"/>
    </row>
    <row r="1924" spans="10:10" x14ac:dyDescent="0.25">
      <c r="J1924" s="4"/>
    </row>
    <row r="1925" spans="10:10" x14ac:dyDescent="0.25">
      <c r="J1925" s="4"/>
    </row>
    <row r="1926" spans="10:10" x14ac:dyDescent="0.25">
      <c r="J1926" s="4"/>
    </row>
    <row r="1927" spans="10:10" x14ac:dyDescent="0.25">
      <c r="J1927" s="4"/>
    </row>
    <row r="1928" spans="10:10" x14ac:dyDescent="0.25">
      <c r="J1928" s="4"/>
    </row>
    <row r="1929" spans="10:10" x14ac:dyDescent="0.25">
      <c r="J1929" s="4"/>
    </row>
    <row r="1930" spans="10:10" x14ac:dyDescent="0.25">
      <c r="J1930" s="4"/>
    </row>
    <row r="1931" spans="10:10" x14ac:dyDescent="0.25">
      <c r="J1931" s="4"/>
    </row>
    <row r="1932" spans="10:10" x14ac:dyDescent="0.25">
      <c r="J1932" s="4"/>
    </row>
    <row r="1933" spans="10:10" x14ac:dyDescent="0.25">
      <c r="J1933" s="4"/>
    </row>
    <row r="1934" spans="10:10" x14ac:dyDescent="0.25">
      <c r="J1934" s="4"/>
    </row>
    <row r="1935" spans="10:10" x14ac:dyDescent="0.25">
      <c r="J1935" s="4"/>
    </row>
    <row r="1936" spans="10:10" x14ac:dyDescent="0.25">
      <c r="J1936" s="4"/>
    </row>
    <row r="1937" spans="10:10" x14ac:dyDescent="0.25">
      <c r="J1937" s="4"/>
    </row>
    <row r="1938" spans="10:10" x14ac:dyDescent="0.25">
      <c r="J1938" s="4"/>
    </row>
    <row r="1939" spans="10:10" x14ac:dyDescent="0.25">
      <c r="J1939" s="4"/>
    </row>
    <row r="1940" spans="10:10" x14ac:dyDescent="0.25">
      <c r="J1940" s="4"/>
    </row>
    <row r="1941" spans="10:10" x14ac:dyDescent="0.25">
      <c r="J1941" s="4"/>
    </row>
    <row r="1942" spans="10:10" x14ac:dyDescent="0.25">
      <c r="J1942" s="4"/>
    </row>
    <row r="1943" spans="10:10" x14ac:dyDescent="0.25">
      <c r="J1943" s="4"/>
    </row>
    <row r="1944" spans="10:10" x14ac:dyDescent="0.25">
      <c r="J1944" s="4"/>
    </row>
    <row r="1945" spans="10:10" x14ac:dyDescent="0.25">
      <c r="J1945" s="4"/>
    </row>
    <row r="1946" spans="10:10" x14ac:dyDescent="0.25">
      <c r="J1946" s="4"/>
    </row>
    <row r="1947" spans="10:10" x14ac:dyDescent="0.25">
      <c r="J1947" s="4"/>
    </row>
    <row r="1948" spans="10:10" x14ac:dyDescent="0.25">
      <c r="J1948" s="4"/>
    </row>
    <row r="1949" spans="10:10" x14ac:dyDescent="0.25">
      <c r="J1949" s="4"/>
    </row>
    <row r="1950" spans="10:10" x14ac:dyDescent="0.25">
      <c r="J1950" s="4"/>
    </row>
    <row r="1951" spans="10:10" x14ac:dyDescent="0.25">
      <c r="J1951" s="4"/>
    </row>
    <row r="1952" spans="10:10" x14ac:dyDescent="0.25">
      <c r="J1952" s="4"/>
    </row>
    <row r="1953" spans="10:10" x14ac:dyDescent="0.25">
      <c r="J1953" s="4"/>
    </row>
    <row r="1954" spans="10:10" x14ac:dyDescent="0.25">
      <c r="J1954" s="4"/>
    </row>
    <row r="1955" spans="10:10" x14ac:dyDescent="0.25">
      <c r="J1955" s="4"/>
    </row>
    <row r="1956" spans="10:10" x14ac:dyDescent="0.25">
      <c r="J1956" s="4"/>
    </row>
    <row r="1957" spans="10:10" x14ac:dyDescent="0.25">
      <c r="J1957" s="4"/>
    </row>
    <row r="1958" spans="10:10" x14ac:dyDescent="0.25">
      <c r="J1958" s="4"/>
    </row>
    <row r="1959" spans="10:10" x14ac:dyDescent="0.25">
      <c r="J1959" s="4"/>
    </row>
    <row r="1960" spans="10:10" x14ac:dyDescent="0.25">
      <c r="J1960" s="4"/>
    </row>
    <row r="1961" spans="10:10" x14ac:dyDescent="0.25">
      <c r="J1961" s="4"/>
    </row>
    <row r="1962" spans="10:10" x14ac:dyDescent="0.25">
      <c r="J1962" s="4"/>
    </row>
    <row r="1963" spans="10:10" x14ac:dyDescent="0.25">
      <c r="J1963" s="4"/>
    </row>
    <row r="1964" spans="10:10" x14ac:dyDescent="0.25">
      <c r="J1964" s="4"/>
    </row>
    <row r="1965" spans="10:10" x14ac:dyDescent="0.25">
      <c r="J1965" s="4"/>
    </row>
    <row r="1966" spans="10:10" x14ac:dyDescent="0.25">
      <c r="J1966" s="4"/>
    </row>
    <row r="1967" spans="10:10" x14ac:dyDescent="0.25">
      <c r="J1967" s="4"/>
    </row>
    <row r="1968" spans="10:10" x14ac:dyDescent="0.25">
      <c r="J1968" s="4"/>
    </row>
    <row r="1969" spans="10:10" x14ac:dyDescent="0.25">
      <c r="J1969" s="4"/>
    </row>
    <row r="1970" spans="10:10" x14ac:dyDescent="0.25">
      <c r="J1970" s="4"/>
    </row>
    <row r="1971" spans="10:10" x14ac:dyDescent="0.25">
      <c r="J1971" s="4"/>
    </row>
    <row r="1972" spans="10:10" x14ac:dyDescent="0.25">
      <c r="J1972" s="4"/>
    </row>
    <row r="1973" spans="10:10" x14ac:dyDescent="0.25">
      <c r="J1973" s="4"/>
    </row>
    <row r="1974" spans="10:10" x14ac:dyDescent="0.25">
      <c r="J1974" s="4"/>
    </row>
    <row r="1975" spans="10:10" x14ac:dyDescent="0.25">
      <c r="J1975" s="4"/>
    </row>
    <row r="1976" spans="10:10" x14ac:dyDescent="0.25">
      <c r="J1976" s="4"/>
    </row>
    <row r="1977" spans="10:10" x14ac:dyDescent="0.25">
      <c r="J1977" s="4"/>
    </row>
    <row r="1978" spans="10:10" x14ac:dyDescent="0.25">
      <c r="J1978" s="4"/>
    </row>
    <row r="1979" spans="10:10" x14ac:dyDescent="0.25">
      <c r="J1979" s="4"/>
    </row>
    <row r="1980" spans="10:10" x14ac:dyDescent="0.25">
      <c r="J1980" s="4"/>
    </row>
    <row r="1981" spans="10:10" x14ac:dyDescent="0.25">
      <c r="J1981" s="4"/>
    </row>
    <row r="1982" spans="10:10" x14ac:dyDescent="0.25">
      <c r="J1982" s="4"/>
    </row>
    <row r="1983" spans="10:10" x14ac:dyDescent="0.25">
      <c r="J1983" s="4"/>
    </row>
    <row r="1984" spans="10:10" x14ac:dyDescent="0.25">
      <c r="J1984" s="4"/>
    </row>
    <row r="1985" spans="10:10" x14ac:dyDescent="0.25">
      <c r="J1985" s="4"/>
    </row>
    <row r="1986" spans="10:10" x14ac:dyDescent="0.25">
      <c r="J1986" s="4"/>
    </row>
    <row r="1987" spans="10:10" x14ac:dyDescent="0.25">
      <c r="J1987" s="4"/>
    </row>
    <row r="1988" spans="10:10" x14ac:dyDescent="0.25">
      <c r="J1988" s="4"/>
    </row>
    <row r="1989" spans="10:10" x14ac:dyDescent="0.25">
      <c r="J1989" s="4"/>
    </row>
    <row r="1990" spans="10:10" x14ac:dyDescent="0.25">
      <c r="J1990" s="4"/>
    </row>
    <row r="1991" spans="10:10" x14ac:dyDescent="0.25">
      <c r="J1991" s="4"/>
    </row>
    <row r="1992" spans="10:10" x14ac:dyDescent="0.25">
      <c r="J1992" s="4"/>
    </row>
    <row r="1993" spans="10:10" x14ac:dyDescent="0.25">
      <c r="J1993" s="4"/>
    </row>
    <row r="1994" spans="10:10" x14ac:dyDescent="0.25">
      <c r="J1994" s="4"/>
    </row>
    <row r="1995" spans="10:10" x14ac:dyDescent="0.25">
      <c r="J1995" s="4"/>
    </row>
    <row r="1996" spans="10:10" x14ac:dyDescent="0.25">
      <c r="J1996" s="4"/>
    </row>
    <row r="1997" spans="10:10" x14ac:dyDescent="0.25">
      <c r="J1997" s="4"/>
    </row>
    <row r="1998" spans="10:10" x14ac:dyDescent="0.25">
      <c r="J1998" s="4"/>
    </row>
    <row r="1999" spans="10:10" x14ac:dyDescent="0.25">
      <c r="J1999" s="4"/>
    </row>
    <row r="2000" spans="10:10" x14ac:dyDescent="0.25">
      <c r="J2000" s="4"/>
    </row>
    <row r="2001" spans="10:10" x14ac:dyDescent="0.25">
      <c r="J2001" s="4"/>
    </row>
    <row r="2002" spans="10:10" x14ac:dyDescent="0.25">
      <c r="J2002" s="4"/>
    </row>
    <row r="2003" spans="10:10" x14ac:dyDescent="0.25">
      <c r="J2003" s="4"/>
    </row>
    <row r="2004" spans="10:10" x14ac:dyDescent="0.25">
      <c r="J2004" s="4"/>
    </row>
    <row r="2005" spans="10:10" x14ac:dyDescent="0.25">
      <c r="J2005" s="4"/>
    </row>
    <row r="2006" spans="10:10" x14ac:dyDescent="0.25">
      <c r="J2006" s="4"/>
    </row>
    <row r="2007" spans="10:10" x14ac:dyDescent="0.25">
      <c r="J2007" s="4"/>
    </row>
    <row r="2008" spans="10:10" x14ac:dyDescent="0.25">
      <c r="J2008" s="4"/>
    </row>
    <row r="2009" spans="10:10" x14ac:dyDescent="0.25">
      <c r="J2009" s="4"/>
    </row>
    <row r="2010" spans="10:10" x14ac:dyDescent="0.25">
      <c r="J2010" s="4"/>
    </row>
    <row r="2011" spans="10:10" x14ac:dyDescent="0.25">
      <c r="J2011" s="4"/>
    </row>
    <row r="2012" spans="10:10" x14ac:dyDescent="0.25">
      <c r="J2012" s="4"/>
    </row>
    <row r="2013" spans="10:10" x14ac:dyDescent="0.25">
      <c r="J2013" s="4"/>
    </row>
    <row r="2014" spans="10:10" x14ac:dyDescent="0.25">
      <c r="J2014" s="4"/>
    </row>
    <row r="2015" spans="10:10" x14ac:dyDescent="0.25">
      <c r="J2015" s="4"/>
    </row>
    <row r="2016" spans="10:10" x14ac:dyDescent="0.25">
      <c r="J2016" s="4"/>
    </row>
    <row r="2017" spans="10:10" x14ac:dyDescent="0.25">
      <c r="J2017" s="4"/>
    </row>
    <row r="2018" spans="10:10" x14ac:dyDescent="0.25">
      <c r="J2018" s="4"/>
    </row>
    <row r="2019" spans="10:10" x14ac:dyDescent="0.25">
      <c r="J2019" s="4"/>
    </row>
    <row r="2020" spans="10:10" x14ac:dyDescent="0.25">
      <c r="J2020" s="4"/>
    </row>
    <row r="2021" spans="10:10" x14ac:dyDescent="0.25">
      <c r="J2021" s="4"/>
    </row>
    <row r="2022" spans="10:10" x14ac:dyDescent="0.25">
      <c r="J2022" s="4"/>
    </row>
    <row r="2023" spans="10:10" x14ac:dyDescent="0.25">
      <c r="J2023" s="4"/>
    </row>
    <row r="2024" spans="10:10" x14ac:dyDescent="0.25">
      <c r="J2024" s="4"/>
    </row>
    <row r="2025" spans="10:10" x14ac:dyDescent="0.25">
      <c r="J2025" s="4"/>
    </row>
    <row r="2026" spans="10:10" x14ac:dyDescent="0.25">
      <c r="J2026" s="4"/>
    </row>
    <row r="2027" spans="10:10" x14ac:dyDescent="0.25">
      <c r="J2027" s="4"/>
    </row>
    <row r="2028" spans="10:10" x14ac:dyDescent="0.25">
      <c r="J2028" s="4"/>
    </row>
    <row r="2029" spans="10:10" x14ac:dyDescent="0.25">
      <c r="J2029" s="4"/>
    </row>
    <row r="2030" spans="10:10" x14ac:dyDescent="0.25">
      <c r="J2030" s="4"/>
    </row>
    <row r="2031" spans="10:10" x14ac:dyDescent="0.25">
      <c r="J2031" s="4"/>
    </row>
    <row r="2032" spans="10:10" x14ac:dyDescent="0.25">
      <c r="J2032" s="4"/>
    </row>
    <row r="2033" spans="10:10" x14ac:dyDescent="0.25">
      <c r="J2033" s="4"/>
    </row>
    <row r="2034" spans="10:10" x14ac:dyDescent="0.25">
      <c r="J2034" s="4"/>
    </row>
    <row r="2035" spans="10:10" x14ac:dyDescent="0.25">
      <c r="J2035" s="4"/>
    </row>
    <row r="2036" spans="10:10" x14ac:dyDescent="0.25">
      <c r="J2036" s="4"/>
    </row>
    <row r="2037" spans="10:10" x14ac:dyDescent="0.25">
      <c r="J2037" s="4"/>
    </row>
    <row r="2038" spans="10:10" x14ac:dyDescent="0.25">
      <c r="J2038" s="4"/>
    </row>
    <row r="2039" spans="10:10" x14ac:dyDescent="0.25">
      <c r="J2039" s="4"/>
    </row>
    <row r="2040" spans="10:10" x14ac:dyDescent="0.25">
      <c r="J2040" s="4"/>
    </row>
    <row r="2041" spans="10:10" x14ac:dyDescent="0.25">
      <c r="J2041" s="4"/>
    </row>
    <row r="2042" spans="10:10" x14ac:dyDescent="0.25">
      <c r="J2042" s="4"/>
    </row>
    <row r="2043" spans="10:10" x14ac:dyDescent="0.25">
      <c r="J2043" s="4"/>
    </row>
    <row r="2044" spans="10:10" x14ac:dyDescent="0.25">
      <c r="J2044" s="4"/>
    </row>
    <row r="2045" spans="10:10" x14ac:dyDescent="0.25">
      <c r="J2045" s="4"/>
    </row>
    <row r="2046" spans="10:10" x14ac:dyDescent="0.25">
      <c r="J2046" s="4"/>
    </row>
    <row r="2047" spans="10:10" x14ac:dyDescent="0.25">
      <c r="J2047" s="4"/>
    </row>
    <row r="2048" spans="10:10" x14ac:dyDescent="0.25">
      <c r="J2048" s="4"/>
    </row>
    <row r="2049" spans="10:10" x14ac:dyDescent="0.25">
      <c r="J2049" s="4"/>
    </row>
    <row r="2050" spans="10:10" x14ac:dyDescent="0.25">
      <c r="J2050" s="4"/>
    </row>
    <row r="2051" spans="10:10" x14ac:dyDescent="0.25">
      <c r="J2051" s="4"/>
    </row>
    <row r="2052" spans="10:10" x14ac:dyDescent="0.25">
      <c r="J2052" s="4"/>
    </row>
    <row r="2053" spans="10:10" x14ac:dyDescent="0.25">
      <c r="J2053" s="4"/>
    </row>
    <row r="2054" spans="10:10" x14ac:dyDescent="0.25">
      <c r="J2054" s="4"/>
    </row>
    <row r="2055" spans="10:10" x14ac:dyDescent="0.25">
      <c r="J2055" s="4"/>
    </row>
    <row r="2056" spans="10:10" x14ac:dyDescent="0.25">
      <c r="J2056" s="4"/>
    </row>
  </sheetData>
  <autoFilter ref="A1:V2056" xr:uid="{00000000-0001-0000-0100-000000000000}">
    <sortState xmlns:xlrd2="http://schemas.microsoft.com/office/spreadsheetml/2017/richdata2" ref="A2:V2056">
      <sortCondition ref="B1:B2056"/>
    </sortState>
  </autoFilter>
  <pageMargins left="0.75" right="0.75" top="1" bottom="1" header="0.5" footer="0.5"/>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ppg_ui</vt:lpstr>
      <vt:lpstr>ppg_plus_minus_ui</vt:lpstr>
      <vt:lpstr>ppg</vt:lpstr>
      <vt:lpstr>ppg_plus_minus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Battinieri, Christopher (Penske)</cp:lastModifiedBy>
  <dcterms:created xsi:type="dcterms:W3CDTF">2026-01-08T15:19:03Z</dcterms:created>
  <dcterms:modified xsi:type="dcterms:W3CDTF">2026-01-12T20:19:53Z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c35f47-6181-42f2-97b9-44eb3cb3949d_Enabled">
    <vt:lpwstr>true</vt:lpwstr>
  </property>
  <property fmtid="{D5CDD505-2E9C-101B-9397-08002B2CF9AE}" pid="3" name="MSIP_Label_2ec35f47-6181-42f2-97b9-44eb3cb3949d_SetDate">
    <vt:lpwstr>2026-01-08T15:22:38Z</vt:lpwstr>
  </property>
  <property fmtid="{D5CDD505-2E9C-101B-9397-08002B2CF9AE}" pid="4" name="MSIP_Label_2ec35f47-6181-42f2-97b9-44eb3cb3949d_Method">
    <vt:lpwstr>Standard</vt:lpwstr>
  </property>
  <property fmtid="{D5CDD505-2E9C-101B-9397-08002B2CF9AE}" pid="5" name="MSIP_Label_2ec35f47-6181-42f2-97b9-44eb3cb3949d_Name">
    <vt:lpwstr>Penske Default</vt:lpwstr>
  </property>
  <property fmtid="{D5CDD505-2E9C-101B-9397-08002B2CF9AE}" pid="6" name="MSIP_Label_2ec35f47-6181-42f2-97b9-44eb3cb3949d_SiteId">
    <vt:lpwstr>63a58ffd-6b1b-4280-841c-512709a3f7c3</vt:lpwstr>
  </property>
  <property fmtid="{D5CDD505-2E9C-101B-9397-08002B2CF9AE}" pid="7" name="MSIP_Label_2ec35f47-6181-42f2-97b9-44eb3cb3949d_ActionId">
    <vt:lpwstr>8a8d4116-9fdd-42ca-8326-03f9dd95157d</vt:lpwstr>
  </property>
  <property fmtid="{D5CDD505-2E9C-101B-9397-08002B2CF9AE}" pid="8" name="MSIP_Label_2ec35f47-6181-42f2-97b9-44eb3cb3949d_ContentBits">
    <vt:lpwstr>4</vt:lpwstr>
  </property>
  <property fmtid="{D5CDD505-2E9C-101B-9397-08002B2CF9AE}" pid="9" name="MSIP_Label_2ec35f47-6181-42f2-97b9-44eb3cb3949d_Tag">
    <vt:lpwstr>10, 3, 0, 1</vt:lpwstr>
  </property>
</Properties>
</file>